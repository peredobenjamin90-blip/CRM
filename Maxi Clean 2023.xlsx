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200" windowHeight="11505"/>
  </bookViews>
  <sheets>
    <sheet name="Hoja1" sheetId="1" r:id="rId1"/>
    <sheet name="Enero" sheetId="2" r:id="rId2"/>
    <sheet name="Febrero" sheetId="3" r:id="rId3"/>
    <sheet name="Marzo" sheetId="4" r:id="rId4"/>
    <sheet name="Abril" sheetId="5" r:id="rId5"/>
    <sheet name="Mayo" sheetId="6" r:id="rId6"/>
    <sheet name="Junio" sheetId="7" r:id="rId7"/>
    <sheet name="Julio" sheetId="8" r:id="rId8"/>
    <sheet name="Agosto" sheetId="9" r:id="rId9"/>
    <sheet name="Septiembre" sheetId="10" r:id="rId10"/>
    <sheet name="Octubre" sheetId="11" r:id="rId11"/>
    <sheet name="Noviembre" sheetId="12" r:id="rId12"/>
    <sheet name="Diciembre" sheetId="13" r:id="rId13"/>
    <sheet name="Estadísticas finales" sheetId="14" r:id="rId14"/>
    <sheet name="Estadísticas específicas" sheetId="15" r:id="rId15"/>
    <sheet name="Publicidad" sheetId="16" r:id="rId16"/>
  </sheets>
  <calcPr calcId="144525"/>
</workbook>
</file>

<file path=xl/calcChain.xml><?xml version="1.0" encoding="utf-8"?>
<calcChain xmlns="http://schemas.openxmlformats.org/spreadsheetml/2006/main">
  <c r="E17" i="14" l="1"/>
  <c r="B109" i="13" l="1"/>
  <c r="C45" i="13"/>
  <c r="N17" i="14"/>
  <c r="L17" i="14"/>
  <c r="J102" i="13" l="1"/>
  <c r="J101" i="13"/>
  <c r="J100" i="13"/>
  <c r="J99" i="13"/>
  <c r="J98" i="13"/>
  <c r="J97" i="13"/>
  <c r="J96" i="13"/>
  <c r="J95" i="13"/>
  <c r="J94" i="13"/>
  <c r="J93" i="13"/>
  <c r="J89" i="13"/>
  <c r="J88" i="13"/>
  <c r="J87" i="13"/>
  <c r="J86" i="13"/>
  <c r="J85" i="13"/>
  <c r="J81" i="13"/>
  <c r="J80" i="13"/>
  <c r="J79" i="13"/>
  <c r="J78" i="13"/>
  <c r="J77" i="13"/>
  <c r="J76" i="13"/>
  <c r="J72" i="13"/>
  <c r="J71" i="13"/>
  <c r="J67" i="13"/>
  <c r="J66" i="13"/>
  <c r="J65" i="13"/>
  <c r="J64" i="13"/>
  <c r="J63" i="13"/>
  <c r="J62" i="13"/>
  <c r="J61" i="13"/>
  <c r="J60" i="13"/>
  <c r="J59" i="13"/>
  <c r="J58" i="13"/>
  <c r="J57" i="13"/>
  <c r="J56" i="13"/>
  <c r="J54" i="13"/>
  <c r="J53" i="13"/>
  <c r="J52" i="13"/>
  <c r="J48" i="13"/>
  <c r="J47" i="13"/>
  <c r="J46" i="13"/>
  <c r="B111" i="13"/>
  <c r="B110" i="13"/>
  <c r="B108" i="13"/>
  <c r="F102" i="13"/>
  <c r="F101" i="13"/>
  <c r="F100" i="13"/>
  <c r="F99" i="13"/>
  <c r="F98" i="13"/>
  <c r="F95" i="13"/>
  <c r="F94" i="13"/>
  <c r="F93" i="13"/>
  <c r="F92" i="13"/>
  <c r="F91" i="13"/>
  <c r="F90" i="13"/>
  <c r="F87" i="13"/>
  <c r="F86" i="13"/>
  <c r="F83" i="13"/>
  <c r="F82" i="13"/>
  <c r="F79" i="13"/>
  <c r="F78" i="13"/>
  <c r="F77" i="13"/>
  <c r="F68" i="13"/>
  <c r="F51" i="13"/>
  <c r="F50" i="13"/>
  <c r="C76" i="13"/>
  <c r="F71" i="13" s="1"/>
  <c r="C63" i="13"/>
  <c r="F61" i="13" s="1"/>
  <c r="F72" i="13" l="1"/>
  <c r="F54" i="13"/>
  <c r="F58" i="13"/>
  <c r="F62" i="13"/>
  <c r="F55" i="13"/>
  <c r="F59" i="13"/>
  <c r="F65" i="13"/>
  <c r="F69" i="13"/>
  <c r="F73" i="13"/>
  <c r="F56" i="13"/>
  <c r="F60" i="13"/>
  <c r="F66" i="13"/>
  <c r="F70" i="13"/>
  <c r="F74" i="13"/>
  <c r="B107" i="13"/>
  <c r="F57" i="13"/>
  <c r="F67" i="13"/>
  <c r="F47" i="13"/>
  <c r="B108" i="12" l="1"/>
  <c r="B110" i="12"/>
  <c r="B109" i="12"/>
  <c r="J103" i="12"/>
  <c r="J102" i="12"/>
  <c r="J101" i="12"/>
  <c r="J100" i="12"/>
  <c r="J99" i="12"/>
  <c r="J98" i="12"/>
  <c r="J97" i="12"/>
  <c r="J96" i="12"/>
  <c r="J95" i="12"/>
  <c r="J94" i="12"/>
  <c r="J90" i="12"/>
  <c r="J89" i="12"/>
  <c r="J88" i="12"/>
  <c r="J87" i="12"/>
  <c r="J86" i="12"/>
  <c r="J82" i="12"/>
  <c r="J81" i="12"/>
  <c r="J80" i="12"/>
  <c r="J79" i="12"/>
  <c r="J78" i="12"/>
  <c r="J77" i="12"/>
  <c r="J73" i="12"/>
  <c r="J72" i="12"/>
  <c r="J68" i="12"/>
  <c r="J67" i="12"/>
  <c r="J66" i="12"/>
  <c r="J65" i="12"/>
  <c r="J64" i="12"/>
  <c r="J63" i="12"/>
  <c r="J62" i="12"/>
  <c r="J61" i="12"/>
  <c r="J60" i="12"/>
  <c r="J59" i="12"/>
  <c r="J58" i="12"/>
  <c r="J57" i="12"/>
  <c r="J55" i="12"/>
  <c r="J54" i="12"/>
  <c r="J53" i="12"/>
  <c r="J49" i="12"/>
  <c r="J48" i="12"/>
  <c r="J47" i="12"/>
  <c r="F103" i="12"/>
  <c r="F102" i="12"/>
  <c r="F101" i="12"/>
  <c r="F100" i="12"/>
  <c r="F99" i="12"/>
  <c r="F96" i="12"/>
  <c r="F95" i="12"/>
  <c r="F94" i="12"/>
  <c r="F93" i="12"/>
  <c r="F92" i="12"/>
  <c r="F91" i="12"/>
  <c r="F88" i="12"/>
  <c r="F87" i="12"/>
  <c r="F84" i="12"/>
  <c r="F83" i="12"/>
  <c r="F80" i="12"/>
  <c r="F79" i="12"/>
  <c r="F78" i="12"/>
  <c r="F75" i="12"/>
  <c r="F74" i="12"/>
  <c r="F73" i="12"/>
  <c r="F72" i="12"/>
  <c r="F71" i="12"/>
  <c r="F70" i="12"/>
  <c r="F69" i="12"/>
  <c r="F68" i="12"/>
  <c r="F67" i="12"/>
  <c r="F66" i="12"/>
  <c r="F63" i="12"/>
  <c r="F62" i="12"/>
  <c r="F61" i="12"/>
  <c r="F60" i="12"/>
  <c r="F59" i="12"/>
  <c r="F58" i="12"/>
  <c r="F57" i="12"/>
  <c r="F56" i="12"/>
  <c r="F55" i="12"/>
  <c r="F52" i="12"/>
  <c r="F51" i="12"/>
  <c r="F48" i="12"/>
  <c r="C77" i="12"/>
  <c r="C64" i="12"/>
  <c r="C46" i="12" l="1"/>
  <c r="B116" i="11" l="1"/>
  <c r="B118" i="11"/>
  <c r="B117" i="11"/>
  <c r="J111" i="11"/>
  <c r="J110" i="11"/>
  <c r="J109" i="11"/>
  <c r="J108" i="11"/>
  <c r="J107" i="11"/>
  <c r="J106" i="11"/>
  <c r="J105" i="11"/>
  <c r="J104" i="11"/>
  <c r="J103" i="11"/>
  <c r="J102" i="11"/>
  <c r="J98" i="11"/>
  <c r="J97" i="11"/>
  <c r="J96" i="11"/>
  <c r="J95" i="11"/>
  <c r="J94" i="11"/>
  <c r="J90" i="11"/>
  <c r="J89" i="11"/>
  <c r="J88" i="11"/>
  <c r="J87" i="11"/>
  <c r="J86" i="11"/>
  <c r="J85" i="11"/>
  <c r="J81" i="11"/>
  <c r="J80" i="11"/>
  <c r="J76" i="11"/>
  <c r="J75" i="11"/>
  <c r="J74" i="11"/>
  <c r="J73" i="11"/>
  <c r="J72" i="11"/>
  <c r="J71" i="11"/>
  <c r="J70" i="11"/>
  <c r="J69" i="11"/>
  <c r="J68" i="11"/>
  <c r="J67" i="11"/>
  <c r="J66" i="11"/>
  <c r="J65" i="11"/>
  <c r="J63" i="11"/>
  <c r="J62" i="11"/>
  <c r="J61" i="11"/>
  <c r="J57" i="11"/>
  <c r="J56" i="11"/>
  <c r="J55" i="11"/>
  <c r="F111" i="11"/>
  <c r="F110" i="11"/>
  <c r="F109" i="11"/>
  <c r="F108" i="11"/>
  <c r="F107" i="11"/>
  <c r="F104" i="11"/>
  <c r="F103" i="11"/>
  <c r="F102" i="11"/>
  <c r="F101" i="11"/>
  <c r="F100" i="11"/>
  <c r="F99" i="11"/>
  <c r="F96" i="11"/>
  <c r="F95" i="11"/>
  <c r="F92" i="11"/>
  <c r="F91" i="11"/>
  <c r="F88" i="11"/>
  <c r="F87" i="11"/>
  <c r="F86" i="11"/>
  <c r="F83" i="11"/>
  <c r="F82" i="11"/>
  <c r="F81" i="11"/>
  <c r="F80" i="11"/>
  <c r="F79" i="11"/>
  <c r="F78" i="11"/>
  <c r="F77" i="11"/>
  <c r="F76" i="11"/>
  <c r="F75" i="11"/>
  <c r="F74" i="11"/>
  <c r="F71" i="11"/>
  <c r="F70" i="11"/>
  <c r="F69" i="11"/>
  <c r="F68" i="11"/>
  <c r="F67" i="11"/>
  <c r="F66" i="11"/>
  <c r="F65" i="11"/>
  <c r="F64" i="11"/>
  <c r="F63" i="11"/>
  <c r="F60" i="11"/>
  <c r="F59" i="11"/>
  <c r="C85" i="11" l="1"/>
  <c r="C72" i="11"/>
  <c r="F56" i="11" l="1"/>
  <c r="F50" i="10"/>
  <c r="F98" i="10" l="1"/>
  <c r="F97" i="10"/>
  <c r="F96" i="10"/>
  <c r="F95" i="10"/>
  <c r="F94" i="10"/>
  <c r="F93" i="10"/>
  <c r="B110" i="10"/>
  <c r="B113" i="10"/>
  <c r="B112" i="10"/>
  <c r="B111" i="10"/>
  <c r="J105" i="10"/>
  <c r="J104" i="10"/>
  <c r="J103" i="10"/>
  <c r="J102" i="10"/>
  <c r="J101" i="10"/>
  <c r="J100" i="10"/>
  <c r="J99" i="10"/>
  <c r="J98" i="10"/>
  <c r="J97" i="10"/>
  <c r="J96" i="10"/>
  <c r="J92" i="10"/>
  <c r="J91" i="10"/>
  <c r="J90" i="10"/>
  <c r="J89" i="10"/>
  <c r="J88" i="10"/>
  <c r="J84" i="10"/>
  <c r="J83" i="10"/>
  <c r="J82" i="10"/>
  <c r="J81" i="10"/>
  <c r="J80" i="10"/>
  <c r="J79" i="10"/>
  <c r="J75" i="10"/>
  <c r="J74" i="10"/>
  <c r="J70" i="10"/>
  <c r="J69" i="10"/>
  <c r="J68" i="10"/>
  <c r="J67" i="10"/>
  <c r="J66" i="10"/>
  <c r="J65" i="10"/>
  <c r="J64" i="10"/>
  <c r="J63" i="10"/>
  <c r="J62" i="10"/>
  <c r="J61" i="10"/>
  <c r="J60" i="10"/>
  <c r="J59" i="10"/>
  <c r="J57" i="10"/>
  <c r="J56" i="10"/>
  <c r="J55" i="10"/>
  <c r="J51" i="10"/>
  <c r="J50" i="10"/>
  <c r="J49" i="10"/>
  <c r="F105" i="10"/>
  <c r="F104" i="10"/>
  <c r="F103" i="10"/>
  <c r="F102" i="10"/>
  <c r="F101" i="10"/>
  <c r="F90" i="10"/>
  <c r="F89" i="10"/>
  <c r="F86" i="10"/>
  <c r="F85" i="10"/>
  <c r="F82" i="10"/>
  <c r="F81" i="10"/>
  <c r="F80" i="10"/>
  <c r="F77" i="10"/>
  <c r="F76" i="10"/>
  <c r="F75" i="10"/>
  <c r="F74" i="10"/>
  <c r="F73" i="10"/>
  <c r="F72" i="10"/>
  <c r="F71" i="10"/>
  <c r="F70" i="10"/>
  <c r="F69" i="10"/>
  <c r="F68" i="10"/>
  <c r="F65" i="10"/>
  <c r="F64" i="10"/>
  <c r="F63" i="10"/>
  <c r="F62" i="10"/>
  <c r="F61" i="10"/>
  <c r="F60" i="10"/>
  <c r="F59" i="10"/>
  <c r="F58" i="10"/>
  <c r="F57" i="10"/>
  <c r="F54" i="10"/>
  <c r="F53" i="10"/>
  <c r="C79" i="10" l="1"/>
  <c r="C66" i="10"/>
  <c r="C54" i="11" l="1"/>
  <c r="C48" i="10" l="1"/>
  <c r="B113" i="9" l="1"/>
  <c r="B117" i="9"/>
  <c r="B115" i="9"/>
  <c r="B114" i="9"/>
  <c r="J108" i="9"/>
  <c r="J107" i="9"/>
  <c r="J106" i="9"/>
  <c r="J105" i="9"/>
  <c r="J104" i="9"/>
  <c r="J103" i="9"/>
  <c r="J102" i="9"/>
  <c r="J101" i="9"/>
  <c r="J100" i="9"/>
  <c r="J99" i="9"/>
  <c r="J95" i="9"/>
  <c r="J94" i="9"/>
  <c r="J93" i="9"/>
  <c r="J92" i="9"/>
  <c r="J91" i="9"/>
  <c r="J87" i="9"/>
  <c r="J86" i="9"/>
  <c r="J85" i="9"/>
  <c r="J84" i="9"/>
  <c r="J83" i="9"/>
  <c r="J82" i="9"/>
  <c r="J78" i="9"/>
  <c r="J77" i="9"/>
  <c r="J73" i="9"/>
  <c r="J72" i="9"/>
  <c r="J71" i="9"/>
  <c r="J70" i="9"/>
  <c r="J69" i="9"/>
  <c r="J68" i="9"/>
  <c r="J67" i="9"/>
  <c r="J66" i="9"/>
  <c r="J65" i="9"/>
  <c r="J64" i="9"/>
  <c r="J63" i="9"/>
  <c r="J62" i="9"/>
  <c r="J60" i="9"/>
  <c r="J59" i="9"/>
  <c r="J58" i="9"/>
  <c r="J54" i="9"/>
  <c r="J53" i="9"/>
  <c r="J52" i="9"/>
  <c r="F108" i="9"/>
  <c r="F107" i="9"/>
  <c r="F106" i="9"/>
  <c r="F105" i="9"/>
  <c r="F104" i="9"/>
  <c r="F101" i="9"/>
  <c r="F100" i="9"/>
  <c r="F99" i="9"/>
  <c r="F98" i="9"/>
  <c r="F97" i="9"/>
  <c r="F96" i="9"/>
  <c r="F93" i="9"/>
  <c r="F92" i="9"/>
  <c r="F89" i="9"/>
  <c r="F88" i="9"/>
  <c r="F85" i="9"/>
  <c r="F84" i="9"/>
  <c r="F83" i="9"/>
  <c r="F80" i="9"/>
  <c r="F79" i="9"/>
  <c r="F78" i="9"/>
  <c r="F77" i="9"/>
  <c r="F76" i="9"/>
  <c r="F75" i="9"/>
  <c r="F74" i="9"/>
  <c r="F73" i="9"/>
  <c r="F72" i="9"/>
  <c r="F71" i="9"/>
  <c r="F68" i="9"/>
  <c r="F67" i="9"/>
  <c r="F66" i="9"/>
  <c r="F65" i="9"/>
  <c r="F64" i="9"/>
  <c r="F63" i="9"/>
  <c r="F62" i="9"/>
  <c r="F61" i="9"/>
  <c r="F60" i="9"/>
  <c r="F57" i="9"/>
  <c r="F56" i="9"/>
  <c r="C82" i="9"/>
  <c r="C69" i="9"/>
  <c r="F53" i="9"/>
  <c r="C51" i="9" l="1"/>
  <c r="E13" i="16" l="1"/>
  <c r="E12" i="16"/>
  <c r="E11" i="16"/>
  <c r="E10" i="16"/>
  <c r="E9" i="16"/>
  <c r="E8" i="16"/>
  <c r="E7" i="16"/>
  <c r="E6" i="16"/>
  <c r="E5" i="16"/>
  <c r="E4" i="16"/>
  <c r="E3" i="16"/>
  <c r="E2" i="16"/>
  <c r="B118" i="8"/>
  <c r="B121" i="8"/>
  <c r="B120" i="8"/>
  <c r="B119" i="8"/>
  <c r="J113" i="8"/>
  <c r="J112" i="8"/>
  <c r="J111" i="8"/>
  <c r="J110" i="8"/>
  <c r="J109" i="8"/>
  <c r="J108" i="8"/>
  <c r="J107" i="8"/>
  <c r="J106" i="8"/>
  <c r="J105" i="8"/>
  <c r="J104" i="8"/>
  <c r="J100" i="8"/>
  <c r="J99" i="8"/>
  <c r="J98" i="8"/>
  <c r="J97" i="8"/>
  <c r="J96" i="8"/>
  <c r="J92" i="8"/>
  <c r="J91" i="8"/>
  <c r="J90" i="8"/>
  <c r="J89" i="8"/>
  <c r="J88" i="8"/>
  <c r="J87" i="8"/>
  <c r="J83" i="8"/>
  <c r="J82" i="8"/>
  <c r="J78" i="8"/>
  <c r="J77" i="8"/>
  <c r="J76" i="8"/>
  <c r="J75" i="8"/>
  <c r="J74" i="8"/>
  <c r="J73" i="8"/>
  <c r="J72" i="8"/>
  <c r="J71" i="8"/>
  <c r="J70" i="8"/>
  <c r="J69" i="8"/>
  <c r="J68" i="8"/>
  <c r="J67" i="8"/>
  <c r="J65" i="8"/>
  <c r="J64" i="8"/>
  <c r="J63" i="8"/>
  <c r="J59" i="8"/>
  <c r="J58" i="8"/>
  <c r="J57" i="8"/>
  <c r="F113" i="8"/>
  <c r="F112" i="8"/>
  <c r="F111" i="8"/>
  <c r="F110" i="8"/>
  <c r="F109" i="8"/>
  <c r="F106" i="8"/>
  <c r="F105" i="8"/>
  <c r="F104" i="8"/>
  <c r="F103" i="8"/>
  <c r="F102" i="8"/>
  <c r="F101" i="8"/>
  <c r="F98" i="8"/>
  <c r="F97" i="8"/>
  <c r="F94" i="8"/>
  <c r="F93" i="8"/>
  <c r="F90" i="8"/>
  <c r="F89" i="8"/>
  <c r="F88" i="8"/>
  <c r="F85" i="8"/>
  <c r="F84" i="8"/>
  <c r="F83" i="8"/>
  <c r="F82" i="8"/>
  <c r="F81" i="8"/>
  <c r="F80" i="8"/>
  <c r="F79" i="8"/>
  <c r="F78" i="8"/>
  <c r="F77" i="8"/>
  <c r="F76" i="8"/>
  <c r="F73" i="8"/>
  <c r="F72" i="8"/>
  <c r="F71" i="8"/>
  <c r="F70" i="8"/>
  <c r="F69" i="8"/>
  <c r="F68" i="8"/>
  <c r="F67" i="8"/>
  <c r="F66" i="8"/>
  <c r="F65" i="8"/>
  <c r="F62" i="8"/>
  <c r="F61" i="8"/>
  <c r="B113" i="6" l="1"/>
  <c r="B109" i="6"/>
  <c r="B111" i="6"/>
  <c r="F58" i="8"/>
  <c r="C87" i="8"/>
  <c r="C74" i="8"/>
  <c r="C56" i="8" l="1"/>
  <c r="B122" i="7" l="1"/>
  <c r="B121" i="7"/>
  <c r="B120" i="7"/>
  <c r="B119" i="7"/>
  <c r="B118" i="7"/>
  <c r="J113" i="7"/>
  <c r="J112" i="7"/>
  <c r="J111" i="7"/>
  <c r="J110" i="7"/>
  <c r="J109" i="7"/>
  <c r="J108" i="7"/>
  <c r="J107" i="7"/>
  <c r="J106" i="7"/>
  <c r="J105" i="7"/>
  <c r="J104" i="7"/>
  <c r="J100" i="7"/>
  <c r="J99" i="7"/>
  <c r="J98" i="7"/>
  <c r="J97" i="7"/>
  <c r="J96" i="7"/>
  <c r="J92" i="7"/>
  <c r="J91" i="7"/>
  <c r="J90" i="7"/>
  <c r="J89" i="7"/>
  <c r="J88" i="7"/>
  <c r="J87" i="7"/>
  <c r="J83" i="7"/>
  <c r="J82" i="7"/>
  <c r="J78" i="7"/>
  <c r="J77" i="7"/>
  <c r="J76" i="7"/>
  <c r="J75" i="7"/>
  <c r="J74" i="7"/>
  <c r="J73" i="7"/>
  <c r="J72" i="7"/>
  <c r="J71" i="7"/>
  <c r="J70" i="7"/>
  <c r="J69" i="7"/>
  <c r="J68" i="7"/>
  <c r="J67" i="7"/>
  <c r="J65" i="7"/>
  <c r="J64" i="7"/>
  <c r="J63" i="7"/>
  <c r="J59" i="7"/>
  <c r="J58" i="7"/>
  <c r="J57" i="7"/>
  <c r="F113" i="7"/>
  <c r="F112" i="7"/>
  <c r="F111" i="7"/>
  <c r="F110" i="7"/>
  <c r="F109" i="7"/>
  <c r="F98" i="7"/>
  <c r="F97" i="7"/>
  <c r="F106" i="7"/>
  <c r="F105" i="7"/>
  <c r="F104" i="7"/>
  <c r="F103" i="7"/>
  <c r="F102" i="7"/>
  <c r="F101" i="7"/>
  <c r="F94" i="7"/>
  <c r="F93" i="7"/>
  <c r="F90" i="7"/>
  <c r="F89" i="7"/>
  <c r="F88" i="7"/>
  <c r="F85" i="7"/>
  <c r="F84" i="7"/>
  <c r="F83" i="7"/>
  <c r="F82" i="7"/>
  <c r="F81" i="7"/>
  <c r="F80" i="7"/>
  <c r="F79" i="7"/>
  <c r="F78" i="7"/>
  <c r="F77" i="7"/>
  <c r="C87" i="7"/>
  <c r="F76" i="7"/>
  <c r="F73" i="7"/>
  <c r="F72" i="7"/>
  <c r="F71" i="7"/>
  <c r="F70" i="7"/>
  <c r="F69" i="7"/>
  <c r="F68" i="7"/>
  <c r="F67" i="7"/>
  <c r="F66" i="7"/>
  <c r="F65" i="7"/>
  <c r="F62" i="7"/>
  <c r="F61" i="7"/>
  <c r="F58" i="7"/>
  <c r="C74" i="7"/>
  <c r="C56" i="7" l="1"/>
  <c r="J104" i="6"/>
  <c r="J103" i="6"/>
  <c r="J102" i="6"/>
  <c r="J101" i="6"/>
  <c r="J100" i="6"/>
  <c r="J99" i="6"/>
  <c r="J98" i="6"/>
  <c r="J97" i="6"/>
  <c r="J96" i="6"/>
  <c r="J95" i="6"/>
  <c r="J91" i="6"/>
  <c r="J90" i="6"/>
  <c r="J89" i="6"/>
  <c r="J88" i="6"/>
  <c r="J87" i="6"/>
  <c r="J83" i="6"/>
  <c r="J82" i="6"/>
  <c r="J81" i="6"/>
  <c r="J80" i="6"/>
  <c r="J79" i="6"/>
  <c r="J78" i="6"/>
  <c r="J74" i="6"/>
  <c r="J73" i="6"/>
  <c r="J69" i="6"/>
  <c r="J68" i="6"/>
  <c r="J67" i="6"/>
  <c r="J66" i="6"/>
  <c r="J65" i="6"/>
  <c r="J64" i="6"/>
  <c r="J63" i="6"/>
  <c r="J62" i="6"/>
  <c r="J61" i="6"/>
  <c r="J60" i="6"/>
  <c r="J59" i="6"/>
  <c r="J58" i="6"/>
  <c r="J56" i="6"/>
  <c r="J55" i="6"/>
  <c r="J54" i="6"/>
  <c r="J50" i="6"/>
  <c r="J49" i="6"/>
  <c r="J48" i="6"/>
  <c r="B112" i="6"/>
  <c r="B110" i="6"/>
  <c r="F104" i="6"/>
  <c r="F103" i="6"/>
  <c r="F102" i="6"/>
  <c r="F101" i="6"/>
  <c r="F100" i="6"/>
  <c r="F97" i="6"/>
  <c r="F96" i="6"/>
  <c r="F95" i="6"/>
  <c r="F94" i="6"/>
  <c r="F93" i="6"/>
  <c r="F92" i="6"/>
  <c r="F89" i="6"/>
  <c r="F88" i="6"/>
  <c r="F85" i="6"/>
  <c r="F84" i="6"/>
  <c r="F81" i="6"/>
  <c r="F80" i="6"/>
  <c r="F79" i="6"/>
  <c r="F53" i="6"/>
  <c r="F52" i="6"/>
  <c r="C78" i="6"/>
  <c r="F75" i="6" s="1"/>
  <c r="C65" i="6"/>
  <c r="F63" i="6" s="1"/>
  <c r="F68" i="6" l="1"/>
  <c r="F70" i="6"/>
  <c r="F72" i="6"/>
  <c r="F74" i="6"/>
  <c r="F76" i="6"/>
  <c r="F67" i="6"/>
  <c r="F69" i="6"/>
  <c r="F71" i="6"/>
  <c r="F73" i="6"/>
  <c r="F64" i="6"/>
  <c r="F56" i="6"/>
  <c r="F58" i="6"/>
  <c r="F60" i="6"/>
  <c r="F62" i="6"/>
  <c r="F57" i="6"/>
  <c r="F59" i="6"/>
  <c r="F61" i="6"/>
  <c r="C47" i="6" l="1"/>
  <c r="F49" i="6" s="1"/>
  <c r="B108" i="5" l="1"/>
  <c r="B111" i="5"/>
  <c r="B110" i="5"/>
  <c r="B109" i="5"/>
  <c r="F103" i="5"/>
  <c r="F102" i="5"/>
  <c r="F101" i="5"/>
  <c r="F100" i="5"/>
  <c r="F99" i="5"/>
  <c r="F96" i="5"/>
  <c r="F95" i="5"/>
  <c r="F94" i="5"/>
  <c r="F93" i="5"/>
  <c r="F92" i="5"/>
  <c r="F91" i="5"/>
  <c r="F88" i="5"/>
  <c r="F87" i="5"/>
  <c r="F84" i="5"/>
  <c r="F83" i="5"/>
  <c r="F80" i="5"/>
  <c r="F79" i="5"/>
  <c r="F78" i="5"/>
  <c r="F75" i="5"/>
  <c r="F74" i="5"/>
  <c r="F73" i="5"/>
  <c r="F72" i="5"/>
  <c r="F71" i="5"/>
  <c r="F70" i="5"/>
  <c r="F69" i="5"/>
  <c r="F68" i="5"/>
  <c r="F67" i="5"/>
  <c r="F66" i="5"/>
  <c r="F63" i="5"/>
  <c r="F62" i="5"/>
  <c r="F61" i="5"/>
  <c r="F60" i="5"/>
  <c r="F59" i="5"/>
  <c r="F58" i="5"/>
  <c r="F57" i="5"/>
  <c r="F56" i="5"/>
  <c r="F55" i="5"/>
  <c r="F52" i="5"/>
  <c r="F51" i="5"/>
  <c r="F46" i="4"/>
  <c r="J103" i="5"/>
  <c r="J102" i="5"/>
  <c r="J101" i="5"/>
  <c r="J100" i="5"/>
  <c r="J99" i="5"/>
  <c r="J98" i="5"/>
  <c r="J97" i="5"/>
  <c r="J96" i="5"/>
  <c r="J95" i="5"/>
  <c r="J94" i="5"/>
  <c r="J90" i="5"/>
  <c r="J89" i="5"/>
  <c r="J88" i="5"/>
  <c r="J87" i="5"/>
  <c r="J86" i="5"/>
  <c r="J82" i="5"/>
  <c r="J81" i="5"/>
  <c r="J80" i="5"/>
  <c r="J79" i="5"/>
  <c r="J78" i="5"/>
  <c r="J77" i="5"/>
  <c r="J73" i="5"/>
  <c r="J72" i="5"/>
  <c r="J68" i="5"/>
  <c r="J67" i="5"/>
  <c r="J66" i="5"/>
  <c r="J65" i="5"/>
  <c r="J64" i="5"/>
  <c r="J63" i="5"/>
  <c r="J62" i="5"/>
  <c r="J61" i="5"/>
  <c r="J60" i="5"/>
  <c r="J59" i="5"/>
  <c r="J58" i="5"/>
  <c r="J57" i="5"/>
  <c r="J55" i="5"/>
  <c r="J54" i="5"/>
  <c r="J53" i="5"/>
  <c r="J49" i="5"/>
  <c r="J48" i="5"/>
  <c r="J47" i="5"/>
  <c r="C77" i="5"/>
  <c r="C64" i="5"/>
  <c r="C46" i="5" l="1"/>
  <c r="F48" i="5" s="1"/>
  <c r="B104" i="4" l="1"/>
  <c r="C41" i="4"/>
  <c r="J98" i="4"/>
  <c r="J97" i="4"/>
  <c r="J96" i="4"/>
  <c r="J95" i="4"/>
  <c r="J94" i="4"/>
  <c r="J93" i="4"/>
  <c r="J92" i="4"/>
  <c r="J91" i="4"/>
  <c r="J90" i="4"/>
  <c r="J89" i="4"/>
  <c r="J85" i="4"/>
  <c r="J84" i="4"/>
  <c r="J83" i="4"/>
  <c r="J82" i="4"/>
  <c r="J81" i="4"/>
  <c r="J77" i="4"/>
  <c r="J76" i="4"/>
  <c r="J75" i="4"/>
  <c r="J74" i="4"/>
  <c r="J73" i="4"/>
  <c r="J72" i="4"/>
  <c r="J68" i="4"/>
  <c r="J67" i="4"/>
  <c r="J63" i="4"/>
  <c r="J62" i="4"/>
  <c r="J61" i="4"/>
  <c r="J60" i="4"/>
  <c r="J59" i="4"/>
  <c r="J58" i="4"/>
  <c r="J57" i="4"/>
  <c r="J56" i="4"/>
  <c r="J55" i="4"/>
  <c r="J54" i="4"/>
  <c r="J53" i="4"/>
  <c r="J52" i="4"/>
  <c r="J50" i="4"/>
  <c r="J49" i="4"/>
  <c r="J48" i="4"/>
  <c r="J44" i="4"/>
  <c r="J43" i="4"/>
  <c r="J42" i="4"/>
  <c r="B105" i="4"/>
  <c r="B106" i="4"/>
  <c r="B108" i="4"/>
  <c r="F98" i="4"/>
  <c r="F97" i="4"/>
  <c r="F96" i="4"/>
  <c r="F95" i="4"/>
  <c r="F94" i="4"/>
  <c r="F91" i="4"/>
  <c r="F90" i="4"/>
  <c r="F89" i="4"/>
  <c r="F88" i="4"/>
  <c r="F87" i="4"/>
  <c r="F86" i="4"/>
  <c r="F83" i="4"/>
  <c r="F82" i="4"/>
  <c r="F79" i="4"/>
  <c r="F78" i="4"/>
  <c r="F75" i="4"/>
  <c r="F74" i="4"/>
  <c r="F73" i="4"/>
  <c r="F47" i="4"/>
  <c r="C72" i="4"/>
  <c r="F70" i="4" s="1"/>
  <c r="C59" i="4"/>
  <c r="F51" i="4" s="1"/>
  <c r="F52" i="4" l="1"/>
  <c r="F56" i="4"/>
  <c r="F54" i="4"/>
  <c r="F58" i="4"/>
  <c r="F61" i="4"/>
  <c r="F63" i="4"/>
  <c r="F65" i="4"/>
  <c r="F67" i="4"/>
  <c r="F69" i="4"/>
  <c r="F50" i="4"/>
  <c r="F53" i="4"/>
  <c r="F55" i="4"/>
  <c r="F57" i="4"/>
  <c r="F62" i="4"/>
  <c r="F64" i="4"/>
  <c r="F66" i="4"/>
  <c r="F68" i="4"/>
  <c r="F43" i="4" l="1"/>
  <c r="F13" i="14" l="1"/>
  <c r="F12" i="14"/>
  <c r="F11" i="14"/>
  <c r="F10" i="14"/>
  <c r="F9" i="14"/>
  <c r="F8" i="14"/>
  <c r="F7" i="14"/>
  <c r="F6" i="14"/>
  <c r="F5" i="14"/>
  <c r="F4" i="14"/>
  <c r="F3" i="14"/>
  <c r="D13" i="14"/>
  <c r="D12" i="14"/>
  <c r="D11" i="14"/>
  <c r="D10" i="14"/>
  <c r="D9" i="14"/>
  <c r="D8" i="14"/>
  <c r="D7" i="14"/>
  <c r="D6" i="14"/>
  <c r="D5" i="14"/>
  <c r="D4" i="14"/>
  <c r="D3" i="14"/>
  <c r="B113" i="3"/>
  <c r="B112" i="3"/>
  <c r="B111" i="3"/>
  <c r="J105" i="3"/>
  <c r="J104" i="3"/>
  <c r="J103" i="3"/>
  <c r="J102" i="3"/>
  <c r="J101" i="3"/>
  <c r="J100" i="3"/>
  <c r="J99" i="3"/>
  <c r="J98" i="3"/>
  <c r="J97" i="3"/>
  <c r="J96" i="3"/>
  <c r="J92" i="3"/>
  <c r="J91" i="3"/>
  <c r="J90" i="3"/>
  <c r="J89" i="3"/>
  <c r="J88" i="3"/>
  <c r="J84" i="3"/>
  <c r="J83" i="3"/>
  <c r="J82" i="3"/>
  <c r="J81" i="3"/>
  <c r="J80" i="3"/>
  <c r="J79" i="3"/>
  <c r="J75" i="3"/>
  <c r="J74" i="3"/>
  <c r="J70" i="3"/>
  <c r="J69" i="3"/>
  <c r="J68" i="3"/>
  <c r="J67" i="3"/>
  <c r="J66" i="3"/>
  <c r="J65" i="3"/>
  <c r="J64" i="3"/>
  <c r="J63" i="3"/>
  <c r="J62" i="3"/>
  <c r="J61" i="3"/>
  <c r="J60" i="3"/>
  <c r="J59" i="3"/>
  <c r="J57" i="3"/>
  <c r="J56" i="3"/>
  <c r="J55" i="3"/>
  <c r="J51" i="3"/>
  <c r="J50" i="3"/>
  <c r="J49" i="3"/>
  <c r="F90" i="3"/>
  <c r="F89" i="3"/>
  <c r="F105" i="3"/>
  <c r="F104" i="3"/>
  <c r="F103" i="3"/>
  <c r="F102" i="3"/>
  <c r="F101" i="3"/>
  <c r="F98" i="3"/>
  <c r="F97" i="3"/>
  <c r="F96" i="3"/>
  <c r="F95" i="3"/>
  <c r="F94" i="3"/>
  <c r="F93" i="3"/>
  <c r="F86" i="3"/>
  <c r="F85" i="3"/>
  <c r="F82" i="3"/>
  <c r="F81" i="3"/>
  <c r="F80" i="3"/>
  <c r="F77" i="3"/>
  <c r="F76" i="3"/>
  <c r="F75" i="3"/>
  <c r="F74" i="3"/>
  <c r="F73" i="3"/>
  <c r="F72" i="3"/>
  <c r="F71" i="3"/>
  <c r="F70" i="3"/>
  <c r="F69" i="3"/>
  <c r="F68" i="3"/>
  <c r="F65" i="3"/>
  <c r="F64" i="3"/>
  <c r="F63" i="3"/>
  <c r="F62" i="3"/>
  <c r="F61" i="3"/>
  <c r="F60" i="3"/>
  <c r="F59" i="3"/>
  <c r="F58" i="3"/>
  <c r="F57" i="3"/>
  <c r="F54" i="3"/>
  <c r="F53" i="3"/>
  <c r="F50" i="3"/>
  <c r="C79" i="3"/>
  <c r="C66" i="3"/>
  <c r="C48" i="3"/>
  <c r="J17" i="14" l="1"/>
  <c r="I17" i="14"/>
  <c r="H17" i="14"/>
  <c r="G17" i="14"/>
  <c r="F17" i="14"/>
  <c r="D17" i="14"/>
  <c r="C17" i="14"/>
  <c r="B17" i="14"/>
  <c r="F2" i="14"/>
  <c r="D2" i="14" l="1"/>
  <c r="B118" i="2" l="1"/>
  <c r="B117" i="2"/>
  <c r="B116" i="2"/>
  <c r="B115" i="2"/>
  <c r="J109" i="2"/>
  <c r="J108" i="2"/>
  <c r="J107" i="2"/>
  <c r="J106" i="2"/>
  <c r="J105" i="2"/>
  <c r="J104" i="2"/>
  <c r="J103" i="2"/>
  <c r="J102" i="2"/>
  <c r="J101" i="2"/>
  <c r="J100" i="2"/>
  <c r="J96" i="2"/>
  <c r="J95" i="2"/>
  <c r="J94" i="2"/>
  <c r="J93" i="2"/>
  <c r="J92" i="2"/>
  <c r="J88" i="2"/>
  <c r="J87" i="2"/>
  <c r="J86" i="2"/>
  <c r="J85" i="2"/>
  <c r="J84" i="2"/>
  <c r="J83" i="2"/>
  <c r="J79" i="2"/>
  <c r="J78" i="2"/>
  <c r="J74" i="2"/>
  <c r="J73" i="2"/>
  <c r="J72" i="2"/>
  <c r="J71" i="2"/>
  <c r="J70" i="2"/>
  <c r="J69" i="2"/>
  <c r="J68" i="2"/>
  <c r="J67" i="2"/>
  <c r="J66" i="2"/>
  <c r="J65" i="2"/>
  <c r="J64" i="2"/>
  <c r="J63" i="2"/>
  <c r="J61" i="2"/>
  <c r="J60" i="2"/>
  <c r="J59" i="2"/>
  <c r="J55" i="2"/>
  <c r="J54" i="2"/>
  <c r="J53" i="2"/>
  <c r="F109" i="2"/>
  <c r="F108" i="2"/>
  <c r="F107" i="2"/>
  <c r="F106" i="2"/>
  <c r="F105" i="2"/>
  <c r="F102" i="2"/>
  <c r="F101" i="2"/>
  <c r="F100" i="2"/>
  <c r="F99" i="2"/>
  <c r="F98" i="2"/>
  <c r="F97" i="2"/>
  <c r="F94" i="2"/>
  <c r="F93" i="2"/>
  <c r="F90" i="2"/>
  <c r="F89" i="2"/>
  <c r="F86" i="2"/>
  <c r="F85" i="2"/>
  <c r="F84" i="2"/>
  <c r="C83" i="2"/>
  <c r="F81" i="2"/>
  <c r="F80" i="2"/>
  <c r="F79" i="2"/>
  <c r="F78" i="2"/>
  <c r="F77" i="2"/>
  <c r="F76" i="2"/>
  <c r="F75" i="2"/>
  <c r="F74" i="2"/>
  <c r="F73" i="2"/>
  <c r="F72" i="2"/>
  <c r="F69" i="2"/>
  <c r="F68" i="2"/>
  <c r="F67" i="2"/>
  <c r="F66" i="2"/>
  <c r="F65" i="2"/>
  <c r="F64" i="2"/>
  <c r="F63" i="2"/>
  <c r="F62" i="2"/>
  <c r="F61" i="2"/>
  <c r="F58" i="2"/>
  <c r="F57" i="2"/>
  <c r="F54" i="2" l="1"/>
  <c r="C52" i="2" l="1"/>
  <c r="B115" i="3" l="1"/>
  <c r="C70" i="2"/>
  <c r="B119" i="2"/>
  <c r="O81" i="15"/>
  <c r="O77" i="15"/>
  <c r="O76" i="15"/>
  <c r="O75" i="15"/>
  <c r="O74" i="15"/>
  <c r="O73" i="15"/>
  <c r="O72" i="15"/>
  <c r="O71" i="15"/>
  <c r="O70" i="15"/>
  <c r="O69" i="15"/>
  <c r="O68" i="15"/>
  <c r="O64" i="15"/>
  <c r="O63" i="15"/>
  <c r="O62" i="15"/>
  <c r="O61" i="15"/>
  <c r="O60" i="15"/>
  <c r="O56" i="15"/>
  <c r="O55" i="15"/>
  <c r="O51" i="15"/>
  <c r="O50" i="15"/>
  <c r="O49" i="15"/>
  <c r="O45" i="15"/>
  <c r="O44" i="15"/>
  <c r="O43" i="15"/>
  <c r="O42" i="15"/>
  <c r="O41" i="15"/>
  <c r="O40" i="15"/>
  <c r="O39" i="15"/>
  <c r="O38" i="15"/>
  <c r="O37" i="15"/>
  <c r="O36" i="15"/>
  <c r="O35" i="15"/>
  <c r="O34" i="15"/>
  <c r="O30" i="15"/>
  <c r="O29" i="15"/>
  <c r="O28" i="15"/>
  <c r="O24" i="15"/>
  <c r="O23" i="15"/>
  <c r="O22" i="15"/>
  <c r="O21" i="15"/>
  <c r="O20" i="15"/>
  <c r="O19" i="15"/>
  <c r="O18" i="15"/>
  <c r="O17" i="15"/>
  <c r="O16" i="15"/>
  <c r="O15" i="15"/>
  <c r="O11" i="15"/>
  <c r="O10" i="15"/>
  <c r="O9" i="15"/>
  <c r="O8" i="15"/>
  <c r="O7" i="15"/>
  <c r="O6" i="15"/>
  <c r="O5" i="15"/>
  <c r="O4" i="15"/>
  <c r="O3" i="15"/>
  <c r="A3" i="1"/>
  <c r="A4" i="1" s="1"/>
  <c r="A5" i="1" s="1"/>
  <c r="A6" i="1" s="1"/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l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l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l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l="1"/>
  <c r="A244" i="1" s="1"/>
  <c r="A245" i="1" s="1"/>
  <c r="A246" i="1" s="1"/>
  <c r="A247" i="1" s="1"/>
  <c r="A248" i="1" s="1"/>
  <c r="A249" i="1" s="1"/>
  <c r="A250" i="1" s="1"/>
  <c r="A251" i="1" s="1"/>
  <c r="A252" i="1" s="1"/>
  <c r="A253" i="1" l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7" i="1" l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446" i="1"/>
</calcChain>
</file>

<file path=xl/comments1.xml><?xml version="1.0" encoding="utf-8"?>
<comments xmlns="http://schemas.openxmlformats.org/spreadsheetml/2006/main">
  <authors>
    <author>ALONSO!</author>
  </authors>
  <commentList>
    <comment ref="C49" authorId="0">
      <text>
        <r>
          <rPr>
            <b/>
            <sz val="9"/>
            <color indexed="81"/>
            <rFont val="Tahoma"/>
            <family val="2"/>
          </rPr>
          <t>ALONSO!:</t>
        </r>
        <r>
          <rPr>
            <sz val="9"/>
            <color indexed="81"/>
            <rFont val="Tahoma"/>
            <family val="2"/>
          </rPr>
          <t xml:space="preserve">
Penalización Cushman</t>
        </r>
      </text>
    </comment>
  </commentList>
</comments>
</file>

<file path=xl/sharedStrings.xml><?xml version="1.0" encoding="utf-8"?>
<sst xmlns="http://schemas.openxmlformats.org/spreadsheetml/2006/main" count="12149" uniqueCount="2780">
  <si>
    <t>Folio sistema</t>
  </si>
  <si>
    <t>Folio interno</t>
  </si>
  <si>
    <t>Fecha</t>
  </si>
  <si>
    <t>Nombre</t>
  </si>
  <si>
    <t>Tel</t>
  </si>
  <si>
    <t>Dirección</t>
  </si>
  <si>
    <t>Origen</t>
  </si>
  <si>
    <t>Ventas</t>
  </si>
  <si>
    <t>Monto</t>
  </si>
  <si>
    <t>Servicio</t>
  </si>
  <si>
    <t>Comentarios con llamada posterior a venta</t>
  </si>
  <si>
    <t>90 Dias</t>
  </si>
  <si>
    <t>6 Meses</t>
  </si>
  <si>
    <t>1 Año</t>
  </si>
  <si>
    <t>1/23</t>
  </si>
  <si>
    <t>2/23</t>
  </si>
  <si>
    <t>3/23</t>
  </si>
  <si>
    <t>4/23</t>
  </si>
  <si>
    <t>5/23</t>
  </si>
  <si>
    <t>6/23</t>
  </si>
  <si>
    <t>7/23</t>
  </si>
  <si>
    <t>8/23</t>
  </si>
  <si>
    <t>Tipo</t>
  </si>
  <si>
    <t>Mes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</si>
  <si>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</si>
  <si>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</si>
  <si>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</si>
  <si>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</si>
  <si>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</si>
  <si>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</si>
  <si>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</si>
  <si>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</si>
  <si>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</si>
  <si>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</si>
  <si>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</si>
  <si>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</si>
  <si>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</t>
  </si>
  <si>
    <t>Venta mensual bruta</t>
  </si>
  <si>
    <t>Gastos</t>
  </si>
  <si>
    <t>Ganancia</t>
  </si>
  <si>
    <t>Venta diaria</t>
  </si>
  <si>
    <t>Venta promedio</t>
  </si>
  <si>
    <t>No. Servicios</t>
  </si>
  <si>
    <t>% Cliente Res</t>
  </si>
  <si>
    <t>Satisfacción</t>
  </si>
  <si>
    <t>% Rep</t>
  </si>
  <si>
    <t>Mueble</t>
  </si>
  <si>
    <t>Paquete</t>
  </si>
  <si>
    <t>Tipo de mueble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</si>
  <si>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</si>
  <si>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</si>
  <si>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</si>
  <si>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</si>
  <si>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</si>
  <si>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</si>
  <si>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</si>
  <si>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</si>
  <si>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</si>
  <si>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</si>
  <si>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</si>
  <si>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</si>
  <si>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Alfombra</t>
  </si>
  <si>
    <t>Tapete</t>
  </si>
  <si>
    <t>Sala</t>
  </si>
  <si>
    <t>Sala piel</t>
  </si>
  <si>
    <t>Sillas</t>
  </si>
  <si>
    <t>Autos</t>
  </si>
  <si>
    <t>Colchones</t>
  </si>
  <si>
    <t>Futón</t>
  </si>
  <si>
    <t>Otro</t>
  </si>
  <si>
    <t>Tipo de servicio</t>
  </si>
  <si>
    <t>Senc</t>
  </si>
  <si>
    <t>Eco</t>
  </si>
  <si>
    <t>Prot</t>
  </si>
  <si>
    <t>Prem</t>
  </si>
  <si>
    <t>Healty</t>
  </si>
  <si>
    <t>Protex</t>
  </si>
  <si>
    <t>Aspirado</t>
  </si>
  <si>
    <t>Extracción</t>
  </si>
  <si>
    <t>Piel</t>
  </si>
  <si>
    <t>PURT</t>
  </si>
  <si>
    <t xml:space="preserve"> </t>
  </si>
  <si>
    <t>Tipo de sala</t>
  </si>
  <si>
    <t>Todo fijo</t>
  </si>
  <si>
    <t>A o R removible</t>
  </si>
  <si>
    <t>Todo Removible</t>
  </si>
  <si>
    <t>Plazas</t>
  </si>
  <si>
    <t>1 Plaza</t>
  </si>
  <si>
    <t>2 Plazas</t>
  </si>
  <si>
    <t>3 Plazas</t>
  </si>
  <si>
    <t>4 Plazas</t>
  </si>
  <si>
    <t>5 Plazas</t>
  </si>
  <si>
    <t>6 Plazas</t>
  </si>
  <si>
    <t>7 Plazas</t>
  </si>
  <si>
    <t>8 Plazas</t>
  </si>
  <si>
    <t>9 Plazas</t>
  </si>
  <si>
    <t>10 Plazas</t>
  </si>
  <si>
    <t>11 Plazas</t>
  </si>
  <si>
    <t>12 Plazas</t>
  </si>
  <si>
    <t>Lana</t>
  </si>
  <si>
    <t>Sintético</t>
  </si>
  <si>
    <t>Seda</t>
  </si>
  <si>
    <t>Asiento</t>
  </si>
  <si>
    <t>Asiento y respaldo</t>
  </si>
  <si>
    <t>Cuna</t>
  </si>
  <si>
    <t>Ind</t>
  </si>
  <si>
    <t>Mat</t>
  </si>
  <si>
    <t>QS</t>
  </si>
  <si>
    <t>KS</t>
  </si>
  <si>
    <t>Taburete</t>
  </si>
  <si>
    <t>Cabecera</t>
  </si>
  <si>
    <t>Carriola y porta bebé</t>
  </si>
  <si>
    <t>Piso</t>
  </si>
  <si>
    <t>Cojines</t>
  </si>
  <si>
    <t>Banca</t>
  </si>
  <si>
    <t>Banco</t>
  </si>
  <si>
    <t>Reposet</t>
  </si>
  <si>
    <t>Colchón interno</t>
  </si>
  <si>
    <t>Torre de gatos</t>
  </si>
  <si>
    <t>Tipo de venta</t>
  </si>
  <si>
    <t>num de Serv</t>
  </si>
  <si>
    <t>Internet</t>
  </si>
  <si>
    <t>Recomendación</t>
  </si>
  <si>
    <t>Folletos</t>
  </si>
  <si>
    <t>Vendedores</t>
  </si>
  <si>
    <t>Repetición</t>
  </si>
  <si>
    <t>Venta total</t>
  </si>
  <si>
    <t>Venta de internet</t>
  </si>
  <si>
    <t>Pago de Internet</t>
  </si>
  <si>
    <t>Relación gasto / Venta</t>
  </si>
  <si>
    <t>Promedios</t>
  </si>
  <si>
    <t>Total vendido</t>
  </si>
  <si>
    <t>Venta</t>
  </si>
  <si>
    <t>servicio</t>
  </si>
  <si>
    <t>Dias del mes laborales</t>
  </si>
  <si>
    <t>venta diaria</t>
  </si>
  <si>
    <t>Total de servicios</t>
  </si>
  <si>
    <t>Tipo de cliente</t>
  </si>
  <si>
    <t>Servicios Res</t>
  </si>
  <si>
    <t>Res</t>
  </si>
  <si>
    <t>Servicios Com</t>
  </si>
  <si>
    <t>Com</t>
  </si>
  <si>
    <t>Sala tela</t>
  </si>
  <si>
    <t>todo fijo</t>
  </si>
  <si>
    <t>Tipo de mueble:</t>
  </si>
  <si>
    <t>Resaldo o asiento removible</t>
  </si>
  <si>
    <t>Todo removible</t>
  </si>
  <si>
    <t>Sala 1 p</t>
  </si>
  <si>
    <t>Sala 2 p</t>
  </si>
  <si>
    <t>Sala 3 p</t>
  </si>
  <si>
    <t>Sala 4 p</t>
  </si>
  <si>
    <t>Sala 5 p</t>
  </si>
  <si>
    <t>Sala 6 p</t>
  </si>
  <si>
    <t>Sala 7 p</t>
  </si>
  <si>
    <t>Total de muebles</t>
  </si>
  <si>
    <t>Sala 8 p</t>
  </si>
  <si>
    <t>Sala 9 p</t>
  </si>
  <si>
    <t>Tipo de servicio:</t>
  </si>
  <si>
    <t>Sala 10 p</t>
  </si>
  <si>
    <t>Sala 11 p</t>
  </si>
  <si>
    <t>Sala 12 p</t>
  </si>
  <si>
    <t>Sólo asiento</t>
  </si>
  <si>
    <t>Autos tela</t>
  </si>
  <si>
    <t>Total de servicios:</t>
  </si>
  <si>
    <t>Chico</t>
  </si>
  <si>
    <t>Satisfechos</t>
  </si>
  <si>
    <t>Mediano</t>
  </si>
  <si>
    <t>Clientes satisfechos</t>
  </si>
  <si>
    <t>Insatisfechos</t>
  </si>
  <si>
    <t>Grande</t>
  </si>
  <si>
    <t>Clientes insatisfechos</t>
  </si>
  <si>
    <t>Sin Respuesta</t>
  </si>
  <si>
    <t>Camioneta</t>
  </si>
  <si>
    <t>Clientes sin respuesta</t>
  </si>
  <si>
    <t>Pick up</t>
  </si>
  <si>
    <t>Pick up doble cabina</t>
  </si>
  <si>
    <t>1a vez</t>
  </si>
  <si>
    <t>1a Vez</t>
  </si>
  <si>
    <t>Repite</t>
  </si>
  <si>
    <t>Tipo de Repetición</t>
  </si>
  <si>
    <t>Entrada</t>
  </si>
  <si>
    <t>Salida</t>
  </si>
  <si>
    <t>Tipo de publicidad</t>
  </si>
  <si>
    <t>Publicidad</t>
  </si>
  <si>
    <t>Municipio</t>
  </si>
  <si>
    <t>Total de Municipios</t>
  </si>
  <si>
    <t>Zapopan</t>
  </si>
  <si>
    <t>Guadalajara</t>
  </si>
  <si>
    <t>Tlaquepaque</t>
  </si>
  <si>
    <t>Tlajomulco</t>
  </si>
  <si>
    <t>Tonalá</t>
  </si>
  <si>
    <t>El Salto</t>
  </si>
  <si>
    <t>Rep</t>
  </si>
  <si>
    <t>Rec</t>
  </si>
  <si>
    <t>Valeria González</t>
  </si>
  <si>
    <t>33-1347-2094</t>
  </si>
  <si>
    <t>Jardín Real Coto 10 Ruiseñor #165 Zapopan</t>
  </si>
  <si>
    <t>Int</t>
  </si>
  <si>
    <t>Sala 6 p t f, Colchón KS, Sillas a y r Senc</t>
  </si>
  <si>
    <t>Reclamó que el colchón no se quitó, se le avisó que estaba muy mal</t>
  </si>
  <si>
    <t>Andrea Venegas</t>
  </si>
  <si>
    <t>33-1453-9059</t>
  </si>
  <si>
    <t>Río Bco #1511 Int 271 Col. Tesitán Zapopan</t>
  </si>
  <si>
    <t>Sala 6 p r r, Sillas a y r, Banca Senc</t>
  </si>
  <si>
    <t>Quedaron muy bien</t>
  </si>
  <si>
    <t>Rosa Ofelia Vargas</t>
  </si>
  <si>
    <t>33-1223-0096</t>
  </si>
  <si>
    <t>Nicolás Romero #1565 Col. Chapultepec Country Zapopan</t>
  </si>
  <si>
    <t>Sala 6 p r r,Banco, 2 futones Senc</t>
  </si>
  <si>
    <t>Socorro González</t>
  </si>
  <si>
    <t>33-1105-3942</t>
  </si>
  <si>
    <t>Av San Juan Bosco #918 Col Lomas de Sn Gonzalo, Zapopan</t>
  </si>
  <si>
    <t>Sala 2 p t r, 2 sala 1 p t f, Senc</t>
  </si>
  <si>
    <t>Se manda WA, muy satisfecha, llamará para mas lavados</t>
  </si>
  <si>
    <t>Isela Ayala</t>
  </si>
  <si>
    <t>33-3115-1836</t>
  </si>
  <si>
    <t>Paseo de los Lagos #79 Zapopan</t>
  </si>
  <si>
    <t>Sala 5 p t f, 3 Sala 1 p t f Prot</t>
  </si>
  <si>
    <t>Se manda WA, aún no seca la sala</t>
  </si>
  <si>
    <t>Se manda WA, no contesta</t>
  </si>
  <si>
    <t>Carmen Rojas</t>
  </si>
  <si>
    <t>98-4116-3531</t>
  </si>
  <si>
    <t>Clz Central #1145 Int 14 Col Cd Granja Zapopan</t>
  </si>
  <si>
    <t>Colchón Ind Prem, PURT</t>
  </si>
  <si>
    <t>Lucy Pérez / Grupo Vector</t>
  </si>
  <si>
    <t>33-3448-9262</t>
  </si>
  <si>
    <t>Av Gpe #4059 Col. Cd de los Niños, Zapopan</t>
  </si>
  <si>
    <t>Alfombra, Eco</t>
  </si>
  <si>
    <t>Se manda WA, seguía húmedo</t>
  </si>
  <si>
    <t>Isela Mojica / Sepeak Communications</t>
  </si>
  <si>
    <t>33-1985-9716</t>
  </si>
  <si>
    <t>Torre Celtis Piso 9 Av Real Acueducto #240 Zapopan</t>
  </si>
  <si>
    <t>Sillas Prot</t>
  </si>
  <si>
    <t>Se manda WA, muy bien, muy satisfecho</t>
  </si>
  <si>
    <t>9/23</t>
  </si>
  <si>
    <t>10/23</t>
  </si>
  <si>
    <t>11/23</t>
  </si>
  <si>
    <t>12/23</t>
  </si>
  <si>
    <t>13/23</t>
  </si>
  <si>
    <t>14/23</t>
  </si>
  <si>
    <t>15/23</t>
  </si>
  <si>
    <t>16/23</t>
  </si>
  <si>
    <t>17/23</t>
  </si>
  <si>
    <t>18/23</t>
  </si>
  <si>
    <t>19/23</t>
  </si>
  <si>
    <t>20/23</t>
  </si>
  <si>
    <t>21/23</t>
  </si>
  <si>
    <t>22/23</t>
  </si>
  <si>
    <t>23/23</t>
  </si>
  <si>
    <t>Julia De León</t>
  </si>
  <si>
    <t>33-1486-5161</t>
  </si>
  <si>
    <t>Calle Cepillo #1259-A Esq Calle Tolva Sector 3 Col El parque Alamo Industrial, Gdl</t>
  </si>
  <si>
    <t>Colchón KS, Healty, PURT</t>
  </si>
  <si>
    <t>Andrea Martínez / Paulina</t>
  </si>
  <si>
    <t>33-3159-1408</t>
  </si>
  <si>
    <t>Av Gral Ramón Corona #1100 Int Lt 27 F Col Valle Real Zapopan</t>
  </si>
  <si>
    <t>Sala 7 p a r, Tapete de viscosa, Healty PURT</t>
  </si>
  <si>
    <t>Se manda WA, muy bien, se le quitó el olor, y las manchas disminuyeron bastante</t>
  </si>
  <si>
    <t>Yared Cortés</t>
  </si>
  <si>
    <t>33-1067-8619</t>
  </si>
  <si>
    <t>Pablo Valdéz #3811 Int G 5 Col. San Joaquín, Gdl</t>
  </si>
  <si>
    <t>Sala 3 p t f, Colchón Mat, Senc</t>
  </si>
  <si>
    <t>Sra. Zaragoza</t>
  </si>
  <si>
    <t>33-3156-8365</t>
  </si>
  <si>
    <t>Av Ramón Corona #300 Coto Los Naranjos Int D-19, Tlajo</t>
  </si>
  <si>
    <t>Sala 6 p t f, 3 tapetes sint Senc</t>
  </si>
  <si>
    <t>Se manda WA, muy bien, le gustó mucho</t>
  </si>
  <si>
    <t>Se manda WA, todo súper bien</t>
  </si>
  <si>
    <t>Mauricio Servín</t>
  </si>
  <si>
    <t>33-3809-2272</t>
  </si>
  <si>
    <t>Paseo de los Virreyes #4038 Col. Sn Wenseslao Zapopan</t>
  </si>
  <si>
    <t>2 Reposet Prem</t>
  </si>
  <si>
    <t>Carlos Carrillo</t>
  </si>
  <si>
    <t>33-2595-5879</t>
  </si>
  <si>
    <t>Fermín Riestra #133 Int 7 Zapopan</t>
  </si>
  <si>
    <t>6 cojines Healty</t>
  </si>
  <si>
    <t>Karen Daniela Romo Padilla</t>
  </si>
  <si>
    <t>33-1452-9056</t>
  </si>
  <si>
    <t>Camino Real a Zapopan #50 Coto Munah Smart Life Casa 72, Solares, Zapopan</t>
  </si>
  <si>
    <t>Interior camioneta Healty</t>
  </si>
  <si>
    <t>Guillermo González</t>
  </si>
  <si>
    <t>33-1379-3227</t>
  </si>
  <si>
    <t>Circ Madrigal #1929 Col. Colinas de San Javier, Zapopan</t>
  </si>
  <si>
    <t>3 tapetes sint, 1 tapete lana, Eco</t>
  </si>
  <si>
    <t>Le gustó mucho, repetirá en febrero</t>
  </si>
  <si>
    <t>Se manda WA, les encantó</t>
  </si>
  <si>
    <t>Se manda WA, muy agusto</t>
  </si>
  <si>
    <t>33-1691-8111</t>
  </si>
  <si>
    <t>Joaquín Herrera #779 Col Lomas del Paradero, Tlaque</t>
  </si>
  <si>
    <t>Angélica Ruiz Zapien</t>
  </si>
  <si>
    <t>tapete sint Healty</t>
  </si>
  <si>
    <t>Quedó con aroma a humedad, pero le gustó</t>
  </si>
  <si>
    <t>Mundo Empresarial / Brenda Rojas</t>
  </si>
  <si>
    <t>33-3904-2076</t>
  </si>
  <si>
    <t>Reforma #877 Col Capilla de Jesús, Gdl</t>
  </si>
  <si>
    <t>Alfombra Senc</t>
  </si>
  <si>
    <t>Jessica Marín</t>
  </si>
  <si>
    <t>33-2029-1194</t>
  </si>
  <si>
    <t>Paseo Solares #1633 Casa 17 Fracc Fontee, Zapopan</t>
  </si>
  <si>
    <t>Sala 6 p t f, Sillas a y r, Tapete sint, Senc</t>
  </si>
  <si>
    <t>Se manda WA, quedó muy bien</t>
  </si>
  <si>
    <t>Nancy Lorena Zermeño García</t>
  </si>
  <si>
    <t>44-4214-5237</t>
  </si>
  <si>
    <t>Felipe Angeles #1326 Col. Popular, Gdl</t>
  </si>
  <si>
    <t>Colchón Mat Healty</t>
  </si>
  <si>
    <t>Le gustó mucho</t>
  </si>
  <si>
    <t>Araceli Ramos / Sandra Guerrero / Recal Industrial</t>
  </si>
  <si>
    <t>33-1410-3654</t>
  </si>
  <si>
    <t>Torre Vista Acueducto Av Acueducto #2100 P 12 zapopan</t>
  </si>
  <si>
    <t>Alfombra Eco</t>
  </si>
  <si>
    <t>Quedó muy bien</t>
  </si>
  <si>
    <t>Marcela Valencia / Salvador Tellez</t>
  </si>
  <si>
    <t>33-3280-1602</t>
  </si>
  <si>
    <t>Américas # 2000 Int 806 Zapopan</t>
  </si>
  <si>
    <t>2 tapetes de lana, tapete sint, Prot</t>
  </si>
  <si>
    <t>No contesta</t>
  </si>
  <si>
    <t>Se manda WA, todo quedó muy bien, muy satisfechos</t>
  </si>
  <si>
    <t>33-1804-7140</t>
  </si>
  <si>
    <t>Nora Alicia Gómez</t>
  </si>
  <si>
    <t>Paseo de los lagos #159 Col. Las Cañadas, Zapopan</t>
  </si>
  <si>
    <t>Sala 8 p r r, Silla s a, banco, 2 cama inferior, Senc</t>
  </si>
  <si>
    <t>24/23</t>
  </si>
  <si>
    <t>25/23</t>
  </si>
  <si>
    <t>26/23</t>
  </si>
  <si>
    <t>27/23</t>
  </si>
  <si>
    <t>28/23</t>
  </si>
  <si>
    <t>29/23</t>
  </si>
  <si>
    <t>30/23</t>
  </si>
  <si>
    <t>31/23</t>
  </si>
  <si>
    <t>32/23</t>
  </si>
  <si>
    <t>33/23</t>
  </si>
  <si>
    <t>34/23</t>
  </si>
  <si>
    <t>35/23</t>
  </si>
  <si>
    <t>Griselda limón Peña</t>
  </si>
  <si>
    <t>33-2851-4294</t>
  </si>
  <si>
    <t>Av Vista Real #3045 Int A-3 2a Secc Buga Zapopan</t>
  </si>
  <si>
    <t>Colchón Mat, Colchón KS, Camita de perro, Senc PURT</t>
  </si>
  <si>
    <t>Se manda WA</t>
  </si>
  <si>
    <t>Repite, se manda WA, no contesta</t>
  </si>
  <si>
    <t>Yedith Castillo</t>
  </si>
  <si>
    <t>33-1402-0216</t>
  </si>
  <si>
    <t>Leona Vicario #2309 Zapopan</t>
  </si>
  <si>
    <t>Sala 4 p t f, Eco, PURT</t>
  </si>
  <si>
    <t>Víctor Carrillo</t>
  </si>
  <si>
    <t>33-1122-4670</t>
  </si>
  <si>
    <t>Av Hidalgo #1830-12 A Col Ladrón de Guevara Gdl</t>
  </si>
  <si>
    <t>Sala 5 p a r, Sillas a y r, Tapete sint Senc</t>
  </si>
  <si>
    <t>Estuvo bien</t>
  </si>
  <si>
    <t>Se manda WA, todo bien</t>
  </si>
  <si>
    <t>Se manda WA, todo muy bien</t>
  </si>
  <si>
    <t>Yessica Guadalupe</t>
  </si>
  <si>
    <t>33-2758-9896</t>
  </si>
  <si>
    <t>Paseo de los Tilos #3296 Col Tabachines, Zapopan</t>
  </si>
  <si>
    <t>Colchón Mat, Prem</t>
  </si>
  <si>
    <t>No se ha fijado</t>
  </si>
  <si>
    <t>Andrés Daniel Jiménez Castillo</t>
  </si>
  <si>
    <t>33-2013-0222</t>
  </si>
  <si>
    <t>Araucarias #214 Int 11 Col Camichines Res, 1a Secc Tlaq</t>
  </si>
  <si>
    <t>Futón Eco, PURT</t>
  </si>
  <si>
    <t>Excelente, muy bueno</t>
  </si>
  <si>
    <t>Camila Gómez</t>
  </si>
  <si>
    <t>33-1176-7817</t>
  </si>
  <si>
    <t>Circ Madrigal #1675 Col. Colinas de Sn Javier, Zapopan</t>
  </si>
  <si>
    <t>Tapete de lana, tapete sint, Senc</t>
  </si>
  <si>
    <t>Carlos Duarte Pérez</t>
  </si>
  <si>
    <t>33-3197-7058</t>
  </si>
  <si>
    <t>Giovanni papinini #251 Col Vallarta, Zapopan</t>
  </si>
  <si>
    <t>Sala 3 p a r, Sala 4 p t f, Sillas a y r, 2 tapetes sint, tepate viscosa Prem</t>
  </si>
  <si>
    <t>Diana González Pacheco</t>
  </si>
  <si>
    <t>33-2263-2075</t>
  </si>
  <si>
    <t>Franz Schubert #5505 Col. La Estancia, Zapopan</t>
  </si>
  <si>
    <t>Tapete sint Healty</t>
  </si>
  <si>
    <t>Le encantó, repetirá</t>
  </si>
  <si>
    <t>Arturo de la Rosa</t>
  </si>
  <si>
    <t>33-3148-3174</t>
  </si>
  <si>
    <t>Cobre #4352 Col. Lomas de la Victoria, Tlaque</t>
  </si>
  <si>
    <t>Sala 3 p t f, Reposet, Coj, Prem</t>
  </si>
  <si>
    <t>Erick Couttolenc</t>
  </si>
  <si>
    <t>33-1268-0120</t>
  </si>
  <si>
    <t>Coto Imperio Maya # 150 Valle Imperial, Zapopan</t>
  </si>
  <si>
    <t>Amigo</t>
  </si>
  <si>
    <t>tapete sint Prem</t>
  </si>
  <si>
    <t>Sergio González</t>
  </si>
  <si>
    <t>33-3389-2666</t>
  </si>
  <si>
    <t>La Cima Coto B Casa 85 Zapopan</t>
  </si>
  <si>
    <t>2 Tapetes sint Prem</t>
  </si>
  <si>
    <t>Ana Teresa Franco</t>
  </si>
  <si>
    <t>33-3814-5324</t>
  </si>
  <si>
    <t>Calle Mar Mármara #2036 Col Country, Gdl</t>
  </si>
  <si>
    <t>Quedó súoer limpia</t>
  </si>
  <si>
    <t>36/23</t>
  </si>
  <si>
    <t>37/23</t>
  </si>
  <si>
    <t>38/23</t>
  </si>
  <si>
    <t>39/23</t>
  </si>
  <si>
    <t>40/23</t>
  </si>
  <si>
    <t>Colchón Ind Senc, PURT</t>
  </si>
  <si>
    <t>Se manda WA, todo muy bien, como siempre</t>
  </si>
  <si>
    <t>Se manda WA, quedó con un poco de olor, se regresara a poner PURT</t>
  </si>
  <si>
    <t>Ximena Ojeda</t>
  </si>
  <si>
    <t>33-3968-8428</t>
  </si>
  <si>
    <t>Paseo Lomas Altas #42 Col Lomas del Valle, Zapopan</t>
  </si>
  <si>
    <t>2 tapete de lana, sala 4 p t r, Sala 3 p t f, Sala 2 p t r, Prem, Sala 5 p t f piel</t>
  </si>
  <si>
    <t>tapete viscosa, Perm</t>
  </si>
  <si>
    <t>Diana Guerrero</t>
  </si>
  <si>
    <t>33-3418-7336</t>
  </si>
  <si>
    <t>Hacienda el cabezón #1734 Col. Circunvalación oblatos, Gdl</t>
  </si>
  <si>
    <t>Colchón KS, Eco</t>
  </si>
  <si>
    <t>Tapete sint, Senc</t>
  </si>
  <si>
    <t>Gdl</t>
  </si>
  <si>
    <t>Tlaque</t>
  </si>
  <si>
    <t>41/23</t>
  </si>
  <si>
    <t>42/23</t>
  </si>
  <si>
    <t>43/23</t>
  </si>
  <si>
    <t>44/23</t>
  </si>
  <si>
    <t>45/23</t>
  </si>
  <si>
    <t>46/23</t>
  </si>
  <si>
    <t>47/23</t>
  </si>
  <si>
    <t>48/23</t>
  </si>
  <si>
    <t>49/23</t>
  </si>
  <si>
    <t>50/23</t>
  </si>
  <si>
    <t>51/23</t>
  </si>
  <si>
    <t>52/23</t>
  </si>
  <si>
    <t>53/23</t>
  </si>
  <si>
    <t>54/23</t>
  </si>
  <si>
    <t>55/23</t>
  </si>
  <si>
    <t>33-3105-9122</t>
  </si>
  <si>
    <t>Yolanda Molina Soria / René</t>
  </si>
  <si>
    <t>Prol Paloma #74 Col. Glez Ortega Zapopan</t>
  </si>
  <si>
    <t>Sala 6 p t f, Prem</t>
  </si>
  <si>
    <t>Raúl llamará</t>
  </si>
  <si>
    <t>Ángeles Romo</t>
  </si>
  <si>
    <t>33-1323-0416</t>
  </si>
  <si>
    <t>Calle Isla Antigua #3459, Gdl</t>
  </si>
  <si>
    <t>Franquicia</t>
  </si>
  <si>
    <t>Ma Jaqueline De La Peña</t>
  </si>
  <si>
    <t>33-1862-0086</t>
  </si>
  <si>
    <t>Mar Rojo #2290-1 Col Country Gdl</t>
  </si>
  <si>
    <t>Tapete sint, Prot</t>
  </si>
  <si>
    <t>Se manda WA, si quedó bien</t>
  </si>
  <si>
    <t>Se manda WA, si le gustó</t>
  </si>
  <si>
    <t>Damaris Aceves</t>
  </si>
  <si>
    <t>33-3952-6676</t>
  </si>
  <si>
    <t>Valle de San Sebastián #2394 Coto Viveros del Valle, col. Jardines del Valle, Zapopan</t>
  </si>
  <si>
    <t>Sala 6 p t f, Banco, Eco</t>
  </si>
  <si>
    <t>Ingrid García de la Rosa</t>
  </si>
  <si>
    <t>33-1699-7710</t>
  </si>
  <si>
    <t>Av Las Lomas #50 Int Coto Estepa 7 Zapopan</t>
  </si>
  <si>
    <t>Sala 5 p a y r, Sala 3 p t f, Tapete sint Senc PURT</t>
  </si>
  <si>
    <t>Ma Jaqueline De la Peña</t>
  </si>
  <si>
    <t>Tapete sint Prot</t>
  </si>
  <si>
    <t>Violeta Haro</t>
  </si>
  <si>
    <t>33-1335-9036</t>
  </si>
  <si>
    <t>Av Universidad #185 Pta del Bosque Int E26 Zapopan</t>
  </si>
  <si>
    <t>Colchón QS, Base de cama KS, Senc, PURT</t>
  </si>
  <si>
    <t>Miriam Hernández</t>
  </si>
  <si>
    <t>33-3197-2542</t>
  </si>
  <si>
    <t>Prol Acueducto #3930 Int Valle de Talpa #14 Misión del Valle II Zapopan</t>
  </si>
  <si>
    <t>Sala 3 p t r, Prot,  Silla a y r Healty</t>
  </si>
  <si>
    <t>Pilar Calderón</t>
  </si>
  <si>
    <t>33-1320-3494</t>
  </si>
  <si>
    <t>Av Acueducto Torre 360 Piso 10 Depto 1001, Zapoopan</t>
  </si>
  <si>
    <t>2 Colchón KS Senc</t>
  </si>
  <si>
    <t>Se manda WA, le gustó mucho</t>
  </si>
  <si>
    <t>Se manda WA, quedaron muy bien</t>
  </si>
  <si>
    <t>Se manda WA, quedaronmuy bien</t>
  </si>
  <si>
    <t>Sala 6 p t f, coj, cama de perro Eco</t>
  </si>
  <si>
    <t>Av Azaleas #885 Int 22 Cond La Joya I, Col. Buga, Zapopan</t>
  </si>
  <si>
    <t>99-9173-1615</t>
  </si>
  <si>
    <t>Cristopher Mendoza</t>
  </si>
  <si>
    <t>Jessica Vargas</t>
  </si>
  <si>
    <t>33-1006-9492</t>
  </si>
  <si>
    <t>Juan Palomar y arias #861 Villa La Cima II Zapopan</t>
  </si>
  <si>
    <t>Tapete de lana, Eco PURT</t>
  </si>
  <si>
    <t>33-1320-3434</t>
  </si>
  <si>
    <t>Base y cabecera Protex</t>
  </si>
  <si>
    <t>Es solo teflón</t>
  </si>
  <si>
    <t>rep</t>
  </si>
  <si>
    <t>Ma de Jesús Ocampo</t>
  </si>
  <si>
    <t>33-1534-7217</t>
  </si>
  <si>
    <t>Av Guadalupe #6877 Casa 103 Coto Gpe, Col Res Pza Gpe Zapopan</t>
  </si>
  <si>
    <t>2 tapete sint, Senc PURT</t>
  </si>
  <si>
    <t>Rosa Gabriela Preciado</t>
  </si>
  <si>
    <t>33-1708-0667</t>
  </si>
  <si>
    <t>Sagitario #5061 Depto 13 Col. La Calma, Zapopan</t>
  </si>
  <si>
    <t>Sala 6 p t f, Senc PURT</t>
  </si>
  <si>
    <t>56/23</t>
  </si>
  <si>
    <t>57/23</t>
  </si>
  <si>
    <t>58/23</t>
  </si>
  <si>
    <t>59/23</t>
  </si>
  <si>
    <t>60/23</t>
  </si>
  <si>
    <t>61/23</t>
  </si>
  <si>
    <t>62/23</t>
  </si>
  <si>
    <t>63/23</t>
  </si>
  <si>
    <t>64/23</t>
  </si>
  <si>
    <t>65/23</t>
  </si>
  <si>
    <t>Brenda Meillón</t>
  </si>
  <si>
    <t>33-3301-0809</t>
  </si>
  <si>
    <t>Coto Granada Int Galavia 127 Col. Nva Galicia, Tlajo</t>
  </si>
  <si>
    <t>Tapete sint, Prem,  Colchón KS, Sillas, Senc</t>
  </si>
  <si>
    <t>Se manda WA, 100% satisfechas</t>
  </si>
  <si>
    <t>Se manda WA, quedaron muy contentos</t>
  </si>
  <si>
    <t>Mario Alberto Martínez Coss</t>
  </si>
  <si>
    <t>33-1517-9765</t>
  </si>
  <si>
    <t>Priv Padre Jorge Villalobos Padilla #3476 Int 23 Col Parques del bosque, Coto Ceiba, Tlaque</t>
  </si>
  <si>
    <t>Sala 5 p t f, Prem, Sillas a y r, Prot</t>
  </si>
  <si>
    <t>Todo muy bien, y muy amables</t>
  </si>
  <si>
    <t>Carlos Pérez</t>
  </si>
  <si>
    <t>75-3168-4173</t>
  </si>
  <si>
    <t>Av Vallarta, Hotel Hard Rock Depto 1405, Zapopan</t>
  </si>
  <si>
    <t>Sala 6 p r r, Colchón KS, Sillas a y r, Base y cabecera, sala 1 p t f, Senc</t>
  </si>
  <si>
    <t>Excelete</t>
  </si>
  <si>
    <t>Cesar Omar González Castillo</t>
  </si>
  <si>
    <t>33-1736-7887</t>
  </si>
  <si>
    <t>Clz Circunvalación Ote #600, Zapopan</t>
  </si>
  <si>
    <t>Tapete sint Prem</t>
  </si>
  <si>
    <t>66/23</t>
  </si>
  <si>
    <t>67/23</t>
  </si>
  <si>
    <t>68/23</t>
  </si>
  <si>
    <t>Daniela Gutiérrez</t>
  </si>
  <si>
    <t>33-3559-1635</t>
  </si>
  <si>
    <t>Milán #2721 Col. Providencia 2a Secc, Zapopan</t>
  </si>
  <si>
    <t>Sala 7 p r r, Sala 3 p r r, Tapete sint, Sillas a y r, Senc, PURT</t>
  </si>
  <si>
    <t>Se manda WA, el servicio ppfesional, y excelente atención</t>
  </si>
  <si>
    <t>Idalis Elianis Pompa Fernández</t>
  </si>
  <si>
    <t>33-2713-5127</t>
  </si>
  <si>
    <t>Av Paseo Nte #3350 Int 38 Coto Antara, Col Natura Bisque Res, Zapoopan</t>
  </si>
  <si>
    <t>Sala 6 p t f, Senc</t>
  </si>
  <si>
    <t>Luis Alberto Reyes</t>
  </si>
  <si>
    <t>64-6185-3430</t>
  </si>
  <si>
    <t>Gregorio Dávila #478 Int 2 Col. Sta Teresita, Gdl</t>
  </si>
  <si>
    <t>Colchón Ind, Prem</t>
  </si>
  <si>
    <t>Semanda WA, quedó excelente</t>
  </si>
  <si>
    <t>Se manda WA, Quedó limpio</t>
  </si>
  <si>
    <t>Daniel Estrada / Extravida</t>
  </si>
  <si>
    <t>33-2244-6274</t>
  </si>
  <si>
    <t>Paseo de las Primaveras #112 Casa 6 Col. Pinar de la Venta Zapopan</t>
  </si>
  <si>
    <t>Tapete de lana Prem</t>
  </si>
  <si>
    <t xml:space="preserve">Todo muy bien </t>
  </si>
  <si>
    <t>Ma de los Angeles Orozco</t>
  </si>
  <si>
    <t>33-2537-4380</t>
  </si>
  <si>
    <t>Tapete sint Haelty</t>
  </si>
  <si>
    <t>Ana Barreto</t>
  </si>
  <si>
    <t>33-1142-2780</t>
  </si>
  <si>
    <t>Valle real Coto Venecia Casa 11, Zapopan</t>
  </si>
  <si>
    <t>Sala 6 p t f, 2 Sala 1 p r r, Sillas a y r Prot</t>
  </si>
  <si>
    <t>Todo muy bien</t>
  </si>
  <si>
    <t>Claudia Corona</t>
  </si>
  <si>
    <t>33-1337-3110</t>
  </si>
  <si>
    <t>Casipoea #3387 Col La Calma Zapopan</t>
  </si>
  <si>
    <t>Sala 2 p t f, Prot,  Tapete sint, Futón, Senc</t>
  </si>
  <si>
    <t>Se manda WA, muy satisfechos</t>
  </si>
  <si>
    <t>Lucy Llanos</t>
  </si>
  <si>
    <t>33-3199-7435</t>
  </si>
  <si>
    <t>Mar Egeo #1442 Int 403 Col. Country, Zapopan</t>
  </si>
  <si>
    <t>Sala 5 p t f, 2 reposet, Torre de gatos, Prot</t>
  </si>
  <si>
    <t>Súper limpios, y muy satisfactorio</t>
  </si>
  <si>
    <t>Michelle Medina</t>
  </si>
  <si>
    <t>33-2362-4577</t>
  </si>
  <si>
    <t>Ganaderos #5149 Col Jardines de Gpe, Zapopan</t>
  </si>
  <si>
    <t>2 tapete de lana, PURT, Sillas a y r Senc</t>
  </si>
  <si>
    <t>Se manda WA, quedaron, bien</t>
  </si>
  <si>
    <t>Ignacio Silva García</t>
  </si>
  <si>
    <t>33-1602-7368</t>
  </si>
  <si>
    <t>Colegio Militar #4352 Int Margaritas 213 Coto Foret 3 col El fortín, Zapopan</t>
  </si>
  <si>
    <t>Tapete sint, Eco PURT</t>
  </si>
  <si>
    <t>Se manda wa</t>
  </si>
  <si>
    <t>Sala 3 p a r, Sala 4 p t f, Sillas a y r, 2 tapetes sint, tapete viscosa Prem</t>
  </si>
  <si>
    <t>69/23</t>
  </si>
  <si>
    <t>70/23</t>
  </si>
  <si>
    <t>71/23</t>
  </si>
  <si>
    <t>72/23</t>
  </si>
  <si>
    <t>73/23</t>
  </si>
  <si>
    <t>74/23</t>
  </si>
  <si>
    <t>75/23</t>
  </si>
  <si>
    <t>76/23</t>
  </si>
  <si>
    <t>77/23</t>
  </si>
  <si>
    <t>78/23</t>
  </si>
  <si>
    <t>79/23</t>
  </si>
  <si>
    <t>Ana Lilia Rosales</t>
  </si>
  <si>
    <t>33-1177-4939</t>
  </si>
  <si>
    <t>Pedro Moreno #174 Int 16 Coto Res Tonalá, Tonalá</t>
  </si>
  <si>
    <t>Sala 5 p t f, Prot, Sillas a y r Senc</t>
  </si>
  <si>
    <t>Se manda WA, muy bien</t>
  </si>
  <si>
    <t>Jorge Leanza</t>
  </si>
  <si>
    <t>33-3100-0485</t>
  </si>
  <si>
    <t>Av Nac unidas #7500 Coto Castellanos Casa 101, Zapopan</t>
  </si>
  <si>
    <t>Alfombra Prot</t>
  </si>
  <si>
    <t>Le pregunatré a Raúl</t>
  </si>
  <si>
    <t>Ramiro Alvarez</t>
  </si>
  <si>
    <t>33-1097-3706</t>
  </si>
  <si>
    <t>Fte Aranzazú #5367 Col Chapalita, Gdl</t>
  </si>
  <si>
    <t>Alfombra Healty, Sillas a y r, Coj Senc</t>
  </si>
  <si>
    <t>Patricia Diaz Bringas</t>
  </si>
  <si>
    <t>33-3662-9188</t>
  </si>
  <si>
    <t>Mar Egeo #1442 Int 1004 Col. Country, Zapopan</t>
  </si>
  <si>
    <t>Tapete de lana, Tapete sint, Prot</t>
  </si>
  <si>
    <t>Av Gral Ramón Corona #2500 Int 100 Col San Acacio Zapopan</t>
  </si>
  <si>
    <t>Sala 3 p r r, Sala 4 p t r, Tapete sint, Sala 2 p t r, Sala 10 p t r, Interior tela camioteta y fila extra, Coj, Eco, PURT</t>
  </si>
  <si>
    <t>Se manda WA, quedó con manchas</t>
  </si>
  <si>
    <t>Futón, Sala 2 p t f,Prot, Sala 9 p r r, Senc</t>
  </si>
  <si>
    <t>Noé Mora Carrillo</t>
  </si>
  <si>
    <t>83-3333-1259</t>
  </si>
  <si>
    <t>Cam Real a Colima #5150  Fracc Alto Horizonte, Edif Alborada Depto 505-D Tlaque</t>
  </si>
  <si>
    <t>Sala1 p t f, 2 reposet, senc</t>
  </si>
  <si>
    <t>Esmeralda Chávez</t>
  </si>
  <si>
    <t>33-2925-0219</t>
  </si>
  <si>
    <t>Blvd Pta de Hierro #5210 Torre Cube Int 8C Pta de Hierro, Zapopan</t>
  </si>
  <si>
    <t>Eduardo Lomelí</t>
  </si>
  <si>
    <t>33-3809-0247</t>
  </si>
  <si>
    <t>Camino Arenero #1052 Bajío Habitat Cond A Casa 28, Zapopan</t>
  </si>
  <si>
    <t>Tapete sint Senc, PURT</t>
  </si>
  <si>
    <t>Se manda &lt;WA</t>
  </si>
  <si>
    <t>Se manda WA, quedó con olor a humedad, se regresará</t>
  </si>
  <si>
    <t>33-4012-4957</t>
  </si>
  <si>
    <t>Coto Santillana Int F19 Col Parque Res, Coto 6 Blvrd León #110, Zapopan</t>
  </si>
  <si>
    <t>Colchón KS, Prem, PURT</t>
  </si>
  <si>
    <t>No cotesta</t>
  </si>
  <si>
    <t>Ingrid García De La Rosa</t>
  </si>
  <si>
    <t>Av de las Lomas # 50 Int Coto Estepa 7, Zapopan</t>
  </si>
  <si>
    <t>Sala 2 p r r, Sala 7 p t r, piecera, Sala 1 p t f, Eco PURT</t>
  </si>
  <si>
    <t>No se llama, es repetición pero hubo inconsistenca en el tamaño de la sala y reclamo</t>
  </si>
  <si>
    <t>80/23</t>
  </si>
  <si>
    <t>Martha Nélida Gutiérrez Arias</t>
  </si>
  <si>
    <t>33-1349-3680</t>
  </si>
  <si>
    <t>Av Niños Héroes Sur #361 Col el Alamo Tlaque</t>
  </si>
  <si>
    <t>Tlajo</t>
  </si>
  <si>
    <t>Eduard Martinconi</t>
  </si>
  <si>
    <t>81/23</t>
  </si>
  <si>
    <t>Axel Avila</t>
  </si>
  <si>
    <t>33-1864-5550</t>
  </si>
  <si>
    <t>Nicolás Copérnico #943- A Depto 1005 Torre sur, Col. Chapailta, Zapopan</t>
  </si>
  <si>
    <t>Sala 6 p t f, Prem, PURT</t>
  </si>
  <si>
    <t>82/23</t>
  </si>
  <si>
    <t>Rosa Beatriz Piña Lara</t>
  </si>
  <si>
    <t>33-2252-3354</t>
  </si>
  <si>
    <t>Canario #45 Coto Los Pájaros Col. Lomas de la Soledad, Tonala</t>
  </si>
  <si>
    <t>Sala 6 p t f, Sillas a y r, Senc, PURT</t>
  </si>
  <si>
    <t>83/23</t>
  </si>
  <si>
    <t>Domenico Giovimazzo</t>
  </si>
  <si>
    <t>34-7774-5542</t>
  </si>
  <si>
    <t>Lomas de Líbano #2169 Col Lomas de Atemajac Zapopan</t>
  </si>
  <si>
    <t>Sala 7 p r r, Senc</t>
  </si>
  <si>
    <t>Se manda WA completamnte satisfecho</t>
  </si>
  <si>
    <t>84/23</t>
  </si>
  <si>
    <t>Susana Zambrano</t>
  </si>
  <si>
    <t>33-3959-0130</t>
  </si>
  <si>
    <t>Coto Viveros del Valle, Casa Valle de Sn Sebatián #2396, Zapopan</t>
  </si>
  <si>
    <t>Colchón Mat Prot</t>
  </si>
  <si>
    <t>Excelente servicio, quedó muy limpio</t>
  </si>
  <si>
    <t>85/23</t>
  </si>
  <si>
    <t>Ursulo García #5769 Col Arcos de Gpe, Zapopan</t>
  </si>
  <si>
    <t>Sala 6 p t r, Sillas a y r Prot</t>
  </si>
  <si>
    <t>86/23</t>
  </si>
  <si>
    <t>Paseo de los Fresnos #50 Col Pinar de la Venta, Zapopan</t>
  </si>
  <si>
    <t>Interior camioneta piel</t>
  </si>
  <si>
    <t>87/23</t>
  </si>
  <si>
    <t>Jairo Ochoa</t>
  </si>
  <si>
    <t>34-1122-4981</t>
  </si>
  <si>
    <t>Calle Zacarias Jimón Basurto #1512 Col Educadores Jalicienses, Tonalá</t>
  </si>
  <si>
    <t>Se manda WA, se regresa a repasar</t>
  </si>
  <si>
    <t>33-1987-8757</t>
  </si>
  <si>
    <t>Se manda WA, lo revisará</t>
  </si>
  <si>
    <t>Se manda WA, le encantó</t>
  </si>
  <si>
    <t>88/23</t>
  </si>
  <si>
    <t>Ingrid Coronado</t>
  </si>
  <si>
    <t>Calle Acero #225 Int 96 Pta Asís, Zapopan</t>
  </si>
  <si>
    <t>33-1862-6147</t>
  </si>
  <si>
    <t>Sala 6 p t f, Sala 5 p r r, Sala 3 p t f, Senc, PURT</t>
  </si>
  <si>
    <t>89/23</t>
  </si>
  <si>
    <t>Yazmín Alejandra Briseño</t>
  </si>
  <si>
    <t>55-3814-7425</t>
  </si>
  <si>
    <t>Tossa Residencial Prol Colón #155 Int Reus #141 Tlaque</t>
  </si>
  <si>
    <t>Sala 3 p r r, Senc, PURT</t>
  </si>
  <si>
    <t>90/23</t>
  </si>
  <si>
    <t>Ana Calderón</t>
  </si>
  <si>
    <t>33-3452-4364</t>
  </si>
  <si>
    <t>Ramón Corona #254 Tlaque</t>
  </si>
  <si>
    <t>91/23</t>
  </si>
  <si>
    <t>4 tapetes de lana, 5 tapetes sint Eco</t>
  </si>
  <si>
    <t>Se manda WA, le gusto</t>
  </si>
  <si>
    <t>92/23</t>
  </si>
  <si>
    <t>Claudia Ramirez Ponce</t>
  </si>
  <si>
    <t>33-1553-7939</t>
  </si>
  <si>
    <t>Fracc Los Robles Coto Helechos Casa 100, Zapopan</t>
  </si>
  <si>
    <t>Sala 7 p t r, Coj, Tapete sint Eco</t>
  </si>
  <si>
    <t>Problemática, inconsistencias en los muebles</t>
  </si>
  <si>
    <t>93/23</t>
  </si>
  <si>
    <t>Fernanda Rodríguez</t>
  </si>
  <si>
    <t>55-1795-0791</t>
  </si>
  <si>
    <t>Mar Azov #1556 Int 1 Col Lomas del Country Gdl</t>
  </si>
  <si>
    <t>Colchón mat Eco</t>
  </si>
  <si>
    <t>94/23</t>
  </si>
  <si>
    <t>Av Valle Real #3045 Int A3 2a secc de Bugambilias, Zapopan</t>
  </si>
  <si>
    <t>Colchon Mat, KS, Sala 9 p t r, Sala 6 p t r, coj, 2 cabeceras, Senc, PURT</t>
  </si>
  <si>
    <t>95/23</t>
  </si>
  <si>
    <t>Valeria Guzmán</t>
  </si>
  <si>
    <t>33-1705-4159</t>
  </si>
  <si>
    <t>Montemorelos #600 Esq Amacueca Col Alamo, Tlaque</t>
  </si>
  <si>
    <t>Sala 7 p a r, Senc</t>
  </si>
  <si>
    <t>Se manda WA, todo perfecto</t>
  </si>
  <si>
    <t>96/23</t>
  </si>
  <si>
    <t>Claudia Leo Rodriguez</t>
  </si>
  <si>
    <t>20-9303-9706</t>
  </si>
  <si>
    <t>David Alfaro Siqueiros #194 Col Sta Paula, Tonalá</t>
  </si>
  <si>
    <t>Tapete sint, Sillas a y r, Coj, Bancos Senc</t>
  </si>
  <si>
    <t>Sala 1 p t f, 2 reposet, senc</t>
  </si>
  <si>
    <t>97/23</t>
  </si>
  <si>
    <t>Efraín Vazquez</t>
  </si>
  <si>
    <t>33-1829-3950</t>
  </si>
  <si>
    <t>Bosque de la primavera #210 Col Cañadas Country Club, Zapopan</t>
  </si>
  <si>
    <t>2 tapetes sint Prem</t>
  </si>
  <si>
    <t>98/23</t>
  </si>
  <si>
    <t>Hermelinda Torres</t>
  </si>
  <si>
    <t>33-1574-8664</t>
  </si>
  <si>
    <t>Coto Creta Casa 109 Capital Norte, Zapopan</t>
  </si>
  <si>
    <t>Sala 1 p t f, Colchón KS Senc</t>
  </si>
  <si>
    <t>Se manda WA, legustó mucho, repetira</t>
  </si>
  <si>
    <t>99/23</t>
  </si>
  <si>
    <t>Verónica Cerón</t>
  </si>
  <si>
    <t>33-2042-1252</t>
  </si>
  <si>
    <t>Paseo Sn Arturo #101 Coto Las Rosas casa 78 Col Valle Real, Zapopan</t>
  </si>
  <si>
    <t>Sala 6 p t f, Coj, Silla a y r, 2 sala 1 p t f, cabecera y base, Tapete sint, Cama para perro, Senc, colchón Mat, KS, Healty Sala 2 p t f, sillas a y r Prot</t>
  </si>
  <si>
    <t>Quedaron manchitas en 3 sillas</t>
  </si>
  <si>
    <t>100/23</t>
  </si>
  <si>
    <t>Norma Altamirano</t>
  </si>
  <si>
    <t>47-7274-9682</t>
  </si>
  <si>
    <t>Av Paseo Valle Real #3000 Fracc Reserva Real Casa 92 Col Valle Real Zapopan</t>
  </si>
  <si>
    <t>Tapete sint, Senc, Tapete de algodón Prem</t>
  </si>
  <si>
    <t>101/23</t>
  </si>
  <si>
    <t>José Suárez</t>
  </si>
  <si>
    <t>33-1941-7460</t>
  </si>
  <si>
    <t>Paseo de la Cima #3633 Col. Lomas del Valle, Gdl</t>
  </si>
  <si>
    <t>Sala 12 p t r, Coj, Sillas a y r Prem</t>
  </si>
  <si>
    <t>Todo bien</t>
  </si>
  <si>
    <t>102/23</t>
  </si>
  <si>
    <t>Braulio Mora</t>
  </si>
  <si>
    <t>33-1735-6208</t>
  </si>
  <si>
    <t>Puerto Vigo #19 Fracc Banus, Tlajo</t>
  </si>
  <si>
    <t>Sala 5 p r r, 2 Sala 1 p t f, tab, sillas a y r, Senc</t>
  </si>
  <si>
    <t>103/23</t>
  </si>
  <si>
    <t>Astrid Contreras</t>
  </si>
  <si>
    <t>55-4530-2029</t>
  </si>
  <si>
    <t>Solares Acanthia Int 28 Col Solares, Zapopan</t>
  </si>
  <si>
    <t>5 tapetes lana, Prem</t>
  </si>
  <si>
    <t>104/23</t>
  </si>
  <si>
    <t>Nora Perez De León Valencia</t>
  </si>
  <si>
    <t>33-3147-1550</t>
  </si>
  <si>
    <t>Turín #2747 Int 104 Col Providencia, Zapopan</t>
  </si>
  <si>
    <t>Tapete sint, tapete de lana, Senc</t>
  </si>
  <si>
    <t>Se manda WA, le gustó mucho, repetirá</t>
  </si>
  <si>
    <t>105/23</t>
  </si>
  <si>
    <t>Anayeli / Cartera de Oportunidades</t>
  </si>
  <si>
    <t>33-2838-5124</t>
  </si>
  <si>
    <t>Av Plan de San Luis #1728 Int 28 Col Mezquitán Country, Gdl</t>
  </si>
  <si>
    <t>Alfombra, Prot</t>
  </si>
  <si>
    <t>106/23</t>
  </si>
  <si>
    <t>Gerardo Torres</t>
  </si>
  <si>
    <t>33-3870-3528</t>
  </si>
  <si>
    <t>Av Paseo Solares #567 Fracc Solares, Zapopan</t>
  </si>
  <si>
    <t>2 Colchón Mat, Senc</t>
  </si>
  <si>
    <t>107/23</t>
  </si>
  <si>
    <t>108/23</t>
  </si>
  <si>
    <t>Alejandra León</t>
  </si>
  <si>
    <t>33-1845-8155</t>
  </si>
  <si>
    <t>Av Acueducto #2405 Coto Las Garzas Casa 27 Zapopan</t>
  </si>
  <si>
    <t>Sala 5 p t f, Prot, 3 tapetes sint Senc</t>
  </si>
  <si>
    <t>Carlos Uribe</t>
  </si>
  <si>
    <t>33-1020-4166</t>
  </si>
  <si>
    <t>El dorado #304 Coto Carrara Col Jardines de Nvo México, Zapopan</t>
  </si>
  <si>
    <t>Colchón Mat, Prot</t>
  </si>
  <si>
    <t>Todo muy bien, repetirá</t>
  </si>
  <si>
    <t>109/23</t>
  </si>
  <si>
    <t>110/23</t>
  </si>
  <si>
    <t>111/23</t>
  </si>
  <si>
    <t>Guadalupe Hernández</t>
  </si>
  <si>
    <t>33-3115-4698</t>
  </si>
  <si>
    <t>Av La Toscana #777 Depto B611, Zapopan</t>
  </si>
  <si>
    <t>4 tapete sint, Prot</t>
  </si>
  <si>
    <t>Patricia Torres</t>
  </si>
  <si>
    <t>722-153-3334</t>
  </si>
  <si>
    <t>Circ del Bosque #216 Casa 105 Coto Amate Col Bosques Vallarta, Zapopan</t>
  </si>
  <si>
    <t xml:space="preserve">2 tapete sint, Senc  </t>
  </si>
  <si>
    <t>Le encantó, repetira</t>
  </si>
  <si>
    <t>Elias Saab</t>
  </si>
  <si>
    <t>64-6138-2125</t>
  </si>
  <si>
    <t>Paseo Valle Real #1595 Int 1303 Col Valle Real, Zapopan</t>
  </si>
  <si>
    <t>Coj, Eco, Silla a y r, Senc, PURT</t>
  </si>
  <si>
    <t>112/23</t>
  </si>
  <si>
    <t>113/23</t>
  </si>
  <si>
    <t>114/23</t>
  </si>
  <si>
    <t>115/23</t>
  </si>
  <si>
    <t>116/23</t>
  </si>
  <si>
    <t>117/23</t>
  </si>
  <si>
    <t>118/23</t>
  </si>
  <si>
    <t>119/23</t>
  </si>
  <si>
    <t>120/23</t>
  </si>
  <si>
    <t>121/23</t>
  </si>
  <si>
    <t>122/23</t>
  </si>
  <si>
    <t>Se manda WA, se regresa a detallar, y poner PURT</t>
  </si>
  <si>
    <t>Brise Tapia</t>
  </si>
  <si>
    <t>33-3577-7538</t>
  </si>
  <si>
    <t>Bethoven #426 Col Res Juan Manuel Gdl</t>
  </si>
  <si>
    <t>Interior coche chico Senc</t>
  </si>
  <si>
    <t>Alma de Lezama</t>
  </si>
  <si>
    <t>33-1284-1093</t>
  </si>
  <si>
    <t>Vereda del Tucán #189 Cond Valencia Col Pta de Hierro, Zapopan</t>
  </si>
  <si>
    <t>Maristas</t>
  </si>
  <si>
    <t>Sala 6 p t r, Coj, sillas a y r, Eco, PURT</t>
  </si>
  <si>
    <t>Se regresa a detallar, ya quedó bien</t>
  </si>
  <si>
    <t>Angeles De Alba</t>
  </si>
  <si>
    <t>33-1667-8659</t>
  </si>
  <si>
    <t>La Cima, Coto B casa 85, Zapoapn</t>
  </si>
  <si>
    <t>Sala 6 p r r, Coj, Silla a y r, Senc</t>
  </si>
  <si>
    <t>123/23</t>
  </si>
  <si>
    <t>124/23</t>
  </si>
  <si>
    <t>125/23</t>
  </si>
  <si>
    <t>126/23</t>
  </si>
  <si>
    <t>127/23</t>
  </si>
  <si>
    <t>128/23</t>
  </si>
  <si>
    <t>Verónica González Luna</t>
  </si>
  <si>
    <t>33-1409-6641</t>
  </si>
  <si>
    <t>Coto Riviera Alta, Calle Villa Martín Casa 4, Ajijic</t>
  </si>
  <si>
    <t>Colchón mat, QS, Coj, Eco, PURT</t>
  </si>
  <si>
    <t>Angeles De Alba / Sergio González</t>
  </si>
  <si>
    <t>Amanda Jiménez / Megaelectrificaciones</t>
  </si>
  <si>
    <t>33-1429-1656</t>
  </si>
  <si>
    <t>Volcán Pico de Quinceo #129 Col. El Colli, Zapopan</t>
  </si>
  <si>
    <t>Sillas Senc</t>
  </si>
  <si>
    <t>Ajijic</t>
  </si>
  <si>
    <t>María Gracía</t>
  </si>
  <si>
    <t>33-1227-7629</t>
  </si>
  <si>
    <t>Campo Verde #656 Int 14 Coto Ravena Col. Campo Real, Zapopan</t>
  </si>
  <si>
    <t>Sala 7 p t f, Prot</t>
  </si>
  <si>
    <t>Todo quedó muy bien</t>
  </si>
  <si>
    <t>Alejandra Marchina</t>
  </si>
  <si>
    <t>33-3856-4306</t>
  </si>
  <si>
    <t>Fracc Ayamonte Av de las Artes #60 Casa 106 Zapopan</t>
  </si>
  <si>
    <t>Quedó muy super bien</t>
  </si>
  <si>
    <t>Ok</t>
  </si>
  <si>
    <t>Ma Eugenia Salgado</t>
  </si>
  <si>
    <t>Sala 3 p t f, Tapete lana Prot</t>
  </si>
  <si>
    <t>Se manda WA, todo quedó muy bien</t>
  </si>
  <si>
    <t>129/23</t>
  </si>
  <si>
    <t>130/23</t>
  </si>
  <si>
    <t>131/23</t>
  </si>
  <si>
    <t>132/23</t>
  </si>
  <si>
    <t>133/23</t>
  </si>
  <si>
    <t>134/23</t>
  </si>
  <si>
    <t>135/23</t>
  </si>
  <si>
    <t>136/23</t>
  </si>
  <si>
    <t>137/23</t>
  </si>
  <si>
    <t>138/23</t>
  </si>
  <si>
    <t>139/23</t>
  </si>
  <si>
    <t>140/23</t>
  </si>
  <si>
    <t>Elena Rodriguez / Lider Plast</t>
  </si>
  <si>
    <t>33-1154-7872</t>
  </si>
  <si>
    <t>Francisco Villa #984-C Col. Agua Blanca Industrial, Zapopan</t>
  </si>
  <si>
    <t>3 tapetes de lana Eco</t>
  </si>
  <si>
    <t>Sala / tapete</t>
  </si>
  <si>
    <t>Axel Luna</t>
  </si>
  <si>
    <t>33-3578-9591</t>
  </si>
  <si>
    <t>Mision San Lorenzo #437 Int 6 Col Rinconada del Parque Zapopan</t>
  </si>
  <si>
    <t>Sala 5 p t f, Eco PURT</t>
  </si>
  <si>
    <t>Karla Ramírez</t>
  </si>
  <si>
    <t>33-1273-7376</t>
  </si>
  <si>
    <t>Florencia #2629 Col Providencia, Zapopan</t>
  </si>
  <si>
    <t>Sala 2 p r r, Sala 1 p t f, Prem</t>
  </si>
  <si>
    <t>Catalina Avila</t>
  </si>
  <si>
    <t>33-1195-3025</t>
  </si>
  <si>
    <t>Coto Acantia Paseo Solares #1632 Int 82 Col. Solares, Zapopan</t>
  </si>
  <si>
    <t>Colchon KS, Sala 2 p t f, Tapete sint, Sillas a y r, Eco</t>
  </si>
  <si>
    <t>Camila Urias</t>
  </si>
  <si>
    <t>66-7253-7921</t>
  </si>
  <si>
    <t>Torre Prive Depto 201-B, Zapopan</t>
  </si>
  <si>
    <t>Sala 6 p r r, Coj, Senc, PURT</t>
  </si>
  <si>
    <t>Jesús Flores / Alfredo Gallegos / PAPSA</t>
  </si>
  <si>
    <t>33-1108-7080</t>
  </si>
  <si>
    <t>Exportación #315 Col. Las Pinitas, El Salto</t>
  </si>
  <si>
    <t>Sillas a y r Senc</t>
  </si>
  <si>
    <t>Quedaron bien, repetirán</t>
  </si>
  <si>
    <t>Elda Priscila López León</t>
  </si>
  <si>
    <t>33-1306-5475</t>
  </si>
  <si>
    <t>Calle Casiopea #4571 Int 15 Col. La Calma, Zapopan</t>
  </si>
  <si>
    <t>141/23</t>
  </si>
  <si>
    <t>142/23</t>
  </si>
  <si>
    <t>143/23</t>
  </si>
  <si>
    <t>144/23</t>
  </si>
  <si>
    <t>145/23</t>
  </si>
  <si>
    <t>146/23</t>
  </si>
  <si>
    <t>147/23</t>
  </si>
  <si>
    <t>148/23</t>
  </si>
  <si>
    <t>149/23</t>
  </si>
  <si>
    <t>150/23</t>
  </si>
  <si>
    <t>151/23</t>
  </si>
  <si>
    <t>152/23</t>
  </si>
  <si>
    <t>Leticia Perez García</t>
  </si>
  <si>
    <t>33-3831-5851</t>
  </si>
  <si>
    <t>Combate de encinos #490 Col. Jardines de Sta Isabel, Gdl</t>
  </si>
  <si>
    <t>Tapete sint, Healty</t>
  </si>
  <si>
    <t>Quedo muy bien</t>
  </si>
  <si>
    <t>Se ,manda WA, todo super bien</t>
  </si>
  <si>
    <t>Se manda WA, todo excelente</t>
  </si>
  <si>
    <t>Hector Miranda</t>
  </si>
  <si>
    <t>33-1042-8813</t>
  </si>
  <si>
    <t>Inglaterra #6363 Casa 37 Col Paseos Uni Zapopan</t>
  </si>
  <si>
    <t>6 tapetes sint Healty</t>
  </si>
  <si>
    <t>La Cima coto B casa 85 Zapopan</t>
  </si>
  <si>
    <t>Colchón Mat Eco</t>
  </si>
  <si>
    <t>Zuri Sadai Cruz De La Rosa</t>
  </si>
  <si>
    <t>33-1463-0332</t>
  </si>
  <si>
    <t>Telefonistas #3360 Col Lagos de Oriente, Gdl</t>
  </si>
  <si>
    <t>Sala 2 p a r, Futón, Senc</t>
  </si>
  <si>
    <t>Le super encantó, Reptirá</t>
  </si>
  <si>
    <t>Blanca Marina Peña</t>
  </si>
  <si>
    <t>66-4646-9108</t>
  </si>
  <si>
    <t>Pablo Neruda #3273 Int 192 Col Providencia, Zapopan</t>
  </si>
  <si>
    <t>Colchón KS, Base, Cabecera, Tapete, Sala 8 p t r, Colchón Ind, Senc, Colchón cuna Healty</t>
  </si>
  <si>
    <t>Se manda WA, no los ha podido revisar</t>
  </si>
  <si>
    <t>Paseo de los lagos #159 Col Las Cañadas, Zapopan</t>
  </si>
  <si>
    <t>Sala 8 p r r, Silla s a, banco, colchón Mat, Senc</t>
  </si>
  <si>
    <t>Todo quedó muy bien, se le da precio del año pasado para la sala, insiste en que es de 6 p y es de 8</t>
  </si>
  <si>
    <t>Gabriela Loreto</t>
  </si>
  <si>
    <t>33-1355-0243</t>
  </si>
  <si>
    <t>Colchón Mat Eco, PURT</t>
  </si>
  <si>
    <t>Qudó muy bien</t>
  </si>
  <si>
    <t>Octavio Aguilar</t>
  </si>
  <si>
    <t>33-2581-2851</t>
  </si>
  <si>
    <t>Mexicalzingo #2314 Col Americana, Gdl</t>
  </si>
  <si>
    <t>Pablo Neruda #3152 Col. Providencia, Zapopan</t>
  </si>
  <si>
    <t>Tapete sint, Tapete de lana Prot</t>
  </si>
  <si>
    <t>Verónica Ramírez Cortés</t>
  </si>
  <si>
    <t>33-1155-0540</t>
  </si>
  <si>
    <t>Av de las Flores #9855 Int 39 Fracc Res. Altavista, Cond Sotavento, Zapopan</t>
  </si>
  <si>
    <t>Tdo bien</t>
  </si>
  <si>
    <t>Héctor Alvarez Michel</t>
  </si>
  <si>
    <t>33-1065-2450</t>
  </si>
  <si>
    <t>José I Solórzano #819 Col. Jardines Alcaldde, Gdl</t>
  </si>
  <si>
    <t>Sala 3 p r r, 2 Sala 1 p a r, Eco</t>
  </si>
  <si>
    <t>Todo muy bien, muy puntuales y profesionales</t>
  </si>
  <si>
    <t>Edgar Ramírez</t>
  </si>
  <si>
    <t>33-3176-7769</t>
  </si>
  <si>
    <t>Justo Sierra #2040 Int 18 Col Lad´ron de Guevara, Gdl</t>
  </si>
  <si>
    <t>Interior de pick up doble cabina, Prot</t>
  </si>
  <si>
    <t>Quedó mucho mas mojada que otras veces</t>
  </si>
  <si>
    <t>Se manda WA; no contesta</t>
  </si>
  <si>
    <t>Alfredo Mendoza</t>
  </si>
  <si>
    <t>33-1351-4505</t>
  </si>
  <si>
    <t>Hac Del Carmen #1429 Col Oblatos Gdl</t>
  </si>
  <si>
    <t>Interior tela auto med, Senc</t>
  </si>
  <si>
    <t>Juan Manuel Salas</t>
  </si>
  <si>
    <t>33-3201-9006</t>
  </si>
  <si>
    <t>Arq Sur #979 Col Chapalita, Gdl</t>
  </si>
  <si>
    <t>Sala 6 p a r, Senc</t>
  </si>
  <si>
    <t>Quedo muy bien, muy recomendable</t>
  </si>
  <si>
    <t>Lourdes Luján / Juan Anthor Rendón</t>
  </si>
  <si>
    <t>33-3170-0760</t>
  </si>
  <si>
    <t>Calle Can Mayor #4375-102 Col Arboledas, Zapopan</t>
  </si>
  <si>
    <t>Sala6 p t f, Coj, Eco</t>
  </si>
  <si>
    <t>Se manda WA, todo muy bien, super servicio</t>
  </si>
  <si>
    <t>33-2560-2668</t>
  </si>
  <si>
    <t>Misión Sn  Fco #184 Col Res Pza Gpe, Gdl</t>
  </si>
  <si>
    <t>Colchón Mat, Tapete sint, Prot, Base de colchón Mat, Senc</t>
  </si>
  <si>
    <t>Se manda WA, SE QUEJÓ DE QUE EL COJIN NO QUEDÓ LIMIO, SE OFRECE DEVOLVER EL $, Y YA NO CONTESTA</t>
  </si>
  <si>
    <t>Se manda WA, todo muy bien, muy amables</t>
  </si>
  <si>
    <t>153/23</t>
  </si>
  <si>
    <t>154/23</t>
  </si>
  <si>
    <t>Verónica De La Garza</t>
  </si>
  <si>
    <t>55-5503-9791</t>
  </si>
  <si>
    <t>Montevideo #3497 Int 11 E Torre 200 Colinas de Sn Javier , Zapopan</t>
  </si>
  <si>
    <t>Tapete sint, Senc, Tapete de algodón Prem, PURT</t>
  </si>
  <si>
    <t>Israel Serrano</t>
  </si>
  <si>
    <t>722-244-0236</t>
  </si>
  <si>
    <t>Av Universidad #185 Pta del Bosque Int I18 Zapopan</t>
  </si>
  <si>
    <t>Sala 8 p r r, Sala 7 p t r, Sillas a y r, Senc, Interior piel camioneta, Piel</t>
  </si>
  <si>
    <t>Gisela Bernal</t>
  </si>
  <si>
    <t>33-3201-9361</t>
  </si>
  <si>
    <t>Retinto Colorado #5756 Col Paseos del Sol, Gdl</t>
  </si>
  <si>
    <t>Se manda WA, quedaron con manchas, se revisara</t>
  </si>
  <si>
    <t>Arturo García Palestina</t>
  </si>
  <si>
    <t>Carmen Julia Sanchez</t>
  </si>
  <si>
    <t>33-1312-9959</t>
  </si>
  <si>
    <t>Av Acueducto #1100 Fracc Monarca Int 73, Zapopan</t>
  </si>
  <si>
    <t>Sala 6 p r r, Senc PURT</t>
  </si>
  <si>
    <t>Se manda WA, quedó bien, buen servicio</t>
  </si>
  <si>
    <t>Se manda WA, se estaba secando</t>
  </si>
  <si>
    <t xml:space="preserve">Carlos Peña </t>
  </si>
  <si>
    <t>33-3771-0818</t>
  </si>
  <si>
    <t>Volcán de Sn Fco. #95 casa 8 Huentitán, Gdl</t>
  </si>
  <si>
    <t>Interior tela coche peq, Coj, Sillas a y r, 2 tapete sint, Sala 5 p r r, Silla a y r, tab, Eco</t>
  </si>
  <si>
    <t>Juan Carlos Fernández Bocanegra</t>
  </si>
  <si>
    <t>Calle Subcolectora 2 #3105 Casa 230 Col El fortín, Zapopan</t>
  </si>
  <si>
    <t>33-2272-9266</t>
  </si>
  <si>
    <t>Colchón KS, Eco PURT</t>
  </si>
  <si>
    <t>se manda WA, todo excelente</t>
  </si>
  <si>
    <t>Todo excelente</t>
  </si>
  <si>
    <t>Angelina Hernández</t>
  </si>
  <si>
    <t>33-3814-9042</t>
  </si>
  <si>
    <t>Carr a Tesistán #1284, Zapopan</t>
  </si>
  <si>
    <t>2 Colchón Ind, Senc</t>
  </si>
  <si>
    <t>Lo va a checar</t>
  </si>
  <si>
    <t>33-3589-0625</t>
  </si>
  <si>
    <t>Loyola #70 Coto Salvaterra Fracc Loreto, Zapopan</t>
  </si>
  <si>
    <t>Sala 3 p t f, senc, Tapete de lana Prot</t>
  </si>
  <si>
    <t>quedó manchado el sillón, y el tapete descolorido. No dejó que se le entregara el tapete hasta casi 1 mes despues</t>
  </si>
  <si>
    <t>Marcela Ledezma</t>
  </si>
  <si>
    <t>33-1138-3790</t>
  </si>
  <si>
    <t>Circ. Madrigal #1998 Casa 3 Coto Real de Sn Javier Zapopan</t>
  </si>
  <si>
    <t>Sala 8 p t r, Coj, Tapete sint, Sala 1 p t f Prot</t>
  </si>
  <si>
    <t>Le gustó mucho, repetira</t>
  </si>
  <si>
    <t>Verónica Mejía</t>
  </si>
  <si>
    <t>33-1690-0460</t>
  </si>
  <si>
    <t>Circ Madrigal #1998 Casa 13 Coto Real de Sn Javier Zapopan</t>
  </si>
  <si>
    <t>Tapete de lana Senc</t>
  </si>
  <si>
    <t>Le gustó repite</t>
  </si>
  <si>
    <t>Alejandra Mitani Morales</t>
  </si>
  <si>
    <t>33-3956-4051</t>
  </si>
  <si>
    <t>Calle 12 de Dic #2887 Col Jardines de plaza del sol, Gdl</t>
  </si>
  <si>
    <t>Alfombra, Senc PURT</t>
  </si>
  <si>
    <t>quedó con olor</t>
  </si>
  <si>
    <t>Vanessa Gomez / Armstrog Int</t>
  </si>
  <si>
    <t>33-3490-4211</t>
  </si>
  <si>
    <t>Calle la Brida #247 Int 8 y 9 Col Lopez Cotilla, Tlaque</t>
  </si>
  <si>
    <t>Tab, Eco</t>
  </si>
  <si>
    <t>quedaron algunas manchas</t>
  </si>
  <si>
    <t>155/23</t>
  </si>
  <si>
    <t>156/23</t>
  </si>
  <si>
    <t>157/23</t>
  </si>
  <si>
    <t>158/23</t>
  </si>
  <si>
    <t>159/23</t>
  </si>
  <si>
    <t>160/23</t>
  </si>
  <si>
    <t>161/23</t>
  </si>
  <si>
    <t>162/23</t>
  </si>
  <si>
    <t>163/23</t>
  </si>
  <si>
    <t>164/23</t>
  </si>
  <si>
    <t>165/23</t>
  </si>
  <si>
    <t>166/23</t>
  </si>
  <si>
    <t>167/23</t>
  </si>
  <si>
    <t>Erika Zavala Zaragoza</t>
  </si>
  <si>
    <t>33-3201-6008</t>
  </si>
  <si>
    <t>Tierra Contenta #179 Fracc Terralta, Tlaque</t>
  </si>
  <si>
    <t>Sala 3 p t f prot, sala 1 p a r, Senc</t>
  </si>
  <si>
    <t>Muy satisfecha, todo muy bien</t>
  </si>
  <si>
    <t>Jaime Hernández García</t>
  </si>
  <si>
    <t>427-152-0955</t>
  </si>
  <si>
    <t>Calle Niño Obrero Gdl</t>
  </si>
  <si>
    <t>Tapete de viscosa Eco</t>
  </si>
  <si>
    <t>Ma del Carmen Maciel Ruiz</t>
  </si>
  <si>
    <t>644-101-3742</t>
  </si>
  <si>
    <t>Av La Toscana #122 Cima Park Torre 400 Depto 10 E Zapopan</t>
  </si>
  <si>
    <t>Sala 8 p r r, Prot, cama de perro, Eco</t>
  </si>
  <si>
    <t>Le quedaron algunas manchitas, pero todo bien</t>
  </si>
  <si>
    <t>Rosa Cecilia Romero</t>
  </si>
  <si>
    <t>33-1451-2729</t>
  </si>
  <si>
    <t>Callejón del sereno #4261 Col Villa Uni Zapopan</t>
  </si>
  <si>
    <t>Sala 3 p r r, coj, Sillas s a, Prot</t>
  </si>
  <si>
    <t>José Loza / Nippon Express</t>
  </si>
  <si>
    <t>33-1721-1607</t>
  </si>
  <si>
    <t>Av Unión #601 P 5 Col. Americana Torre Allius Gdl</t>
  </si>
  <si>
    <t>Sala 6 p t r, 2 tab, Tapete sint Eco</t>
  </si>
  <si>
    <t>Omar Arturo Aguilar Bautista</t>
  </si>
  <si>
    <t>33-1965-7654</t>
  </si>
  <si>
    <t>Valle de los claveles #2504 Col Jardines del Valle Zapopan</t>
  </si>
  <si>
    <t>Sala 6 p r r, Reposet, Senc, PURT</t>
  </si>
  <si>
    <t>Circ. Madrigal #1998 casa 13 Colinas de Sn Javier, Zapopan</t>
  </si>
  <si>
    <t>Tapete de lana senc</t>
  </si>
  <si>
    <t>Sara Moreno Rivera</t>
  </si>
  <si>
    <t>33-1053-9421</t>
  </si>
  <si>
    <t>Ganaderos de Jalisco #307 Fracc Pta del Llano Zapopan</t>
  </si>
  <si>
    <t>Sala 5 p t f, Sillas ay r, Tapete sint Senc</t>
  </si>
  <si>
    <t>Carmen Ibarra</t>
  </si>
  <si>
    <t>33-1489-2270</t>
  </si>
  <si>
    <t>Amado Aguirre #869 col Lomas del paradero, Gdl</t>
  </si>
  <si>
    <t>Se manda WA, lo va a checar</t>
  </si>
  <si>
    <t>Francine Fillipi</t>
  </si>
  <si>
    <t>33-3450-9936</t>
  </si>
  <si>
    <t>Salvador de Madariaga #5036 Col Jardines Uni, Gdl</t>
  </si>
  <si>
    <t>Colchón QS, Senc, PURT</t>
  </si>
  <si>
    <t>Quedaron algunas manchas, y aun huele, se revisará</t>
  </si>
  <si>
    <t>33-3137-0383</t>
  </si>
  <si>
    <t>Ana Lorena Velazquez</t>
  </si>
  <si>
    <t>Enrique Rodó #2508 Int B 4 Zapopan</t>
  </si>
  <si>
    <t>Se manda WA, fue satisfactorio</t>
  </si>
  <si>
    <t>Se manda WA, quedó con manchas y olor</t>
  </si>
  <si>
    <t>Francisco Mendoza</t>
  </si>
  <si>
    <t>33-3440-7058</t>
  </si>
  <si>
    <t>Jardines de Sta Lucía casa 74 Coto Imp Británico, Valle Imperial, Zapopan</t>
  </si>
  <si>
    <t>Club</t>
  </si>
  <si>
    <t>Sala 5 p r r, Colchón KS, Senc</t>
  </si>
  <si>
    <t>Lucero Hernández</t>
  </si>
  <si>
    <t>33-2556-6019</t>
  </si>
  <si>
    <t>Sta Paula #389 Col Sta Margarita Zapopan</t>
  </si>
  <si>
    <t>Eliselda Nuñez</t>
  </si>
  <si>
    <t>33-3968-2919</t>
  </si>
  <si>
    <t>Provenza Res Casa 67 Coto Sur, Zapopan</t>
  </si>
  <si>
    <t>Sala 4 p a r, bancos, Prem</t>
  </si>
  <si>
    <t>168/23</t>
  </si>
  <si>
    <t>169/23</t>
  </si>
  <si>
    <t>170/23</t>
  </si>
  <si>
    <t>171/23</t>
  </si>
  <si>
    <t>172/23</t>
  </si>
  <si>
    <t>173/23</t>
  </si>
  <si>
    <t>174/23</t>
  </si>
  <si>
    <t>175/23</t>
  </si>
  <si>
    <t>176/23</t>
  </si>
  <si>
    <t>177/23</t>
  </si>
  <si>
    <t>178/23</t>
  </si>
  <si>
    <t>179/23</t>
  </si>
  <si>
    <t>180/23</t>
  </si>
  <si>
    <t>182/23</t>
  </si>
  <si>
    <t>183/23</t>
  </si>
  <si>
    <t>Calle Isla Baru #2806 Col Jardines de la Cruz, Gdl</t>
  </si>
  <si>
    <t>Sala 3 p t f, Prot, PURT</t>
  </si>
  <si>
    <t>Se madna WA, todo bien</t>
  </si>
  <si>
    <t>Se manda WA, todo muy bien y el servicio excelente</t>
  </si>
  <si>
    <t>33-3157-6921</t>
  </si>
  <si>
    <t>Ramón Corona #1100 Club Ecuestre hípico, Zapopan</t>
  </si>
  <si>
    <t>2 tapete de viscosa, Prem PURT</t>
  </si>
  <si>
    <t>Coto Creta # 109 Capital Nte, Zapopan</t>
  </si>
  <si>
    <t>Se manda WA, revisar el costo del sofá cama, es de 4 p r r , con cama abajo (2 tab)</t>
  </si>
  <si>
    <t>Ma de las Nieves Gtz</t>
  </si>
  <si>
    <t>33-3662-8331</t>
  </si>
  <si>
    <t>Rio de la plata #2487 Depto 1002 Col Colomos Providencia Zapopan</t>
  </si>
  <si>
    <t>Tapete de algodón Prem</t>
  </si>
  <si>
    <t>Maribel Ponce</t>
  </si>
  <si>
    <t>33-1306-8857</t>
  </si>
  <si>
    <t>Naranjo #2150 Col Marcelino García Barragán, Zapopan</t>
  </si>
  <si>
    <t>Sillas a y r Prem</t>
  </si>
  <si>
    <t>Javier Padilla</t>
  </si>
  <si>
    <t>33-1419-3210</t>
  </si>
  <si>
    <t>Antonio Torres #628 Col Arcos de Gpe, Zapopan</t>
  </si>
  <si>
    <t>Sala 7 p t f, Senc</t>
  </si>
  <si>
    <t>Quedó con manchas</t>
  </si>
  <si>
    <t>Liliana Soto</t>
  </si>
  <si>
    <t>33-1634-4679</t>
  </si>
  <si>
    <t>Lomas Altas #3986 Int 14 y 15 Col Loma Real</t>
  </si>
  <si>
    <t>2 tapete de lana, 2 tapete sint Prem</t>
  </si>
  <si>
    <t>Super bien , repetirán</t>
  </si>
  <si>
    <t>Ofelia Muñoz</t>
  </si>
  <si>
    <t>31-2317-4097</t>
  </si>
  <si>
    <t>Sendero de los abedules #158 Coto Cataluña, Fracc Pta de Hierro Zapopan</t>
  </si>
  <si>
    <t>2 colchones mat, 2 bases y 2 cabeceras Senc</t>
  </si>
  <si>
    <t>Silvia Carrillo Hernández</t>
  </si>
  <si>
    <t>33-2225-7396</t>
  </si>
  <si>
    <t>Circ. Loma Sur #8043 Col. Loma Dorada, Tonalá</t>
  </si>
  <si>
    <t>Se manda WA, todo muy bien, repetirá</t>
  </si>
  <si>
    <t>Alicia Ayala Fuentes / Miguel Angel</t>
  </si>
  <si>
    <t>33-3195-5646</t>
  </si>
  <si>
    <t>Sta Elena #202 Col. El Capullo, Zapopan</t>
  </si>
  <si>
    <t>Se manda WA, muy satisfecha, repetira</t>
  </si>
  <si>
    <t>Se manda WA, muy bien, repetira</t>
  </si>
  <si>
    <t>Luz Durán</t>
  </si>
  <si>
    <t>33-1479-4270</t>
  </si>
  <si>
    <t>Barrica #152 Coto Córdova Col. Real de Valdepeñas, Zapopan</t>
  </si>
  <si>
    <t>Tapete de algodón, Tapete sint, Prem</t>
  </si>
  <si>
    <t>No ha revisado, el servicio, bien</t>
  </si>
  <si>
    <t>Miguel Angel Nuño</t>
  </si>
  <si>
    <t>33-1827-5480</t>
  </si>
  <si>
    <t>Tenochtitlán #324-B Col Jardines del Sol, Zapopan</t>
  </si>
  <si>
    <t>Sala 5 p t f, Sillas a y r, Banca, Tab, Senc</t>
  </si>
  <si>
    <t>181/5/23</t>
  </si>
  <si>
    <t>Raquel Estrada García / Margarita García</t>
  </si>
  <si>
    <t>33-1439-3451</t>
  </si>
  <si>
    <t>Dr Bernanrdo Oliva #1764 Col Benito Juarez Auditorio, Zapopan</t>
  </si>
  <si>
    <t>Sala 6 p r r, Senc</t>
  </si>
  <si>
    <t>Hortencia Rios Mtz / Amenidades Jalisco</t>
  </si>
  <si>
    <t>33-3199-9176</t>
  </si>
  <si>
    <t>Justo Sierra #232-A Col Agua Bca Indus, Zapopan</t>
  </si>
  <si>
    <t>Antonio Quezada</t>
  </si>
  <si>
    <t>33-1304-9160</t>
  </si>
  <si>
    <t>Paseo Solares #934 Int 229 Coto Sendeira Col. Solares Zapopan</t>
  </si>
  <si>
    <t>Colchón KS, sillas a y r, Prem, PURT</t>
  </si>
  <si>
    <t>184/23</t>
  </si>
  <si>
    <t>185/23</t>
  </si>
  <si>
    <t>186/23</t>
  </si>
  <si>
    <t>187/23</t>
  </si>
  <si>
    <t>188/23</t>
  </si>
  <si>
    <t>189/23</t>
  </si>
  <si>
    <t>190/23</t>
  </si>
  <si>
    <t>191/23</t>
  </si>
  <si>
    <t>192/23</t>
  </si>
  <si>
    <t>193/23</t>
  </si>
  <si>
    <t>194/23</t>
  </si>
  <si>
    <t>195/23</t>
  </si>
  <si>
    <t>196/23</t>
  </si>
  <si>
    <t>197/23</t>
  </si>
  <si>
    <t>198/23</t>
  </si>
  <si>
    <t>Mayra Zepeda</t>
  </si>
  <si>
    <t>33-1047-7832</t>
  </si>
  <si>
    <t>Sierra Leona #1548 Col Independencia Gdl</t>
  </si>
  <si>
    <t>Se manda WA, todo muy bien, excelente atención</t>
  </si>
  <si>
    <t>Javier Tristán Gamboa</t>
  </si>
  <si>
    <t>33-1870-4773</t>
  </si>
  <si>
    <t>Valle del Sena #1834 Col Jardines del Valle, Zapopan</t>
  </si>
  <si>
    <t xml:space="preserve">Sala 4 p t f, Eco  </t>
  </si>
  <si>
    <t>Todo excelente, como nuevo</t>
  </si>
  <si>
    <t>199/23</t>
  </si>
  <si>
    <t>200/23</t>
  </si>
  <si>
    <t>201/23</t>
  </si>
  <si>
    <t>202/23</t>
  </si>
  <si>
    <t>203/23</t>
  </si>
  <si>
    <t>204/23</t>
  </si>
  <si>
    <t>205/23</t>
  </si>
  <si>
    <t>206/23</t>
  </si>
  <si>
    <t>207/23</t>
  </si>
  <si>
    <t>208/23</t>
  </si>
  <si>
    <t>209/23</t>
  </si>
  <si>
    <t>210/23</t>
  </si>
  <si>
    <t xml:space="preserve">Ma Gloria de la Peña </t>
  </si>
  <si>
    <t>33-1670-4746</t>
  </si>
  <si>
    <t>Manuel Acuña #3389 Casa $ coto Jardín Col Monraz, Gdl</t>
  </si>
  <si>
    <t>No lavaron debajo de la cama, ni atrás de buroes</t>
  </si>
  <si>
    <t>Se manda WA, estuvo bien</t>
  </si>
  <si>
    <t>Se manda WA, excelente servicio, nos recomendará</t>
  </si>
  <si>
    <t>Humberto Hernández / Ridleyones</t>
  </si>
  <si>
    <t>33-1614-0116</t>
  </si>
  <si>
    <t>Justo Sierra #2436 Col. Ladrón de Guevara, Gdl</t>
  </si>
  <si>
    <t xml:space="preserve">Alfombra, Senc  </t>
  </si>
  <si>
    <t>Muy buen trabajo</t>
  </si>
  <si>
    <t>Valparaiso #2436 Col Providencia, Zapopan</t>
  </si>
  <si>
    <t>Alfombra, cama de perro Senc, PURT</t>
  </si>
  <si>
    <t>Alfombra, sala 3 p t f, Senc</t>
  </si>
  <si>
    <t>Marlene García</t>
  </si>
  <si>
    <t>Sala 5 p t f, 2 tapete sint, Sala 1 p a r, Sillas a y r, Senc, PURT</t>
  </si>
  <si>
    <t>Aideé Dominguez</t>
  </si>
  <si>
    <t>33-1895-1479</t>
  </si>
  <si>
    <t>Av Paseo de la Toscana #808 Casa 92 Fracc La Toscana Zapopan</t>
  </si>
  <si>
    <t>Zoraya Navarro</t>
  </si>
  <si>
    <t>33-1318-7139</t>
  </si>
  <si>
    <t>Relojeros #1462 Col Artesanos, Tlaque</t>
  </si>
  <si>
    <t>Sala 6 p t f, sala 3 p t r, Senc, PURT</t>
  </si>
  <si>
    <t>Sergio Torres</t>
  </si>
  <si>
    <t>33-1316-6715</t>
  </si>
  <si>
    <t>Calle Central #40 Int Circ B 242 Col. Cd. Aztlán, Tonalá</t>
  </si>
  <si>
    <t>Sala 6 p t r, Eco</t>
  </si>
  <si>
    <t>Alfonso Rodríguez</t>
  </si>
  <si>
    <t>33-1369-1353</t>
  </si>
  <si>
    <t>Eulogio Parra #2363 Int 103 Col Providencia, Zapopan</t>
  </si>
  <si>
    <t>Sala 4 p t f, Sillas a y r Eco</t>
  </si>
  <si>
    <t>Mario León</t>
  </si>
  <si>
    <t>33-1091-4798</t>
  </si>
  <si>
    <t>Priv Nuño de Guzmán #1267, Zoquipan, Zapopan</t>
  </si>
  <si>
    <t>Colchón KS, Prot</t>
  </si>
  <si>
    <t>Sala 6 p t f, Coj, Eco</t>
  </si>
  <si>
    <t>Colchón KS, Base, Cabecera, Tapete sint, Sala 8 p t r, Colchón Ind, Senc, Colchón cuna Healty</t>
  </si>
  <si>
    <t>Interior tela coche peq, Coj, Sillas a y r, 2 tapete sint, Sala 5 p r r, tab, Eco</t>
  </si>
  <si>
    <t>Sala 5 p t f, Sillas a y r, Tapete sint Senc</t>
  </si>
  <si>
    <t>Se manda WA, satisfactorio</t>
  </si>
  <si>
    <t>Casino Play City Gran Plaza</t>
  </si>
  <si>
    <t>Gran Plaza</t>
  </si>
  <si>
    <t>Cliente MUY malo</t>
  </si>
  <si>
    <t>Verónica Ayón</t>
  </si>
  <si>
    <t>33-1345-4140</t>
  </si>
  <si>
    <t>Del Menhir Sur #695 Col Altamira, Zapopan</t>
  </si>
  <si>
    <t>Colchón Ind, Eco PURT</t>
  </si>
  <si>
    <t>Andrés Ramos</t>
  </si>
  <si>
    <t>55-4557-0755</t>
  </si>
  <si>
    <t>Maestranza #1013 Col Jardines de Gpe, Zapopan</t>
  </si>
  <si>
    <t>Franq</t>
  </si>
  <si>
    <t>Alejandra Sisure</t>
  </si>
  <si>
    <t>33-3444-9020</t>
  </si>
  <si>
    <t>Eva Briseño #702 Depto 4 E col Sta Fe, Zapopan</t>
  </si>
  <si>
    <t>Sala 3 p r r, Sala 4 r r, Sala 3 p t f, Prot</t>
  </si>
  <si>
    <t>Se manda WA, el colchón quedó con olor</t>
  </si>
  <si>
    <t>Se manda WA, fueron profesionales y todo en orden</t>
  </si>
  <si>
    <t>211/23</t>
  </si>
  <si>
    <t>212/23</t>
  </si>
  <si>
    <t>213/23</t>
  </si>
  <si>
    <t>214/23</t>
  </si>
  <si>
    <t>215/23</t>
  </si>
  <si>
    <t>216/23</t>
  </si>
  <si>
    <t>217/23</t>
  </si>
  <si>
    <t>218/23</t>
  </si>
  <si>
    <t>219/23</t>
  </si>
  <si>
    <t>220/23</t>
  </si>
  <si>
    <t>221/23</t>
  </si>
  <si>
    <t>222/23</t>
  </si>
  <si>
    <t>Interior coche chico Senc, Interior coche med Prem</t>
  </si>
  <si>
    <t>Se manda WA, excelente todo</t>
  </si>
  <si>
    <t>Gemma Solórzano</t>
  </si>
  <si>
    <t>33-1144-3724</t>
  </si>
  <si>
    <t>Mar Mediterráneo #1196 Col Country Club Zapopan</t>
  </si>
  <si>
    <t>Tapete de lana Eco</t>
  </si>
  <si>
    <t>SAT devolución</t>
  </si>
  <si>
    <t>Se manda WA, no se quitó el olor, se regresa</t>
  </si>
  <si>
    <t>Se manda WA, muy profesionales</t>
  </si>
  <si>
    <t>Gabriela Ponce</t>
  </si>
  <si>
    <t>Río Bco #1900 casa 137 Fracc Res Argenta Zapopan</t>
  </si>
  <si>
    <t xml:space="preserve">Sala 5 p t f, Eco  </t>
  </si>
  <si>
    <t>Todo muy bien, ella muy amable y tonta, la hija un problema…</t>
  </si>
  <si>
    <t>Olivia Neill Cubeyo</t>
  </si>
  <si>
    <t>33-1293-4489</t>
  </si>
  <si>
    <t>Paseo de los Robles #295 Prol Mno Otero Fracc Los Robles Coto Encinos, Zapopan</t>
  </si>
  <si>
    <t>Face</t>
  </si>
  <si>
    <t>Sala 5 p r r, Sala 3 p r r, Senc</t>
  </si>
  <si>
    <t>Claudia Isabel Rmz Ponce / Gabriela Ponce</t>
  </si>
  <si>
    <t>Paseo de los Robles #188 Prol Mno Otero Fracc Los Robles Coto Helechos casa 100, Zapopan</t>
  </si>
  <si>
    <t>Tapete sint, Silla a y r Eco</t>
  </si>
  <si>
    <t>Todo bien, hija, son muy confictivas</t>
  </si>
  <si>
    <t>Laura Santa Cruz</t>
  </si>
  <si>
    <t>33-2169-5477</t>
  </si>
  <si>
    <t>Natividad Macias #428 Coto Casa 9, Zapoapn</t>
  </si>
  <si>
    <t>Sala 6 p t f, Sillas a y r Prot</t>
  </si>
  <si>
    <t>223/23</t>
  </si>
  <si>
    <t>224/23</t>
  </si>
  <si>
    <t>225/23</t>
  </si>
  <si>
    <t>226/23</t>
  </si>
  <si>
    <t>Guillermo Arámbula Orozco</t>
  </si>
  <si>
    <t>33-3954-7253</t>
  </si>
  <si>
    <t>La Rioja #2837 depto 1 Col Colomos Providencia, Zapopan</t>
  </si>
  <si>
    <t>Sala 3 p r r, Tapete sint, Prem, PURT</t>
  </si>
  <si>
    <t>Estela Rentería</t>
  </si>
  <si>
    <t>33-3453-3093</t>
  </si>
  <si>
    <t>Calle del Mar #29 Coto Tierra Residencial, Zapopan</t>
  </si>
  <si>
    <t>Futón, Colchón Mat, Senc</t>
  </si>
  <si>
    <t>Se manda WA, el sillon es de 4 p, le encantó repetirá</t>
  </si>
  <si>
    <t>Diana Mayte Cerda Ortíz</t>
  </si>
  <si>
    <t>33-3662-6621</t>
  </si>
  <si>
    <t>Giralda #99 Int Primavera #7 col. La Giralda, Gdl</t>
  </si>
  <si>
    <t>Se manda WA, muy limpia, y rápida</t>
  </si>
  <si>
    <t>Yolanda Delgadillo</t>
  </si>
  <si>
    <t>33-1062-8330</t>
  </si>
  <si>
    <t>Av Sto Domingo #4358 Int Leonardo # 191 Fracc Palermo, Zapopan</t>
  </si>
  <si>
    <t>Tapete sint Healty, PURT</t>
  </si>
  <si>
    <t>Sala 7 p r r, Sillas s a, bancos Senc</t>
  </si>
  <si>
    <t>Se manda WA, su sala es de 7 p, ella insiste que 5, se le da aun precio del año pasado, pero se sube $10.00 cada silla</t>
  </si>
  <si>
    <t>Myrta Faviola Diaz Castro</t>
  </si>
  <si>
    <t>33-1039-7669</t>
  </si>
  <si>
    <t>Paseo de los Chopos #2600 Fracc Tabachines Zapopan</t>
  </si>
  <si>
    <t>Sala 6 p t f, Sillas s a, colchón ind, Senc</t>
  </si>
  <si>
    <t>Tapete sint, Healty, PURT</t>
  </si>
  <si>
    <t>Banregio Suc zona Industrial</t>
  </si>
  <si>
    <t>Sillas a y r prem</t>
  </si>
  <si>
    <t>Quedan bien</t>
  </si>
  <si>
    <t>Banregio</t>
  </si>
  <si>
    <t>Suc Zona Industrial</t>
  </si>
  <si>
    <t>quedan bien</t>
  </si>
  <si>
    <t>Se manda WA, excelente, felicitó</t>
  </si>
  <si>
    <t>Elizabeth Uribe</t>
  </si>
  <si>
    <t>33-1465-5891</t>
  </si>
  <si>
    <t>Av Jesús #3841 Coto Del Carmen II Int San Manuel 1 Col Jardines del Valle, Zapopan</t>
  </si>
  <si>
    <t>Sala 5 p t f Prot, Colchón Ind Eco, PURT</t>
  </si>
  <si>
    <t>Carlos Briseño</t>
  </si>
  <si>
    <t>33-2523-7835</t>
  </si>
  <si>
    <t>Calle de la Tilma de Juan Diego #69 Col Chapalita, Zapopan</t>
  </si>
  <si>
    <t>Sala 6 p t f, 4 Colchones ind Senc</t>
  </si>
  <si>
    <t>Se manda WA, se secaron rápido y todo bien</t>
  </si>
  <si>
    <t>Julio César Navarro Lara/ Trini</t>
  </si>
  <si>
    <t>33-3162-0815</t>
  </si>
  <si>
    <t>Zarzamora #937 Gdl</t>
  </si>
  <si>
    <t>Se manda mail</t>
  </si>
  <si>
    <t>ma Elena Ruiz Vázquez</t>
  </si>
  <si>
    <t>33-1147-7021</t>
  </si>
  <si>
    <t>Loma Quieta sur #8417 Col Loma Dorada, Tonalá</t>
  </si>
  <si>
    <t>Sala 5 p t f,  Senc, PURT</t>
  </si>
  <si>
    <t>Muy satisfecha, nos recomendará</t>
  </si>
  <si>
    <t>227/23</t>
  </si>
  <si>
    <t>228/23</t>
  </si>
  <si>
    <t>229/23</t>
  </si>
  <si>
    <t>230/23</t>
  </si>
  <si>
    <t>Tapete de algodón, Prem,  tapete sint, Tapete viscosa, Senc, PURT</t>
  </si>
  <si>
    <t>Pamela Troncoso</t>
  </si>
  <si>
    <t>33-3167-0653</t>
  </si>
  <si>
    <t>Andrómeda #5009 Int 2 La Calma, Zapopan</t>
  </si>
  <si>
    <t>2 Tapetes sint (1 yute), Senc, PURT</t>
  </si>
  <si>
    <t>Diana Galaviz</t>
  </si>
  <si>
    <t>33-3201-8788</t>
  </si>
  <si>
    <t>La Joya I Villa Serena, Prol Av Gpe #6980 Int 50, Zapopan</t>
  </si>
  <si>
    <t>Sala 5 p r r, Senc</t>
  </si>
  <si>
    <t>Israel Chávez / Javier Ballesteros</t>
  </si>
  <si>
    <t>33-3955-5779</t>
  </si>
  <si>
    <t>San Bonifacio #400 Res Chapalita Casa 1086 Coto Barcelona, Zapopan</t>
  </si>
  <si>
    <t>Tapete Sint Senc, PURT</t>
  </si>
  <si>
    <t>Pedro García</t>
  </si>
  <si>
    <t>33-1407-8945</t>
  </si>
  <si>
    <t>Lleva el tapete al taller</t>
  </si>
  <si>
    <t>Patricio Ruiz</t>
  </si>
  <si>
    <t>33-3322-1043</t>
  </si>
  <si>
    <t>Monte Apalache #138 Col Independencia Gdl</t>
  </si>
  <si>
    <t>Colchón QS Eco, PURT</t>
  </si>
  <si>
    <t>Iliana Montes Reyes</t>
  </si>
  <si>
    <t>33-1102-1114</t>
  </si>
  <si>
    <t>Rinc. Del Olmo #122 Coto Ric. De Gpe, Zapopan</t>
  </si>
  <si>
    <t>Colchón QS Senc, PURT</t>
  </si>
  <si>
    <t>Cristian Gustavo Gutiérrez Gutiérrez</t>
  </si>
  <si>
    <t>33-3473-4146</t>
  </si>
  <si>
    <t>Valle del Río Jordán #50 Coto Río de la Plata Col. Camichines 2 a Secc. Tonalá</t>
  </si>
  <si>
    <t>Sala 4 p t f, Eco</t>
  </si>
  <si>
    <t>Griselda Sáenz</t>
  </si>
  <si>
    <t>33-3677-7081</t>
  </si>
  <si>
    <t>Batalle de Calderón #3622 Fracc Hac San Pedro, Tlaque</t>
  </si>
  <si>
    <t>Colchón Ind, QS, Base Eco</t>
  </si>
  <si>
    <t>231/23</t>
  </si>
  <si>
    <t>232/23</t>
  </si>
  <si>
    <t>Leonel García</t>
  </si>
  <si>
    <t>33-2585-9842</t>
  </si>
  <si>
    <t>Callejón del sereno #4312 Zapopan</t>
  </si>
  <si>
    <t>3 tapetes sint Eco, PURT</t>
  </si>
  <si>
    <t>Miguel Angel Corrales Pérez</t>
  </si>
  <si>
    <t>33-1148-5574</t>
  </si>
  <si>
    <t>Av Miguel Angel #70 Int 2 Col Real Vallarta, zapopan</t>
  </si>
  <si>
    <t>3 tapetes sint Senc</t>
  </si>
  <si>
    <t>todo muy bien</t>
  </si>
  <si>
    <t>Mar Egeo #1442 Int 403 Col Country Club Zapopan</t>
  </si>
  <si>
    <t>Sala 3 p t f, Torre de gatos Prot</t>
  </si>
  <si>
    <t>Julio Rodrígez Newton</t>
  </si>
  <si>
    <t>33-1728-5405</t>
  </si>
  <si>
    <t>Cond Munah Smart Life Casa 51 Zapopan</t>
  </si>
  <si>
    <t>Sala 4 p r r, Cama abajo Eco</t>
  </si>
  <si>
    <t>Gema García</t>
  </si>
  <si>
    <t>Sillas a y r, Sala 3 p r r, tab, Prem</t>
  </si>
  <si>
    <t>Es tia, Raúl lo ve</t>
  </si>
  <si>
    <t>María Franco / Los Chilaquiles</t>
  </si>
  <si>
    <t>33-1574-8333</t>
  </si>
  <si>
    <t>Suc Lázarpo Cárdenas</t>
  </si>
  <si>
    <t>Pasto sint Eco</t>
  </si>
  <si>
    <t>Diana Curiel / Brenda Hinojosa</t>
  </si>
  <si>
    <t>33-1308-6142</t>
  </si>
  <si>
    <t>Ingnacio Rmz #1238 Col. Mezquitán Country Zapopan</t>
  </si>
  <si>
    <t>Sala 3 p t f, Tapete sint, Eco</t>
  </si>
  <si>
    <t>Quedó super bien</t>
  </si>
  <si>
    <t>Se manda WA, quedaron muy bien, y excelente servicio</t>
  </si>
  <si>
    <t>Se manda WA, lo checarán</t>
  </si>
  <si>
    <t xml:space="preserve">Albina Reynoso </t>
  </si>
  <si>
    <t>33-1342-0837</t>
  </si>
  <si>
    <t>Isla del coco #2280 Col Jardines del Sur</t>
  </si>
  <si>
    <t>Sala 3 p t f, colchón Ind, Senc</t>
  </si>
  <si>
    <t>33-1452-6609</t>
  </si>
  <si>
    <t>Juan José Bernal Cervantes</t>
  </si>
  <si>
    <t>Circ Loma Sur #8775 Int 3 Col Loma Dorada, Tonalá</t>
  </si>
  <si>
    <t>233/23</t>
  </si>
  <si>
    <t>234/23</t>
  </si>
  <si>
    <t>235/23</t>
  </si>
  <si>
    <t>236/23</t>
  </si>
  <si>
    <t>237/23</t>
  </si>
  <si>
    <t>238/23</t>
  </si>
  <si>
    <t>239/23</t>
  </si>
  <si>
    <t>Av de las Lomas #50 Coto Estepa #7, Zapopan</t>
  </si>
  <si>
    <t>Chaise lounge, Tapete sint, Senc PURT</t>
  </si>
  <si>
    <t>Se manda WA, 100% satisfecho</t>
  </si>
  <si>
    <t>Gloria Gutierrez Gomez</t>
  </si>
  <si>
    <t>33-3508-4821</t>
  </si>
  <si>
    <t>Paseo de los virreyes #4213 Col Universitaria, Zapopan</t>
  </si>
  <si>
    <t>Alfombra senc</t>
  </si>
  <si>
    <t>Alejandra Gómez / Colliers Lomelín</t>
  </si>
  <si>
    <t>33-1405-6920</t>
  </si>
  <si>
    <t>Av Adolfo López Mateos Nte #2405 Piso 18 Int 1 Col. Italia Providencia, Zapopan</t>
  </si>
  <si>
    <t>Quedó super bien, se nota la diferencia</t>
  </si>
  <si>
    <t>Ernest Hemingway #262 Col Jardines de la patria, Zapopan</t>
  </si>
  <si>
    <t>Gema Espinosa García</t>
  </si>
  <si>
    <t>Coto Valle Esmeralda Av sta Margarita #4950 Int Nube Nimbus #108, Zapopan</t>
  </si>
  <si>
    <t>Prima</t>
  </si>
  <si>
    <t>Sala 1 p a r, Prem</t>
  </si>
  <si>
    <t>Raúl lo checa</t>
  </si>
  <si>
    <t>Tapete sint Prem, Colchón cuna, sala 1 p t f, Senc</t>
  </si>
  <si>
    <t>Se manda WA, quedó muy contenta, nos seguirá llamando</t>
  </si>
  <si>
    <t>Elizabeth Peralta</t>
  </si>
  <si>
    <t>33-3411-0711</t>
  </si>
  <si>
    <t>Av Valle de México #2705 Int 4 Col Jardines del Valle,  Zapopan</t>
  </si>
  <si>
    <t>Colchón QS, Prot</t>
  </si>
  <si>
    <t>240/23</t>
  </si>
  <si>
    <t>241/23</t>
  </si>
  <si>
    <t>242/23</t>
  </si>
  <si>
    <t>243/23</t>
  </si>
  <si>
    <t>244/23</t>
  </si>
  <si>
    <t>245/23</t>
  </si>
  <si>
    <t>246/23</t>
  </si>
  <si>
    <t>247/23</t>
  </si>
  <si>
    <t>248/23</t>
  </si>
  <si>
    <t>249/23</t>
  </si>
  <si>
    <t>250/23</t>
  </si>
  <si>
    <t>María Ortíz / Los Chilaquiles</t>
  </si>
  <si>
    <t>33-1574-8396</t>
  </si>
  <si>
    <t>Suc Patria</t>
  </si>
  <si>
    <t>Se manda WA, muy bonita, como siempre</t>
  </si>
  <si>
    <t>Angélica Rodríguez</t>
  </si>
  <si>
    <t>Alfombra Eco, 2 tapete sint Senc</t>
  </si>
  <si>
    <t>Reptirá</t>
  </si>
  <si>
    <t>Interior tela Pick up doble cabina, Colchón KS, Senc</t>
  </si>
  <si>
    <t>Ma Dolores Aguilar</t>
  </si>
  <si>
    <t>33-2119-3128</t>
  </si>
  <si>
    <t>Mezquitán #758 Gdl</t>
  </si>
  <si>
    <t>Irma Ramírez</t>
  </si>
  <si>
    <t>33-3495-9389</t>
  </si>
  <si>
    <t>Circ. Federalistas Jalicienses #3305 Col Res Pte, Zapopan</t>
  </si>
  <si>
    <t>2 colchones mat, Senc, Antiac</t>
  </si>
  <si>
    <t>Alejandra León / Esmeralda Chávez</t>
  </si>
  <si>
    <t>251/23</t>
  </si>
  <si>
    <t>252/23</t>
  </si>
  <si>
    <t>253/23</t>
  </si>
  <si>
    <t>254/23</t>
  </si>
  <si>
    <t>255/23</t>
  </si>
  <si>
    <t>256/23</t>
  </si>
  <si>
    <t>257/23</t>
  </si>
  <si>
    <t>258/23</t>
  </si>
  <si>
    <t>259/23</t>
  </si>
  <si>
    <t>260/23</t>
  </si>
  <si>
    <t>261/23</t>
  </si>
  <si>
    <t>262/23</t>
  </si>
  <si>
    <t>263/23</t>
  </si>
  <si>
    <t>Eduardo Ramos</t>
  </si>
  <si>
    <t>33-3577-4765</t>
  </si>
  <si>
    <t>Estela Vargas Gallegos #1466 Col Educadores Jal, Tonalá</t>
  </si>
  <si>
    <t>Sala 4 p t f, Prem, Sillas a y r Eco</t>
  </si>
  <si>
    <t>Se manda WA, muy padre</t>
  </si>
  <si>
    <t>Se manda WA, le quedó uno igual, el otro muy bien</t>
  </si>
  <si>
    <t>Leona Vicario #2309 Col La Haciendita, Zapopan</t>
  </si>
  <si>
    <t>Georgina Sanchez / Gina</t>
  </si>
  <si>
    <t>33-1343-0826</t>
  </si>
  <si>
    <t>Av Nac Unidas #5776 Coto Bristol Casa 34 Zapopan</t>
  </si>
  <si>
    <t xml:space="preserve">Claudia Corona </t>
  </si>
  <si>
    <t>Casiopea #3387 Col La Calma, Zapopan</t>
  </si>
  <si>
    <t>Sala 10 p t r, Sala 1 p t f, Senc</t>
  </si>
  <si>
    <t>Se manda WA, todo en orden</t>
  </si>
  <si>
    <t>Se manda WA, quedó una manchita</t>
  </si>
  <si>
    <t>Ana Margarita Carrillo Méndez</t>
  </si>
  <si>
    <t>33-3471-9695</t>
  </si>
  <si>
    <t>Priv Río Ameca #10 Col Atlas, Tlaque</t>
  </si>
  <si>
    <t>Sala3 p t f, Sala 3 p a r, Sala 1 p a r, Senc, PURT</t>
  </si>
  <si>
    <t>Se manda WA, quedaron muy mojados, pero de la limpieza bien</t>
  </si>
  <si>
    <t>Lizbeth Valencia Díaz</t>
  </si>
  <si>
    <t>33-2644-1628</t>
  </si>
  <si>
    <t>José Gmo Carbo #4326 Col % de Mayo, Gdl</t>
  </si>
  <si>
    <t>Sala 12 p t f, silla a y r, colchón Ind, QS, Senc</t>
  </si>
  <si>
    <t>Se manda WA, lo va a revisar</t>
  </si>
  <si>
    <t>Alejandra Mare</t>
  </si>
  <si>
    <t>33-1458-1454</t>
  </si>
  <si>
    <t>José Ma. Rodríguez #2089 Col Jardines Alcalde, Gdl</t>
  </si>
  <si>
    <t>Muy bonito</t>
  </si>
  <si>
    <t>Elizabeth Torres Silva</t>
  </si>
  <si>
    <t>33-1299-5351</t>
  </si>
  <si>
    <t>Av Universidad #2662 Int 11 C Col Virreyes Res, Cond Pta Las Lomas, Zapopan</t>
  </si>
  <si>
    <t>Sala 8 p t r, Sala 4 p t r, Prot</t>
  </si>
  <si>
    <t>Norma Huerta</t>
  </si>
  <si>
    <t>33-3440-0931</t>
  </si>
  <si>
    <t>San Marcelo #2110 Casa 52 Cond Real San Bernardo, Zapopan</t>
  </si>
  <si>
    <t>Sala 2 p r r, colchón mat (sillón tipo) Eco PURT</t>
  </si>
  <si>
    <t>Catalina Morfín</t>
  </si>
  <si>
    <t>33-1486-3234</t>
  </si>
  <si>
    <t>Cuachtemoc #1057 Col. Cd. De los niños, Zapopan</t>
  </si>
  <si>
    <t>Sala 2 p a r, Sala 5 p t r, Sala 1 p t r, Silla a y r, Silla s a, Prot</t>
  </si>
  <si>
    <t>Se manda WA, si quedaron bien</t>
  </si>
  <si>
    <t>Luis Alberto Espinoza Rubalcaba</t>
  </si>
  <si>
    <t>33-3258-8654</t>
  </si>
  <si>
    <t>Jacarandas #2 Col Alamo, Tala Jal</t>
  </si>
  <si>
    <t>Sala 8 p t f, Reposet, Prem</t>
  </si>
  <si>
    <t>Todo quedó muy bien, repetirán</t>
  </si>
  <si>
    <t>Karla Landgrave</t>
  </si>
  <si>
    <t>33-1486-9769</t>
  </si>
  <si>
    <t>Galicia #1374 Col Bosque Valdepeñas, Zapopan</t>
  </si>
  <si>
    <t>Colchón Ind, Healty, PURT</t>
  </si>
  <si>
    <t>Cristina Velasco</t>
  </si>
  <si>
    <t>33-1699-9030</t>
  </si>
  <si>
    <t>José Ma Vigil #3021 Int 203  Col Prados Providencia, Zapopan</t>
  </si>
  <si>
    <t>Sala 4 p t f, Coj, Sillas a y r,  2 Sillas de bb, Senc, Sillas a y r Piel</t>
  </si>
  <si>
    <t>Se regresa a repasar</t>
  </si>
  <si>
    <t>Mayela Suarez</t>
  </si>
  <si>
    <t>44-4130-5205</t>
  </si>
  <si>
    <t>Paseo Solares #999 Casa 124 coto 8 Sabeira, Zapopan</t>
  </si>
  <si>
    <t>Sala 7 p r r, Coj, Sala 6 p t f, Tapete de piel, Tapete sint, Senc , PURT</t>
  </si>
  <si>
    <t>El tapete de piel, se dañó, no se cobra</t>
  </si>
  <si>
    <t>Ricardo Cueto</t>
  </si>
  <si>
    <t>33-3129-7716</t>
  </si>
  <si>
    <t>Torre lomas altas Av Lomas Altas #4706 Int 405 Col Jardines de la patria, Zapopan</t>
  </si>
  <si>
    <t>Sala 5 p t f, Eco</t>
  </si>
  <si>
    <t>Se manda WA, bien y buen servicio</t>
  </si>
  <si>
    <t>Araceli López</t>
  </si>
  <si>
    <t>33-3105-1197</t>
  </si>
  <si>
    <t>Paseo Royal Country #5714 Casa 16 Cond Abadía, Col Pta de Hierro, Zapopan</t>
  </si>
  <si>
    <t>Muy bien, nos recomienda</t>
  </si>
  <si>
    <t>Muy bien, nos recomienda!</t>
  </si>
  <si>
    <t>Leticia Luciano</t>
  </si>
  <si>
    <t>33-3841-0927</t>
  </si>
  <si>
    <t>Manzano #5 Col Lomas de Tabachines, Zapopan</t>
  </si>
  <si>
    <t>Sala 4 p t f eco</t>
  </si>
  <si>
    <t>Muy Cutre</t>
  </si>
  <si>
    <t>Jonathan Arévalo</t>
  </si>
  <si>
    <t>33-1602-5103</t>
  </si>
  <si>
    <t>Paseo Torremolinos Pte #234 Coto Fracc Fco Villa III col Fco Villa, Zapopan</t>
  </si>
  <si>
    <t>Colchón KS, Eco, PURT</t>
  </si>
  <si>
    <t>Sharon Rmz</t>
  </si>
  <si>
    <t>33-2461-6791</t>
  </si>
  <si>
    <t>Tenerías #385 Col El Retiro, Gdl</t>
  </si>
  <si>
    <t>Sala 5 p r r, Sillas s a, Senc</t>
  </si>
  <si>
    <t>Mar González</t>
  </si>
  <si>
    <t>33-3491-2603</t>
  </si>
  <si>
    <t>Doctores #1009 Col Jardines de Gpe, Gdl</t>
  </si>
  <si>
    <t>Sala 2 p t f, Prem, PURT</t>
  </si>
  <si>
    <t>264/23</t>
  </si>
  <si>
    <t>265/23</t>
  </si>
  <si>
    <t>266/23</t>
  </si>
  <si>
    <t>267/23</t>
  </si>
  <si>
    <t>268/23</t>
  </si>
  <si>
    <t>269/23</t>
  </si>
  <si>
    <t>270/23</t>
  </si>
  <si>
    <t>271/23</t>
  </si>
  <si>
    <t>272/23</t>
  </si>
  <si>
    <t>273/23</t>
  </si>
  <si>
    <t>274/23</t>
  </si>
  <si>
    <t>275/23</t>
  </si>
  <si>
    <t>276/23</t>
  </si>
  <si>
    <t>277/23</t>
  </si>
  <si>
    <t>278/23</t>
  </si>
  <si>
    <t>Gabriela Castro</t>
  </si>
  <si>
    <t>33-1895-3655</t>
  </si>
  <si>
    <t>Paseo Royal Country #5714 Casa 1 Cond Abadía, Col Pta de Hierro, Zapopan</t>
  </si>
  <si>
    <t>Sala 6 p t f, Coj, Sillas a y r</t>
  </si>
  <si>
    <t>Griselda Dueñas</t>
  </si>
  <si>
    <t>33-1358-1363</t>
  </si>
  <si>
    <t>Fracc Orange Calle Ma Uribe #737 Casa 31 Col Villas del Nilo, Gdl</t>
  </si>
  <si>
    <t>Sala 6 p r r, Silla a y r, Bancos, Eco, PURT</t>
  </si>
  <si>
    <t>Neli Loredo / Peregrinaciones</t>
  </si>
  <si>
    <t>33-1303-5291</t>
  </si>
  <si>
    <t>Av Vallarta #2460 Loc E4 y E5 2o. Piso, Zapopan</t>
  </si>
  <si>
    <t>Sillas a y r, Saillas s a, Prot</t>
  </si>
  <si>
    <t>Guadalupe Mora</t>
  </si>
  <si>
    <t>33-1254-6555</t>
  </si>
  <si>
    <t>Av del Bosque #3428 Bosque Res Natura, Zapopan</t>
  </si>
  <si>
    <t>Sala 3 p t f, Tapete sint, Prot</t>
  </si>
  <si>
    <t>EsmeraldaChávez / Alejandra León / Hector Hdez</t>
  </si>
  <si>
    <t>33-1845-8555</t>
  </si>
  <si>
    <t>Sala 5 p t r, Prot, Tapete sint, Tapete viscosa, Senc, PURT</t>
  </si>
  <si>
    <t>MUY MALOS CLIENTES! TARDAN EN PAGAR Y HAY QUE ROGAR</t>
  </si>
  <si>
    <t>Elizabeth Aranda</t>
  </si>
  <si>
    <t>33-1116-1763</t>
  </si>
  <si>
    <t>Miguel Hidalgo #1845 Col Ladrón de Guevara, Gdl</t>
  </si>
  <si>
    <t>2 tapete sint, Eco, PURT</t>
  </si>
  <si>
    <t>José Luis Jasso</t>
  </si>
  <si>
    <t>33-3129-7665</t>
  </si>
  <si>
    <t>Muy bien, pero quiere que se repase</t>
  </si>
  <si>
    <t>Carmen Sanchez</t>
  </si>
  <si>
    <t>55-7956-8568</t>
  </si>
  <si>
    <t>Montreal #1669-3 Col Providencia, Zapopan</t>
  </si>
  <si>
    <t>Sala 4 p a r, Coj, Cabecera y base KS Senc</t>
  </si>
  <si>
    <t>Muy bien</t>
  </si>
  <si>
    <t>Erika Cuellar</t>
  </si>
  <si>
    <t>33-1047-7885</t>
  </si>
  <si>
    <t>Rayo #2656, Gdl</t>
  </si>
  <si>
    <t>Gabriela Solís Quiroz</t>
  </si>
  <si>
    <t>33-1600-7427</t>
  </si>
  <si>
    <t>Hípico #6 casa 193 Col Jocotán coto Vallarta San Ignacio, Zapopan</t>
  </si>
  <si>
    <t>Quedó bin, pero cliente MUY dificil</t>
  </si>
  <si>
    <t>Carlos Barragán / Fracc Solares</t>
  </si>
  <si>
    <t>33-1697-1947</t>
  </si>
  <si>
    <t>Fracc Solares 10 Vasanta, Zapopan</t>
  </si>
  <si>
    <t>Sala 8 p r r, Senc</t>
  </si>
  <si>
    <t>Sala 4 p r r, Coj, Sillas s a, Eco</t>
  </si>
  <si>
    <t>Se manda WA, quedó bien, pero se regresa a repasar unas manchas</t>
  </si>
  <si>
    <t>Juan Gilberto Lamas Pérez</t>
  </si>
  <si>
    <t>33-3167-1082</t>
  </si>
  <si>
    <t>Paseo los trigales #315 Col Senderos de Monteverde, Tlajo</t>
  </si>
  <si>
    <t>Colchón KS, Sillas a y r, Sillas s a, Prot, PURT</t>
  </si>
  <si>
    <t>Carlos Cuellar / Cushman</t>
  </si>
  <si>
    <t>33-2110-0782</t>
  </si>
  <si>
    <t>Av Amado Nervo #2200 Torre Bio II Piso 4 Col Jardines del Sol, GDL</t>
  </si>
  <si>
    <t>Adriana González</t>
  </si>
  <si>
    <t>33-3952-8643</t>
  </si>
  <si>
    <t>Royal Country #5714 Casa 22 Res Abadía, Zapopan</t>
  </si>
  <si>
    <t>2 tapetes lana, 2 tapetes sint, Senc, PURT</t>
  </si>
  <si>
    <t>Lucio Omar Flores Velázquez</t>
  </si>
  <si>
    <t>33-2922-1918</t>
  </si>
  <si>
    <t>Playa Yelapa Sur #12801 Col Nva Primavera, Zapopan</t>
  </si>
  <si>
    <t>Sala 4 p t f, Sillas a y r, Banca, Eco</t>
  </si>
  <si>
    <t>Se manda WA, muy malos clientes</t>
  </si>
  <si>
    <t>279/23</t>
  </si>
  <si>
    <t>280/23</t>
  </si>
  <si>
    <t>281/23</t>
  </si>
  <si>
    <t>282/23</t>
  </si>
  <si>
    <t>283/23</t>
  </si>
  <si>
    <t>284/23</t>
  </si>
  <si>
    <t>285/23</t>
  </si>
  <si>
    <t>Carmina Rivera</t>
  </si>
  <si>
    <t>33-2904-0133</t>
  </si>
  <si>
    <t>Antonio León #280 Col Ladrón de Guevara, Gdl</t>
  </si>
  <si>
    <t>3 tapetes sint, Prot, PURT</t>
  </si>
  <si>
    <t>66-4246-9108</t>
  </si>
  <si>
    <t>Cintia Navarro</t>
  </si>
  <si>
    <t>33-3156-8592</t>
  </si>
  <si>
    <t>Villalta #1583 Col Hac del Tepeyac, Gdl</t>
  </si>
  <si>
    <t>Sala 4 p t f, Futón, Sillas s a, Banca, Sala 2 p t f, Senc</t>
  </si>
  <si>
    <t>Muy limpios</t>
  </si>
  <si>
    <t>Se manda WA, no contesta y no paga</t>
  </si>
  <si>
    <t>Mariana Hernández</t>
  </si>
  <si>
    <t>33-1195-1288</t>
  </si>
  <si>
    <t>Volcán Pelee #468 Int 603, Gdl</t>
  </si>
  <si>
    <t>Universidad Lamar</t>
  </si>
  <si>
    <t>33-1863-7339</t>
  </si>
  <si>
    <t>Campus Americana</t>
  </si>
  <si>
    <t>6 sala 3 p t f, 2 sala 2 p t f, 1 sala 1 p t f, Senc</t>
  </si>
  <si>
    <t>Lo van a checar</t>
  </si>
  <si>
    <t>Evelia Abundis</t>
  </si>
  <si>
    <t>33-1279-0758</t>
  </si>
  <si>
    <t>Av Industria Textil #2000 Int Sn Gabriel #149 Fracc Sn Fco, Zapopan</t>
  </si>
  <si>
    <t>286/23</t>
  </si>
  <si>
    <t>287/23</t>
  </si>
  <si>
    <t>288/23</t>
  </si>
  <si>
    <t>289/23</t>
  </si>
  <si>
    <t>290/23</t>
  </si>
  <si>
    <t>291/23</t>
  </si>
  <si>
    <t>292/23</t>
  </si>
  <si>
    <t>293/23</t>
  </si>
  <si>
    <t>294/23</t>
  </si>
  <si>
    <t>295/23</t>
  </si>
  <si>
    <t>296/23</t>
  </si>
  <si>
    <t>297/23</t>
  </si>
  <si>
    <t>298/23</t>
  </si>
  <si>
    <t>299/23</t>
  </si>
  <si>
    <t>Ma José de la Torre Altamirano</t>
  </si>
  <si>
    <t>47-7786-1910</t>
  </si>
  <si>
    <t>Calle La Serena #2767 Depto 608 Col Colomos Providencia, Zapopan</t>
  </si>
  <si>
    <t>300/23</t>
  </si>
  <si>
    <t>301/23</t>
  </si>
  <si>
    <t>302/23</t>
  </si>
  <si>
    <t>303/23</t>
  </si>
  <si>
    <t>304/23</t>
  </si>
  <si>
    <t>Juan Miguel Camarena Vazquez</t>
  </si>
  <si>
    <t>44-9112-8037</t>
  </si>
  <si>
    <t>Del Greco #5214 Int 4 Col Real Vallarta; Zapopan</t>
  </si>
  <si>
    <t>Colchón Mat, Healty</t>
  </si>
  <si>
    <t>Ana Virginia Navarro Alvarado / berries Paradise</t>
  </si>
  <si>
    <t>33-1604-3140</t>
  </si>
  <si>
    <t>Atmósfera #2877 Col. Jardines del Bosque, Gdl</t>
  </si>
  <si>
    <t>Sillas a y r, sillas s a, Mamparas, Senc</t>
  </si>
  <si>
    <t>Tala</t>
  </si>
  <si>
    <t>Alejandra Saenz</t>
  </si>
  <si>
    <t>33-1810-5866</t>
  </si>
  <si>
    <t>Magnolias #1378 Casa 14 Col Girasoles Acueducto, Zapopan</t>
  </si>
  <si>
    <t>Se manda WA, quedó bien, pero con algunas manchas</t>
  </si>
  <si>
    <t>Se manda WA, no contesta, pero llamaron de ahí mismo para repetir</t>
  </si>
  <si>
    <t>Rode López De la Rosa</t>
  </si>
  <si>
    <t>33-1208-8394</t>
  </si>
  <si>
    <t>Canaan #3474 Col Hermosa Providencia, Gdl</t>
  </si>
  <si>
    <t>Ernesto Moro / Jorge Velazco</t>
  </si>
  <si>
    <t>33-3946-6295</t>
  </si>
  <si>
    <t>Colinas de San Isidro Coto 4 Casa 24 Zapopan</t>
  </si>
  <si>
    <t xml:space="preserve">Sala 4 p t f, Prem, </t>
  </si>
  <si>
    <t>Brenda Barajas</t>
  </si>
  <si>
    <t>33-3496-1846</t>
  </si>
  <si>
    <t>Fracc. Pontevedra, Coto Paseo Valiño Casa 47 Col Bosques de Santa Anita, Tlajo</t>
  </si>
  <si>
    <t>Colchón QS, Tapete sint, Healty</t>
  </si>
  <si>
    <t>2 Colchón Ind, Senc, PURT</t>
  </si>
  <si>
    <t>Hope Vasquez</t>
  </si>
  <si>
    <t>33-3122-1931</t>
  </si>
  <si>
    <t>Ambar #2455 Depto 14 Gdl</t>
  </si>
  <si>
    <t>Sala 5 p a r, Silla s a, Tapete de lana,2  Tapete sint, Coj, Sala 2 p a r, Senc</t>
  </si>
  <si>
    <t>Claudia Reynoso</t>
  </si>
  <si>
    <t>33-3954-8434</t>
  </si>
  <si>
    <t>Mariano Otero Km 5.5 Coto Los Robles Int Circ. De los Pinos #136 Tlajo</t>
  </si>
  <si>
    <t>Mty</t>
  </si>
  <si>
    <t>Colchón KS, QS, Healty</t>
  </si>
  <si>
    <t>Ma Luisa Alba Gómez</t>
  </si>
  <si>
    <t>33-1520-1523</t>
  </si>
  <si>
    <t>Circunvalación Ote #373 Casa 15 Col Cd. Granja, Zapopan</t>
  </si>
  <si>
    <t>2 Colchón Mat, Eco</t>
  </si>
  <si>
    <t>Se manda mail, muy bien, muy contenta</t>
  </si>
  <si>
    <t>Se manda WA, excelente</t>
  </si>
  <si>
    <t>Ricardo E López Bustamante / Fátima Yasmeen López Glez</t>
  </si>
  <si>
    <t>33-3146-1436</t>
  </si>
  <si>
    <t>San Atilio #2573 Fracc Valle Real, Zapopan</t>
  </si>
  <si>
    <t>Sala 6 p t f, Reposet Piel, Sillas s a, Sala 6 p t f, Sala 2 p t f, Sillas a y r Healty</t>
  </si>
  <si>
    <t>Miguel Canela</t>
  </si>
  <si>
    <t>33-2080-0320</t>
  </si>
  <si>
    <t>Lerdo de Tejada #2275 Depto 202 Col Americana, Gdl</t>
  </si>
  <si>
    <t xml:space="preserve">Tapete Sint, Eco  </t>
  </si>
  <si>
    <t>Quedó machado, quiere que vaya Raúl a checar</t>
  </si>
  <si>
    <t>16 Sala 1 p t f, sillas a y r Prem</t>
  </si>
  <si>
    <t>Arturo Pérez</t>
  </si>
  <si>
    <t>33-1721-3383</t>
  </si>
  <si>
    <t>San Carlos #3103 Col Valle Real, Zapopan</t>
  </si>
  <si>
    <t>Sala 6 p t f, Tab, Tapete sint, Coj, Senc</t>
  </si>
  <si>
    <t>Amigo del club, Raúl le pregunta</t>
  </si>
  <si>
    <t>Enrique Hernández</t>
  </si>
  <si>
    <t>Coto Alamo casa 63, Valle Imperial, Zapopan</t>
  </si>
  <si>
    <t>Sala 2 p t f, Sillas a y r, Senc</t>
  </si>
  <si>
    <t>Eduardo Espinosa García</t>
  </si>
  <si>
    <t>Paseo San Carlos #3046 Col. Valle Real, Zapopan</t>
  </si>
  <si>
    <t>Primo</t>
  </si>
  <si>
    <t>Sillas a y r, Prem</t>
  </si>
  <si>
    <t>Primo, Raúl le pregunta</t>
  </si>
  <si>
    <t>Michelle Barrios / Construlatam</t>
  </si>
  <si>
    <t>Lázaro Cárdenas #3720 Col Jardines de San Ignacio, Zapopan</t>
  </si>
  <si>
    <t>Raúl pregunta</t>
  </si>
  <si>
    <t>Azul Miramontes</t>
  </si>
  <si>
    <t>33-1158-4745</t>
  </si>
  <si>
    <t>Av Xavier Scheffler de Amezaga #625 Col. Agrícola, Tlaque</t>
  </si>
  <si>
    <t xml:space="preserve">Tapete sint, Prem  </t>
  </si>
  <si>
    <t>Claudia Valencia</t>
  </si>
  <si>
    <t>33-2184-9572</t>
  </si>
  <si>
    <t>Av Ecónomos #6916 Int 1303 Torre A Col. Rinc Del Parque, Torre Metropark, Zapopan</t>
  </si>
  <si>
    <t>Sala 3 p t r, Coj, Sala 1 p t f, Tab, Tapete sint, Senc</t>
  </si>
  <si>
    <t>Janny Gaxiola</t>
  </si>
  <si>
    <t>33-3189-1739</t>
  </si>
  <si>
    <t>Lago Constanza #2688 Col. Lagos o Res Patria, Zapopan</t>
  </si>
  <si>
    <t>Sillas s a, coj, Colchón Mat, Senc, PURT</t>
  </si>
  <si>
    <t>No se llama, es repetición pero muy quisquillosa</t>
  </si>
  <si>
    <t>305/23</t>
  </si>
  <si>
    <t>306/23</t>
  </si>
  <si>
    <t>307/23</t>
  </si>
  <si>
    <t>71-3875-3485</t>
  </si>
  <si>
    <t>Coto la Stravagante Calle Zumaque #1371 Coto Los Girasoles, Zapopan</t>
  </si>
  <si>
    <t>MUY MAL CLIENTE, NO QUIERE LA DEVOLUCION DE LOS TAPETES Y PAGAR HASTA AGOSTO</t>
  </si>
  <si>
    <t>Paseo de los fresnos #50 Col Pinar de la Venta, Zapopan</t>
  </si>
  <si>
    <t xml:space="preserve">tapete de lana, Eco  </t>
  </si>
  <si>
    <t>Tapete de lana, Eco</t>
  </si>
  <si>
    <t>308/23</t>
  </si>
  <si>
    <t>309/23</t>
  </si>
  <si>
    <t>310/23</t>
  </si>
  <si>
    <t>Paseo de los Virreyes #4038 Col. Universidad, Zapopan</t>
  </si>
  <si>
    <t>2 Int. De tela Coche Med, Senc</t>
  </si>
  <si>
    <t>Lo iba a revisar</t>
  </si>
  <si>
    <t>Miguel Romero</t>
  </si>
  <si>
    <t>33-1020-5189</t>
  </si>
  <si>
    <t>Diagonal San Jorge #93 Cond Central, Col. San Javier, Gdl</t>
  </si>
  <si>
    <t>Sala 4 p t r, Eco, PURT</t>
  </si>
  <si>
    <t xml:space="preserve">Colchón KS, Prem </t>
  </si>
  <si>
    <t>Gerardo Ramírez Salto</t>
  </si>
  <si>
    <t>47-7528-2427</t>
  </si>
  <si>
    <t>Calle Nuez #110 Int 6 Fracc Geovillas Los Olivos II, Tlaque</t>
  </si>
  <si>
    <t>Interior tela Pick Up cabina y media, Senc</t>
  </si>
  <si>
    <t>311/23</t>
  </si>
  <si>
    <t>312/23</t>
  </si>
  <si>
    <t>Zuri Sadai Cruz de la Rosa</t>
  </si>
  <si>
    <t>Telefonistas #3360 Col. Lagos de Ote, Gdl</t>
  </si>
  <si>
    <t>Colchón QS, Prem</t>
  </si>
  <si>
    <t>Se manda WA, excelente y muy bien hecho</t>
  </si>
  <si>
    <t>Javier Hdez</t>
  </si>
  <si>
    <t>33-2229-3756</t>
  </si>
  <si>
    <t>Ramón López Velarde #72 Col Sn Antonio, Gdl</t>
  </si>
  <si>
    <t>Sala 2 p a r, Sala 1 p t f, Silla a y r, Senc</t>
  </si>
  <si>
    <t>313/23</t>
  </si>
  <si>
    <t>314/23</t>
  </si>
  <si>
    <t>Pilar Salinas</t>
  </si>
  <si>
    <t>33-1845-3627</t>
  </si>
  <si>
    <t>Puerta del sol #69 Cond Pta Plata, Zapopan</t>
  </si>
  <si>
    <t>Tapete de lana, Prem</t>
  </si>
  <si>
    <t>Se manda WA, pero repite</t>
  </si>
  <si>
    <t>Se manda WA, las manchas no se quitaron muy bien, pero muy bien</t>
  </si>
  <si>
    <t>Paseo Valle Real #3000 Casa 92, Fracc Reserva Real, Zapopan</t>
  </si>
  <si>
    <t>Tapete sint, Senc, PURT</t>
  </si>
  <si>
    <t>315/23</t>
  </si>
  <si>
    <t>316/23</t>
  </si>
  <si>
    <t>317/23</t>
  </si>
  <si>
    <t>Hector Valencia</t>
  </si>
  <si>
    <t>33-2973-6866</t>
  </si>
  <si>
    <t>Rinc de los membrillos #372, Zapopan</t>
  </si>
  <si>
    <t>2 tapetes sint, Prot</t>
  </si>
  <si>
    <t>Tode bien</t>
  </si>
  <si>
    <t>Guillermo Escobar Sánchez</t>
  </si>
  <si>
    <t>33-1143-3985</t>
  </si>
  <si>
    <t>Sala 6 p r r, Tapete sint, Senc, PURT</t>
  </si>
  <si>
    <t>Lucía Torres</t>
  </si>
  <si>
    <t>33-1005-6143</t>
  </si>
  <si>
    <t>Paseo de los Virreyes #45 Int 3005 Torre Landmark, Pta de Hierro, Zapopan</t>
  </si>
  <si>
    <t>Sala 8 p r r, Sala 6 p t f, Coj, Tapete sint, Senc, PURT</t>
  </si>
  <si>
    <t>318/23</t>
  </si>
  <si>
    <t>319/23</t>
  </si>
  <si>
    <t>320/23</t>
  </si>
  <si>
    <t>321/23</t>
  </si>
  <si>
    <t>322/23</t>
  </si>
  <si>
    <t>323/23</t>
  </si>
  <si>
    <t>324/23</t>
  </si>
  <si>
    <t>325/23</t>
  </si>
  <si>
    <t>Bertha Alfaro</t>
  </si>
  <si>
    <t>33-2646-3305</t>
  </si>
  <si>
    <t>Terranova #410 Depto 104 Col Vallarta, Zapopan</t>
  </si>
  <si>
    <t>Sala 4 p t f, Coj, Prem</t>
  </si>
  <si>
    <t>Muy exigente y abusiva</t>
  </si>
  <si>
    <t>Se manda mail, le gustó mucho</t>
  </si>
  <si>
    <t>Se manda WA, todo muy bien, seguirá repitiendo</t>
  </si>
  <si>
    <t>Sala 3 p t f, Sala 3 p a r, Sala 1 p a r, Senc, PURT</t>
  </si>
  <si>
    <t>Sillas a y r, Sillas s a, Prot</t>
  </si>
  <si>
    <t>Sala 5 p a r, Silla s a, Tapete de lana, 2  Tapete sint, Coj, Sala 2 p a r, Senc</t>
  </si>
  <si>
    <t>Andrea Elizondo</t>
  </si>
  <si>
    <t>Sala 6 p r r, Silla a y r, Banca Senc</t>
  </si>
  <si>
    <t>Es cliente</t>
  </si>
  <si>
    <t>Río Bco #1511 Int 271 Fracc La Alameda Col. Parques de Tesistán, Zapopan</t>
  </si>
  <si>
    <t>Sala 6 p r r, Silla a y r, Banca, Senc</t>
  </si>
  <si>
    <t>Hoja traspapelada</t>
  </si>
  <si>
    <t>Lourdes Llama</t>
  </si>
  <si>
    <t>33-3368-3366</t>
  </si>
  <si>
    <t>Callejón de las Galeanas #1363 Casa C Col. Universitaria, Zapopan</t>
  </si>
  <si>
    <t>Tapete Sint, Eco, PURT</t>
  </si>
  <si>
    <t>Enrique Montalvo</t>
  </si>
  <si>
    <t>33-1974-9071</t>
  </si>
  <si>
    <t>Puerto San Blas #1386 Col Miramar, Zapopan</t>
  </si>
  <si>
    <t>Sala 6 p t f, 3 tapete sint, Eco</t>
  </si>
  <si>
    <t>Gemma Palomar</t>
  </si>
  <si>
    <t>33-1281-7850</t>
  </si>
  <si>
    <t>Juan Palomar y Arias #1249 Casa 38 Cond Alcazar Col Vallarta Uni Zapopan</t>
  </si>
  <si>
    <t>6 tapetes sint, Prot</t>
  </si>
  <si>
    <t>isidro Ríos Sánchez</t>
  </si>
  <si>
    <t>33-1096-7900</t>
  </si>
  <si>
    <t>Río Suchate #1331 Col Quinta Velarde, Gdl</t>
  </si>
  <si>
    <t>Sala 5 p t f, Sala 1 p t f, Eco</t>
  </si>
  <si>
    <t>Elias Saad</t>
  </si>
  <si>
    <t>Paseo Valle Real #1595 Int 1303, Zapopan</t>
  </si>
  <si>
    <t>Sillas a y r, Torre de gatos, Eco, PURT</t>
  </si>
  <si>
    <t>326/23</t>
  </si>
  <si>
    <t>327/23</t>
  </si>
  <si>
    <t>328/23</t>
  </si>
  <si>
    <t>329/23</t>
  </si>
  <si>
    <t>330/23</t>
  </si>
  <si>
    <t>331/23</t>
  </si>
  <si>
    <t>Coto Acanthia Casa 28 Fracc Solares, Zapopan</t>
  </si>
  <si>
    <t>Tapete de lana, Healty</t>
  </si>
  <si>
    <t>Se manda WA, cliente muy mamón</t>
  </si>
  <si>
    <t>Idania Suárez / El rey del Tornillo</t>
  </si>
  <si>
    <t>33-2184-4632</t>
  </si>
  <si>
    <t>Caldera #2092 Col Parque Indus El älamo, Tlaque</t>
  </si>
  <si>
    <t>Sillas secretariales</t>
  </si>
  <si>
    <t>Lupita Gómez De la Torre / Ma Fda Vergara</t>
  </si>
  <si>
    <t>33-1353-2556</t>
  </si>
  <si>
    <t>Euclides #3120 Depto 605 Cond Yakis, Col Vallarta Sn Jorge, Zapopan</t>
  </si>
  <si>
    <t>Colchón Mat, Base, Healty</t>
  </si>
  <si>
    <t xml:space="preserve">Sala 4 p t r, 2 Sala 1 p a r, Coj, Eco </t>
  </si>
  <si>
    <t>332/23</t>
  </si>
  <si>
    <t>333/23</t>
  </si>
  <si>
    <t>334/23</t>
  </si>
  <si>
    <t>335/23</t>
  </si>
  <si>
    <t>336/23</t>
  </si>
  <si>
    <t>Arnoldo Graza / Sergio Garza</t>
  </si>
  <si>
    <t>33-3809-5945</t>
  </si>
  <si>
    <t>Coto Fuerte Pte Casa 37 Casa Fuerte #83, Tlajo</t>
  </si>
  <si>
    <t>Tapete de lana Prot</t>
  </si>
  <si>
    <t>Se manda WA, extraordinario trabajo</t>
  </si>
  <si>
    <t>Luis Gerardo León</t>
  </si>
  <si>
    <t>33-1773-4260</t>
  </si>
  <si>
    <t>Av Lomas de Bugambilias #1510 Int C1 Coto Lince, Zapopan</t>
  </si>
  <si>
    <t>Tapete sint Healy</t>
  </si>
  <si>
    <t>Jazmín Orozco</t>
  </si>
  <si>
    <t>32-2294-2447</t>
  </si>
  <si>
    <t>Coto Barcelona Casa 12 Fracc Nva Galicia</t>
  </si>
  <si>
    <t>Sala 6 p t f, Eco, PURT</t>
  </si>
  <si>
    <t>Todo perfecto, le encantó</t>
  </si>
  <si>
    <t>Se manda WA, quedaron bien</t>
  </si>
  <si>
    <t>Ana Ontiveros</t>
  </si>
  <si>
    <t>33-2277-2427</t>
  </si>
  <si>
    <t>Paseo de los Pinos #480 Col Lomas del Valle, Zapopan / Agustín de la rosa #480 Col Ladrón de Guevara, GDL</t>
  </si>
  <si>
    <t>Tapete sint, Prot, Sala 4 p t r, Sala 3 p t f, Senc</t>
  </si>
  <si>
    <t>Benjamín Maldonado</t>
  </si>
  <si>
    <t>31-1847-7357</t>
  </si>
  <si>
    <t>Priv Sn Mateo #158 Casa 7 Col Lomas de Sn Gonzalo, Zapopan</t>
  </si>
  <si>
    <t>337/23</t>
  </si>
  <si>
    <t>338/23</t>
  </si>
  <si>
    <t>339/23</t>
  </si>
  <si>
    <t>340/23</t>
  </si>
  <si>
    <t>341/23</t>
  </si>
  <si>
    <t>342/23</t>
  </si>
  <si>
    <t>343/23</t>
  </si>
  <si>
    <t>344/23</t>
  </si>
  <si>
    <t>345/23</t>
  </si>
  <si>
    <t>346/23</t>
  </si>
  <si>
    <t>347/23</t>
  </si>
  <si>
    <t>348/23</t>
  </si>
  <si>
    <t>Puerta del Sol #69 Cond Pta Plata, Zapopan</t>
  </si>
  <si>
    <t>Rosa Ortega Cortés</t>
  </si>
  <si>
    <t>33-3399-1658</t>
  </si>
  <si>
    <t>Río Blanco #1676 Coto Los Almandros Casa 268, Zapopn</t>
  </si>
  <si>
    <t>2 tapetes sint, Healty</t>
  </si>
  <si>
    <t>Erika Vega / Anny Marín</t>
  </si>
  <si>
    <t>33-2537-3377</t>
  </si>
  <si>
    <t>Edif Landmark Depto 604, Zapopan</t>
  </si>
  <si>
    <t>Fabiola Hdez</t>
  </si>
  <si>
    <t>33-1197-3742</t>
  </si>
  <si>
    <t>Gregorio Dávila #478 Int 6 Col. Sta Teresita, Gdl</t>
  </si>
  <si>
    <t>Sala 3 p t f, Eco, PURT</t>
  </si>
  <si>
    <t>Patricia Delgado</t>
  </si>
  <si>
    <t>33-1576-7190</t>
  </si>
  <si>
    <t>Oasis #1460 Int 33 Rinc de las Palmas. Zapopan</t>
  </si>
  <si>
    <t>Sala 6 p t f, Prot</t>
  </si>
  <si>
    <t>Flor Carreón</t>
  </si>
  <si>
    <t>44-9224-2865</t>
  </si>
  <si>
    <t>Fracc Solares Coto 1 Santillana 1 Casa E 7, Zapopan</t>
  </si>
  <si>
    <t>Sala 6 p t f, Sala 1 p t f, Colchón Mat, KS, 2 tapete sint, Futón, Eco</t>
  </si>
  <si>
    <t>Se manda WA, muy limpias, y en tiempo y forma</t>
  </si>
  <si>
    <t>Suc Real Center, Zapopan</t>
  </si>
  <si>
    <t>14 Sala 1 p t f, Silla ejec, Prem</t>
  </si>
  <si>
    <t>Paseo de la Primavera #112 Casa 6 Col Pinar de la Venta, Zapopan</t>
  </si>
  <si>
    <t>Sala 5 p r r, Tab, Sala 1 p t f, Prot</t>
  </si>
  <si>
    <t>Carola Nieto</t>
  </si>
  <si>
    <t>33-1294-7832</t>
  </si>
  <si>
    <t>Av del Tule #480 Casa 63 A Col Del Tule, Zapopan</t>
  </si>
  <si>
    <t>Silla s a, Healty</t>
  </si>
  <si>
    <t>Se manda WA, se regresa a repasar, por que no avisaron que tenía orina</t>
  </si>
  <si>
    <t>349/23</t>
  </si>
  <si>
    <t>350/23</t>
  </si>
  <si>
    <t>351/23</t>
  </si>
  <si>
    <t>352/23</t>
  </si>
  <si>
    <t>353/23</t>
  </si>
  <si>
    <t>354/23</t>
  </si>
  <si>
    <t>355/23</t>
  </si>
  <si>
    <t>356/23</t>
  </si>
  <si>
    <t>357/23</t>
  </si>
  <si>
    <t>Bibiana Salcedo</t>
  </si>
  <si>
    <t>33-3363-5415</t>
  </si>
  <si>
    <t>Paseo Lomas del Bosque #4389 Int 21 Cond El Prado, Zapopan</t>
  </si>
  <si>
    <t>Tapette de lana Eco, PURT</t>
  </si>
  <si>
    <t>Se mnada WA, no contesta</t>
  </si>
  <si>
    <t>Nathalie Jiménez</t>
  </si>
  <si>
    <t>33-1457-8457</t>
  </si>
  <si>
    <t>Volcán de Sn Fco #95 Casa 8 Col. Huentitán, Zapopan</t>
  </si>
  <si>
    <t>4 tapete sint, Sala 6 p t f, con cama abajo Eco</t>
  </si>
  <si>
    <t>Manuel Esquivel</t>
  </si>
  <si>
    <t>33-4185-8016</t>
  </si>
  <si>
    <t>Jardín de los Granados #297 Coto 4 Fracc Jardín Real, Zapopan</t>
  </si>
  <si>
    <t>Colchón KS, Eco, Sala 4 p r r, Senc</t>
  </si>
  <si>
    <t>358/23</t>
  </si>
  <si>
    <t>359/23</t>
  </si>
  <si>
    <t>360/23</t>
  </si>
  <si>
    <t>361/23</t>
  </si>
  <si>
    <t>362/23</t>
  </si>
  <si>
    <t>363/23</t>
  </si>
  <si>
    <t>364/23</t>
  </si>
  <si>
    <t>365/23</t>
  </si>
  <si>
    <t>366/23</t>
  </si>
  <si>
    <t>367/23</t>
  </si>
  <si>
    <t>Diana Marisol García García</t>
  </si>
  <si>
    <t>33-2167-8102</t>
  </si>
  <si>
    <t>Dúrcal #608 Col. Arcoa de Zapopan, Zapopan</t>
  </si>
  <si>
    <t>Sala 5 p t r, Coj, Silla a y r, Senc</t>
  </si>
  <si>
    <t>Pilar Rodríguez Mancillas</t>
  </si>
  <si>
    <t>33-1431-4855</t>
  </si>
  <si>
    <t>Covadonga #1192 Lomas de Zapopan, Zapopan</t>
  </si>
  <si>
    <t>Sala 9 p t f, Senc</t>
  </si>
  <si>
    <t>Maribel De Obeso</t>
  </si>
  <si>
    <t>33-3952-0406</t>
  </si>
  <si>
    <t>Cromelech #672 Col Altamira, Zapopan</t>
  </si>
  <si>
    <t>Sala 6 p t f, Sillas a y r, Prot</t>
  </si>
  <si>
    <t>Victor Castañeda Salazar</t>
  </si>
  <si>
    <t>33-3105-0429</t>
  </si>
  <si>
    <t>Paseo de la Toscana #1111 Casa 96 Toscana, Zapopan</t>
  </si>
  <si>
    <t>Tapete sint, Eco, PURT</t>
  </si>
  <si>
    <t>Se manda WA, todo muyu bien</t>
  </si>
  <si>
    <t>Tapete de lana, Prot, PURT</t>
  </si>
  <si>
    <t>Muy buien</t>
  </si>
  <si>
    <t>Sillas secretariales Prot</t>
  </si>
  <si>
    <t>Tapete sint Healyy</t>
  </si>
  <si>
    <t>José Ma Vigil #1818 Col Altamira, Zapopan</t>
  </si>
  <si>
    <t>Colchón QS Prem</t>
  </si>
  <si>
    <t>Sala 8 p r r, Sillas s a, Bancos, Base y cabecera mat Senc</t>
  </si>
  <si>
    <t>Se manda WA, siempre ha dicho que su sala es de 6, es de 8, ya el precio esta correcto</t>
  </si>
  <si>
    <t>Carmen Revueltas / Euromex Logística</t>
  </si>
  <si>
    <t>Ontario #1557 Col Providencia, Zapopan</t>
  </si>
  <si>
    <t>Sillas secretariales, Prem</t>
  </si>
  <si>
    <t>Cliente exigente y coda</t>
  </si>
  <si>
    <t>Rosa Elena Tovar</t>
  </si>
  <si>
    <t>33-3809-1689</t>
  </si>
  <si>
    <t>33-1321-7611</t>
  </si>
  <si>
    <t>Valle de San Antonio #2494 Coto Viveros del Valle, Zapopan</t>
  </si>
  <si>
    <t>Ana Claderón</t>
  </si>
  <si>
    <t>Ramón Corona #254 , Tlaque</t>
  </si>
  <si>
    <t>Brayan Aguilera Navarro</t>
  </si>
  <si>
    <t>33-3029-4322</t>
  </si>
  <si>
    <t>5 de Feb #2875 Col Rancho Bco, Tlaque</t>
  </si>
  <si>
    <t>Sala 4 p r r, colchón cuna, Senc</t>
  </si>
  <si>
    <t>César Torres Castillo</t>
  </si>
  <si>
    <t>33-1272-3501</t>
  </si>
  <si>
    <t>Punta Zafiro #50 Fracc. Valdepeñas, Zapopan</t>
  </si>
  <si>
    <t>Lo checará</t>
  </si>
  <si>
    <t>Av Nac. Unidas #7500 coto Los Castaños casa 101, Zapopan</t>
  </si>
  <si>
    <t>Silvia Macias</t>
  </si>
  <si>
    <t>33-1462-9428</t>
  </si>
  <si>
    <t>Coto Maya, Casa 27, Valle Imperial, Zapopan</t>
  </si>
  <si>
    <t>2 tapete sint Prem</t>
  </si>
  <si>
    <t>Super satisfecha</t>
  </si>
  <si>
    <t>Esther Casillas Villareal</t>
  </si>
  <si>
    <t>33-1221-2013</t>
  </si>
  <si>
    <t>Paseo de los virreyes #980 Int A55 Res Virreyes, Zapopan</t>
  </si>
  <si>
    <t>Tapete sint, Sillas s a, Prem</t>
  </si>
  <si>
    <t>Sergio Goyri / Sherlok</t>
  </si>
  <si>
    <t>33-1614-0743</t>
  </si>
  <si>
    <t>Antiguo Camino a Sn Isidro Mezatepec #554 A Col Sn Agustín, Tlajomulco</t>
  </si>
  <si>
    <t>Colchón KS, base, Eco</t>
  </si>
  <si>
    <t>Ana Gomez</t>
  </si>
  <si>
    <t>33-1606-8291</t>
  </si>
  <si>
    <t>Camino al arenero #1052 Casa 28 Bajío Habitat, Zapopan</t>
  </si>
  <si>
    <t>Tapete sint, Tapete de lana, Senc, PURT</t>
  </si>
  <si>
    <t>Adriana Chávez</t>
  </si>
  <si>
    <t>65-6128-7659</t>
  </si>
  <si>
    <t>Aviación #4304 Int 74 Coto Real I, Zapopan</t>
  </si>
  <si>
    <t>2 tapetes sint, Eco, PURT</t>
  </si>
  <si>
    <t>Martha Rangel Urbina</t>
  </si>
  <si>
    <t>33-3106-4089</t>
  </si>
  <si>
    <t>Periférico #1000 Coto Pta del Valle Casa L7, Zapopan</t>
  </si>
  <si>
    <t>Sala 8 p t f, Coj, Sillas a y r, Sillas s a, Prot, Banca piel, Sala 2 p t f, Piel</t>
  </si>
  <si>
    <t>368/23</t>
  </si>
  <si>
    <t>369/23</t>
  </si>
  <si>
    <t>370/23</t>
  </si>
  <si>
    <t>371/23</t>
  </si>
  <si>
    <t>372/23</t>
  </si>
  <si>
    <t>373/23</t>
  </si>
  <si>
    <t>374/23</t>
  </si>
  <si>
    <t>375/23</t>
  </si>
  <si>
    <t>376/23</t>
  </si>
  <si>
    <t>377/23</t>
  </si>
  <si>
    <t>378/23</t>
  </si>
  <si>
    <t>379/23</t>
  </si>
  <si>
    <t>380/23</t>
  </si>
  <si>
    <t>381/23</t>
  </si>
  <si>
    <t>382/23</t>
  </si>
  <si>
    <t>383/23</t>
  </si>
  <si>
    <t>384/23</t>
  </si>
  <si>
    <t>Omar Alejandro Lozano Ramírez</t>
  </si>
  <si>
    <t>33-1285-6473</t>
  </si>
  <si>
    <t>Calle San Felipe #1420 Col Sta Teresita, Zapopan</t>
  </si>
  <si>
    <t>Interior de auto mediano, Senc</t>
  </si>
  <si>
    <t>Karen Zamudio / Ultralaboratorios</t>
  </si>
  <si>
    <t>33-1883-0472</t>
  </si>
  <si>
    <t>Av Real Acueducto #300 Edif Dos Puntas Piso 6, zapopan</t>
  </si>
  <si>
    <t>Alfombra, 6 tapetes sint, 4 tapetes de lana, Senc</t>
  </si>
  <si>
    <t>Se repasa, pero queda bien, muy quisquillosos</t>
  </si>
  <si>
    <t>Gabriela De La Torre</t>
  </si>
  <si>
    <t>33-1887-0730</t>
  </si>
  <si>
    <t>Servicdor Público #1425 Plenitud Valle Real, 1a torre Depto 203 Real Center, Zapopan</t>
  </si>
  <si>
    <t>Colchón KS. Eco</t>
  </si>
  <si>
    <t>Estela Ramos</t>
  </si>
  <si>
    <t>31-1265-9183</t>
  </si>
  <si>
    <t>Fco I Madero #6165 Int 8 Col Jocotán, Zapopan</t>
  </si>
  <si>
    <t>Sala 5 p r r, Banca, Senc, PURT</t>
  </si>
  <si>
    <t>Rebeca Arellano</t>
  </si>
  <si>
    <t>47-3756-2958</t>
  </si>
  <si>
    <t>Av Prol Colón #680 Int 77 Coto Bosque Vde # 2, Tlaque</t>
  </si>
  <si>
    <t>Sala 5 p t r, Senc</t>
  </si>
  <si>
    <t>385/23</t>
  </si>
  <si>
    <t>386/23</t>
  </si>
  <si>
    <t>387/23</t>
  </si>
  <si>
    <t>388/23</t>
  </si>
  <si>
    <t>Cecilia Margarita Castañeda</t>
  </si>
  <si>
    <t>33-3170-9952</t>
  </si>
  <si>
    <t>Paseo del anochecer #964 Casa 101 Fracc Zanthé, Solares, Zapopan</t>
  </si>
  <si>
    <t>Sala 6 p r r, Sillas a y r, Eco</t>
  </si>
  <si>
    <t>Av Bugambilias #1510 Coto Lince C 1, Zapopan</t>
  </si>
  <si>
    <t>Se manda WA, quedan satisfechos</t>
  </si>
  <si>
    <t>Claudia Reynoso / Servicio las Piedrotas</t>
  </si>
  <si>
    <t>Priv de los parques #1623 Col Colinas de Sn Javier, Zapopan</t>
  </si>
  <si>
    <t>Alfombra, Colchon KS, 2 ind, Cabecera y base, sala 5 p t r, Coj, Sala 4 p t f, Healty</t>
  </si>
  <si>
    <t>Se manda WA, quedó manchado</t>
  </si>
  <si>
    <t>389/23</t>
  </si>
  <si>
    <t>390/23</t>
  </si>
  <si>
    <t>391/23</t>
  </si>
  <si>
    <t>392/23</t>
  </si>
  <si>
    <t>393/23</t>
  </si>
  <si>
    <t>394/23</t>
  </si>
  <si>
    <t>395/23</t>
  </si>
  <si>
    <t>396/23</t>
  </si>
  <si>
    <t>Gloria Rosales</t>
  </si>
  <si>
    <t>33-1864-4515</t>
  </si>
  <si>
    <t>Linda Vista #2585 Col Electricistas, Tlaque</t>
  </si>
  <si>
    <t>2 tapetes sint Prot</t>
  </si>
  <si>
    <t>Cliente exicgente y en Tlaque</t>
  </si>
  <si>
    <t>Se manda WA; todo bien</t>
  </si>
  <si>
    <t>Verónica Cisneros</t>
  </si>
  <si>
    <t>44-3223-1636</t>
  </si>
  <si>
    <t>Calle Pintores #907 Col Jardines del Tepeyac, Zapopan</t>
  </si>
  <si>
    <t>Isela Mojica / Speak Communications</t>
  </si>
  <si>
    <t>Av Real Acueducto # 240 Piso 12, Zapopan</t>
  </si>
  <si>
    <t>5 tapetes de lana, tapete sint, Eco</t>
  </si>
  <si>
    <t>Carlos Olaya</t>
  </si>
  <si>
    <t>33-1480-4003</t>
  </si>
  <si>
    <t>Circ Atalaya #90 Int B33 Col Canteras del Centinela, Zapopan</t>
  </si>
  <si>
    <t>Sala 7 p t f, Sillas a y r, 2 tapetes sint, Eco</t>
  </si>
  <si>
    <t>Araceli Trigueros</t>
  </si>
  <si>
    <t>33-1418-0676</t>
  </si>
  <si>
    <t>Circ Atalaya #90 Int C 13 Col Canteras del Centinela, Zapopan</t>
  </si>
  <si>
    <t xml:space="preserve">Tapete sint, senc </t>
  </si>
  <si>
    <t>Carol Massiel</t>
  </si>
  <si>
    <t>33-3065-4948</t>
  </si>
  <si>
    <t>Eutimio Pinzón #927 Cond tres lagos Torre 7 Depto 203, Gdl</t>
  </si>
  <si>
    <t>Sala 6 p r r, Banca, Sillas a y r, Senc</t>
  </si>
  <si>
    <t>Todo muy bien, le gustó mucho</t>
  </si>
  <si>
    <t>Alfombra, Sillas s a, Banco, 3 colchones KS, Healty</t>
  </si>
  <si>
    <t>Jazmín Valencia</t>
  </si>
  <si>
    <t>33-1457-4424</t>
  </si>
  <si>
    <t>Priv Hipódromo #1910 Int 2 Col Colomos Prov, Zapopan</t>
  </si>
  <si>
    <t>Colchón KS, Mat, Futón, tab, cama de perro, Senc</t>
  </si>
  <si>
    <t>Nelly Loredo / Peregrinaciones</t>
  </si>
  <si>
    <t>397/23</t>
  </si>
  <si>
    <t>398/23</t>
  </si>
  <si>
    <t>399/23</t>
  </si>
  <si>
    <t>400/23</t>
  </si>
  <si>
    <t>401/23</t>
  </si>
  <si>
    <t>402/23</t>
  </si>
  <si>
    <t>403/23</t>
  </si>
  <si>
    <t>Luis Olavarrieta</t>
  </si>
  <si>
    <t>33-3809-4245</t>
  </si>
  <si>
    <t>Blvd Pta de Hierro #5225 Torre Maple Int 602 Pta de Hierro, Zapopan</t>
  </si>
  <si>
    <t>Sala 10 p t r, Coj, Sala 8 p t r, Coj, Tapete sint, Healty, Sillas a y r, senc PURT</t>
  </si>
  <si>
    <t>Erika Marquez</t>
  </si>
  <si>
    <t>55-1949-5958</t>
  </si>
  <si>
    <t>Av del Bajío #1700 Int 2201-01 Col El Bajío Cond Avaterra, Zapopan</t>
  </si>
  <si>
    <t>Colchón mat, Sala 2 p t f, Tab, Eco</t>
  </si>
  <si>
    <t>Sarahí Ruiz González / José</t>
  </si>
  <si>
    <t>33-1255-4028</t>
  </si>
  <si>
    <t>Canario #2396 Fracc Parque de la aves, Zapopan</t>
  </si>
  <si>
    <t>Sala 4 p t f, Sillas s a, Colchón Ind, Sala 1 p t f, Senc</t>
  </si>
  <si>
    <t>Le encantó Repetirá</t>
  </si>
  <si>
    <t>Suc Plaza Patria</t>
  </si>
  <si>
    <t>17 Sala 1 p t f, Silla oficina, Prem</t>
  </si>
  <si>
    <t>Ricardo Rizo</t>
  </si>
  <si>
    <t>33-3201-0314</t>
  </si>
  <si>
    <t>Alfombra, eco</t>
  </si>
  <si>
    <t>Daniel Maldonado</t>
  </si>
  <si>
    <t>33-1670-9067</t>
  </si>
  <si>
    <t>Magnolias #1375 Casa 6 Col Girasoles Acueducto, Zapopan</t>
  </si>
  <si>
    <t>Sala 4 p t r, Senc</t>
  </si>
  <si>
    <t>Adriana Cervantes</t>
  </si>
  <si>
    <t>33-1418-2457</t>
  </si>
  <si>
    <t>Guiseppe Torelli #135 Col Vallarta La Patria, Zapopan</t>
  </si>
  <si>
    <t>Sala 6 p t f, Silla s a, silla a y r, Colchón QS, Tapete sint Senc, PURT</t>
  </si>
  <si>
    <t>Todo muy bien y bonito, excepto el tapete grande</t>
  </si>
  <si>
    <t>Erik Alejandro Cabañas Gutíerrez</t>
  </si>
  <si>
    <t>33-2944-7329</t>
  </si>
  <si>
    <t>Priv del Guamúchil #179-1 Col Villas De la Tijera Tlajo</t>
  </si>
  <si>
    <t>Se manda WA, todo bien, pero sucio el piso</t>
  </si>
  <si>
    <t>Se manda WA, le encantó, repetirá</t>
  </si>
  <si>
    <t>Adriana Maldonado</t>
  </si>
  <si>
    <t>33-1601-2927</t>
  </si>
  <si>
    <t>Vista a la lejanía #1823 Coto Cerro del Tesoro, Tlaque</t>
  </si>
  <si>
    <t>Sala 8 p t f, senc, 2 tapete sint, Prem</t>
  </si>
  <si>
    <t>Ma Dolores García Rangel</t>
  </si>
  <si>
    <t>33-3955-9199</t>
  </si>
  <si>
    <t>Av Acueducto #5555 Casa 61 Coto Real del Parque, Zapopan</t>
  </si>
  <si>
    <t>Sala 6 p t r, Banca, Sala 5 p t f, 2 tapetes sint, Senc</t>
  </si>
  <si>
    <t>Norma Fontes</t>
  </si>
  <si>
    <t>33-2184-0865</t>
  </si>
  <si>
    <t>Cond Colinas de la Abadía, Av Royal Country #5714, San Benito Casa 105 Col Country, Zapopan</t>
  </si>
  <si>
    <t xml:space="preserve">Colchón KS, Healty  </t>
  </si>
  <si>
    <t>Callejón de las Galeanas #1363 Casa C Col Universitaria, Zapopan</t>
  </si>
  <si>
    <t>2 tapete sint, Eco PURT</t>
  </si>
  <si>
    <t>Se manda WA, muy contentos</t>
  </si>
  <si>
    <t>Se manda WA, muy bien, repetirá</t>
  </si>
  <si>
    <t>Eduardo Colín</t>
  </si>
  <si>
    <t>33-1131-8590</t>
  </si>
  <si>
    <t>Buenos Aires #2375 Int 5 Col Américas, Gdl</t>
  </si>
  <si>
    <t>5 tapetes sint Prem</t>
  </si>
  <si>
    <t xml:space="preserve">Tapete de lana, Prot  </t>
  </si>
  <si>
    <t>Ma Teresa Ledezma</t>
  </si>
  <si>
    <t>33-3441-6383</t>
  </si>
  <si>
    <t>San Juan De Letrán #4319 Col Jardines de Gpe, Zapopan</t>
  </si>
  <si>
    <t>Sala 7 p t f, Tab, Senc</t>
  </si>
  <si>
    <t>Sala 2 p t f, senc, 2 reposet, prot, PURT</t>
  </si>
  <si>
    <t>Ma Elvia Rojas Pérez</t>
  </si>
  <si>
    <t>33-1063-1402</t>
  </si>
  <si>
    <t>Pto Melaque #1272 Col Sta Ma, Gdl</t>
  </si>
  <si>
    <t>Colchón mat, Healtu, PURT</t>
  </si>
  <si>
    <t>Sala 3 p t f, Torre de gatos, Silla a y r, Prot</t>
  </si>
  <si>
    <t>Se manda WA, quedó un poco manchado, se regresará</t>
  </si>
  <si>
    <t>Mari Carmen García</t>
  </si>
  <si>
    <t>33-3968-1358</t>
  </si>
  <si>
    <t>Av Inglaterra #7645 Fracc Rinc del Bosque Int Casa 13 Mz 7, Zapopan</t>
  </si>
  <si>
    <t>Daniela Sofía Hernández Harnández</t>
  </si>
  <si>
    <t>33-3956-5077</t>
  </si>
  <si>
    <t>Eulogio Parra #3224 Int 6 Col Providencia, Zapopan</t>
  </si>
  <si>
    <t>Sala 4 p t f, Tapete sint, Senc, PURT</t>
  </si>
  <si>
    <t>Alicia Cendejas / Angel Dorador</t>
  </si>
  <si>
    <t>33-1256-7820</t>
  </si>
  <si>
    <t>Pta del Tule Cond Plúmbago Casa F 2, Zapopan</t>
  </si>
  <si>
    <t>Tapete sint, Tapete de lana Eco, PURT</t>
  </si>
  <si>
    <t>Karen Hernández</t>
  </si>
  <si>
    <t>33-1458-6479</t>
  </si>
  <si>
    <t>Hac Zanzontla #2773 Col Oblatos, Gdl</t>
  </si>
  <si>
    <t>Sala 3 p t f, 2 reposet, Eco, PURT</t>
  </si>
  <si>
    <t>Sala 6 p t f, Silla s a, Silla a y r, Colchón QS, Tapete sint, Senc, PURT</t>
  </si>
  <si>
    <t>Excelente</t>
  </si>
  <si>
    <t>Erik Alejandro Cabañas Gutierrez</t>
  </si>
  <si>
    <t>No lo ha revisado</t>
  </si>
  <si>
    <t>Sala 8 p t f, Senc 2 Tapete sint, Prem</t>
  </si>
  <si>
    <t>Satisfactorio, pero el tapete grande quedó maso</t>
  </si>
  <si>
    <t>Sala 6 p t r, Banca, 2 Tapete sint, Sala 5 p t f, senc</t>
  </si>
  <si>
    <t>Muy contentos, repetirán</t>
  </si>
  <si>
    <t>404/23</t>
  </si>
  <si>
    <t>405/23</t>
  </si>
  <si>
    <t>406/23</t>
  </si>
  <si>
    <t>407/23</t>
  </si>
  <si>
    <t>408/23</t>
  </si>
  <si>
    <t>Paseo Lomas del Bosque #4389 Cond El Prado, Zapopan</t>
  </si>
  <si>
    <t>Tapete de lana Eco, PURT</t>
  </si>
  <si>
    <t>No se manda WA, es sorda y no contesta, pero repite</t>
  </si>
  <si>
    <t>Cristina De Obeso</t>
  </si>
  <si>
    <t>33-3350-2529</t>
  </si>
  <si>
    <t>León Tolstoi #4709 Depto 2 Col. Jardines Uni, Zapopan</t>
  </si>
  <si>
    <t>Norma Laura Ortíz</t>
  </si>
  <si>
    <t>33-1872-1060</t>
  </si>
  <si>
    <t>Copilco #1549 Col Pinar de la Calma, Zapopan</t>
  </si>
  <si>
    <t>Sala 5 p r r, Tab, Sala 1 p t f, Senc, PURT</t>
  </si>
  <si>
    <t>Gabriel Cuevas</t>
  </si>
  <si>
    <t>33-1599-5619</t>
  </si>
  <si>
    <t>Coras #3580 Int 4 Col Sta Rita, Gdl</t>
  </si>
  <si>
    <t>Sala 5 p r r, Coj, Senc</t>
  </si>
  <si>
    <t>Juan Pablo Cedillo</t>
  </si>
  <si>
    <t>Coto Bilbao Int 2 La Moraleja, Zapopan</t>
  </si>
  <si>
    <t>Colchón Ind, Healty</t>
  </si>
  <si>
    <t>No hay cel</t>
  </si>
  <si>
    <t>409/23</t>
  </si>
  <si>
    <t>410/23</t>
  </si>
  <si>
    <t>411/23</t>
  </si>
  <si>
    <t>412/23</t>
  </si>
  <si>
    <t>413/23</t>
  </si>
  <si>
    <t>Kalondy Franco Weckman</t>
  </si>
  <si>
    <t>63-7935-0978</t>
  </si>
  <si>
    <t>Av México #5000 Juan Manuel Vallarta Depto 18 E Torre 200 Deptos Urbania, Zapopan</t>
  </si>
  <si>
    <t>Tapete de lana Healty</t>
  </si>
  <si>
    <t>Quedó como nuevo</t>
  </si>
  <si>
    <t>2 colchones QS, Colchón KS, Tapete sint, Healty</t>
  </si>
  <si>
    <t>Blanca Camacho</t>
  </si>
  <si>
    <t>33-3317-1895</t>
  </si>
  <si>
    <t>Fracc Valle Real Coto Acueducto casa 24, Zapopan</t>
  </si>
  <si>
    <t>Sala 10 p r r, Coj, Sala 2 p a r, Tab, Senc</t>
  </si>
  <si>
    <t>Clara Díaz De Chávez</t>
  </si>
  <si>
    <t>33-3955-0176</t>
  </si>
  <si>
    <t>Callejón de Iris #155 Casa 103 Con El Bosque Cd Buga, Zapopan</t>
  </si>
  <si>
    <t>Coj Prot</t>
  </si>
  <si>
    <t>Juan Antonio Medina</t>
  </si>
  <si>
    <t>33-2031-7275</t>
  </si>
  <si>
    <t>Clarín $3625 Fracc Parque de las Aves, Zapopan</t>
  </si>
  <si>
    <t>414/23</t>
  </si>
  <si>
    <t>415/23</t>
  </si>
  <si>
    <t>416/23</t>
  </si>
  <si>
    <t>33-3171-7633</t>
  </si>
  <si>
    <t>Cond Plúmbago Casa F-2, Zapopan</t>
  </si>
  <si>
    <t>Tapete sint, Prem</t>
  </si>
  <si>
    <t>Se manda WA, como siempre, excelente</t>
  </si>
  <si>
    <t>Se manda WA, muy bueno, repite</t>
  </si>
  <si>
    <t>Laura Montes</t>
  </si>
  <si>
    <t>33-3507-7393</t>
  </si>
  <si>
    <t>Reina Isabel #34 Col Colinas del Rey, Zapopan</t>
  </si>
  <si>
    <t>Sala 3 p r r, Sala 3 p t f, Silla de of, Eco</t>
  </si>
  <si>
    <t>Paloma Aguilar</t>
  </si>
  <si>
    <t>32-2244-0306</t>
  </si>
  <si>
    <t>San Fco #3615 Col Jardines de Sn Ignacio, Zapopan</t>
  </si>
  <si>
    <t>Alfombra, Eco, Colchón Ind, Senc</t>
  </si>
  <si>
    <t>Muy bien, como siempre</t>
  </si>
  <si>
    <t>Se manda WA, repite</t>
  </si>
  <si>
    <t>417/23</t>
  </si>
  <si>
    <t>418/23</t>
  </si>
  <si>
    <t>Jaqueline Nevarez</t>
  </si>
  <si>
    <t>33-2330-1670</t>
  </si>
  <si>
    <t>Rinc del Camichil #1327 Int 100 Col. Real de Valdepeñas, Zapopan</t>
  </si>
  <si>
    <t>Sala 5 p r r, Senc PURT</t>
  </si>
  <si>
    <t>Colibrí #2425 - 2 Col Parque de las Aves, Zapopan</t>
  </si>
  <si>
    <t>419/23</t>
  </si>
  <si>
    <t>420/23</t>
  </si>
  <si>
    <t>421/23</t>
  </si>
  <si>
    <t>5 tapetes de lana, Healty</t>
  </si>
  <si>
    <t>Se manda WA, muy contenta, ya nos recomendo</t>
  </si>
  <si>
    <t>Sebastián Huisman</t>
  </si>
  <si>
    <t>55-8330-1676</t>
  </si>
  <si>
    <t>Brasilia #2790 Depto 403-D Col Colomos Providencia, Zapopan</t>
  </si>
  <si>
    <t>Sala 7 p r r, Sillas a y r, Senc</t>
  </si>
  <si>
    <t>Blanca Alvarez</t>
  </si>
  <si>
    <t>93-3108-7411</t>
  </si>
  <si>
    <t>José Ma Mercado #1422 Col Sta Lucía, Zapopan</t>
  </si>
  <si>
    <t>Colchón KS Prem</t>
  </si>
  <si>
    <t>422/23</t>
  </si>
  <si>
    <t>Ana Laura Sandoval</t>
  </si>
  <si>
    <t>33-3808-3602</t>
  </si>
  <si>
    <t>Paseo San Arturo #1020 Coto Nápoles 45 B Col Valle Real</t>
  </si>
  <si>
    <t>Tapete sint Eco, PURT</t>
  </si>
  <si>
    <t>423/23</t>
  </si>
  <si>
    <t>424/23</t>
  </si>
  <si>
    <t>425/23</t>
  </si>
  <si>
    <t>Sala 2 p r r, 2 Sala 3 p t r, Coj, Healty</t>
  </si>
  <si>
    <t>33-1087-3818</t>
  </si>
  <si>
    <t>Sala 5 p t f, Eco, Sillas a y r, Senc</t>
  </si>
  <si>
    <t>Se manda WA, super, 5 estrellas</t>
  </si>
  <si>
    <t>Se manda WA, muy bien y sin olor</t>
  </si>
  <si>
    <t xml:space="preserve">Se manda WA, muy bonita </t>
  </si>
  <si>
    <t>426/23</t>
  </si>
  <si>
    <t>Alejandro Gutiérrez / Alex Welch</t>
  </si>
  <si>
    <t>33-3077-2645</t>
  </si>
  <si>
    <t>Martha Dueñas #5285 Col Paseos del Sol, Zapopan</t>
  </si>
  <si>
    <t>Interior coche grande, Eco</t>
  </si>
  <si>
    <t>427/23</t>
  </si>
  <si>
    <t>428/23</t>
  </si>
  <si>
    <t>429/23</t>
  </si>
  <si>
    <t>Nohemí Hernández</t>
  </si>
  <si>
    <t>33-3179-6434</t>
  </si>
  <si>
    <t>Hda Medocina #1909 Col Arandas, Gdl</t>
  </si>
  <si>
    <t>Tapete de lana, tapete sint, Eco</t>
  </si>
  <si>
    <t>Se manda WA, avisará</t>
  </si>
  <si>
    <t>Martha Juárez</t>
  </si>
  <si>
    <t>33-1512-3011</t>
  </si>
  <si>
    <t>Rubén Gómez Esqueda #1161 Col Aaron Joaquín, Gdl</t>
  </si>
  <si>
    <t>Verónica Ruiz</t>
  </si>
  <si>
    <t>33-3821-2080</t>
  </si>
  <si>
    <t>Marina Cruz #5487-A Col Paseos del Sol, Gdl</t>
  </si>
  <si>
    <t>Sala 6 p r r, Sala 1 p t f, 2 banca, Senc</t>
  </si>
  <si>
    <t>430/23</t>
  </si>
  <si>
    <t>431/23</t>
  </si>
  <si>
    <t>432/23</t>
  </si>
  <si>
    <t>433/23</t>
  </si>
  <si>
    <t>434/23</t>
  </si>
  <si>
    <t>Griselda Lucano</t>
  </si>
  <si>
    <t>33-1042-9111</t>
  </si>
  <si>
    <t>Acueducto #6060 casa G17 Coto Los Frailes, Zapopan</t>
  </si>
  <si>
    <t>Tapete sint, prem</t>
  </si>
  <si>
    <t>Se manda WA, muy bien, le gusto</t>
  </si>
  <si>
    <t>33-3058-2728</t>
  </si>
  <si>
    <t>Fermín Riesta #133 Int 7, Zapopan</t>
  </si>
  <si>
    <t>Sala 6 p t r, Sillas s a, Colchón KS, Tapete sint, Bancos, Senc</t>
  </si>
  <si>
    <t>Alejandra Cota / Daniel Nourry</t>
  </si>
  <si>
    <t>33-1604-6721</t>
  </si>
  <si>
    <t>Av Niño Obrero #265 Int 23 Col Jardines de Sn Ignacio, Zapopan</t>
  </si>
  <si>
    <t>3 tapete sint, Eco</t>
  </si>
  <si>
    <t>Buenos Aires #2375 Int 5 Col Circunvalación Américas, Zapopan</t>
  </si>
  <si>
    <t>Marco Antonio Cárdenas Glez</t>
  </si>
  <si>
    <t>33-3577-5767</t>
  </si>
  <si>
    <t>Industria Textil # 2190 Casa 1 Col Parques del centinela, Zapopan</t>
  </si>
  <si>
    <t>Colchón Ind, Mat, Healty, PURT</t>
  </si>
  <si>
    <t>435/23</t>
  </si>
  <si>
    <t>436/23</t>
  </si>
  <si>
    <t>437/23</t>
  </si>
  <si>
    <t>438/23</t>
  </si>
  <si>
    <t>439/23</t>
  </si>
  <si>
    <t>Nicolás Copérnico # 943 A Depto 1005 Torre Sur, Col Atlas Chapalita, Zapopan</t>
  </si>
  <si>
    <t>2 tapete sint, tapete de lana, Prem, PURT</t>
  </si>
  <si>
    <t>Se manda WA, el tapete quedó sucio y con olor, pero ya es daño permanente</t>
  </si>
  <si>
    <t>Quedó muy bien, no contesta</t>
  </si>
  <si>
    <t>Margarita Garagordovi</t>
  </si>
  <si>
    <t>33-1210-2702</t>
  </si>
  <si>
    <t>Venezuela #744 Col Moderna, Gdl</t>
  </si>
  <si>
    <t>Sala 4 p r r, Coj, Eco</t>
  </si>
  <si>
    <t>San telmo #1761 Col Sta Isabel, Zapopan</t>
  </si>
  <si>
    <t>Colchón KS Healty</t>
  </si>
  <si>
    <t>Esteban Hermosillo Martínez Negrete</t>
  </si>
  <si>
    <t>33-3350-9558</t>
  </si>
  <si>
    <t>Montreal #1121 / A Col Providencia, Zapopan</t>
  </si>
  <si>
    <t>Futón Prot</t>
  </si>
  <si>
    <t>Iris Méndez</t>
  </si>
  <si>
    <t>33-3595-4436</t>
  </si>
  <si>
    <t>Calle la Rioja #2837 Torre Montevideo Depto 18 Col Colomos Providencia, Zapopan</t>
  </si>
  <si>
    <t>Se manda WA, quedaron muy complacidos</t>
  </si>
  <si>
    <t>Se manda WA, bno contesta</t>
  </si>
  <si>
    <t>Se manda WA, muy satisfactorio</t>
  </si>
  <si>
    <t>440/23</t>
  </si>
  <si>
    <t>441/23</t>
  </si>
  <si>
    <t>442/23</t>
  </si>
  <si>
    <t>Diagonal San Jorge #93 Cond Central Depto 18 D Col. San Javier, Gdl</t>
  </si>
  <si>
    <t>Sala 4 p t r, Colchón QS, Eco, Coj, Senc, PURT</t>
  </si>
  <si>
    <t>Blanca Estela Tovar</t>
  </si>
  <si>
    <t>33-3905-3945</t>
  </si>
  <si>
    <t>Coto Viveros del Valle San Antonio #2494 Col Jardines del Valle, Zapopan</t>
  </si>
  <si>
    <t>2 colchon Ind, Senc</t>
  </si>
  <si>
    <t>Melissa Soto</t>
  </si>
  <si>
    <t>33-3676-0340</t>
  </si>
  <si>
    <t>Av Sn Ignacio #336 Int 103Col Arboretto Res, Zapopan</t>
  </si>
  <si>
    <t>Sala 6 p t f, Sala 5 p t f, Prot</t>
  </si>
  <si>
    <t>Se manda WA, todo muy bien y muy amables</t>
  </si>
  <si>
    <t>443/23</t>
  </si>
  <si>
    <t>Virginia Bonilla</t>
  </si>
  <si>
    <t>37-3101-4627</t>
  </si>
  <si>
    <t>Valle de Sto Domingo #2339 Col Viveros del valle, Zapopan</t>
  </si>
  <si>
    <t>Sala 5 p t f, Eco, PURT</t>
  </si>
  <si>
    <t>Se manda WA, super bien</t>
  </si>
  <si>
    <t>Se manda WA,el tapete ya esta con daño</t>
  </si>
  <si>
    <t>444/23</t>
  </si>
  <si>
    <t>445/23</t>
  </si>
  <si>
    <t>Ma Fernanda Ibarguengoitia</t>
  </si>
  <si>
    <t>33-3100-3000</t>
  </si>
  <si>
    <t>Pablo Neruda #3708 Col Colinas de Sn Javier, Zapopan</t>
  </si>
  <si>
    <t>Sala 7 p t r, Senc</t>
  </si>
  <si>
    <t>Marisela Zúñiga Bravo</t>
  </si>
  <si>
    <t>33-3160-8098</t>
  </si>
  <si>
    <t>Paseo de los volcanes #1644 Col Res Moctezuma, Zapopan</t>
  </si>
  <si>
    <t>446/23</t>
  </si>
  <si>
    <t>Suc Lázaro Cárdenas</t>
  </si>
  <si>
    <t>Sillas secretariales, alfombra, Prem</t>
  </si>
  <si>
    <t>Es repetición</t>
  </si>
  <si>
    <t>447/23</t>
  </si>
  <si>
    <t>448/23</t>
  </si>
  <si>
    <t>449/23</t>
  </si>
  <si>
    <t>450/23</t>
  </si>
  <si>
    <t>451/23</t>
  </si>
  <si>
    <t>Jesús Lizárraga</t>
  </si>
  <si>
    <t>33-3954-5216</t>
  </si>
  <si>
    <t>Paseos de las artes #60 Casa 82 Col Ayamonte, Zapopan</t>
  </si>
  <si>
    <t>Tapete de lana, 2 tapetes sint, Eco, PURT</t>
  </si>
  <si>
    <t>Tapete sint Prem, PURT</t>
  </si>
  <si>
    <t>Salvador Martínez</t>
  </si>
  <si>
    <t>33-3104-2156</t>
  </si>
  <si>
    <t>Evila Quintana</t>
  </si>
  <si>
    <t>33-4048-5562</t>
  </si>
  <si>
    <t>Parque Agua Azul #1450 Int 79 Col Parques de Tesistán, Zapopan</t>
  </si>
  <si>
    <t>San Lorenzo II Casa 103 Col Parques de Tesistán, Zapopan</t>
  </si>
  <si>
    <t>Sala 5 p t f, Sillas a y r, Prot</t>
  </si>
  <si>
    <t>Marisol Nongaray</t>
  </si>
  <si>
    <t>37-4103-8592</t>
  </si>
  <si>
    <t>Las torres #396 Av Gral Ramón Corona, La mojonera, Zapopan</t>
  </si>
  <si>
    <t>Sala 6 p t f, Senc, PURT</t>
  </si>
  <si>
    <t>452/23</t>
  </si>
  <si>
    <t>453/23</t>
  </si>
  <si>
    <t>José Erasto García Casillas</t>
  </si>
  <si>
    <t>33-2273-7305</t>
  </si>
  <si>
    <t>Miguel Solís #522 Col.  5 de mayo 2a secc. Gdl</t>
  </si>
  <si>
    <t>Sala 5 p t f, Sillas a y r, Banca, Futón Senc</t>
  </si>
  <si>
    <t>No tiene cel</t>
  </si>
  <si>
    <t>Emma González Ornelas</t>
  </si>
  <si>
    <t>33-1050-6862</t>
  </si>
  <si>
    <t>Contitlán #43 Depto 1 Aztlán, Tonalá</t>
  </si>
  <si>
    <t>454/23</t>
  </si>
  <si>
    <t>Justo Sierra #2040 Int 18 Col Ladrón de Guevara, Gdl</t>
  </si>
  <si>
    <t>Interior tela Pick Up doble cabina, Eco</t>
  </si>
  <si>
    <t>Se manda WA, muy bien, le encantó</t>
  </si>
  <si>
    <t>455/23</t>
  </si>
  <si>
    <t>Teresa Del Valle</t>
  </si>
  <si>
    <t>33-3359-6833</t>
  </si>
  <si>
    <t>Aurora Boreal #4257 Col Arboledas, Zapópan</t>
  </si>
  <si>
    <t>Sala 6 p r r, Futón, Senc</t>
  </si>
  <si>
    <t>Se manda WA, si fue satisfactorio</t>
  </si>
  <si>
    <t>456/23</t>
  </si>
  <si>
    <t>Gregorio Santillán</t>
  </si>
  <si>
    <t>33-1466-1506</t>
  </si>
  <si>
    <t>Fermín Riestra #3472 Col Guadalajarita, Zapopan</t>
  </si>
  <si>
    <t>Se manda WA no contesta</t>
  </si>
  <si>
    <t>457/23</t>
  </si>
  <si>
    <t>458/23</t>
  </si>
  <si>
    <t>459/23</t>
  </si>
  <si>
    <t>Lourdes Mora Montaño</t>
  </si>
  <si>
    <t>33-1785-4196</t>
  </si>
  <si>
    <t>Calle Unión #21 Col La Soledad, Nextipac, Zapoapn</t>
  </si>
  <si>
    <t>Tapete de lana, Senc</t>
  </si>
  <si>
    <t>Se manda WA, el sevicio muy bueno</t>
  </si>
  <si>
    <t>Juan Carlos González  / Hotel FCH</t>
  </si>
  <si>
    <t>81-8022-4574</t>
  </si>
  <si>
    <t>Torre Atala, Av Royal Country #4734 Piso 24 Depto 72, Zapopan</t>
  </si>
  <si>
    <t>Sala 5 p r r, Healty</t>
  </si>
  <si>
    <t>Lucía Quvedo Marín</t>
  </si>
  <si>
    <t>33-1559-4243</t>
  </si>
  <si>
    <t>Ignacio Zaragoza #363, Centro, Gdl</t>
  </si>
  <si>
    <t>Sala 3 p t f, Sala 6 p t f, 2 Sala 1 p t f, Futón, Coj, Senc</t>
  </si>
  <si>
    <t>460/23</t>
  </si>
  <si>
    <t>Valle de Sn Sebastián #2394 Coto Viveros del valle, Zapopan</t>
  </si>
  <si>
    <t>Todo muy bien, compo siempre</t>
  </si>
  <si>
    <t>461/23</t>
  </si>
  <si>
    <t>462/23</t>
  </si>
  <si>
    <t>Quebec #854 Col Providencia, Zapopan</t>
  </si>
  <si>
    <t>8 sala 2 p t f, Tab, 3 tapete sint, Prem</t>
  </si>
  <si>
    <t>No contesta, pero repite</t>
  </si>
  <si>
    <t>Ruben Rosales</t>
  </si>
  <si>
    <t>33-3809-5028</t>
  </si>
  <si>
    <t>Ricardo Palma #3066 Col Providencia, Zapopan</t>
  </si>
  <si>
    <t>463/23</t>
  </si>
  <si>
    <t>Martha Tovar</t>
  </si>
  <si>
    <t>33-2085-3658</t>
  </si>
  <si>
    <t>San Raymundo #289 Col Valle Real, Zapopan</t>
  </si>
  <si>
    <t>Sala 7 p t f, sillas a y r, Senc, PURT</t>
  </si>
  <si>
    <t>464/23</t>
  </si>
  <si>
    <t>465/23</t>
  </si>
  <si>
    <t>Yeimi De la Cruz Gallegos</t>
  </si>
  <si>
    <t>66-9311-4954</t>
  </si>
  <si>
    <t>José Ma Vigil #2436 Depto 9D Col Italia Providencia, Zapopan</t>
  </si>
  <si>
    <t>Miriam Blancas Manriquez</t>
  </si>
  <si>
    <t>33-1670-5369</t>
  </si>
  <si>
    <t>Clemente Orozco #5940 Col Jardines de los Belenes, Zapopan</t>
  </si>
  <si>
    <t>Sala 5 p t f, Coj, Tapete sint, Prot</t>
  </si>
  <si>
    <t>466/23</t>
  </si>
  <si>
    <t>Alma Soto</t>
  </si>
  <si>
    <t>33-2996-8485</t>
  </si>
  <si>
    <t>Rinconada Vallarta #5 Int Limones #38 Cd Granja, Zapopan</t>
  </si>
  <si>
    <t>Se madna WA, lo checará</t>
  </si>
  <si>
    <t>467/23</t>
  </si>
  <si>
    <t>468/23</t>
  </si>
  <si>
    <t>Mayela Alonso / Sindicato de trebajadores académicos de la Ude G</t>
  </si>
  <si>
    <t>33-1063-0162</t>
  </si>
  <si>
    <t>Av José Parrés Arias #555 Col Coj Belenes, Zapopan</t>
  </si>
  <si>
    <t>Sillas secre, 8 sala 2 p t f, Eco, Sala 6 p r r, Sala 3 p t f, Piel</t>
  </si>
  <si>
    <t>Juan Ignacio Dávila López</t>
  </si>
  <si>
    <t>33-2184-8629</t>
  </si>
  <si>
    <t>José Ma Vigil #2782 Int 4 Col Providencia, Zapopan</t>
  </si>
  <si>
    <t>469/23</t>
  </si>
  <si>
    <t>Gabriela de la Torre</t>
  </si>
  <si>
    <t>Garibaldi #2582 Depto 501 Col Ladrón de Guevara, Gdl</t>
  </si>
  <si>
    <t>Sala 4 p r r, coj, cama abajo, sillas a y r, bancos, Senc</t>
  </si>
  <si>
    <t>470/23</t>
  </si>
  <si>
    <t>471/23</t>
  </si>
  <si>
    <t>472/23</t>
  </si>
  <si>
    <t>tapete sint, Healty</t>
  </si>
  <si>
    <t>2 Tapete de lana Prem</t>
  </si>
  <si>
    <t>Río Blanco #1511 Int 271 Col Parques de Tesistán, Zapopan</t>
  </si>
  <si>
    <t>Brian Aguilera Navarro</t>
  </si>
  <si>
    <t>473/23</t>
  </si>
  <si>
    <t>474/23</t>
  </si>
  <si>
    <t>475/23</t>
  </si>
  <si>
    <t>Julia Rodríguez</t>
  </si>
  <si>
    <t>33-1545-4700</t>
  </si>
  <si>
    <t>Av de la Huerta #290-121 Coto Victoria Fracc Campestre Res, Zapopan</t>
  </si>
  <si>
    <t>Sala 5 p r r, 2 tapetes sint, Senc</t>
  </si>
  <si>
    <t>Se Manda WA, quedó bien</t>
  </si>
  <si>
    <t>Laura García / IGT</t>
  </si>
  <si>
    <t>33-2338-3393</t>
  </si>
  <si>
    <t>Av Aviación Flex Norte, Zapopan</t>
  </si>
  <si>
    <t>Sillas ejec, Bancos, Sala 6 p t r, Coj, Prem</t>
  </si>
  <si>
    <t>Miriam Luz Martínez Hernández</t>
  </si>
  <si>
    <t>33-2493-4455</t>
  </si>
  <si>
    <t>Tucán #3760 Int 1 Col Parque de las Aves, Zapopan</t>
  </si>
  <si>
    <t xml:space="preserve">Colchón Mat, Ind Healty </t>
  </si>
  <si>
    <t>476/23</t>
  </si>
  <si>
    <t>Octavio Mojarra Dávila</t>
  </si>
  <si>
    <t>33-1845-5933</t>
  </si>
  <si>
    <t>Av Bosque Sn Isidro Sur #87-1 Col Bosque de Sn Isidro, Zapopan</t>
  </si>
  <si>
    <t>Sala 6 p t r, Sala 1 p a r, Coj, Senc</t>
  </si>
  <si>
    <t>477/23</t>
  </si>
  <si>
    <t>478/23</t>
  </si>
  <si>
    <t>479/23</t>
  </si>
  <si>
    <t>480/23</t>
  </si>
  <si>
    <t>Sala 6 p t r, Coj, Senc</t>
  </si>
  <si>
    <t>Se manda WA, bien pero muy mojado por el clima, pide ir solo en días soleados</t>
  </si>
  <si>
    <t>Sala 8 p r r, Sillas a y r, Bancos, Senc</t>
  </si>
  <si>
    <t>Ricardo Flores Mtz / Mayela Alonso</t>
  </si>
  <si>
    <t>Eco de Queiros #991-71 Coto El Rincón, Zapopan</t>
  </si>
  <si>
    <t>Sala 7 p a r, Sillas a y r, Sillas s a, Prot, Futón, Prot + Antiacaros</t>
  </si>
  <si>
    <t>33-1750-3717</t>
  </si>
  <si>
    <t>Volcan de Sn Fco #95 Casa 8 Col. Huentitán, Zapopan</t>
  </si>
  <si>
    <t>Sala 2 p t f, Silla a y r, 2 tapetes sint, Eco</t>
  </si>
  <si>
    <t>Se manda WA, volvió a quedar manchada</t>
  </si>
  <si>
    <t>481/23</t>
  </si>
  <si>
    <t>482/23</t>
  </si>
  <si>
    <t>483/23</t>
  </si>
  <si>
    <t>484/23</t>
  </si>
  <si>
    <t>Paulina Calles</t>
  </si>
  <si>
    <t>66-2221-8089</t>
  </si>
  <si>
    <t>Toscana #1222 Cima Park Depto 1-D Torre 500, Zapopan</t>
  </si>
  <si>
    <t>Real Acueducto #240 Piso 9, Zapopan</t>
  </si>
  <si>
    <t>No lo puede revisar, se dejó en la of, y ella esta operada</t>
  </si>
  <si>
    <t>Mayela Suárez</t>
  </si>
  <si>
    <t>Paseo Solares #999 Coto 8 Sabeira Casa 124, Zapopan</t>
  </si>
  <si>
    <t>Claudia Rodriguez</t>
  </si>
  <si>
    <t>55-4605-9385</t>
  </si>
  <si>
    <t>Calle Sn Uriel #3458 Col Jardines de los Arcos, Zapopan</t>
  </si>
  <si>
    <t>Futón Senc, PURT</t>
  </si>
  <si>
    <t>485/23</t>
  </si>
  <si>
    <t>Rocío Zepeda</t>
  </si>
  <si>
    <t>33-3950-9403</t>
  </si>
  <si>
    <t>Luna #14 Puerta Plata, Zapopan</t>
  </si>
  <si>
    <t>Sala 6 p a r, Banca, Sala 6 p t f, Sillas a y r, Senc</t>
  </si>
  <si>
    <t>Se manda WA, quedó bien, pero aún mojado</t>
  </si>
  <si>
    <t>486/23</t>
  </si>
  <si>
    <t>487/23</t>
  </si>
  <si>
    <t>488/23</t>
  </si>
  <si>
    <t>Alondra Lizeth Victoria Chue</t>
  </si>
  <si>
    <t>33-1345-7180</t>
  </si>
  <si>
    <t>Monte Sinaí #1858 Col Independencia, Gdl</t>
  </si>
  <si>
    <t>Marcela Ramírez</t>
  </si>
  <si>
    <t>33-3392-5212</t>
  </si>
  <si>
    <t>Dr Gómez Villaseñor #1201 Casa 13 Col Villa de los Belenes, Zapopan</t>
  </si>
  <si>
    <t>José Alfredo Machado</t>
  </si>
  <si>
    <t>33-1781-9196</t>
  </si>
  <si>
    <t>Fray Fco Polou #544 Int 29 Col Parques de Tesistán, Zapopan</t>
  </si>
  <si>
    <t>489/23</t>
  </si>
  <si>
    <t>490/23</t>
  </si>
  <si>
    <t>Carlos Gudiño Plasencia / Subaru</t>
  </si>
  <si>
    <t>33-3191-5111</t>
  </si>
  <si>
    <t>Américas #666 Col Sta Teresita, Zapopan</t>
  </si>
  <si>
    <t>Ramón Corona # 254, Col Sta Anita, Tlaque</t>
  </si>
  <si>
    <t>491/23</t>
  </si>
  <si>
    <t>492/23</t>
  </si>
  <si>
    <t>493/23</t>
  </si>
  <si>
    <t>Emmanuel González</t>
  </si>
  <si>
    <t>33-3570-6514</t>
  </si>
  <si>
    <t>Circ Del Bosque #216 Int 112-E Coto Amate Col. Bosques Vallarta, Zapopan</t>
  </si>
  <si>
    <t>Eber Yesua De La Torre</t>
  </si>
  <si>
    <t>33-1769-4968</t>
  </si>
  <si>
    <t>Turquesa #3232 Col Villa Victoria, Gdl</t>
  </si>
  <si>
    <t>Sala 6 p t f, Piel, 3 tapete sint Prem</t>
  </si>
  <si>
    <t>494/23</t>
  </si>
  <si>
    <t>495/23</t>
  </si>
  <si>
    <t>4 camas de perro, Eco PURT</t>
  </si>
  <si>
    <t>Se manda WA, le encantó como quedó la sala</t>
  </si>
  <si>
    <t>Ismael Alcalá Torres / Jennifer Nataly Sir</t>
  </si>
  <si>
    <t>33-1282-1992</t>
  </si>
  <si>
    <t>Monte Galera #275 Col Res San Elias, Zapopan</t>
  </si>
  <si>
    <t>Sala 5 p r r, Sillas a y r, Colchón Mat, Tab, Senc, PURT</t>
  </si>
  <si>
    <t>496/23</t>
  </si>
  <si>
    <t>497/23</t>
  </si>
  <si>
    <t>498/23</t>
  </si>
  <si>
    <t>Juan Carlos Martínez</t>
  </si>
  <si>
    <t>33-1448-8987</t>
  </si>
  <si>
    <t>Calle Barcelona #2463 Col Sta Mónica, Gdl</t>
  </si>
  <si>
    <t>Se madna WA, no contesta</t>
  </si>
  <si>
    <t>Mariana González</t>
  </si>
  <si>
    <t>33-3576-5594</t>
  </si>
  <si>
    <t>Alberta #2082 Depto 14 Col Colomos Provi, Zapopan</t>
  </si>
  <si>
    <t>2 tapetes sint, Prem, PURT</t>
  </si>
  <si>
    <t>Calle Ma Uribe #737 Casa 31 Col Villas del Nilo, Gdl</t>
  </si>
  <si>
    <t>Sala 6 p r r, Sillas a y r, Bancos, PURT</t>
  </si>
  <si>
    <t>499/23</t>
  </si>
  <si>
    <t>500/23</t>
  </si>
  <si>
    <t>Ana Valencia</t>
  </si>
  <si>
    <t>33-3195-0003</t>
  </si>
  <si>
    <t>Sto Tomás de Aquino #4396 Col Nva Chapalita, Zapopan</t>
  </si>
  <si>
    <t>Sala 6 p t , Senc</t>
  </si>
  <si>
    <t>Interior Pick Up Doble Cabina, Eco</t>
  </si>
  <si>
    <t>Quedó con manchas en el tablero</t>
  </si>
  <si>
    <t>501/23</t>
  </si>
  <si>
    <t>502/23</t>
  </si>
  <si>
    <t>503/23</t>
  </si>
  <si>
    <t>Ana Karina Chávez Madrigal</t>
  </si>
  <si>
    <t>33-5331-8919</t>
  </si>
  <si>
    <t>Plan de Sn Luis #1517 Col Mezquitán Country, Zapopan</t>
  </si>
  <si>
    <t>2 tapete sint, Prem</t>
  </si>
  <si>
    <t>Muy bien, repetirá</t>
  </si>
  <si>
    <t>Coto Reserva Real Casa 92 Paseo Valle Real #3000, zapopan</t>
  </si>
  <si>
    <t>Sala 8 p t r, Tapete de algodón, Sala 4 p t f, Senc</t>
  </si>
  <si>
    <t>muy bien</t>
  </si>
  <si>
    <t>Isabel de Alba</t>
  </si>
  <si>
    <t>33-2178-3232</t>
  </si>
  <si>
    <t>Bahía Pichilinque #2729 Col Parques de Sta Ma, Tlaque</t>
  </si>
  <si>
    <t>Muy limpia</t>
  </si>
  <si>
    <t>504/23</t>
  </si>
  <si>
    <t>Lilia Sánchez</t>
  </si>
  <si>
    <t>33-1339-6674</t>
  </si>
  <si>
    <t>Caguama #3015 Col Loma Bonita Sur, Zapopan</t>
  </si>
  <si>
    <t>Sillas s a, Tapete de lana Senc</t>
  </si>
  <si>
    <t>505/23</t>
  </si>
  <si>
    <t>506/23</t>
  </si>
  <si>
    <t>507/23</t>
  </si>
  <si>
    <t>508/23</t>
  </si>
  <si>
    <t>Laura Amezquita Gtz</t>
  </si>
  <si>
    <t>33-1138-6567</t>
  </si>
  <si>
    <t>Tierra de danza #160 Fracc Terralta 3 y 4, Tlaque</t>
  </si>
  <si>
    <t>Se manda WA, quedó satisfecha</t>
  </si>
  <si>
    <t>Ma Cristina Becerra</t>
  </si>
  <si>
    <t>33-1072-9853</t>
  </si>
  <si>
    <t>Buenos Aires #2615 Col Provi, Zapopan</t>
  </si>
  <si>
    <t>Colchón Ind, Prem, PURT</t>
  </si>
  <si>
    <t>Nancy Vergara</t>
  </si>
  <si>
    <t>33-3904-4327</t>
  </si>
  <si>
    <t>Galeana #1316 Col Villas de Ixtepe Gdl</t>
  </si>
  <si>
    <t>Sala 5 p r r, Senc, PURT</t>
  </si>
  <si>
    <t>Prol Colón #155 Int Reus 141 Col Tossa Res, Tlaque</t>
  </si>
  <si>
    <t>Sala 3 p t f, PURT</t>
  </si>
  <si>
    <t>509/23</t>
  </si>
  <si>
    <t>510/23</t>
  </si>
  <si>
    <t>511/23</t>
  </si>
  <si>
    <t>Paseo de las artes #60 casa 82 Col Ayamonte, Zapopan</t>
  </si>
  <si>
    <t>Se manda WA, quedó bien</t>
  </si>
  <si>
    <t>S e manda WA, no contesta</t>
  </si>
  <si>
    <t>Hilda Salcido</t>
  </si>
  <si>
    <t>33-1228-8814</t>
  </si>
  <si>
    <t>Isla Cozumel #3185 Col Jardines del Sur, Zapopan</t>
  </si>
  <si>
    <t>Sala 6 p a r, Coj, Sillas s a, Senc, Protex en Coj</t>
  </si>
  <si>
    <t>sala</t>
  </si>
  <si>
    <t>512/23</t>
  </si>
  <si>
    <t>Juan Carlos Castellanos</t>
  </si>
  <si>
    <t>Mármol #2328 Loma Bonita, Zapopan</t>
  </si>
  <si>
    <t>Sala 6 p r r, Sillon de comedor, Silla de recibidor Prot</t>
  </si>
  <si>
    <t>513/23</t>
  </si>
  <si>
    <t>514/23</t>
  </si>
  <si>
    <t>515/23</t>
  </si>
  <si>
    <t>33-1799-2725</t>
  </si>
  <si>
    <t>Morelos #1187-3 Col Americana, Gdl</t>
  </si>
  <si>
    <t>Sala 6 p t f, Coj, Silla a y r, 2 tapetes sint, Eco</t>
  </si>
  <si>
    <t>Ma José Vázquez Madrigal</t>
  </si>
  <si>
    <t>Cristina Madero</t>
  </si>
  <si>
    <t>33-1487-1200</t>
  </si>
  <si>
    <t>Rosas #185 Col La Cuchilla, Zapopan</t>
  </si>
  <si>
    <t>Sala 6 p t f, Interior coche chico, Sillas a y r, Senc, PURT</t>
  </si>
  <si>
    <t>Circ. Parques del Centinela #795 Int 8 Col Parques del centinela, Zapopan</t>
  </si>
  <si>
    <t>Leonardo III Esquivel Jiménez</t>
  </si>
  <si>
    <t>33-3131-8087</t>
  </si>
  <si>
    <t>Sala 6 p t f, Sillas s a, 2 Banca, Senc</t>
  </si>
  <si>
    <t>Todo muy bien, muy satisfechos</t>
  </si>
  <si>
    <t>516/23</t>
  </si>
  <si>
    <t>Tapete de lana Senc, PURT</t>
  </si>
  <si>
    <t>Se manda WA, quedo mucho mejor de como estaba</t>
  </si>
  <si>
    <t>No se llama, no contesta</t>
  </si>
  <si>
    <t>Sala 6 p r r, Sillas a y r, Bancos, Eco, PURT</t>
  </si>
  <si>
    <t>Juan Pablo Castellanos</t>
  </si>
  <si>
    <t>OK</t>
  </si>
  <si>
    <t>Gabriela Cuevas</t>
  </si>
  <si>
    <t>1 año 6 mese</t>
  </si>
  <si>
    <t>Suc Abastos</t>
  </si>
  <si>
    <t>33-3255-4136</t>
  </si>
  <si>
    <t>María García</t>
  </si>
  <si>
    <t>José Luis Loza / Nippon Express</t>
  </si>
  <si>
    <t>33-3968-7683</t>
  </si>
  <si>
    <t>Juan Erasto García Casillas</t>
  </si>
  <si>
    <t>2 años</t>
  </si>
  <si>
    <t>2 años 6 mese</t>
  </si>
  <si>
    <t>Julian De León</t>
  </si>
  <si>
    <t>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</si>
</sst>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164" formatCode="_-[$$-80A]* #,##0.00_-;\-[$$-80A]* #,##0.00_-;_-[$$-80A]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0">
    <xf numFmtId="0" fontId="0" fillId="0" borderId="0" xfId="0"/>
    <xf numFmtId="0" fontId="3" fillId="2" borderId="0" xfId="0" applyFont="1" applyFill="1" applyAlignment="1">
      <alignment wrapText="1"/>
    </xf>
    <xf numFmtId="49" fontId="3" fillId="2" borderId="0" xfId="0" applyNumberFormat="1" applyFont="1" applyFill="1" applyAlignment="1">
      <alignment wrapText="1"/>
    </xf>
    <xf numFmtId="14" fontId="3" fillId="2" borderId="0" xfId="0" applyNumberFormat="1" applyFont="1" applyFill="1" applyAlignment="1">
      <alignment wrapText="1"/>
    </xf>
    <xf numFmtId="0" fontId="3" fillId="2" borderId="0" xfId="0" applyFont="1" applyFill="1"/>
    <xf numFmtId="164" fontId="3" fillId="2" borderId="0" xfId="1" applyNumberFormat="1" applyFont="1" applyFill="1"/>
    <xf numFmtId="44" fontId="3" fillId="2" borderId="0" xfId="1" applyFont="1" applyFill="1" applyAlignment="1">
      <alignment wrapText="1"/>
    </xf>
    <xf numFmtId="49" fontId="0" fillId="0" borderId="0" xfId="0" applyNumberFormat="1"/>
    <xf numFmtId="9" fontId="3" fillId="2" borderId="0" xfId="2" applyFont="1" applyFill="1"/>
    <xf numFmtId="0" fontId="0" fillId="3" borderId="1" xfId="0" applyFill="1" applyBorder="1"/>
    <xf numFmtId="44" fontId="4" fillId="3" borderId="1" xfId="1" applyFont="1" applyFill="1" applyBorder="1"/>
    <xf numFmtId="44" fontId="0" fillId="3" borderId="1" xfId="1" applyFont="1" applyFill="1" applyBorder="1"/>
    <xf numFmtId="1" fontId="0" fillId="3" borderId="1" xfId="1" applyNumberFormat="1" applyFont="1" applyFill="1" applyBorder="1"/>
    <xf numFmtId="9" fontId="0" fillId="3" borderId="1" xfId="2" applyFont="1" applyFill="1" applyBorder="1"/>
    <xf numFmtId="9" fontId="0" fillId="0" borderId="0" xfId="2" applyFont="1"/>
    <xf numFmtId="0" fontId="0" fillId="3" borderId="6" xfId="0" applyFill="1" applyBorder="1"/>
    <xf numFmtId="0" fontId="0" fillId="3" borderId="5" xfId="0" applyFill="1" applyBorder="1"/>
    <xf numFmtId="9" fontId="0" fillId="0" borderId="1" xfId="2" applyFont="1" applyBorder="1"/>
    <xf numFmtId="9" fontId="0" fillId="0" borderId="6" xfId="2" applyFont="1" applyBorder="1"/>
    <xf numFmtId="0" fontId="0" fillId="3" borderId="7" xfId="0" applyFill="1" applyBorder="1"/>
    <xf numFmtId="9" fontId="0" fillId="0" borderId="8" xfId="2" applyFont="1" applyBorder="1"/>
    <xf numFmtId="9" fontId="0" fillId="0" borderId="9" xfId="2" applyFont="1" applyBorder="1"/>
    <xf numFmtId="0" fontId="0" fillId="0" borderId="10" xfId="0" applyBorder="1"/>
    <xf numFmtId="1" fontId="0" fillId="3" borderId="5" xfId="0" applyNumberFormat="1" applyFill="1" applyBorder="1"/>
    <xf numFmtId="9" fontId="0" fillId="0" borderId="1" xfId="2" applyFont="1" applyFill="1" applyBorder="1"/>
    <xf numFmtId="1" fontId="0" fillId="3" borderId="7" xfId="0" applyNumberFormat="1" applyFill="1" applyBorder="1"/>
    <xf numFmtId="9" fontId="0" fillId="0" borderId="8" xfId="2" applyFont="1" applyFill="1" applyBorder="1"/>
    <xf numFmtId="0" fontId="0" fillId="3" borderId="5" xfId="0" applyFill="1" applyBorder="1" applyAlignment="1">
      <alignment horizontal="left"/>
    </xf>
    <xf numFmtId="9" fontId="0" fillId="4" borderId="1" xfId="2" applyFont="1" applyFill="1" applyBorder="1"/>
    <xf numFmtId="9" fontId="0" fillId="4" borderId="6" xfId="2" applyFont="1" applyFill="1" applyBorder="1"/>
    <xf numFmtId="9" fontId="0" fillId="0" borderId="1" xfId="2" applyNumberFormat="1" applyFont="1" applyBorder="1"/>
    <xf numFmtId="0" fontId="0" fillId="3" borderId="2" xfId="0" applyFill="1" applyBorder="1"/>
    <xf numFmtId="0" fontId="0" fillId="0" borderId="1" xfId="0" applyBorder="1"/>
    <xf numFmtId="0" fontId="0" fillId="0" borderId="6" xfId="0" applyBorder="1"/>
    <xf numFmtId="49" fontId="0" fillId="3" borderId="5" xfId="0" applyNumberFormat="1" applyFill="1" applyBorder="1"/>
    <xf numFmtId="0" fontId="0" fillId="3" borderId="5" xfId="0" applyFont="1" applyFill="1" applyBorder="1"/>
    <xf numFmtId="0" fontId="0" fillId="3" borderId="7" xfId="0" applyFont="1" applyFill="1" applyBorder="1"/>
    <xf numFmtId="0" fontId="0" fillId="3" borderId="0" xfId="0" applyFill="1"/>
    <xf numFmtId="44" fontId="0" fillId="0" borderId="0" xfId="1" applyFont="1"/>
    <xf numFmtId="0" fontId="1" fillId="0" borderId="0" xfId="0" applyFont="1"/>
    <xf numFmtId="14" fontId="0" fillId="0" borderId="0" xfId="0" applyNumberFormat="1"/>
    <xf numFmtId="164" fontId="0" fillId="0" borderId="0" xfId="0" applyNumberFormat="1"/>
    <xf numFmtId="0" fontId="0" fillId="0" borderId="0" xfId="0" applyFont="1"/>
    <xf numFmtId="0" fontId="0" fillId="0" borderId="13" xfId="0" applyFont="1" applyBorder="1"/>
    <xf numFmtId="9" fontId="0" fillId="0" borderId="14" xfId="2" applyFont="1" applyBorder="1"/>
    <xf numFmtId="0" fontId="0" fillId="0" borderId="13" xfId="0" applyBorder="1"/>
    <xf numFmtId="0" fontId="0" fillId="0" borderId="15" xfId="0" applyBorder="1"/>
    <xf numFmtId="0" fontId="0" fillId="0" borderId="14" xfId="0" applyBorder="1"/>
    <xf numFmtId="0" fontId="0" fillId="0" borderId="16" xfId="0" applyFont="1" applyBorder="1"/>
    <xf numFmtId="164" fontId="0" fillId="0" borderId="17" xfId="2" applyNumberFormat="1" applyFont="1" applyBorder="1"/>
    <xf numFmtId="0" fontId="0" fillId="0" borderId="0" xfId="0" applyBorder="1"/>
    <xf numFmtId="9" fontId="0" fillId="0" borderId="17" xfId="2" applyFont="1" applyBorder="1"/>
    <xf numFmtId="1" fontId="0" fillId="0" borderId="0" xfId="0" applyNumberFormat="1"/>
    <xf numFmtId="0" fontId="0" fillId="0" borderId="10" xfId="0" applyFont="1" applyBorder="1"/>
    <xf numFmtId="44" fontId="0" fillId="0" borderId="18" xfId="1" applyFont="1" applyBorder="1"/>
    <xf numFmtId="0" fontId="0" fillId="0" borderId="19" xfId="0" applyBorder="1"/>
    <xf numFmtId="9" fontId="0" fillId="0" borderId="18" xfId="2" applyFont="1" applyBorder="1"/>
    <xf numFmtId="0" fontId="0" fillId="0" borderId="16" xfId="0" applyBorder="1"/>
    <xf numFmtId="49" fontId="0" fillId="0" borderId="16" xfId="0" applyNumberFormat="1" applyBorder="1"/>
    <xf numFmtId="0" fontId="0" fillId="0" borderId="0" xfId="0" applyFill="1" applyBorder="1"/>
    <xf numFmtId="49" fontId="0" fillId="0" borderId="10" xfId="0" applyNumberFormat="1" applyBorder="1"/>
    <xf numFmtId="0" fontId="0" fillId="0" borderId="16" xfId="0" applyFill="1" applyBorder="1"/>
    <xf numFmtId="49" fontId="0" fillId="0" borderId="13" xfId="0" applyNumberFormat="1" applyBorder="1"/>
    <xf numFmtId="0" fontId="0" fillId="0" borderId="10" xfId="0" applyFill="1" applyBorder="1"/>
    <xf numFmtId="49" fontId="0" fillId="0" borderId="16" xfId="0" applyNumberFormat="1" applyFont="1" applyBorder="1"/>
    <xf numFmtId="49" fontId="0" fillId="0" borderId="10" xfId="0" applyNumberFormat="1" applyFont="1" applyBorder="1"/>
    <xf numFmtId="49" fontId="0" fillId="0" borderId="0" xfId="0" applyNumberFormat="1" applyFont="1"/>
    <xf numFmtId="49" fontId="0" fillId="0" borderId="13" xfId="0" applyNumberFormat="1" applyFont="1" applyBorder="1"/>
    <xf numFmtId="49" fontId="0" fillId="0" borderId="0" xfId="0" applyNumberFormat="1" applyBorder="1"/>
    <xf numFmtId="9" fontId="0" fillId="0" borderId="0" xfId="2" applyFont="1" applyBorder="1"/>
    <xf numFmtId="0" fontId="0" fillId="4" borderId="16" xfId="0" applyFill="1" applyBorder="1"/>
    <xf numFmtId="0" fontId="0" fillId="4" borderId="10" xfId="0" applyFill="1" applyBorder="1"/>
    <xf numFmtId="49" fontId="0" fillId="0" borderId="2" xfId="0" applyNumberFormat="1" applyBorder="1"/>
    <xf numFmtId="0" fontId="0" fillId="0" borderId="4" xfId="0" applyBorder="1"/>
    <xf numFmtId="49" fontId="0" fillId="0" borderId="5" xfId="0" applyNumberFormat="1" applyBorder="1"/>
    <xf numFmtId="164" fontId="0" fillId="0" borderId="6" xfId="0" applyNumberFormat="1" applyBorder="1"/>
    <xf numFmtId="44" fontId="0" fillId="0" borderId="6" xfId="1" applyFont="1" applyBorder="1"/>
    <xf numFmtId="0" fontId="0" fillId="0" borderId="7" xfId="0" applyBorder="1"/>
    <xf numFmtId="164" fontId="0" fillId="0" borderId="9" xfId="0" applyNumberFormat="1" applyBorder="1"/>
    <xf numFmtId="0" fontId="0" fillId="5" borderId="0" xfId="0" applyFill="1"/>
    <xf numFmtId="44" fontId="3" fillId="2" borderId="0" xfId="1" applyFont="1" applyFill="1"/>
    <xf numFmtId="0" fontId="0" fillId="6" borderId="0" xfId="0" applyFill="1"/>
    <xf numFmtId="0" fontId="0" fillId="7" borderId="0" xfId="0" applyFill="1"/>
    <xf numFmtId="0" fontId="0" fillId="8" borderId="0" xfId="0" applyFill="1"/>
    <xf numFmtId="44" fontId="0" fillId="0" borderId="1" xfId="1" applyFont="1" applyBorder="1"/>
    <xf numFmtId="44" fontId="0" fillId="0" borderId="1" xfId="0" applyNumberFormat="1" applyBorder="1"/>
    <xf numFmtId="9" fontId="0" fillId="0" borderId="1" xfId="0" applyNumberFormat="1" applyBorder="1"/>
    <xf numFmtId="49" fontId="0" fillId="9" borderId="0" xfId="0" applyNumberFormat="1" applyFill="1"/>
    <xf numFmtId="44" fontId="0" fillId="0" borderId="4" xfId="1" applyFont="1" applyBorder="1"/>
    <xf numFmtId="0" fontId="0" fillId="0" borderId="0" xfId="0"/>
    <xf numFmtId="42" fontId="5" fillId="0" borderId="20" xfId="0" applyNumberFormat="1" applyFont="1" applyBorder="1" applyAlignment="1">
      <alignment horizontal="center"/>
    </xf>
    <xf numFmtId="164" fontId="0" fillId="0" borderId="4" xfId="0" applyNumberFormat="1" applyBorder="1"/>
    <xf numFmtId="164" fontId="0" fillId="10" borderId="0" xfId="0" applyNumberFormat="1" applyFill="1"/>
    <xf numFmtId="44" fontId="0" fillId="0" borderId="17" xfId="1" applyFont="1" applyBorder="1"/>
    <xf numFmtId="49" fontId="0" fillId="4" borderId="0" xfId="0" applyNumberFormat="1" applyFill="1"/>
    <xf numFmtId="164" fontId="6" fillId="0" borderId="0" xfId="0" applyNumberFormat="1" applyFont="1"/>
    <xf numFmtId="0" fontId="0" fillId="4" borderId="0" xfId="0" applyFill="1"/>
    <xf numFmtId="0" fontId="0" fillId="0" borderId="0" xfId="0" applyFill="1"/>
    <xf numFmtId="49" fontId="0" fillId="11" borderId="0" xfId="0" applyNumberFormat="1" applyFill="1"/>
    <xf numFmtId="0" fontId="0" fillId="3" borderId="0" xfId="0" applyFont="1" applyFill="1" applyAlignment="1">
      <alignment horizontal="center"/>
    </xf>
    <xf numFmtId="9" fontId="0" fillId="3" borderId="1" xfId="2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00808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0"/>
          <c:tx>
            <c:strRef>
              <c:f>'Estadísticas finales'!$G$1</c:f>
              <c:strCache>
                <c:ptCount val="1"/>
                <c:pt idx="0">
                  <c:v>No. Servicios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'Estadísticas finales'!$A$2:$A$13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'Estadísticas finales'!$G$2:$G$13</c:f>
              <c:numCache>
                <c:formatCode>General</c:formatCode>
                <c:ptCount val="12"/>
                <c:pt idx="0">
                  <c:v>47</c:v>
                </c:pt>
                <c:pt idx="1">
                  <c:v>35</c:v>
                </c:pt>
                <c:pt idx="2">
                  <c:v>36</c:v>
                </c:pt>
                <c:pt idx="3">
                  <c:v>41</c:v>
                </c:pt>
                <c:pt idx="4">
                  <c:v>43</c:v>
                </c:pt>
                <c:pt idx="5">
                  <c:v>49</c:v>
                </c:pt>
                <c:pt idx="6">
                  <c:v>51</c:v>
                </c:pt>
                <c:pt idx="7">
                  <c:v>46</c:v>
                </c:pt>
                <c:pt idx="8">
                  <c:v>43</c:v>
                </c:pt>
                <c:pt idx="9">
                  <c:v>48</c:v>
                </c:pt>
                <c:pt idx="10">
                  <c:v>40</c:v>
                </c:pt>
                <c:pt idx="11">
                  <c:v>38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DDB9-4B5C-8208-31A1AFF9D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49087488"/>
        <c:axId val="249089024"/>
      </c:barChart>
      <c:catAx>
        <c:axId val="249087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9089024"/>
        <c:crosses val="autoZero"/>
        <c:auto val="1"/>
        <c:lblAlgn val="ctr"/>
        <c:lblOffset val="100"/>
        <c:noMultiLvlLbl val="0"/>
      </c:catAx>
      <c:valAx>
        <c:axId val="24908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9087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Venta bruta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'Estadísticas finales'!$B$1</c:f>
              <c:strCache>
                <c:ptCount val="1"/>
                <c:pt idx="0">
                  <c:v>Venta mensual bruta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'Estadísticas finales'!$A$2:$A$13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'Estadísticas finales'!$B$2:$B$13</c:f>
              <c:numCache>
                <c:formatCode>_("$"* #,##0.00_);_("$"* \(#,##0.00\);_("$"* "-"??_);_(@_)</c:formatCode>
                <c:ptCount val="12"/>
                <c:pt idx="0">
                  <c:v>102159.20000000001</c:v>
                </c:pt>
                <c:pt idx="1">
                  <c:v>71335.86</c:v>
                </c:pt>
                <c:pt idx="2">
                  <c:v>90170.319999999992</c:v>
                </c:pt>
                <c:pt idx="3">
                  <c:v>82639.099999999991</c:v>
                </c:pt>
                <c:pt idx="4">
                  <c:v>100641.41</c:v>
                </c:pt>
                <c:pt idx="5">
                  <c:v>98752.260000000009</c:v>
                </c:pt>
                <c:pt idx="6">
                  <c:v>121334.49999999999</c:v>
                </c:pt>
                <c:pt idx="7">
                  <c:v>99433.45</c:v>
                </c:pt>
                <c:pt idx="8">
                  <c:v>139679.70000000001</c:v>
                </c:pt>
                <c:pt idx="9">
                  <c:v>111320.77999999998</c:v>
                </c:pt>
                <c:pt idx="10">
                  <c:v>106794.23999999998</c:v>
                </c:pt>
                <c:pt idx="11" formatCode="_-[$$-80A]* #,##0.00_-;\-[$$-80A]* #,##0.00_-;_-[$$-80A]* &quot;-&quot;??_-;_-@_-">
                  <c:v>88712.17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34-46CC-8D54-4B1870EB0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49101696"/>
        <c:axId val="249185408"/>
      </c:barChart>
      <c:catAx>
        <c:axId val="249101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9185408"/>
        <c:crosses val="autoZero"/>
        <c:auto val="1"/>
        <c:lblAlgn val="ctr"/>
        <c:lblOffset val="100"/>
        <c:noMultiLvlLbl val="0"/>
      </c:catAx>
      <c:valAx>
        <c:axId val="24918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9101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 baseline="0"/>
              <a:t>% cliente residencial en venta bruta</a:t>
            </a:r>
            <a:endParaRPr lang="es-MX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'Estadísticas finales'!$B$1</c:f>
              <c:strCache>
                <c:ptCount val="1"/>
                <c:pt idx="0">
                  <c:v>Venta mensual bruta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'Estadísticas finales'!$A$2:$A$13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'Estadísticas finales'!$B$2:$B$13</c:f>
              <c:numCache>
                <c:formatCode>_("$"* #,##0.00_);_("$"* \(#,##0.00\);_("$"* "-"??_);_(@_)</c:formatCode>
                <c:ptCount val="12"/>
                <c:pt idx="0">
                  <c:v>102159.20000000001</c:v>
                </c:pt>
                <c:pt idx="1">
                  <c:v>71335.86</c:v>
                </c:pt>
                <c:pt idx="2">
                  <c:v>90170.319999999992</c:v>
                </c:pt>
                <c:pt idx="3">
                  <c:v>82639.099999999991</c:v>
                </c:pt>
                <c:pt idx="4">
                  <c:v>100641.41</c:v>
                </c:pt>
                <c:pt idx="5">
                  <c:v>98752.260000000009</c:v>
                </c:pt>
                <c:pt idx="6">
                  <c:v>121334.49999999999</c:v>
                </c:pt>
                <c:pt idx="7">
                  <c:v>99433.45</c:v>
                </c:pt>
                <c:pt idx="8">
                  <c:v>139679.70000000001</c:v>
                </c:pt>
                <c:pt idx="9">
                  <c:v>111320.77999999998</c:v>
                </c:pt>
                <c:pt idx="10">
                  <c:v>106794.23999999998</c:v>
                </c:pt>
                <c:pt idx="11" formatCode="_-[$$-80A]* #,##0.00_-;\-[$$-80A]* #,##0.00_-;_-[$$-80A]* &quot;-&quot;??_-;_-@_-">
                  <c:v>88712.17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2B1-4EAB-BA9F-2C74333BA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49229312"/>
        <c:axId val="249230848"/>
      </c:barChart>
      <c:lineChart>
        <c:grouping val="standard"/>
        <c:varyColors val="0"/>
        <c:ser>
          <c:idx val="6"/>
          <c:order val="1"/>
          <c:tx>
            <c:strRef>
              <c:f>'Estadísticas finales'!$H$1</c:f>
              <c:strCache>
                <c:ptCount val="1"/>
                <c:pt idx="0">
                  <c:v>% Cliente Res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'Estadísticas finales'!$A$2:$A$13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'Estadísticas finales'!$H$2:$H$13</c:f>
              <c:numCache>
                <c:formatCode>0%</c:formatCode>
                <c:ptCount val="12"/>
                <c:pt idx="0">
                  <c:v>0.87</c:v>
                </c:pt>
                <c:pt idx="1">
                  <c:v>0.94</c:v>
                </c:pt>
                <c:pt idx="2">
                  <c:v>0.86</c:v>
                </c:pt>
                <c:pt idx="3">
                  <c:v>0.85</c:v>
                </c:pt>
                <c:pt idx="4">
                  <c:v>0.88</c:v>
                </c:pt>
                <c:pt idx="5">
                  <c:v>0.88</c:v>
                </c:pt>
                <c:pt idx="6">
                  <c:v>0.82</c:v>
                </c:pt>
                <c:pt idx="7">
                  <c:v>0.85</c:v>
                </c:pt>
                <c:pt idx="8">
                  <c:v>0.86</c:v>
                </c:pt>
                <c:pt idx="9">
                  <c:v>0.9</c:v>
                </c:pt>
                <c:pt idx="10">
                  <c:v>0.85</c:v>
                </c:pt>
                <c:pt idx="11">
                  <c:v>0.92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22B1-4EAB-BA9F-2C74333BA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9107200"/>
        <c:axId val="249232384"/>
      </c:lineChart>
      <c:catAx>
        <c:axId val="24922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9230848"/>
        <c:crosses val="autoZero"/>
        <c:auto val="1"/>
        <c:lblAlgn val="ctr"/>
        <c:lblOffset val="100"/>
        <c:noMultiLvlLbl val="0"/>
      </c:catAx>
      <c:valAx>
        <c:axId val="24923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9229312"/>
        <c:crosses val="autoZero"/>
        <c:crossBetween val="between"/>
      </c:valAx>
      <c:valAx>
        <c:axId val="249232384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9107200"/>
        <c:crosses val="max"/>
        <c:crossBetween val="between"/>
      </c:valAx>
      <c:catAx>
        <c:axId val="2491072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492323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% de repetición en venta bruta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'Estadísticas finales'!$B$1</c:f>
              <c:strCache>
                <c:ptCount val="1"/>
                <c:pt idx="0">
                  <c:v>Venta mensual bruta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'Estadísticas finales'!$A$2:$A$13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'Estadísticas finales'!$B$2:$B$13</c:f>
              <c:numCache>
                <c:formatCode>_("$"* #,##0.00_);_("$"* \(#,##0.00\);_("$"* "-"??_);_(@_)</c:formatCode>
                <c:ptCount val="12"/>
                <c:pt idx="0">
                  <c:v>102159.20000000001</c:v>
                </c:pt>
                <c:pt idx="1">
                  <c:v>71335.86</c:v>
                </c:pt>
                <c:pt idx="2">
                  <c:v>90170.319999999992</c:v>
                </c:pt>
                <c:pt idx="3">
                  <c:v>82639.099999999991</c:v>
                </c:pt>
                <c:pt idx="4">
                  <c:v>100641.41</c:v>
                </c:pt>
                <c:pt idx="5">
                  <c:v>98752.260000000009</c:v>
                </c:pt>
                <c:pt idx="6">
                  <c:v>121334.49999999999</c:v>
                </c:pt>
                <c:pt idx="7">
                  <c:v>99433.45</c:v>
                </c:pt>
                <c:pt idx="8">
                  <c:v>139679.70000000001</c:v>
                </c:pt>
                <c:pt idx="9">
                  <c:v>111320.77999999998</c:v>
                </c:pt>
                <c:pt idx="10">
                  <c:v>106794.23999999998</c:v>
                </c:pt>
                <c:pt idx="11" formatCode="_-[$$-80A]* #,##0.00_-;\-[$$-80A]* #,##0.00_-;_-[$$-80A]* &quot;-&quot;??_-;_-@_-">
                  <c:v>88712.17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7FE-4B50-99FE-58F897C89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49130368"/>
        <c:axId val="249132160"/>
      </c:barChart>
      <c:lineChart>
        <c:grouping val="standard"/>
        <c:varyColors val="0"/>
        <c:ser>
          <c:idx val="8"/>
          <c:order val="1"/>
          <c:tx>
            <c:strRef>
              <c:f>'Estadísticas finales'!$J$1</c:f>
              <c:strCache>
                <c:ptCount val="1"/>
                <c:pt idx="0">
                  <c:v>% Rep</c:v>
                </c:pt>
              </c:strCache>
            </c:strRef>
          </c:tx>
          <c:spPr>
            <a:ln w="34925" cap="rnd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'Estadísticas finales'!$A$2:$A$13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'Estadísticas finales'!$J$2:$J$13</c:f>
              <c:numCache>
                <c:formatCode>0%</c:formatCode>
                <c:ptCount val="12"/>
                <c:pt idx="0">
                  <c:v>0.9</c:v>
                </c:pt>
                <c:pt idx="1">
                  <c:v>0.56999999999999995</c:v>
                </c:pt>
                <c:pt idx="2">
                  <c:v>0.39</c:v>
                </c:pt>
                <c:pt idx="3">
                  <c:v>0.32</c:v>
                </c:pt>
                <c:pt idx="4">
                  <c:v>0.37</c:v>
                </c:pt>
                <c:pt idx="5">
                  <c:v>0.43</c:v>
                </c:pt>
                <c:pt idx="6">
                  <c:v>0.28999999999999998</c:v>
                </c:pt>
                <c:pt idx="7">
                  <c:v>0.5</c:v>
                </c:pt>
                <c:pt idx="8">
                  <c:v>0.3</c:v>
                </c:pt>
                <c:pt idx="9">
                  <c:v>0.5</c:v>
                </c:pt>
                <c:pt idx="10">
                  <c:v>0.45</c:v>
                </c:pt>
                <c:pt idx="11">
                  <c:v>0.66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C7FE-4B50-99FE-58F897C89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9143680"/>
        <c:axId val="249133696"/>
      </c:lineChart>
      <c:catAx>
        <c:axId val="249130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9132160"/>
        <c:crosses val="autoZero"/>
        <c:auto val="1"/>
        <c:lblAlgn val="ctr"/>
        <c:lblOffset val="100"/>
        <c:noMultiLvlLbl val="0"/>
      </c:catAx>
      <c:valAx>
        <c:axId val="24913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9130368"/>
        <c:crosses val="autoZero"/>
        <c:crossBetween val="between"/>
      </c:valAx>
      <c:valAx>
        <c:axId val="249133696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9143680"/>
        <c:crosses val="max"/>
        <c:crossBetween val="between"/>
      </c:valAx>
      <c:catAx>
        <c:axId val="2491436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491336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%</a:t>
            </a:r>
            <a:r>
              <a:rPr lang="es-MX" baseline="0"/>
              <a:t> de tipo de mueble en venta bruta</a:t>
            </a:r>
            <a:endParaRPr lang="es-MX"/>
          </a:p>
        </c:rich>
      </c:tx>
      <c:layout>
        <c:manualLayout>
          <c:xMode val="edge"/>
          <c:yMode val="edge"/>
          <c:x val="0.12065966754155731"/>
          <c:y val="2.777777777777777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Venta mensual bruta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'Estadísticas finales'!$A$1:$A$13</c:f>
              <c:strCache>
                <c:ptCount val="13"/>
                <c:pt idx="0">
                  <c:v>Mes</c:v>
                </c:pt>
                <c:pt idx="1">
                  <c:v>Ene</c:v>
                </c:pt>
                <c:pt idx="2">
                  <c:v>Feb</c:v>
                </c:pt>
                <c:pt idx="3">
                  <c:v>Mar</c:v>
                </c:pt>
                <c:pt idx="4">
                  <c:v>Abr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Ago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Dic</c:v>
                </c:pt>
              </c:strCache>
            </c:strRef>
          </c:cat>
          <c:val>
            <c:numRef>
              <c:f>'Estadísticas finales'!$B$1:$B$13</c:f>
              <c:numCache>
                <c:formatCode>_("$"* #,##0.00_);_("$"* \(#,##0.00\);_("$"* "-"??_);_(@_)</c:formatCode>
                <c:ptCount val="13"/>
                <c:pt idx="0">
                  <c:v>0</c:v>
                </c:pt>
                <c:pt idx="1">
                  <c:v>102159.20000000001</c:v>
                </c:pt>
                <c:pt idx="2">
                  <c:v>71335.86</c:v>
                </c:pt>
                <c:pt idx="3">
                  <c:v>90170.319999999992</c:v>
                </c:pt>
                <c:pt idx="4">
                  <c:v>82639.099999999991</c:v>
                </c:pt>
                <c:pt idx="5">
                  <c:v>100641.41</c:v>
                </c:pt>
                <c:pt idx="6">
                  <c:v>98752.260000000009</c:v>
                </c:pt>
                <c:pt idx="7">
                  <c:v>121334.49999999999</c:v>
                </c:pt>
                <c:pt idx="8">
                  <c:v>99433.45</c:v>
                </c:pt>
                <c:pt idx="9">
                  <c:v>139679.70000000001</c:v>
                </c:pt>
                <c:pt idx="10">
                  <c:v>111320.77999999998</c:v>
                </c:pt>
                <c:pt idx="11">
                  <c:v>106794.23999999998</c:v>
                </c:pt>
                <c:pt idx="12" formatCode="_-[$$-80A]* #,##0.00_-;\-[$$-80A]* #,##0.00_-;_-[$$-80A]* &quot;-&quot;??_-;_-@_-">
                  <c:v>88712.17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133-42A5-BA6C-5184BF522E5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49978240"/>
        <c:axId val="249981184"/>
      </c:barChart>
      <c:lineChart>
        <c:grouping val="standard"/>
        <c:varyColors val="0"/>
        <c:ser>
          <c:idx val="10"/>
          <c:order val="1"/>
          <c:tx>
            <c:v>% de tipo de mueble</c:v>
          </c:tx>
          <c:spPr>
            <a:ln w="34925" cap="rnd">
              <a:solidFill>
                <a:schemeClr val="accent5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1"/>
              <c:layout>
                <c:manualLayout>
                  <c:x val="-3.3333333333333333E-2"/>
                  <c:y val="4.6296296296295869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Tapete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133-42A5-BA6C-5184BF522E5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Sala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133-42A5-BA6C-5184BF522E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'Estadísticas finales'!$A$1:$A$13</c:f>
              <c:strCache>
                <c:ptCount val="13"/>
                <c:pt idx="0">
                  <c:v>Mes</c:v>
                </c:pt>
                <c:pt idx="1">
                  <c:v>Ene</c:v>
                </c:pt>
                <c:pt idx="2">
                  <c:v>Feb</c:v>
                </c:pt>
                <c:pt idx="3">
                  <c:v>Mar</c:v>
                </c:pt>
                <c:pt idx="4">
                  <c:v>Abr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Ago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Dic</c:v>
                </c:pt>
              </c:strCache>
            </c:strRef>
          </c:cat>
          <c:val>
            <c:numRef>
              <c:f>'Estadísticas finales'!$L$1:$L$13</c:f>
              <c:numCache>
                <c:formatCode>0%</c:formatCode>
                <c:ptCount val="13"/>
                <c:pt idx="1">
                  <c:v>0.32</c:v>
                </c:pt>
                <c:pt idx="2">
                  <c:v>0.28000000000000003</c:v>
                </c:pt>
                <c:pt idx="3">
                  <c:v>0.28999999999999998</c:v>
                </c:pt>
                <c:pt idx="4">
                  <c:v>0.31</c:v>
                </c:pt>
                <c:pt idx="5">
                  <c:v>0.3</c:v>
                </c:pt>
                <c:pt idx="6">
                  <c:v>0.3</c:v>
                </c:pt>
                <c:pt idx="7">
                  <c:v>0.45</c:v>
                </c:pt>
                <c:pt idx="8">
                  <c:v>0.39</c:v>
                </c:pt>
                <c:pt idx="9">
                  <c:v>0.45</c:v>
                </c:pt>
                <c:pt idx="10">
                  <c:v>0.37</c:v>
                </c:pt>
                <c:pt idx="11">
                  <c:v>0.45</c:v>
                </c:pt>
                <c:pt idx="12">
                  <c:v>0.33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A-7133-42A5-BA6C-5184BF522E5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49992704"/>
        <c:axId val="249991168"/>
      </c:lineChart>
      <c:catAx>
        <c:axId val="249978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9981184"/>
        <c:crosses val="autoZero"/>
        <c:auto val="1"/>
        <c:lblAlgn val="ctr"/>
        <c:lblOffset val="100"/>
        <c:noMultiLvlLbl val="0"/>
      </c:catAx>
      <c:valAx>
        <c:axId val="24998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9978240"/>
        <c:crosses val="autoZero"/>
        <c:crossBetween val="between"/>
      </c:valAx>
      <c:valAx>
        <c:axId val="249991168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9992704"/>
        <c:crosses val="max"/>
        <c:crossBetween val="between"/>
      </c:valAx>
      <c:catAx>
        <c:axId val="2499927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499911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'Estadísticas finales'!$D$1</c:f>
              <c:strCache>
                <c:ptCount val="1"/>
                <c:pt idx="0">
                  <c:v>Ganancia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'Estadísticas finales'!$A$2:$A$13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'Estadísticas finales'!$D$2:$D$13</c:f>
              <c:numCache>
                <c:formatCode>_("$"* #,##0.00_);_("$"* \(#,##0.00\);_("$"* "-"??_);_(@_)</c:formatCode>
                <c:ptCount val="12"/>
                <c:pt idx="0">
                  <c:v>58459.140000000007</c:v>
                </c:pt>
                <c:pt idx="1">
                  <c:v>30444.480000000003</c:v>
                </c:pt>
                <c:pt idx="2">
                  <c:v>46213.639999999992</c:v>
                </c:pt>
                <c:pt idx="3">
                  <c:v>14738.999999999985</c:v>
                </c:pt>
                <c:pt idx="4">
                  <c:v>6208.75</c:v>
                </c:pt>
                <c:pt idx="5">
                  <c:v>43663.140000000014</c:v>
                </c:pt>
                <c:pt idx="6">
                  <c:v>49705.009999999995</c:v>
                </c:pt>
                <c:pt idx="7">
                  <c:v>34514.660000000003</c:v>
                </c:pt>
                <c:pt idx="8">
                  <c:v>56653.430000000022</c:v>
                </c:pt>
                <c:pt idx="9">
                  <c:v>49971.599999999984</c:v>
                </c:pt>
                <c:pt idx="10">
                  <c:v>44093.00999999998</c:v>
                </c:pt>
                <c:pt idx="11">
                  <c:v>36646.61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94CB-4483-8E08-354887D94E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50013568"/>
        <c:axId val="250015104"/>
      </c:barChart>
      <c:catAx>
        <c:axId val="250013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0015104"/>
        <c:crosses val="autoZero"/>
        <c:auto val="1"/>
        <c:lblAlgn val="ctr"/>
        <c:lblOffset val="100"/>
        <c:noMultiLvlLbl val="0"/>
      </c:catAx>
      <c:valAx>
        <c:axId val="25001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001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%</a:t>
            </a:r>
            <a:r>
              <a:rPr lang="es-MX" baseline="0"/>
              <a:t> de tipo de paquete en venta bruta</a:t>
            </a:r>
            <a:endParaRPr lang="es-MX"/>
          </a:p>
        </c:rich>
      </c:tx>
      <c:layout>
        <c:manualLayout>
          <c:xMode val="edge"/>
          <c:yMode val="edge"/>
          <c:x val="0.12065966754155731"/>
          <c:y val="2.777777777777777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Venta mensual bruta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'Estadísticas finales'!$A$2:$A$13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'Estadísticas finales'!$A$1:$A$13</c15:sqref>
                  </c15:fullRef>
                </c:ext>
              </c:extLst>
            </c:strRef>
          </c:cat>
          <c:val>
            <c:numRef>
              <c:f>'Estadísticas finales'!$B$2:$B$13</c:f>
              <c:numCache>
                <c:formatCode>_("$"* #,##0.00_);_("$"* \(#,##0.00\);_("$"* "-"??_);_(@_)</c:formatCode>
                <c:ptCount val="12"/>
                <c:pt idx="0">
                  <c:v>102159.20000000001</c:v>
                </c:pt>
                <c:pt idx="1">
                  <c:v>71335.86</c:v>
                </c:pt>
                <c:pt idx="2">
                  <c:v>90170.319999999992</c:v>
                </c:pt>
                <c:pt idx="3">
                  <c:v>82639.099999999991</c:v>
                </c:pt>
                <c:pt idx="4">
                  <c:v>100641.41</c:v>
                </c:pt>
                <c:pt idx="5">
                  <c:v>98752.260000000009</c:v>
                </c:pt>
                <c:pt idx="6">
                  <c:v>121334.49999999999</c:v>
                </c:pt>
                <c:pt idx="7">
                  <c:v>99433.45</c:v>
                </c:pt>
                <c:pt idx="8">
                  <c:v>139679.70000000001</c:v>
                </c:pt>
                <c:pt idx="9">
                  <c:v>111320.77999999998</c:v>
                </c:pt>
                <c:pt idx="10">
                  <c:v>106794.23999999998</c:v>
                </c:pt>
                <c:pt idx="11" formatCode="_-[$$-80A]* #,##0.00_-;\-[$$-80A]* #,##0.00_-;_-[$$-80A]* &quot;-&quot;??_-;_-@_-">
                  <c:v>88712.17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'Estadísticas finales'!$B$1:$B$13</c15:sqref>
                  </c15:fullRef>
                </c:ext>
              </c:extLst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7BE-42E6-8D9B-FA7FACDECE5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50057088"/>
        <c:axId val="250059776"/>
      </c:barChart>
      <c:lineChart>
        <c:grouping val="standard"/>
        <c:varyColors val="0"/>
        <c:ser>
          <c:idx val="10"/>
          <c:order val="1"/>
          <c:tx>
            <c:v>% de paquete</c:v>
          </c:tx>
          <c:spPr>
            <a:ln w="34925" cap="rnd">
              <a:solidFill>
                <a:schemeClr val="accent5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3.3333333333333333E-2"/>
                  <c:y val="4.6296296296295869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Senc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BE-42E6-8D9B-FA7FACDECE5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Senc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97BE-42E6-8D9B-FA7FACDECE5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'Estadísticas finales'!$A$2:$A$13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'Estadísticas finales'!$A$1:$A$13</c15:sqref>
                  </c15:fullRef>
                </c:ext>
              </c:extLst>
            </c:strRef>
          </c:cat>
          <c:val>
            <c:numRef>
              <c:f>'Estadísticas finales'!$L$2:$L$13</c:f>
              <c:numCache>
                <c:formatCode>0%</c:formatCode>
                <c:ptCount val="12"/>
                <c:pt idx="0">
                  <c:v>0.32</c:v>
                </c:pt>
                <c:pt idx="1">
                  <c:v>0.28000000000000003</c:v>
                </c:pt>
                <c:pt idx="2">
                  <c:v>0.28999999999999998</c:v>
                </c:pt>
                <c:pt idx="3">
                  <c:v>0.31</c:v>
                </c:pt>
                <c:pt idx="4">
                  <c:v>0.3</c:v>
                </c:pt>
                <c:pt idx="5">
                  <c:v>0.3</c:v>
                </c:pt>
                <c:pt idx="6">
                  <c:v>0.45</c:v>
                </c:pt>
                <c:pt idx="7">
                  <c:v>0.39</c:v>
                </c:pt>
                <c:pt idx="8">
                  <c:v>0.45</c:v>
                </c:pt>
                <c:pt idx="9">
                  <c:v>0.37</c:v>
                </c:pt>
                <c:pt idx="10">
                  <c:v>0.45</c:v>
                </c:pt>
                <c:pt idx="11">
                  <c:v>0.33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'Estadísticas finales'!$L$1:$L$13</c15:sqref>
                  </c15:fullRef>
                </c:ext>
              </c:extLst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97BE-42E6-8D9B-FA7FACDECE5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50071296"/>
        <c:axId val="250069760"/>
      </c:lineChart>
      <c:catAx>
        <c:axId val="25005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0059776"/>
        <c:crosses val="autoZero"/>
        <c:auto val="1"/>
        <c:lblAlgn val="ctr"/>
        <c:lblOffset val="100"/>
        <c:noMultiLvlLbl val="0"/>
      </c:catAx>
      <c:valAx>
        <c:axId val="25005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0057088"/>
        <c:crosses val="autoZero"/>
        <c:crossBetween val="between"/>
      </c:valAx>
      <c:valAx>
        <c:axId val="250069760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0071296"/>
        <c:crosses val="max"/>
        <c:crossBetween val="between"/>
      </c:valAx>
      <c:catAx>
        <c:axId val="2500712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500697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%</a:t>
            </a:r>
            <a:r>
              <a:rPr lang="es-MX" baseline="0"/>
              <a:t> de satisfacción</a:t>
            </a:r>
            <a:endParaRPr lang="es-MX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7"/>
          <c:order val="0"/>
          <c:tx>
            <c:strRef>
              <c:f>'Estadísticas finales'!$I$1</c:f>
              <c:strCache>
                <c:ptCount val="1"/>
                <c:pt idx="0">
                  <c:v>Satisfacción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'Estadísticas finales'!$A$2:$A$13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'Estadísticas finales'!$I$2:$I$13</c:f>
              <c:numCache>
                <c:formatCode>0%</c:formatCode>
                <c:ptCount val="12"/>
                <c:pt idx="0">
                  <c:v>0.85</c:v>
                </c:pt>
                <c:pt idx="1">
                  <c:v>0.71</c:v>
                </c:pt>
                <c:pt idx="2">
                  <c:v>0.83</c:v>
                </c:pt>
                <c:pt idx="3">
                  <c:v>0.73</c:v>
                </c:pt>
                <c:pt idx="4">
                  <c:v>0.7</c:v>
                </c:pt>
                <c:pt idx="5">
                  <c:v>0.71</c:v>
                </c:pt>
                <c:pt idx="6">
                  <c:v>0.69</c:v>
                </c:pt>
                <c:pt idx="7">
                  <c:v>0.67</c:v>
                </c:pt>
                <c:pt idx="8">
                  <c:v>0.65</c:v>
                </c:pt>
                <c:pt idx="9">
                  <c:v>0.71</c:v>
                </c:pt>
                <c:pt idx="10">
                  <c:v>0.63</c:v>
                </c:pt>
                <c:pt idx="11">
                  <c:v>0.79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C486-4752-8906-1232992255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50108544"/>
        <c:axId val="250114432"/>
      </c:barChart>
      <c:catAx>
        <c:axId val="25010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0114432"/>
        <c:crosses val="autoZero"/>
        <c:auto val="1"/>
        <c:lblAlgn val="ctr"/>
        <c:lblOffset val="100"/>
        <c:noMultiLvlLbl val="0"/>
      </c:catAx>
      <c:valAx>
        <c:axId val="25011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0108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Tipo</a:t>
            </a:r>
            <a:r>
              <a:rPr lang="es-MX" baseline="0"/>
              <a:t> de mueble anual</a:t>
            </a:r>
            <a:endParaRPr lang="es-MX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73ED-43F7-A7D6-1377BDE4666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73ED-43F7-A7D6-1377BDE4666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73ED-43F7-A7D6-1377BDE4666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73ED-43F7-A7D6-1377BDE46660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73ED-43F7-A7D6-1377BDE46660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73ED-43F7-A7D6-1377BDE46660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73ED-43F7-A7D6-1377BDE46660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73ED-43F7-A7D6-1377BDE46660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73ED-43F7-A7D6-1377BDE46660}"/>
              </c:ext>
            </c:extLst>
          </c:dPt>
          <c:cat>
            <c:strRef>
              <c:f>'Estadísticas específicas'!$N$3:$N$11</c:f>
              <c:strCache>
                <c:ptCount val="9"/>
                <c:pt idx="0">
                  <c:v>Alfombra</c:v>
                </c:pt>
                <c:pt idx="1">
                  <c:v>Tapete</c:v>
                </c:pt>
                <c:pt idx="2">
                  <c:v>Sala</c:v>
                </c:pt>
                <c:pt idx="3">
                  <c:v>Sala piel</c:v>
                </c:pt>
                <c:pt idx="4">
                  <c:v>Sillas</c:v>
                </c:pt>
                <c:pt idx="5">
                  <c:v>Autos</c:v>
                </c:pt>
                <c:pt idx="6">
                  <c:v>Colchones</c:v>
                </c:pt>
                <c:pt idx="7">
                  <c:v>Futón</c:v>
                </c:pt>
                <c:pt idx="8">
                  <c:v>Otro</c:v>
                </c:pt>
              </c:strCache>
            </c:strRef>
          </c:cat>
          <c:val>
            <c:numRef>
              <c:f>'Estadísticas específicas'!$O$3:$O$11</c:f>
              <c:numCache>
                <c:formatCode>0%</c:formatCode>
                <c:ptCount val="9"/>
                <c:pt idx="0">
                  <c:v>2.9738590636261882E-2</c:v>
                </c:pt>
                <c:pt idx="1">
                  <c:v>0.26060417926509455</c:v>
                </c:pt>
                <c:pt idx="2">
                  <c:v>0.32892676816674765</c:v>
                </c:pt>
                <c:pt idx="3">
                  <c:v>4.2778348038702415E-3</c:v>
                </c:pt>
                <c:pt idx="4">
                  <c:v>0.10244207264261466</c:v>
                </c:pt>
                <c:pt idx="5">
                  <c:v>1.5817253380960752E-2</c:v>
                </c:pt>
                <c:pt idx="6">
                  <c:v>0.10827362984789202</c:v>
                </c:pt>
                <c:pt idx="7">
                  <c:v>1.3476118056997661E-2</c:v>
                </c:pt>
                <c:pt idx="8">
                  <c:v>0.13644355319956059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D8-4E4E-B055-386DBB746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Tipo</a:t>
            </a:r>
            <a:r>
              <a:rPr lang="es-MX" baseline="0"/>
              <a:t> de servicio anual</a:t>
            </a:r>
            <a:endParaRPr lang="es-MX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F048-4BBE-B2FD-3E06540D09B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F048-4BBE-B2FD-3E06540D09B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F048-4BBE-B2FD-3E06540D09B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F048-4BBE-B2FD-3E06540D09BC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F048-4BBE-B2FD-3E06540D09BC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F048-4BBE-B2FD-3E06540D09BC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F048-4BBE-B2FD-3E06540D09BC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F048-4BBE-B2FD-3E06540D09BC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F048-4BBE-B2FD-3E06540D09BC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F048-4BBE-B2FD-3E06540D09BC}"/>
              </c:ext>
            </c:extLst>
          </c:dPt>
          <c:cat>
            <c:strRef>
              <c:f>'Estadísticas específicas'!$N$15:$N$24</c:f>
              <c:strCache>
                <c:ptCount val="10"/>
                <c:pt idx="0">
                  <c:v>Senc</c:v>
                </c:pt>
                <c:pt idx="1">
                  <c:v>Eco</c:v>
                </c:pt>
                <c:pt idx="2">
                  <c:v>Prot</c:v>
                </c:pt>
                <c:pt idx="3">
                  <c:v>Prem</c:v>
                </c:pt>
                <c:pt idx="4">
                  <c:v>Healty</c:v>
                </c:pt>
                <c:pt idx="5">
                  <c:v>Protex</c:v>
                </c:pt>
                <c:pt idx="6">
                  <c:v>Aspirado</c:v>
                </c:pt>
                <c:pt idx="7">
                  <c:v>Extracción</c:v>
                </c:pt>
                <c:pt idx="8">
                  <c:v>Piel</c:v>
                </c:pt>
                <c:pt idx="9">
                  <c:v>PURT</c:v>
                </c:pt>
              </c:strCache>
            </c:strRef>
          </c:cat>
          <c:val>
            <c:numRef>
              <c:f>'Estadísticas específicas'!$O$15:$O$24</c:f>
              <c:numCache>
                <c:formatCode>0%</c:formatCode>
                <c:ptCount val="10"/>
                <c:pt idx="0">
                  <c:v>0.38690123723801384</c:v>
                </c:pt>
                <c:pt idx="1">
                  <c:v>0.19217698486523646</c:v>
                </c:pt>
                <c:pt idx="2">
                  <c:v>0.10851057465388818</c:v>
                </c:pt>
                <c:pt idx="3">
                  <c:v>0.1410292008556743</c:v>
                </c:pt>
                <c:pt idx="4">
                  <c:v>6.9536619586694493E-2</c:v>
                </c:pt>
                <c:pt idx="5">
                  <c:v>1.7545803782505909E-3</c:v>
                </c:pt>
                <c:pt idx="6">
                  <c:v>0</c:v>
                </c:pt>
                <c:pt idx="7">
                  <c:v>0</c:v>
                </c:pt>
                <c:pt idx="8">
                  <c:v>6.7177988287456568E-3</c:v>
                </c:pt>
                <c:pt idx="9">
                  <c:v>9.3264602509485636E-2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14-4215-8392-DBFFAB564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Tipo</a:t>
            </a:r>
            <a:r>
              <a:rPr lang="es-MX" baseline="0"/>
              <a:t> de sala anual</a:t>
            </a:r>
            <a:endParaRPr lang="es-MX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718-4D80-8CEB-B8F4D75323F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718-4D80-8CEB-B8F4D75323F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718-4D80-8CEB-B8F4D75323F5}"/>
              </c:ext>
            </c:extLst>
          </c:dPt>
          <c:cat>
            <c:strRef>
              <c:f>'Estadísticas específicas'!$N$28:$N$30</c:f>
              <c:strCache>
                <c:ptCount val="3"/>
                <c:pt idx="0">
                  <c:v>Todo fijo</c:v>
                </c:pt>
                <c:pt idx="1">
                  <c:v>A o R removible</c:v>
                </c:pt>
                <c:pt idx="2">
                  <c:v>Todo Removible</c:v>
                </c:pt>
              </c:strCache>
            </c:strRef>
          </c:cat>
          <c:val>
            <c:numRef>
              <c:f>'Estadísticas específicas'!$O$28:$O$30</c:f>
              <c:numCache>
                <c:formatCode>0%</c:formatCode>
                <c:ptCount val="3"/>
                <c:pt idx="0">
                  <c:v>0.59010639165940704</c:v>
                </c:pt>
                <c:pt idx="1">
                  <c:v>0.25348263355062722</c:v>
                </c:pt>
                <c:pt idx="2">
                  <c:v>0.15641097478996571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F73-41AB-BD8D-57D1B6A23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Tamaño</a:t>
            </a:r>
            <a:r>
              <a:rPr lang="es-MX" baseline="0"/>
              <a:t> de sala anual</a:t>
            </a:r>
            <a:endParaRPr lang="es-MX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9C1-429B-B3B5-4CA88D564CC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9C1-429B-B3B5-4CA88D564CC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9C1-429B-B3B5-4CA88D564CC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9C1-429B-B3B5-4CA88D564CC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9C1-429B-B3B5-4CA88D564CC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A9C1-429B-B3B5-4CA88D564CC3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A9C1-429B-B3B5-4CA88D564CC3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A9C1-429B-B3B5-4CA88D564CC3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A9C1-429B-B3B5-4CA88D564CC3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A9C1-429B-B3B5-4CA88D564CC3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A9C1-429B-B3B5-4CA88D564CC3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A9C1-429B-B3B5-4CA88D564CC3}"/>
              </c:ext>
            </c:extLst>
          </c:dPt>
          <c:cat>
            <c:strRef>
              <c:f>'Estadísticas específicas'!$N$34:$N$45</c:f>
              <c:strCache>
                <c:ptCount val="12"/>
                <c:pt idx="0">
                  <c:v>1 Plaza</c:v>
                </c:pt>
                <c:pt idx="1">
                  <c:v>2 Plazas</c:v>
                </c:pt>
                <c:pt idx="2">
                  <c:v>3 Plazas</c:v>
                </c:pt>
                <c:pt idx="3">
                  <c:v>4 Plazas</c:v>
                </c:pt>
                <c:pt idx="4">
                  <c:v>5 Plazas</c:v>
                </c:pt>
                <c:pt idx="5">
                  <c:v>6 Plazas</c:v>
                </c:pt>
                <c:pt idx="6">
                  <c:v>7 Plazas</c:v>
                </c:pt>
                <c:pt idx="7">
                  <c:v>8 Plazas</c:v>
                </c:pt>
                <c:pt idx="8">
                  <c:v>9 Plazas</c:v>
                </c:pt>
                <c:pt idx="9">
                  <c:v>10 Plazas</c:v>
                </c:pt>
                <c:pt idx="10">
                  <c:v>11 Plazas</c:v>
                </c:pt>
                <c:pt idx="11">
                  <c:v>12 Plazas</c:v>
                </c:pt>
              </c:strCache>
            </c:strRef>
          </c:cat>
          <c:val>
            <c:numRef>
              <c:f>'Estadísticas específicas'!$O$34:$O$45</c:f>
              <c:numCache>
                <c:formatCode>0%</c:formatCode>
                <c:ptCount val="12"/>
                <c:pt idx="0">
                  <c:v>0.18355964846406314</c:v>
                </c:pt>
                <c:pt idx="1">
                  <c:v>8.883746303040746E-2</c:v>
                </c:pt>
                <c:pt idx="2">
                  <c:v>0.11362610334525984</c:v>
                </c:pt>
                <c:pt idx="3">
                  <c:v>8.147504537827753E-2</c:v>
                </c:pt>
                <c:pt idx="4">
                  <c:v>0.13490360775737203</c:v>
                </c:pt>
                <c:pt idx="5">
                  <c:v>0.26768010715980761</c:v>
                </c:pt>
                <c:pt idx="6">
                  <c:v>6.1608699224978282E-2</c:v>
                </c:pt>
                <c:pt idx="7">
                  <c:v>4.6313267711572792E-2</c:v>
                </c:pt>
                <c:pt idx="8">
                  <c:v>1.0326340326340328E-2</c:v>
                </c:pt>
                <c:pt idx="9">
                  <c:v>1.0385493351595047E-2</c:v>
                </c:pt>
                <c:pt idx="10">
                  <c:v>0</c:v>
                </c:pt>
                <c:pt idx="11">
                  <c:v>4.6175575836592785E-3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DF5-4815-A585-7B4C7A06D4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Tipo</a:t>
            </a:r>
            <a:r>
              <a:rPr lang="es-MX" baseline="0"/>
              <a:t> de tapete anual</a:t>
            </a:r>
            <a:endParaRPr lang="es-MX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E493-4391-85F7-A8BAA2DE6C6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E493-4391-85F7-A8BAA2DE6C6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E493-4391-85F7-A8BAA2DE6C68}"/>
              </c:ext>
            </c:extLst>
          </c:dPt>
          <c:cat>
            <c:strRef>
              <c:f>'Estadísticas específicas'!$N$49:$N$51</c:f>
              <c:strCache>
                <c:ptCount val="3"/>
                <c:pt idx="0">
                  <c:v>Lana</c:v>
                </c:pt>
                <c:pt idx="1">
                  <c:v>Sintético</c:v>
                </c:pt>
                <c:pt idx="2">
                  <c:v>Seda</c:v>
                </c:pt>
              </c:strCache>
            </c:strRef>
          </c:cat>
          <c:val>
            <c:numRef>
              <c:f>'Estadísticas específicas'!$O$49:$O$51</c:f>
              <c:numCache>
                <c:formatCode>0%</c:formatCode>
                <c:ptCount val="3"/>
                <c:pt idx="0">
                  <c:v>0.23564330560248367</c:v>
                </c:pt>
                <c:pt idx="1">
                  <c:v>0.73127317703768313</c:v>
                </c:pt>
                <c:pt idx="2">
                  <c:v>3.3083517359833149E-2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5C5-49C1-960D-6397E7BF7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Tipo</a:t>
            </a:r>
            <a:r>
              <a:rPr lang="es-MX" baseline="0"/>
              <a:t> de silla anual</a:t>
            </a:r>
            <a:endParaRPr lang="es-MX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2AB5-4B76-AD8F-02D0FDCAD21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2AB5-4B76-AD8F-02D0FDCAD218}"/>
              </c:ext>
            </c:extLst>
          </c:dPt>
          <c:cat>
            <c:strRef>
              <c:f>'Estadísticas específicas'!$N$55:$N$56</c:f>
              <c:strCache>
                <c:ptCount val="2"/>
                <c:pt idx="0">
                  <c:v>Asiento</c:v>
                </c:pt>
                <c:pt idx="1">
                  <c:v>Asiento y respaldo</c:v>
                </c:pt>
              </c:strCache>
            </c:strRef>
          </c:cat>
          <c:val>
            <c:numRef>
              <c:f>'Estadísticas específicas'!$O$55:$O$56</c:f>
              <c:numCache>
                <c:formatCode>0%</c:formatCode>
                <c:ptCount val="2"/>
                <c:pt idx="0">
                  <c:v>0.2096893408735514</c:v>
                </c:pt>
                <c:pt idx="1">
                  <c:v>0.79114399245978184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F7B-4D9E-A6DD-2155E2F05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Tamaño</a:t>
            </a:r>
            <a:r>
              <a:rPr lang="es-MX" baseline="0"/>
              <a:t> de colchón anual</a:t>
            </a:r>
            <a:endParaRPr lang="es-MX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12C-42D3-BAF7-82DB4656E60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12C-42D3-BAF7-82DB4656E60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12C-42D3-BAF7-82DB4656E60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12C-42D3-BAF7-82DB4656E60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12C-42D3-BAF7-82DB4656E608}"/>
              </c:ext>
            </c:extLst>
          </c:dPt>
          <c:cat>
            <c:strRef>
              <c:f>'Estadísticas específicas'!$N$60:$N$64</c:f>
              <c:strCache>
                <c:ptCount val="5"/>
                <c:pt idx="0">
                  <c:v>Cuna</c:v>
                </c:pt>
                <c:pt idx="1">
                  <c:v>Ind</c:v>
                </c:pt>
                <c:pt idx="2">
                  <c:v>Mat</c:v>
                </c:pt>
                <c:pt idx="3">
                  <c:v>QS</c:v>
                </c:pt>
                <c:pt idx="4">
                  <c:v>KS</c:v>
                </c:pt>
              </c:strCache>
            </c:strRef>
          </c:cat>
          <c:val>
            <c:numRef>
              <c:f>'Estadísticas específicas'!$O$60:$O$64</c:f>
              <c:numCache>
                <c:formatCode>0%</c:formatCode>
                <c:ptCount val="5"/>
                <c:pt idx="0">
                  <c:v>2.2043350168350167E-2</c:v>
                </c:pt>
                <c:pt idx="1">
                  <c:v>0.23712491212491213</c:v>
                </c:pt>
                <c:pt idx="2">
                  <c:v>0.28348630536130537</c:v>
                </c:pt>
                <c:pt idx="3">
                  <c:v>0.13563889813889815</c:v>
                </c:pt>
                <c:pt idx="4">
                  <c:v>0.32170653420653422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6E-455D-BBF8-23DEC0E3F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Otro</a:t>
            </a:r>
            <a:r>
              <a:rPr lang="es-MX" baseline="0"/>
              <a:t> anual</a:t>
            </a:r>
            <a:endParaRPr lang="es-MX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13FD-40A5-8F62-037C00BD510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13FD-40A5-8F62-037C00BD510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13FD-40A5-8F62-037C00BD510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13FD-40A5-8F62-037C00BD510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13FD-40A5-8F62-037C00BD5108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13FD-40A5-8F62-037C00BD5108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13FD-40A5-8F62-037C00BD5108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13FD-40A5-8F62-037C00BD5108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13FD-40A5-8F62-037C00BD5108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13FD-40A5-8F62-037C00BD5108}"/>
              </c:ext>
            </c:extLst>
          </c:dPt>
          <c:cat>
            <c:strRef>
              <c:f>'Estadísticas específicas'!$N$68:$N$77</c:f>
              <c:strCache>
                <c:ptCount val="10"/>
                <c:pt idx="0">
                  <c:v>Taburete</c:v>
                </c:pt>
                <c:pt idx="1">
                  <c:v>Cabecera</c:v>
                </c:pt>
                <c:pt idx="2">
                  <c:v>Carriola y porta bebé</c:v>
                </c:pt>
                <c:pt idx="3">
                  <c:v>Piso</c:v>
                </c:pt>
                <c:pt idx="4">
                  <c:v>Cojines</c:v>
                </c:pt>
                <c:pt idx="5">
                  <c:v>Banca</c:v>
                </c:pt>
                <c:pt idx="6">
                  <c:v>Banco</c:v>
                </c:pt>
                <c:pt idx="7">
                  <c:v>Reposet</c:v>
                </c:pt>
                <c:pt idx="8">
                  <c:v>Colchón interno</c:v>
                </c:pt>
                <c:pt idx="9">
                  <c:v>Torre de gatos</c:v>
                </c:pt>
              </c:strCache>
            </c:strRef>
          </c:cat>
          <c:val>
            <c:numRef>
              <c:f>'Estadísticas específicas'!$O$68:$O$77</c:f>
              <c:numCache>
                <c:formatCode>0%</c:formatCode>
                <c:ptCount val="10"/>
                <c:pt idx="0">
                  <c:v>0.11116612432401907</c:v>
                </c:pt>
                <c:pt idx="1">
                  <c:v>0.1255957005957006</c:v>
                </c:pt>
                <c:pt idx="2">
                  <c:v>1.1111111111111112E-2</c:v>
                </c:pt>
                <c:pt idx="3">
                  <c:v>1.8518518518518517E-2</c:v>
                </c:pt>
                <c:pt idx="4">
                  <c:v>0.34297479445505763</c:v>
                </c:pt>
                <c:pt idx="5">
                  <c:v>7.6230439881755666E-2</c:v>
                </c:pt>
                <c:pt idx="6">
                  <c:v>9.6846817899449475E-2</c:v>
                </c:pt>
                <c:pt idx="7">
                  <c:v>7.5466839447102599E-2</c:v>
                </c:pt>
                <c:pt idx="8">
                  <c:v>4.246332371332371E-2</c:v>
                </c:pt>
                <c:pt idx="9">
                  <c:v>8.8118393546025131E-2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B26-46BC-BB6A-8A6AD62B0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Tipo</a:t>
            </a:r>
            <a:r>
              <a:rPr lang="es-MX" baseline="0"/>
              <a:t> de mueble</a:t>
            </a:r>
            <a:endParaRPr lang="es-MX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'Estadísticas específicas'!$A$3</c:f>
              <c:strCache>
                <c:ptCount val="1"/>
                <c:pt idx="0">
                  <c:v>Alfombra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específicas'!$B$1:$M$2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específicas'!$B$3:$M$3</c:f>
              <c:numCache>
                <c:formatCode>0%</c:formatCode>
                <c:ptCount val="12"/>
                <c:pt idx="0">
                  <c:v>4.9019607843137254E-2</c:v>
                </c:pt>
                <c:pt idx="1">
                  <c:v>3.4090909090909088E-2</c:v>
                </c:pt>
                <c:pt idx="2">
                  <c:v>2.2222222222222223E-2</c:v>
                </c:pt>
                <c:pt idx="3">
                  <c:v>3.2967032967032968E-2</c:v>
                </c:pt>
                <c:pt idx="4">
                  <c:v>8.5714285714285715E-2</c:v>
                </c:pt>
                <c:pt idx="5">
                  <c:v>3.2608695652173912E-2</c:v>
                </c:pt>
                <c:pt idx="6">
                  <c:v>7.6923076923076927E-3</c:v>
                </c:pt>
                <c:pt idx="7">
                  <c:v>8.9285714285714281E-3</c:v>
                </c:pt>
                <c:pt idx="8">
                  <c:v>2.6548672566371681E-2</c:v>
                </c:pt>
                <c:pt idx="9">
                  <c:v>2.4390243902439025E-2</c:v>
                </c:pt>
                <c:pt idx="10">
                  <c:v>2.1052631578947368E-2</c:v>
                </c:pt>
                <c:pt idx="11">
                  <c:v>1.1627906976744186E-2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4E9-4816-991A-F275E2869AFC}"/>
            </c:ext>
          </c:extLst>
        </c:ser>
        <c:ser>
          <c:idx val="1"/>
          <c:order val="1"/>
          <c:tx>
            <c:strRef>
              <c:f>'Estadísticas específicas'!$A$4</c:f>
              <c:strCache>
                <c:ptCount val="1"/>
                <c:pt idx="0">
                  <c:v>Tapete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específicas'!$B$1:$M$2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específicas'!$B$4:$M$4</c:f>
              <c:numCache>
                <c:formatCode>0%</c:formatCode>
                <c:ptCount val="12"/>
                <c:pt idx="0">
                  <c:v>0.3235294117647059</c:v>
                </c:pt>
                <c:pt idx="1">
                  <c:v>0.27272727272727271</c:v>
                </c:pt>
                <c:pt idx="2">
                  <c:v>0.28888888888888886</c:v>
                </c:pt>
                <c:pt idx="3">
                  <c:v>0.26373626373626374</c:v>
                </c:pt>
                <c:pt idx="4">
                  <c:v>0.21428571428571427</c:v>
                </c:pt>
                <c:pt idx="5">
                  <c:v>0.27173913043478259</c:v>
                </c:pt>
                <c:pt idx="6">
                  <c:v>0.16923076923076924</c:v>
                </c:pt>
                <c:pt idx="7">
                  <c:v>0.2767857142857143</c:v>
                </c:pt>
                <c:pt idx="8">
                  <c:v>0.45132743362831856</c:v>
                </c:pt>
                <c:pt idx="9">
                  <c:v>0.1951219512195122</c:v>
                </c:pt>
                <c:pt idx="10">
                  <c:v>0.17894736842105263</c:v>
                </c:pt>
                <c:pt idx="11">
                  <c:v>0.22093023255813954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4E9-4816-991A-F275E2869AFC}"/>
            </c:ext>
          </c:extLst>
        </c:ser>
        <c:ser>
          <c:idx val="2"/>
          <c:order val="2"/>
          <c:tx>
            <c:strRef>
              <c:f>'Estadísticas específicas'!$A$5</c:f>
              <c:strCache>
                <c:ptCount val="1"/>
                <c:pt idx="0">
                  <c:v>Sala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específicas'!$B$1:$M$2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específicas'!$B$5:$M$5</c:f>
              <c:numCache>
                <c:formatCode>0%</c:formatCode>
                <c:ptCount val="12"/>
                <c:pt idx="0">
                  <c:v>0.25490196078431371</c:v>
                </c:pt>
                <c:pt idx="1">
                  <c:v>0.28409090909090912</c:v>
                </c:pt>
                <c:pt idx="2">
                  <c:v>0.28888888888888886</c:v>
                </c:pt>
                <c:pt idx="3">
                  <c:v>0.30769230769230771</c:v>
                </c:pt>
                <c:pt idx="4">
                  <c:v>0.3</c:v>
                </c:pt>
                <c:pt idx="5">
                  <c:v>0.32608695652173914</c:v>
                </c:pt>
                <c:pt idx="6">
                  <c:v>0.45384615384615384</c:v>
                </c:pt>
                <c:pt idx="7">
                  <c:v>0.39285714285714285</c:v>
                </c:pt>
                <c:pt idx="8">
                  <c:v>0.19469026548672566</c:v>
                </c:pt>
                <c:pt idx="9">
                  <c:v>0.36585365853658536</c:v>
                </c:pt>
                <c:pt idx="10">
                  <c:v>0.45263157894736844</c:v>
                </c:pt>
                <c:pt idx="11">
                  <c:v>0.32558139534883723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84E9-4816-991A-F275E2869AFC}"/>
            </c:ext>
          </c:extLst>
        </c:ser>
        <c:ser>
          <c:idx val="3"/>
          <c:order val="3"/>
          <c:tx>
            <c:strRef>
              <c:f>'Estadísticas específicas'!$A$6</c:f>
              <c:strCache>
                <c:ptCount val="1"/>
                <c:pt idx="0">
                  <c:v>Sala piel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específicas'!$B$1:$M$2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específicas'!$B$6:$M$6</c:f>
              <c:numCache>
                <c:formatCode>0%</c:formatCode>
                <c:ptCount val="12"/>
                <c:pt idx="0">
                  <c:v>9.8039215686274508E-3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8.8495575221238937E-3</c:v>
                </c:pt>
                <c:pt idx="9">
                  <c:v>0</c:v>
                </c:pt>
                <c:pt idx="10">
                  <c:v>2.1052631578947368E-2</c:v>
                </c:pt>
                <c:pt idx="11">
                  <c:v>1.1627906976744186E-2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84E9-4816-991A-F275E2869AFC}"/>
            </c:ext>
          </c:extLst>
        </c:ser>
        <c:ser>
          <c:idx val="4"/>
          <c:order val="4"/>
          <c:tx>
            <c:strRef>
              <c:f>'Estadísticas específicas'!$A$7</c:f>
              <c:strCache>
                <c:ptCount val="1"/>
                <c:pt idx="0">
                  <c:v>Sillas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específicas'!$B$1:$M$2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específicas'!$B$7:$M$7</c:f>
              <c:numCache>
                <c:formatCode>0%</c:formatCode>
                <c:ptCount val="12"/>
                <c:pt idx="0">
                  <c:v>6.8627450980392163E-2</c:v>
                </c:pt>
                <c:pt idx="1">
                  <c:v>0.11363636363636363</c:v>
                </c:pt>
                <c:pt idx="2">
                  <c:v>0.1</c:v>
                </c:pt>
                <c:pt idx="3">
                  <c:v>8.7912087912087919E-2</c:v>
                </c:pt>
                <c:pt idx="4">
                  <c:v>0.1</c:v>
                </c:pt>
                <c:pt idx="5">
                  <c:v>6.5217391304347824E-2</c:v>
                </c:pt>
                <c:pt idx="6">
                  <c:v>0.14615384615384616</c:v>
                </c:pt>
                <c:pt idx="7">
                  <c:v>8.9285714285714288E-2</c:v>
                </c:pt>
                <c:pt idx="8">
                  <c:v>0.11504424778761062</c:v>
                </c:pt>
                <c:pt idx="9">
                  <c:v>7.3170731707317069E-2</c:v>
                </c:pt>
                <c:pt idx="10">
                  <c:v>8.4210526315789472E-2</c:v>
                </c:pt>
                <c:pt idx="11">
                  <c:v>0.18604651162790697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84E9-4816-991A-F275E2869AFC}"/>
            </c:ext>
          </c:extLst>
        </c:ser>
        <c:ser>
          <c:idx val="5"/>
          <c:order val="5"/>
          <c:tx>
            <c:strRef>
              <c:f>'Estadísticas específicas'!$A$8</c:f>
              <c:strCache>
                <c:ptCount val="1"/>
                <c:pt idx="0">
                  <c:v>Autos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específicas'!$B$1:$M$2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específicas'!$B$8:$M$8</c:f>
              <c:numCache>
                <c:formatCode>0%</c:formatCode>
                <c:ptCount val="12"/>
                <c:pt idx="0">
                  <c:v>9.8039215686274508E-3</c:v>
                </c:pt>
                <c:pt idx="1">
                  <c:v>1.1363636363636364E-2</c:v>
                </c:pt>
                <c:pt idx="2">
                  <c:v>1.1111111111111112E-2</c:v>
                </c:pt>
                <c:pt idx="3">
                  <c:v>4.3956043956043959E-2</c:v>
                </c:pt>
                <c:pt idx="4">
                  <c:v>1.4285714285714285E-2</c:v>
                </c:pt>
                <c:pt idx="5">
                  <c:v>2.1739130434782608E-2</c:v>
                </c:pt>
                <c:pt idx="6">
                  <c:v>0</c:v>
                </c:pt>
                <c:pt idx="7">
                  <c:v>2.6785714285714284E-2</c:v>
                </c:pt>
                <c:pt idx="8">
                  <c:v>8.8495575221238937E-3</c:v>
                </c:pt>
                <c:pt idx="9">
                  <c:v>8.130081300813009E-3</c:v>
                </c:pt>
                <c:pt idx="10">
                  <c:v>1.0526315789473684E-2</c:v>
                </c:pt>
                <c:pt idx="11">
                  <c:v>2.3255813953488372E-2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84E9-4816-991A-F275E2869AFC}"/>
            </c:ext>
          </c:extLst>
        </c:ser>
        <c:ser>
          <c:idx val="6"/>
          <c:order val="6"/>
          <c:tx>
            <c:strRef>
              <c:f>'Estadísticas específicas'!$A$9</c:f>
              <c:strCache>
                <c:ptCount val="1"/>
                <c:pt idx="0">
                  <c:v>Colchones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específicas'!$B$1:$M$2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específicas'!$B$9:$M$9</c:f>
              <c:numCache>
                <c:formatCode>0%</c:formatCode>
                <c:ptCount val="12"/>
                <c:pt idx="0">
                  <c:v>9.8039215686274508E-2</c:v>
                </c:pt>
                <c:pt idx="1">
                  <c:v>7.9545454545454544E-2</c:v>
                </c:pt>
                <c:pt idx="2">
                  <c:v>0.14444444444444443</c:v>
                </c:pt>
                <c:pt idx="3">
                  <c:v>0.12087912087912088</c:v>
                </c:pt>
                <c:pt idx="4">
                  <c:v>0.14285714285714285</c:v>
                </c:pt>
                <c:pt idx="5">
                  <c:v>0.17391304347826086</c:v>
                </c:pt>
                <c:pt idx="6">
                  <c:v>0.1</c:v>
                </c:pt>
                <c:pt idx="7">
                  <c:v>9.8214285714285712E-2</c:v>
                </c:pt>
                <c:pt idx="8">
                  <c:v>7.9646017699115043E-2</c:v>
                </c:pt>
                <c:pt idx="9">
                  <c:v>0.16260162601626016</c:v>
                </c:pt>
                <c:pt idx="10">
                  <c:v>5.2631578947368418E-2</c:v>
                </c:pt>
                <c:pt idx="11">
                  <c:v>4.6511627906976744E-2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84E9-4816-991A-F275E2869AFC}"/>
            </c:ext>
          </c:extLst>
        </c:ser>
        <c:ser>
          <c:idx val="7"/>
          <c:order val="7"/>
          <c:tx>
            <c:strRef>
              <c:f>'Estadísticas específicas'!$A$10</c:f>
              <c:strCache>
                <c:ptCount val="1"/>
                <c:pt idx="0">
                  <c:v>Futón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específicas'!$B$1:$M$2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específicas'!$B$10:$M$10</c:f>
              <c:numCache>
                <c:formatCode>0%</c:formatCode>
                <c:ptCount val="12"/>
                <c:pt idx="0">
                  <c:v>2.9411764705882353E-2</c:v>
                </c:pt>
                <c:pt idx="1">
                  <c:v>2.2727272727272728E-2</c:v>
                </c:pt>
                <c:pt idx="2">
                  <c:v>0</c:v>
                </c:pt>
                <c:pt idx="3">
                  <c:v>1.098901098901099E-2</c:v>
                </c:pt>
                <c:pt idx="4">
                  <c:v>0</c:v>
                </c:pt>
                <c:pt idx="5">
                  <c:v>1.0869565217391304E-2</c:v>
                </c:pt>
                <c:pt idx="6">
                  <c:v>7.6923076923076927E-3</c:v>
                </c:pt>
                <c:pt idx="7">
                  <c:v>8.9285714285714281E-3</c:v>
                </c:pt>
                <c:pt idx="8">
                  <c:v>0</c:v>
                </c:pt>
                <c:pt idx="9">
                  <c:v>1.6260162601626018E-2</c:v>
                </c:pt>
                <c:pt idx="10">
                  <c:v>3.1578947368421054E-2</c:v>
                </c:pt>
                <c:pt idx="11">
                  <c:v>2.3255813953488372E-2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84E9-4816-991A-F275E2869AFC}"/>
            </c:ext>
          </c:extLst>
        </c:ser>
        <c:ser>
          <c:idx val="8"/>
          <c:order val="8"/>
          <c:tx>
            <c:strRef>
              <c:f>'Estadísticas específicas'!$A$11</c:f>
              <c:strCache>
                <c:ptCount val="1"/>
                <c:pt idx="0">
                  <c:v>Otro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específicas'!$B$1:$M$2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específicas'!$B$11:$M$11</c:f>
              <c:numCache>
                <c:formatCode>0%</c:formatCode>
                <c:ptCount val="12"/>
                <c:pt idx="0">
                  <c:v>0.15686274509803921</c:v>
                </c:pt>
                <c:pt idx="1">
                  <c:v>0.18181818181818182</c:v>
                </c:pt>
                <c:pt idx="2">
                  <c:v>0.14444444444444443</c:v>
                </c:pt>
                <c:pt idx="3">
                  <c:v>0.13186813186813187</c:v>
                </c:pt>
                <c:pt idx="4">
                  <c:v>0.14285714285714285</c:v>
                </c:pt>
                <c:pt idx="5">
                  <c:v>9.7826086956521743E-2</c:v>
                </c:pt>
                <c:pt idx="6">
                  <c:v>0.11538461538461539</c:v>
                </c:pt>
                <c:pt idx="7">
                  <c:v>9.8214285714285712E-2</c:v>
                </c:pt>
                <c:pt idx="8">
                  <c:v>0.11504424778761062</c:v>
                </c:pt>
                <c:pt idx="9">
                  <c:v>0.15447154471544716</c:v>
                </c:pt>
                <c:pt idx="10">
                  <c:v>0.14736842105263157</c:v>
                </c:pt>
                <c:pt idx="11">
                  <c:v>0.15116279069767441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84E9-4816-991A-F275E2869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50675584"/>
        <c:axId val="250677120"/>
      </c:barChart>
      <c:catAx>
        <c:axId val="25067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0677120"/>
        <c:crosses val="autoZero"/>
        <c:auto val="1"/>
        <c:lblAlgn val="ctr"/>
        <c:lblOffset val="100"/>
        <c:noMultiLvlLbl val="0"/>
      </c:catAx>
      <c:valAx>
        <c:axId val="25067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0675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Servicio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'Estadísticas específicas'!$A$15</c:f>
              <c:strCache>
                <c:ptCount val="1"/>
                <c:pt idx="0">
                  <c:v>Senc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específicas'!$B$13:$M$14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específicas'!$B$15:$M$15</c:f>
              <c:numCache>
                <c:formatCode>0%</c:formatCode>
                <c:ptCount val="12"/>
                <c:pt idx="0">
                  <c:v>0.39823008849557523</c:v>
                </c:pt>
                <c:pt idx="1">
                  <c:v>0.35416666666666669</c:v>
                </c:pt>
                <c:pt idx="2">
                  <c:v>0.46938775510204084</c:v>
                </c:pt>
                <c:pt idx="3">
                  <c:v>0.40404040404040403</c:v>
                </c:pt>
                <c:pt idx="4">
                  <c:v>0.4375</c:v>
                </c:pt>
                <c:pt idx="5">
                  <c:v>0.45283018867924529</c:v>
                </c:pt>
                <c:pt idx="6">
                  <c:v>0.3971631205673759</c:v>
                </c:pt>
                <c:pt idx="7">
                  <c:v>0.20161290322580644</c:v>
                </c:pt>
                <c:pt idx="8">
                  <c:v>0.38211382113821141</c:v>
                </c:pt>
                <c:pt idx="9">
                  <c:v>0.30597014925373134</c:v>
                </c:pt>
                <c:pt idx="10">
                  <c:v>0.38235294117647056</c:v>
                </c:pt>
                <c:pt idx="11">
                  <c:v>0.45744680851063829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A24-41A2-B011-D1AFF3FFB459}"/>
            </c:ext>
          </c:extLst>
        </c:ser>
        <c:ser>
          <c:idx val="1"/>
          <c:order val="1"/>
          <c:tx>
            <c:strRef>
              <c:f>'Estadísticas específicas'!$A$16</c:f>
              <c:strCache>
                <c:ptCount val="1"/>
                <c:pt idx="0">
                  <c:v>Eco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específicas'!$B$13:$M$14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específicas'!$B$16:$M$16</c:f>
              <c:numCache>
                <c:formatCode>0%</c:formatCode>
                <c:ptCount val="12"/>
                <c:pt idx="0">
                  <c:v>0.10619469026548672</c:v>
                </c:pt>
                <c:pt idx="1">
                  <c:v>0.27083333333333331</c:v>
                </c:pt>
                <c:pt idx="2">
                  <c:v>0.15306122448979592</c:v>
                </c:pt>
                <c:pt idx="3">
                  <c:v>0.27272727272727271</c:v>
                </c:pt>
                <c:pt idx="4">
                  <c:v>0.1125</c:v>
                </c:pt>
                <c:pt idx="5">
                  <c:v>0.22641509433962265</c:v>
                </c:pt>
                <c:pt idx="6">
                  <c:v>0.14184397163120568</c:v>
                </c:pt>
                <c:pt idx="7">
                  <c:v>0.29032258064516131</c:v>
                </c:pt>
                <c:pt idx="8">
                  <c:v>0.18699186991869918</c:v>
                </c:pt>
                <c:pt idx="9">
                  <c:v>0.17164179104477612</c:v>
                </c:pt>
                <c:pt idx="10">
                  <c:v>0.23529411764705882</c:v>
                </c:pt>
                <c:pt idx="11">
                  <c:v>0.13829787234042554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6A24-41A2-B011-D1AFF3FFB459}"/>
            </c:ext>
          </c:extLst>
        </c:ser>
        <c:ser>
          <c:idx val="2"/>
          <c:order val="2"/>
          <c:tx>
            <c:strRef>
              <c:f>'Estadísticas específicas'!$A$17</c:f>
              <c:strCache>
                <c:ptCount val="1"/>
                <c:pt idx="0">
                  <c:v>Prot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específicas'!$B$13:$M$14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específicas'!$B$17:$M$17</c:f>
              <c:numCache>
                <c:formatCode>0%</c:formatCode>
                <c:ptCount val="12"/>
                <c:pt idx="0">
                  <c:v>7.9646017699115043E-2</c:v>
                </c:pt>
                <c:pt idx="1">
                  <c:v>0.17708333333333334</c:v>
                </c:pt>
                <c:pt idx="2">
                  <c:v>0.14285714285714285</c:v>
                </c:pt>
                <c:pt idx="3">
                  <c:v>0.12121212121212122</c:v>
                </c:pt>
                <c:pt idx="4">
                  <c:v>0.1</c:v>
                </c:pt>
                <c:pt idx="5">
                  <c:v>9.4339622641509441E-2</c:v>
                </c:pt>
                <c:pt idx="6">
                  <c:v>0.14893617021276595</c:v>
                </c:pt>
                <c:pt idx="7">
                  <c:v>0.11290322580645161</c:v>
                </c:pt>
                <c:pt idx="8">
                  <c:v>7.3170731707317069E-2</c:v>
                </c:pt>
                <c:pt idx="9">
                  <c:v>6.7164179104477612E-2</c:v>
                </c:pt>
                <c:pt idx="10">
                  <c:v>7.8431372549019607E-2</c:v>
                </c:pt>
                <c:pt idx="11">
                  <c:v>0.10638297872340426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6A24-41A2-B011-D1AFF3FFB459}"/>
            </c:ext>
          </c:extLst>
        </c:ser>
        <c:ser>
          <c:idx val="3"/>
          <c:order val="3"/>
          <c:tx>
            <c:strRef>
              <c:f>'Estadísticas específicas'!$A$18</c:f>
              <c:strCache>
                <c:ptCount val="1"/>
                <c:pt idx="0">
                  <c:v>Prem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específicas'!$B$13:$M$14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específicas'!$B$18:$M$18</c:f>
              <c:numCache>
                <c:formatCode>0%</c:formatCode>
                <c:ptCount val="12"/>
                <c:pt idx="0">
                  <c:v>0.19469026548672566</c:v>
                </c:pt>
                <c:pt idx="1">
                  <c:v>6.25E-2</c:v>
                </c:pt>
                <c:pt idx="2">
                  <c:v>0.12244897959183673</c:v>
                </c:pt>
                <c:pt idx="3">
                  <c:v>3.0303030303030304E-2</c:v>
                </c:pt>
                <c:pt idx="4">
                  <c:v>0.21249999999999999</c:v>
                </c:pt>
                <c:pt idx="5">
                  <c:v>9.4339622641509441E-2</c:v>
                </c:pt>
                <c:pt idx="6">
                  <c:v>0.1773049645390071</c:v>
                </c:pt>
                <c:pt idx="7">
                  <c:v>0.16935483870967741</c:v>
                </c:pt>
                <c:pt idx="8">
                  <c:v>0.13821138211382114</c:v>
                </c:pt>
                <c:pt idx="9">
                  <c:v>0.18656716417910449</c:v>
                </c:pt>
                <c:pt idx="10">
                  <c:v>0.17647058823529413</c:v>
                </c:pt>
                <c:pt idx="11">
                  <c:v>0.1276595744680851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A24-41A2-B011-D1AFF3FFB459}"/>
            </c:ext>
          </c:extLst>
        </c:ser>
        <c:ser>
          <c:idx val="4"/>
          <c:order val="4"/>
          <c:tx>
            <c:strRef>
              <c:f>'Estadísticas específicas'!$A$19</c:f>
              <c:strCache>
                <c:ptCount val="1"/>
                <c:pt idx="0">
                  <c:v>Healty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específicas'!$B$13:$M$14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específicas'!$B$19:$M$19</c:f>
              <c:numCache>
                <c:formatCode>0%</c:formatCode>
                <c:ptCount val="12"/>
                <c:pt idx="0">
                  <c:v>0.11504424778761062</c:v>
                </c:pt>
                <c:pt idx="1">
                  <c:v>4.1666666666666664E-2</c:v>
                </c:pt>
                <c:pt idx="2">
                  <c:v>3.0612244897959183E-2</c:v>
                </c:pt>
                <c:pt idx="3">
                  <c:v>8.0808080808080815E-2</c:v>
                </c:pt>
                <c:pt idx="4">
                  <c:v>1.2500000000000001E-2</c:v>
                </c:pt>
                <c:pt idx="5">
                  <c:v>0</c:v>
                </c:pt>
                <c:pt idx="6">
                  <c:v>4.2553191489361701E-2</c:v>
                </c:pt>
                <c:pt idx="7">
                  <c:v>0.12096774193548387</c:v>
                </c:pt>
                <c:pt idx="8">
                  <c:v>0.12195121951219512</c:v>
                </c:pt>
                <c:pt idx="9">
                  <c:v>0.18656716417910449</c:v>
                </c:pt>
                <c:pt idx="10">
                  <c:v>3.9215686274509803E-2</c:v>
                </c:pt>
                <c:pt idx="11">
                  <c:v>4.2553191489361701E-2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6A24-41A2-B011-D1AFF3FFB459}"/>
            </c:ext>
          </c:extLst>
        </c:ser>
        <c:ser>
          <c:idx val="5"/>
          <c:order val="5"/>
          <c:tx>
            <c:strRef>
              <c:f>'Estadísticas específicas'!$A$20</c:f>
              <c:strCache>
                <c:ptCount val="1"/>
                <c:pt idx="0">
                  <c:v>Protex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específicas'!$B$13:$M$14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específicas'!$B$20:$M$20</c:f>
              <c:numCache>
                <c:formatCode>0%</c:formatCode>
                <c:ptCount val="12"/>
                <c:pt idx="0">
                  <c:v>0</c:v>
                </c:pt>
                <c:pt idx="1">
                  <c:v>1.0416666666666666E-2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1.0638297872340425E-2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A24-41A2-B011-D1AFF3FFB459}"/>
            </c:ext>
          </c:extLst>
        </c:ser>
        <c:ser>
          <c:idx val="6"/>
          <c:order val="6"/>
          <c:tx>
            <c:strRef>
              <c:f>'Estadísticas específicas'!$A$21</c:f>
              <c:strCache>
                <c:ptCount val="1"/>
                <c:pt idx="0">
                  <c:v>Aspirado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específicas'!$B$13:$M$14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específicas'!$B$21:$M$21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6A24-41A2-B011-D1AFF3FFB459}"/>
            </c:ext>
          </c:extLst>
        </c:ser>
        <c:ser>
          <c:idx val="7"/>
          <c:order val="7"/>
          <c:tx>
            <c:strRef>
              <c:f>'Estadísticas específicas'!$A$22</c:f>
              <c:strCache>
                <c:ptCount val="1"/>
                <c:pt idx="0">
                  <c:v>Extracción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específicas'!$B$13:$M$14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específicas'!$B$22:$M$22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6A24-41A2-B011-D1AFF3FFB459}"/>
            </c:ext>
          </c:extLst>
        </c:ser>
        <c:ser>
          <c:idx val="8"/>
          <c:order val="8"/>
          <c:tx>
            <c:strRef>
              <c:f>'Estadísticas específicas'!$A$23</c:f>
              <c:strCache>
                <c:ptCount val="1"/>
                <c:pt idx="0">
                  <c:v>Piel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específicas'!$B$13:$M$14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específicas'!$B$23:$M$23</c:f>
              <c:numCache>
                <c:formatCode>0%</c:formatCode>
                <c:ptCount val="12"/>
                <c:pt idx="0">
                  <c:v>8.8495575221238937E-3</c:v>
                </c:pt>
                <c:pt idx="1">
                  <c:v>0</c:v>
                </c:pt>
                <c:pt idx="2">
                  <c:v>0</c:v>
                </c:pt>
                <c:pt idx="3">
                  <c:v>1.0101010101010102E-2</c:v>
                </c:pt>
                <c:pt idx="4">
                  <c:v>0</c:v>
                </c:pt>
                <c:pt idx="5">
                  <c:v>0</c:v>
                </c:pt>
                <c:pt idx="6">
                  <c:v>7.0921985815602835E-3</c:v>
                </c:pt>
                <c:pt idx="7">
                  <c:v>8.0645161290322578E-3</c:v>
                </c:pt>
                <c:pt idx="8">
                  <c:v>1.6260162601626018E-2</c:v>
                </c:pt>
                <c:pt idx="9">
                  <c:v>0</c:v>
                </c:pt>
                <c:pt idx="10">
                  <c:v>1.9607843137254902E-2</c:v>
                </c:pt>
                <c:pt idx="11">
                  <c:v>1.0638297872340425E-2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6A24-41A2-B011-D1AFF3FFB459}"/>
            </c:ext>
          </c:extLst>
        </c:ser>
        <c:ser>
          <c:idx val="9"/>
          <c:order val="9"/>
          <c:tx>
            <c:strRef>
              <c:f>'Estadísticas específicas'!$A$24</c:f>
              <c:strCache>
                <c:ptCount val="1"/>
                <c:pt idx="0">
                  <c:v>PURT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específicas'!$B$13:$M$14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específicas'!$B$24:$M$24</c:f>
              <c:numCache>
                <c:formatCode>0%</c:formatCode>
                <c:ptCount val="12"/>
                <c:pt idx="0">
                  <c:v>9.7345132743362831E-2</c:v>
                </c:pt>
                <c:pt idx="1">
                  <c:v>8.3333333333333329E-2</c:v>
                </c:pt>
                <c:pt idx="2">
                  <c:v>8.1632653061224483E-2</c:v>
                </c:pt>
                <c:pt idx="3">
                  <c:v>8.0808080808080815E-2</c:v>
                </c:pt>
                <c:pt idx="4">
                  <c:v>0.125</c:v>
                </c:pt>
                <c:pt idx="5">
                  <c:v>0.13207547169811321</c:v>
                </c:pt>
                <c:pt idx="6">
                  <c:v>8.5106382978723402E-2</c:v>
                </c:pt>
                <c:pt idx="7">
                  <c:v>9.6774193548387094E-2</c:v>
                </c:pt>
                <c:pt idx="8">
                  <c:v>0.08</c:v>
                </c:pt>
                <c:pt idx="9">
                  <c:v>8.2089552238805971E-2</c:v>
                </c:pt>
                <c:pt idx="10">
                  <c:v>6.8627450980392163E-2</c:v>
                </c:pt>
                <c:pt idx="11">
                  <c:v>0.10638297872340426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6A24-41A2-B011-D1AFF3FFB4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50819712"/>
        <c:axId val="250821248"/>
      </c:barChart>
      <c:catAx>
        <c:axId val="25081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0821248"/>
        <c:crosses val="autoZero"/>
        <c:auto val="1"/>
        <c:lblAlgn val="ctr"/>
        <c:lblOffset val="100"/>
        <c:noMultiLvlLbl val="0"/>
      </c:catAx>
      <c:valAx>
        <c:axId val="25082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0819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Tipo de sala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'Estadísticas específicas'!$A$28</c:f>
              <c:strCache>
                <c:ptCount val="1"/>
                <c:pt idx="0">
                  <c:v>Todo fijo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específicas'!$B$26:$M$27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específicas'!$B$28:$M$28</c:f>
              <c:numCache>
                <c:formatCode>0%</c:formatCode>
                <c:ptCount val="12"/>
                <c:pt idx="0">
                  <c:v>0.61538461538461542</c:v>
                </c:pt>
                <c:pt idx="1">
                  <c:v>0.56000000000000005</c:v>
                </c:pt>
                <c:pt idx="2">
                  <c:v>0.57692307692307687</c:v>
                </c:pt>
                <c:pt idx="3">
                  <c:v>0.39285714285714285</c:v>
                </c:pt>
                <c:pt idx="4">
                  <c:v>0.47619047619047616</c:v>
                </c:pt>
                <c:pt idx="5">
                  <c:v>0.56666666666666665</c:v>
                </c:pt>
                <c:pt idx="6">
                  <c:v>0.71186440677966101</c:v>
                </c:pt>
                <c:pt idx="7">
                  <c:v>0.79545454545454541</c:v>
                </c:pt>
                <c:pt idx="8">
                  <c:v>0.5</c:v>
                </c:pt>
                <c:pt idx="9">
                  <c:v>0.66666666666666663</c:v>
                </c:pt>
                <c:pt idx="10">
                  <c:v>0.79069767441860461</c:v>
                </c:pt>
                <c:pt idx="11">
                  <c:v>0.42857142857142855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210-4581-A713-ECD90BE5B1AD}"/>
            </c:ext>
          </c:extLst>
        </c:ser>
        <c:ser>
          <c:idx val="1"/>
          <c:order val="1"/>
          <c:tx>
            <c:strRef>
              <c:f>'Estadísticas específicas'!$A$29</c:f>
              <c:strCache>
                <c:ptCount val="1"/>
                <c:pt idx="0">
                  <c:v>A o R removible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específicas'!$B$26:$M$27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específicas'!$B$29:$M$29</c:f>
              <c:numCache>
                <c:formatCode>0%</c:formatCode>
                <c:ptCount val="12"/>
                <c:pt idx="0">
                  <c:v>0.30769230769230771</c:v>
                </c:pt>
                <c:pt idx="1">
                  <c:v>0.28000000000000003</c:v>
                </c:pt>
                <c:pt idx="2">
                  <c:v>0.19230769230769232</c:v>
                </c:pt>
                <c:pt idx="3">
                  <c:v>0.4642857142857143</c:v>
                </c:pt>
                <c:pt idx="4">
                  <c:v>0.42857142857142855</c:v>
                </c:pt>
                <c:pt idx="5">
                  <c:v>0</c:v>
                </c:pt>
                <c:pt idx="6">
                  <c:v>0.16949152542372881</c:v>
                </c:pt>
                <c:pt idx="7">
                  <c:v>0.13636363636363635</c:v>
                </c:pt>
                <c:pt idx="8">
                  <c:v>0.22727272727272727</c:v>
                </c:pt>
                <c:pt idx="9">
                  <c:v>0.24444444444444444</c:v>
                </c:pt>
                <c:pt idx="10">
                  <c:v>0.16279069767441862</c:v>
                </c:pt>
                <c:pt idx="11">
                  <c:v>0.42857142857142855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210-4581-A713-ECD90BE5B1AD}"/>
            </c:ext>
          </c:extLst>
        </c:ser>
        <c:ser>
          <c:idx val="2"/>
          <c:order val="2"/>
          <c:tx>
            <c:strRef>
              <c:f>'Estadísticas específicas'!$A$30</c:f>
              <c:strCache>
                <c:ptCount val="1"/>
                <c:pt idx="0">
                  <c:v>Todo Removible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específicas'!$B$26:$M$27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específicas'!$B$30:$M$30</c:f>
              <c:numCache>
                <c:formatCode>0%</c:formatCode>
                <c:ptCount val="12"/>
                <c:pt idx="0">
                  <c:v>7.6923076923076927E-2</c:v>
                </c:pt>
                <c:pt idx="1">
                  <c:v>0.16</c:v>
                </c:pt>
                <c:pt idx="2">
                  <c:v>0.23076923076923078</c:v>
                </c:pt>
                <c:pt idx="3">
                  <c:v>0.14285714285714285</c:v>
                </c:pt>
                <c:pt idx="4">
                  <c:v>9.5238095238095233E-2</c:v>
                </c:pt>
                <c:pt idx="5">
                  <c:v>0.43333333333333335</c:v>
                </c:pt>
                <c:pt idx="6">
                  <c:v>0.11864406779661017</c:v>
                </c:pt>
                <c:pt idx="7">
                  <c:v>6.8181818181818177E-2</c:v>
                </c:pt>
                <c:pt idx="8">
                  <c:v>0.27272727272727271</c:v>
                </c:pt>
                <c:pt idx="9">
                  <c:v>8.8888888888888892E-2</c:v>
                </c:pt>
                <c:pt idx="10">
                  <c:v>4.6511627906976744E-2</c:v>
                </c:pt>
                <c:pt idx="11">
                  <c:v>0.14285714285714285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4210-4581-A713-ECD90BE5B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50848768"/>
        <c:axId val="250850304"/>
      </c:barChart>
      <c:catAx>
        <c:axId val="250848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0850304"/>
        <c:crosses val="autoZero"/>
        <c:auto val="1"/>
        <c:lblAlgn val="ctr"/>
        <c:lblOffset val="100"/>
        <c:noMultiLvlLbl val="0"/>
      </c:catAx>
      <c:valAx>
        <c:axId val="25085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0848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Tamaño de sala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'Estadísticas específicas'!$A$34</c:f>
              <c:strCache>
                <c:ptCount val="1"/>
                <c:pt idx="0">
                  <c:v>1 Plaza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específicas'!$B$32:$M$33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específicas'!$B$34:$M$34</c:f>
              <c:numCache>
                <c:formatCode>0%</c:formatCode>
                <c:ptCount val="12"/>
                <c:pt idx="0">
                  <c:v>0.19230769230769232</c:v>
                </c:pt>
                <c:pt idx="1">
                  <c:v>0.2</c:v>
                </c:pt>
                <c:pt idx="2">
                  <c:v>0.19230769230769232</c:v>
                </c:pt>
                <c:pt idx="3">
                  <c:v>0.21428571428571427</c:v>
                </c:pt>
                <c:pt idx="4">
                  <c:v>0</c:v>
                </c:pt>
                <c:pt idx="5">
                  <c:v>6.6666666666666666E-2</c:v>
                </c:pt>
                <c:pt idx="6">
                  <c:v>0.3559322033898305</c:v>
                </c:pt>
                <c:pt idx="7">
                  <c:v>0.45454545454545453</c:v>
                </c:pt>
                <c:pt idx="8">
                  <c:v>0</c:v>
                </c:pt>
                <c:pt idx="9">
                  <c:v>0.44444444444444442</c:v>
                </c:pt>
                <c:pt idx="10">
                  <c:v>4.6511627906976744E-2</c:v>
                </c:pt>
                <c:pt idx="11">
                  <c:v>3.5714285714285712E-2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576-40EE-80AF-DE08870D20D9}"/>
            </c:ext>
          </c:extLst>
        </c:ser>
        <c:ser>
          <c:idx val="1"/>
          <c:order val="1"/>
          <c:tx>
            <c:strRef>
              <c:f>'Estadísticas específicas'!$A$35</c:f>
              <c:strCache>
                <c:ptCount val="1"/>
                <c:pt idx="0">
                  <c:v>2 Plazas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específicas'!$B$32:$M$33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específicas'!$B$35:$M$35</c:f>
              <c:numCache>
                <c:formatCode>0%</c:formatCode>
                <c:ptCount val="12"/>
                <c:pt idx="0">
                  <c:v>7.6923076923076927E-2</c:v>
                </c:pt>
                <c:pt idx="1">
                  <c:v>0.16</c:v>
                </c:pt>
                <c:pt idx="2">
                  <c:v>3.8461538461538464E-2</c:v>
                </c:pt>
                <c:pt idx="3">
                  <c:v>0.10714285714285714</c:v>
                </c:pt>
                <c:pt idx="4">
                  <c:v>0</c:v>
                </c:pt>
                <c:pt idx="5">
                  <c:v>0</c:v>
                </c:pt>
                <c:pt idx="6">
                  <c:v>0.11864406779661017</c:v>
                </c:pt>
                <c:pt idx="7">
                  <c:v>6.8181818181818177E-2</c:v>
                </c:pt>
                <c:pt idx="8">
                  <c:v>0</c:v>
                </c:pt>
                <c:pt idx="9">
                  <c:v>8.8888888888888892E-2</c:v>
                </c:pt>
                <c:pt idx="10">
                  <c:v>0.37209302325581395</c:v>
                </c:pt>
                <c:pt idx="11">
                  <c:v>3.5714285714285712E-2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576-40EE-80AF-DE08870D20D9}"/>
            </c:ext>
          </c:extLst>
        </c:ser>
        <c:ser>
          <c:idx val="2"/>
          <c:order val="2"/>
          <c:tx>
            <c:strRef>
              <c:f>'Estadísticas específicas'!$A$36</c:f>
              <c:strCache>
                <c:ptCount val="1"/>
                <c:pt idx="0">
                  <c:v>3 Plazas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específicas'!$B$32:$M$33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específicas'!$B$36:$M$36</c:f>
              <c:numCache>
                <c:formatCode>0%</c:formatCode>
                <c:ptCount val="12"/>
                <c:pt idx="0">
                  <c:v>0.19230769230769232</c:v>
                </c:pt>
                <c:pt idx="1">
                  <c:v>0.12</c:v>
                </c:pt>
                <c:pt idx="2">
                  <c:v>0.11538461538461539</c:v>
                </c:pt>
                <c:pt idx="3">
                  <c:v>7.1428571428571425E-2</c:v>
                </c:pt>
                <c:pt idx="4">
                  <c:v>0.19047619047619047</c:v>
                </c:pt>
                <c:pt idx="5">
                  <c:v>0.26666666666666666</c:v>
                </c:pt>
                <c:pt idx="6">
                  <c:v>0.16949152542372881</c:v>
                </c:pt>
                <c:pt idx="7">
                  <c:v>4.5454545454545456E-2</c:v>
                </c:pt>
                <c:pt idx="8">
                  <c:v>0</c:v>
                </c:pt>
                <c:pt idx="9">
                  <c:v>0.13333333333333333</c:v>
                </c:pt>
                <c:pt idx="10">
                  <c:v>2.3255813953488372E-2</c:v>
                </c:pt>
                <c:pt idx="11">
                  <c:v>3.5714285714285712E-2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576-40EE-80AF-DE08870D20D9}"/>
            </c:ext>
          </c:extLst>
        </c:ser>
        <c:ser>
          <c:idx val="3"/>
          <c:order val="3"/>
          <c:tx>
            <c:strRef>
              <c:f>'Estadísticas específicas'!$A$37</c:f>
              <c:strCache>
                <c:ptCount val="1"/>
                <c:pt idx="0">
                  <c:v>4 Plazas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específicas'!$B$32:$M$33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específicas'!$B$37:$M$37</c:f>
              <c:numCache>
                <c:formatCode>0%</c:formatCode>
                <c:ptCount val="12"/>
                <c:pt idx="0">
                  <c:v>0.11538461538461539</c:v>
                </c:pt>
                <c:pt idx="1">
                  <c:v>0.04</c:v>
                </c:pt>
                <c:pt idx="2">
                  <c:v>0</c:v>
                </c:pt>
                <c:pt idx="3">
                  <c:v>0</c:v>
                </c:pt>
                <c:pt idx="4">
                  <c:v>0.14285714285714285</c:v>
                </c:pt>
                <c:pt idx="5">
                  <c:v>0.16666666666666666</c:v>
                </c:pt>
                <c:pt idx="6">
                  <c:v>0.13559322033898305</c:v>
                </c:pt>
                <c:pt idx="7">
                  <c:v>9.0909090909090912E-2</c:v>
                </c:pt>
                <c:pt idx="8">
                  <c:v>0.13636363636363635</c:v>
                </c:pt>
                <c:pt idx="9">
                  <c:v>4.4444444444444446E-2</c:v>
                </c:pt>
                <c:pt idx="10">
                  <c:v>6.9767441860465115E-2</c:v>
                </c:pt>
                <c:pt idx="11">
                  <c:v>3.5714285714285712E-2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A576-40EE-80AF-DE08870D20D9}"/>
            </c:ext>
          </c:extLst>
        </c:ser>
        <c:ser>
          <c:idx val="4"/>
          <c:order val="4"/>
          <c:tx>
            <c:strRef>
              <c:f>'Estadísticas específicas'!$A$38</c:f>
              <c:strCache>
                <c:ptCount val="1"/>
                <c:pt idx="0">
                  <c:v>5 Plazas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específicas'!$B$32:$M$33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específicas'!$B$38:$M$38</c:f>
              <c:numCache>
                <c:formatCode>0%</c:formatCode>
                <c:ptCount val="12"/>
                <c:pt idx="0">
                  <c:v>0.11538461538461539</c:v>
                </c:pt>
                <c:pt idx="1">
                  <c:v>0.12</c:v>
                </c:pt>
                <c:pt idx="2">
                  <c:v>0.11538461538461539</c:v>
                </c:pt>
                <c:pt idx="3">
                  <c:v>0.14285714285714285</c:v>
                </c:pt>
                <c:pt idx="4">
                  <c:v>9.5238095238095233E-2</c:v>
                </c:pt>
                <c:pt idx="5">
                  <c:v>0.2</c:v>
                </c:pt>
                <c:pt idx="6">
                  <c:v>8.4745762711864403E-2</c:v>
                </c:pt>
                <c:pt idx="7">
                  <c:v>6.8181818181818177E-2</c:v>
                </c:pt>
                <c:pt idx="8">
                  <c:v>0.22727272727272727</c:v>
                </c:pt>
                <c:pt idx="9">
                  <c:v>0.13333333333333333</c:v>
                </c:pt>
                <c:pt idx="10">
                  <c:v>0.20930232558139536</c:v>
                </c:pt>
                <c:pt idx="11">
                  <c:v>0.10714285714285714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A576-40EE-80AF-DE08870D20D9}"/>
            </c:ext>
          </c:extLst>
        </c:ser>
        <c:ser>
          <c:idx val="5"/>
          <c:order val="5"/>
          <c:tx>
            <c:strRef>
              <c:f>'Estadísticas específicas'!$A$39</c:f>
              <c:strCache>
                <c:ptCount val="1"/>
                <c:pt idx="0">
                  <c:v>6 Plazas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específicas'!$B$32:$M$33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específicas'!$B$39:$M$39</c:f>
              <c:numCache>
                <c:formatCode>0%</c:formatCode>
                <c:ptCount val="12"/>
                <c:pt idx="0">
                  <c:v>0.23076923076923078</c:v>
                </c:pt>
                <c:pt idx="1">
                  <c:v>0.24</c:v>
                </c:pt>
                <c:pt idx="2">
                  <c:v>0.34615384615384615</c:v>
                </c:pt>
                <c:pt idx="3">
                  <c:v>0.25</c:v>
                </c:pt>
                <c:pt idx="4">
                  <c:v>0.42857142857142855</c:v>
                </c:pt>
                <c:pt idx="5">
                  <c:v>0.13333333333333333</c:v>
                </c:pt>
                <c:pt idx="6">
                  <c:v>5.0847457627118647E-2</c:v>
                </c:pt>
                <c:pt idx="7">
                  <c:v>0.25</c:v>
                </c:pt>
                <c:pt idx="8">
                  <c:v>0.31818181818181818</c:v>
                </c:pt>
                <c:pt idx="9">
                  <c:v>8.8888888888888892E-2</c:v>
                </c:pt>
                <c:pt idx="10">
                  <c:v>0.23255813953488372</c:v>
                </c:pt>
                <c:pt idx="11">
                  <c:v>0.6428571428571429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A576-40EE-80AF-DE08870D20D9}"/>
            </c:ext>
          </c:extLst>
        </c:ser>
        <c:ser>
          <c:idx val="6"/>
          <c:order val="6"/>
          <c:tx>
            <c:strRef>
              <c:f>'Estadísticas específicas'!$A$40</c:f>
              <c:strCache>
                <c:ptCount val="1"/>
                <c:pt idx="0">
                  <c:v>7 Plazas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específicas'!$B$32:$M$33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específicas'!$B$40:$M$40</c:f>
              <c:numCache>
                <c:formatCode>0%</c:formatCode>
                <c:ptCount val="12"/>
                <c:pt idx="0">
                  <c:v>3.8461538461538464E-2</c:v>
                </c:pt>
                <c:pt idx="1">
                  <c:v>0.08</c:v>
                </c:pt>
                <c:pt idx="2">
                  <c:v>0.11538461538461539</c:v>
                </c:pt>
                <c:pt idx="3">
                  <c:v>7.1428571428571425E-2</c:v>
                </c:pt>
                <c:pt idx="4">
                  <c:v>9.5238095238095233E-2</c:v>
                </c:pt>
                <c:pt idx="5">
                  <c:v>0.16666666666666666</c:v>
                </c:pt>
                <c:pt idx="6">
                  <c:v>0</c:v>
                </c:pt>
                <c:pt idx="7">
                  <c:v>0</c:v>
                </c:pt>
                <c:pt idx="8">
                  <c:v>4.5454545454545456E-2</c:v>
                </c:pt>
                <c:pt idx="9">
                  <c:v>4.4444444444444446E-2</c:v>
                </c:pt>
                <c:pt idx="10">
                  <c:v>4.6511627906976744E-2</c:v>
                </c:pt>
                <c:pt idx="11">
                  <c:v>3.5714285714285712E-2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A576-40EE-80AF-DE08870D20D9}"/>
            </c:ext>
          </c:extLst>
        </c:ser>
        <c:ser>
          <c:idx val="7"/>
          <c:order val="7"/>
          <c:tx>
            <c:strRef>
              <c:f>'Estadísticas específicas'!$A$41</c:f>
              <c:strCache>
                <c:ptCount val="1"/>
                <c:pt idx="0">
                  <c:v>8 Plazas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específicas'!$B$32:$M$33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específicas'!$B$41:$M$41</c:f>
              <c:numCache>
                <c:formatCode>0%</c:formatCode>
                <c:ptCount val="12"/>
                <c:pt idx="0">
                  <c:v>3.8461538461538464E-2</c:v>
                </c:pt>
                <c:pt idx="1">
                  <c:v>0</c:v>
                </c:pt>
                <c:pt idx="2">
                  <c:v>0</c:v>
                </c:pt>
                <c:pt idx="3">
                  <c:v>0.14285714285714285</c:v>
                </c:pt>
                <c:pt idx="4">
                  <c:v>4.7619047619047616E-2</c:v>
                </c:pt>
                <c:pt idx="5">
                  <c:v>0</c:v>
                </c:pt>
                <c:pt idx="6">
                  <c:v>5.0847457627118647E-2</c:v>
                </c:pt>
                <c:pt idx="7">
                  <c:v>2.2727272727272728E-2</c:v>
                </c:pt>
                <c:pt idx="8">
                  <c:v>0.18181818181818182</c:v>
                </c:pt>
                <c:pt idx="9">
                  <c:v>0</c:v>
                </c:pt>
                <c:pt idx="10">
                  <c:v>0</c:v>
                </c:pt>
                <c:pt idx="11">
                  <c:v>7.1428571428571425E-2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A576-40EE-80AF-DE08870D20D9}"/>
            </c:ext>
          </c:extLst>
        </c:ser>
        <c:ser>
          <c:idx val="8"/>
          <c:order val="8"/>
          <c:tx>
            <c:strRef>
              <c:f>'Estadísticas específicas'!$A$42</c:f>
              <c:strCache>
                <c:ptCount val="1"/>
                <c:pt idx="0">
                  <c:v>9 Plazas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específicas'!$B$32:$M$33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específicas'!$B$42:$M$42</c:f>
              <c:numCache>
                <c:formatCode>0%</c:formatCode>
                <c:ptCount val="12"/>
                <c:pt idx="0">
                  <c:v>0</c:v>
                </c:pt>
                <c:pt idx="1">
                  <c:v>0.04</c:v>
                </c:pt>
                <c:pt idx="2">
                  <c:v>3.8461538461538464E-2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4.5454545454545456E-2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A576-40EE-80AF-DE08870D20D9}"/>
            </c:ext>
          </c:extLst>
        </c:ser>
        <c:ser>
          <c:idx val="9"/>
          <c:order val="9"/>
          <c:tx>
            <c:strRef>
              <c:f>'Estadísticas específicas'!$A$43</c:f>
              <c:strCache>
                <c:ptCount val="1"/>
                <c:pt idx="0">
                  <c:v>10 Plazas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específicas'!$B$32:$M$33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específicas'!$B$43:$M$43</c:f>
              <c:numCache>
                <c:formatCode>0%</c:formatCode>
                <c:ptCount val="12"/>
                <c:pt idx="0">
                  <c:v>0</c:v>
                </c:pt>
                <c:pt idx="1">
                  <c:v>0.04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1.6949152542372881E-2</c:v>
                </c:pt>
                <c:pt idx="7">
                  <c:v>0</c:v>
                </c:pt>
                <c:pt idx="8">
                  <c:v>4.5454545454545456E-2</c:v>
                </c:pt>
                <c:pt idx="9">
                  <c:v>2.2222222222222223E-2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A576-40EE-80AF-DE08870D20D9}"/>
            </c:ext>
          </c:extLst>
        </c:ser>
        <c:ser>
          <c:idx val="10"/>
          <c:order val="10"/>
          <c:tx>
            <c:strRef>
              <c:f>'Estadísticas específicas'!$A$44</c:f>
              <c:strCache>
                <c:ptCount val="1"/>
                <c:pt idx="0">
                  <c:v>11 Plazas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específicas'!$B$32:$M$33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específicas'!$B$44:$M$44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A576-40EE-80AF-DE08870D20D9}"/>
            </c:ext>
          </c:extLst>
        </c:ser>
        <c:ser>
          <c:idx val="11"/>
          <c:order val="11"/>
          <c:tx>
            <c:strRef>
              <c:f>'Estadísticas específicas'!$A$45</c:f>
              <c:strCache>
                <c:ptCount val="1"/>
                <c:pt idx="0">
                  <c:v>12 Plazas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específicas'!$B$32:$M$33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específicas'!$B$45:$M$45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3.8461538461538464E-2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1.6949152542372881E-2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B-A576-40EE-80AF-DE08870D20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51011840"/>
        <c:axId val="251013376"/>
      </c:barChart>
      <c:catAx>
        <c:axId val="25101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1013376"/>
        <c:crosses val="autoZero"/>
        <c:auto val="1"/>
        <c:lblAlgn val="ctr"/>
        <c:lblOffset val="100"/>
        <c:noMultiLvlLbl val="0"/>
      </c:catAx>
      <c:valAx>
        <c:axId val="25101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101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Tipo de tapete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'Estadísticas específicas'!$A$49</c:f>
              <c:strCache>
                <c:ptCount val="1"/>
                <c:pt idx="0">
                  <c:v>Lana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específicas'!$B$47:$M$48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específicas'!$B$49:$M$49</c:f>
              <c:numCache>
                <c:formatCode>0%</c:formatCode>
                <c:ptCount val="12"/>
                <c:pt idx="0">
                  <c:v>0.21212121212121213</c:v>
                </c:pt>
                <c:pt idx="1">
                  <c:v>0.33333333333333331</c:v>
                </c:pt>
                <c:pt idx="2">
                  <c:v>0.38461538461538464</c:v>
                </c:pt>
                <c:pt idx="3">
                  <c:v>0.16666666666666666</c:v>
                </c:pt>
                <c:pt idx="4">
                  <c:v>0.26666666666666666</c:v>
                </c:pt>
                <c:pt idx="5">
                  <c:v>0.12</c:v>
                </c:pt>
                <c:pt idx="6">
                  <c:v>0.22727272727272727</c:v>
                </c:pt>
                <c:pt idx="7">
                  <c:v>0.16129032258064516</c:v>
                </c:pt>
                <c:pt idx="8">
                  <c:v>0.21568627450980393</c:v>
                </c:pt>
                <c:pt idx="9">
                  <c:v>0.45833333333333331</c:v>
                </c:pt>
                <c:pt idx="10">
                  <c:v>0.17647058823529413</c:v>
                </c:pt>
                <c:pt idx="11">
                  <c:v>0.10526315789473684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2C0-4394-9441-484D2EEBDD9F}"/>
            </c:ext>
          </c:extLst>
        </c:ser>
        <c:ser>
          <c:idx val="1"/>
          <c:order val="1"/>
          <c:tx>
            <c:strRef>
              <c:f>'Estadísticas específicas'!$A$50</c:f>
              <c:strCache>
                <c:ptCount val="1"/>
                <c:pt idx="0">
                  <c:v>Sintético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específicas'!$B$47:$M$48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específicas'!$B$50:$M$50</c:f>
              <c:numCache>
                <c:formatCode>0%</c:formatCode>
                <c:ptCount val="12"/>
                <c:pt idx="0">
                  <c:v>0.69696969696969702</c:v>
                </c:pt>
                <c:pt idx="1">
                  <c:v>0.66666666666666663</c:v>
                </c:pt>
                <c:pt idx="2">
                  <c:v>0.57692307692307687</c:v>
                </c:pt>
                <c:pt idx="3">
                  <c:v>0.79166666666666663</c:v>
                </c:pt>
                <c:pt idx="4">
                  <c:v>0.6</c:v>
                </c:pt>
                <c:pt idx="5">
                  <c:v>0.84</c:v>
                </c:pt>
                <c:pt idx="6">
                  <c:v>0.77272727272727271</c:v>
                </c:pt>
                <c:pt idx="7">
                  <c:v>0.83870967741935487</c:v>
                </c:pt>
                <c:pt idx="8">
                  <c:v>0.78431372549019607</c:v>
                </c:pt>
                <c:pt idx="9">
                  <c:v>0.54166666666666663</c:v>
                </c:pt>
                <c:pt idx="10">
                  <c:v>0.82352941176470584</c:v>
                </c:pt>
                <c:pt idx="11">
                  <c:v>0.84210526315789469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2C0-4394-9441-484D2EEBDD9F}"/>
            </c:ext>
          </c:extLst>
        </c:ser>
        <c:ser>
          <c:idx val="2"/>
          <c:order val="2"/>
          <c:tx>
            <c:strRef>
              <c:f>'Estadísticas específicas'!$A$51</c:f>
              <c:strCache>
                <c:ptCount val="1"/>
                <c:pt idx="0">
                  <c:v>Seda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específicas'!$B$47:$M$48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específicas'!$B$51:$M$51</c:f>
              <c:numCache>
                <c:formatCode>0%</c:formatCode>
                <c:ptCount val="12"/>
                <c:pt idx="0">
                  <c:v>9.0909090909090912E-2</c:v>
                </c:pt>
                <c:pt idx="1">
                  <c:v>0</c:v>
                </c:pt>
                <c:pt idx="2">
                  <c:v>3.8461538461538464E-2</c:v>
                </c:pt>
                <c:pt idx="3">
                  <c:v>4.1666666666666664E-2</c:v>
                </c:pt>
                <c:pt idx="4">
                  <c:v>0.13333333333333333</c:v>
                </c:pt>
                <c:pt idx="5">
                  <c:v>0.04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5.2631578947368418E-2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D2C0-4394-9441-484D2EEBD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51065856"/>
        <c:axId val="251067392"/>
      </c:barChart>
      <c:catAx>
        <c:axId val="25106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1067392"/>
        <c:crosses val="autoZero"/>
        <c:auto val="1"/>
        <c:lblAlgn val="ctr"/>
        <c:lblOffset val="100"/>
        <c:noMultiLvlLbl val="0"/>
      </c:catAx>
      <c:valAx>
        <c:axId val="25106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106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Tipo de silla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'Estadísticas específicas'!$A$55</c:f>
              <c:strCache>
                <c:ptCount val="1"/>
                <c:pt idx="0">
                  <c:v>Asiento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específicas'!$B$53:$M$54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específicas'!$B$55:$M$55</c:f>
              <c:numCache>
                <c:formatCode>0%</c:formatCode>
                <c:ptCount val="12"/>
                <c:pt idx="0">
                  <c:v>0.14285714285714285</c:v>
                </c:pt>
                <c:pt idx="1">
                  <c:v>0.1</c:v>
                </c:pt>
                <c:pt idx="2">
                  <c:v>0</c:v>
                </c:pt>
                <c:pt idx="3">
                  <c:v>0.13</c:v>
                </c:pt>
                <c:pt idx="4">
                  <c:v>0.14285714285714285</c:v>
                </c:pt>
                <c:pt idx="5">
                  <c:v>0.33</c:v>
                </c:pt>
                <c:pt idx="6">
                  <c:v>0.36842105263157893</c:v>
                </c:pt>
                <c:pt idx="7">
                  <c:v>0.3</c:v>
                </c:pt>
                <c:pt idx="8">
                  <c:v>0.30769230769230771</c:v>
                </c:pt>
                <c:pt idx="9">
                  <c:v>0.44444444444444442</c:v>
                </c:pt>
                <c:pt idx="10">
                  <c:v>0</c:v>
                </c:pt>
                <c:pt idx="11">
                  <c:v>0.25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F0D-49FF-891C-994B0D8F8103}"/>
            </c:ext>
          </c:extLst>
        </c:ser>
        <c:ser>
          <c:idx val="1"/>
          <c:order val="1"/>
          <c:tx>
            <c:strRef>
              <c:f>'Estadísticas específicas'!$A$56</c:f>
              <c:strCache>
                <c:ptCount val="1"/>
                <c:pt idx="0">
                  <c:v>Asiento y respaldo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específicas'!$B$53:$M$54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específicas'!$B$56:$M$56</c:f>
              <c:numCache>
                <c:formatCode>0%</c:formatCode>
                <c:ptCount val="12"/>
                <c:pt idx="0">
                  <c:v>0.8571428571428571</c:v>
                </c:pt>
                <c:pt idx="1">
                  <c:v>0.9</c:v>
                </c:pt>
                <c:pt idx="2">
                  <c:v>1</c:v>
                </c:pt>
                <c:pt idx="3">
                  <c:v>0.88</c:v>
                </c:pt>
                <c:pt idx="4">
                  <c:v>0.8571428571428571</c:v>
                </c:pt>
                <c:pt idx="5">
                  <c:v>0.67</c:v>
                </c:pt>
                <c:pt idx="6">
                  <c:v>0.63157894736842102</c:v>
                </c:pt>
                <c:pt idx="7">
                  <c:v>0.7</c:v>
                </c:pt>
                <c:pt idx="8">
                  <c:v>0.69230769230769229</c:v>
                </c:pt>
                <c:pt idx="9">
                  <c:v>0.55555555555555558</c:v>
                </c:pt>
                <c:pt idx="10">
                  <c:v>1</c:v>
                </c:pt>
                <c:pt idx="11">
                  <c:v>0.75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6F0D-49FF-891C-994B0D8F8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51114240"/>
        <c:axId val="251115776"/>
      </c:barChart>
      <c:catAx>
        <c:axId val="25111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1115776"/>
        <c:crosses val="autoZero"/>
        <c:auto val="1"/>
        <c:lblAlgn val="ctr"/>
        <c:lblOffset val="100"/>
        <c:noMultiLvlLbl val="0"/>
      </c:catAx>
      <c:valAx>
        <c:axId val="25111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1114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Tamaño de colchón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'Estadísticas específicas'!$A$60</c:f>
              <c:strCache>
                <c:ptCount val="1"/>
                <c:pt idx="0">
                  <c:v>Cuna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específicas'!$B$58:$M$59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específicas'!$B$60:$M$60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9.0909090909090912E-2</c:v>
                </c:pt>
                <c:pt idx="4">
                  <c:v>0</c:v>
                </c:pt>
                <c:pt idx="5">
                  <c:v>6.25E-2</c:v>
                </c:pt>
                <c:pt idx="6">
                  <c:v>0</c:v>
                </c:pt>
                <c:pt idx="7">
                  <c:v>0</c:v>
                </c:pt>
                <c:pt idx="8">
                  <c:v>0.1111111111111111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3B1-4176-A886-9A4F98496832}"/>
            </c:ext>
          </c:extLst>
        </c:ser>
        <c:ser>
          <c:idx val="1"/>
          <c:order val="1"/>
          <c:tx>
            <c:strRef>
              <c:f>'Estadísticas específicas'!$A$61</c:f>
              <c:strCache>
                <c:ptCount val="1"/>
                <c:pt idx="0">
                  <c:v>Ind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específicas'!$B$58:$M$59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específicas'!$B$61:$M$61</c:f>
              <c:numCache>
                <c:formatCode>0%</c:formatCode>
                <c:ptCount val="12"/>
                <c:pt idx="0">
                  <c:v>0.2</c:v>
                </c:pt>
                <c:pt idx="1">
                  <c:v>0.14285714285714285</c:v>
                </c:pt>
                <c:pt idx="2">
                  <c:v>0</c:v>
                </c:pt>
                <c:pt idx="3">
                  <c:v>0.27272727272727271</c:v>
                </c:pt>
                <c:pt idx="4">
                  <c:v>0.1</c:v>
                </c:pt>
                <c:pt idx="5">
                  <c:v>0.5</c:v>
                </c:pt>
                <c:pt idx="6">
                  <c:v>0.30769230769230771</c:v>
                </c:pt>
                <c:pt idx="7">
                  <c:v>0</c:v>
                </c:pt>
                <c:pt idx="8">
                  <c:v>0.22222222222222221</c:v>
                </c:pt>
                <c:pt idx="9">
                  <c:v>0.2</c:v>
                </c:pt>
                <c:pt idx="10">
                  <c:v>0.4</c:v>
                </c:pt>
                <c:pt idx="11">
                  <c:v>0.5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3B1-4176-A886-9A4F98496832}"/>
            </c:ext>
          </c:extLst>
        </c:ser>
        <c:ser>
          <c:idx val="2"/>
          <c:order val="2"/>
          <c:tx>
            <c:strRef>
              <c:f>'Estadísticas específicas'!$A$62</c:f>
              <c:strCache>
                <c:ptCount val="1"/>
                <c:pt idx="0">
                  <c:v>Mat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específicas'!$B$58:$M$59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específicas'!$B$62:$M$62</c:f>
              <c:numCache>
                <c:formatCode>0%</c:formatCode>
                <c:ptCount val="12"/>
                <c:pt idx="0">
                  <c:v>0.4</c:v>
                </c:pt>
                <c:pt idx="1">
                  <c:v>0</c:v>
                </c:pt>
                <c:pt idx="2">
                  <c:v>0.69230769230769229</c:v>
                </c:pt>
                <c:pt idx="3">
                  <c:v>0.36363636363636365</c:v>
                </c:pt>
                <c:pt idx="4">
                  <c:v>0.4</c:v>
                </c:pt>
                <c:pt idx="5">
                  <c:v>0.1875</c:v>
                </c:pt>
                <c:pt idx="6">
                  <c:v>0.15384615384615385</c:v>
                </c:pt>
                <c:pt idx="7">
                  <c:v>0.45454545454545453</c:v>
                </c:pt>
                <c:pt idx="8">
                  <c:v>0</c:v>
                </c:pt>
                <c:pt idx="9">
                  <c:v>0.25</c:v>
                </c:pt>
                <c:pt idx="10">
                  <c:v>0</c:v>
                </c:pt>
                <c:pt idx="11">
                  <c:v>0.5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D3B1-4176-A886-9A4F98496832}"/>
            </c:ext>
          </c:extLst>
        </c:ser>
        <c:ser>
          <c:idx val="3"/>
          <c:order val="3"/>
          <c:tx>
            <c:strRef>
              <c:f>'Estadísticas específicas'!$A$63</c:f>
              <c:strCache>
                <c:ptCount val="1"/>
                <c:pt idx="0">
                  <c:v>QS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específicas'!$B$58:$M$59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específicas'!$B$63:$M$63</c:f>
              <c:numCache>
                <c:formatCode>0%</c:formatCode>
                <c:ptCount val="12"/>
                <c:pt idx="0">
                  <c:v>0</c:v>
                </c:pt>
                <c:pt idx="1">
                  <c:v>0.14285714285714285</c:v>
                </c:pt>
                <c:pt idx="2">
                  <c:v>7.6923076923076927E-2</c:v>
                </c:pt>
                <c:pt idx="3">
                  <c:v>0</c:v>
                </c:pt>
                <c:pt idx="4">
                  <c:v>0.1</c:v>
                </c:pt>
                <c:pt idx="5">
                  <c:v>0.25</c:v>
                </c:pt>
                <c:pt idx="6">
                  <c:v>0.15384615384615385</c:v>
                </c:pt>
                <c:pt idx="7">
                  <c:v>0.18181818181818182</c:v>
                </c:pt>
                <c:pt idx="8">
                  <c:v>0.22222222222222221</c:v>
                </c:pt>
                <c:pt idx="9">
                  <c:v>0.1</c:v>
                </c:pt>
                <c:pt idx="10">
                  <c:v>0.4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D3B1-4176-A886-9A4F98496832}"/>
            </c:ext>
          </c:extLst>
        </c:ser>
        <c:ser>
          <c:idx val="4"/>
          <c:order val="4"/>
          <c:tx>
            <c:strRef>
              <c:f>'Estadísticas específicas'!$A$64</c:f>
              <c:strCache>
                <c:ptCount val="1"/>
                <c:pt idx="0">
                  <c:v>KS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específicas'!$B$58:$M$59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específicas'!$B$64:$M$64</c:f>
              <c:numCache>
                <c:formatCode>0%</c:formatCode>
                <c:ptCount val="12"/>
                <c:pt idx="0">
                  <c:v>0.4</c:v>
                </c:pt>
                <c:pt idx="1">
                  <c:v>0.7142857142857143</c:v>
                </c:pt>
                <c:pt idx="2">
                  <c:v>0.23076923076923078</c:v>
                </c:pt>
                <c:pt idx="3">
                  <c:v>0.27272727272727271</c:v>
                </c:pt>
                <c:pt idx="4">
                  <c:v>0.4</c:v>
                </c:pt>
                <c:pt idx="5">
                  <c:v>0</c:v>
                </c:pt>
                <c:pt idx="6">
                  <c:v>0.38461538461538464</c:v>
                </c:pt>
                <c:pt idx="7">
                  <c:v>0.36363636363636365</c:v>
                </c:pt>
                <c:pt idx="8">
                  <c:v>0.44444444444444442</c:v>
                </c:pt>
                <c:pt idx="9">
                  <c:v>0.45</c:v>
                </c:pt>
                <c:pt idx="10">
                  <c:v>0.2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D3B1-4176-A886-9A4F98496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51231616"/>
        <c:axId val="251237504"/>
      </c:barChart>
      <c:catAx>
        <c:axId val="25123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1237504"/>
        <c:crosses val="autoZero"/>
        <c:auto val="1"/>
        <c:lblAlgn val="ctr"/>
        <c:lblOffset val="100"/>
        <c:noMultiLvlLbl val="0"/>
      </c:catAx>
      <c:valAx>
        <c:axId val="25123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1231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Otro tipo de mueble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'Estadísticas específicas'!$A$68</c:f>
              <c:strCache>
                <c:ptCount val="1"/>
                <c:pt idx="0">
                  <c:v>Taburete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específicas'!$B$66:$M$67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específicas'!$B$68:$M$68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7.6923076923076927E-2</c:v>
                </c:pt>
                <c:pt idx="3">
                  <c:v>0.33333333333333331</c:v>
                </c:pt>
                <c:pt idx="4">
                  <c:v>0.1</c:v>
                </c:pt>
                <c:pt idx="5">
                  <c:v>0.1111111111111111</c:v>
                </c:pt>
                <c:pt idx="6">
                  <c:v>6.6666666666666666E-2</c:v>
                </c:pt>
                <c:pt idx="7">
                  <c:v>0.18181818181818182</c:v>
                </c:pt>
                <c:pt idx="8">
                  <c:v>0</c:v>
                </c:pt>
                <c:pt idx="9">
                  <c:v>0.31578947368421051</c:v>
                </c:pt>
                <c:pt idx="10">
                  <c:v>7.1428571428571425E-2</c:v>
                </c:pt>
                <c:pt idx="11">
                  <c:v>7.6923076923076927E-2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CCE-438A-85CD-3CFE55A7E99E}"/>
            </c:ext>
          </c:extLst>
        </c:ser>
        <c:ser>
          <c:idx val="1"/>
          <c:order val="1"/>
          <c:tx>
            <c:strRef>
              <c:f>'Estadísticas específicas'!$A$69</c:f>
              <c:strCache>
                <c:ptCount val="1"/>
                <c:pt idx="0">
                  <c:v>Cabecera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específicas'!$B$66:$M$67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específicas'!$B$69:$M$69</c:f>
              <c:numCache>
                <c:formatCode>0%</c:formatCode>
                <c:ptCount val="12"/>
                <c:pt idx="0">
                  <c:v>0</c:v>
                </c:pt>
                <c:pt idx="1">
                  <c:v>0.25</c:v>
                </c:pt>
                <c:pt idx="2">
                  <c:v>0.23076923076923078</c:v>
                </c:pt>
                <c:pt idx="3">
                  <c:v>0.25</c:v>
                </c:pt>
                <c:pt idx="4">
                  <c:v>0.2</c:v>
                </c:pt>
                <c:pt idx="5">
                  <c:v>0.1111111111111111</c:v>
                </c:pt>
                <c:pt idx="6">
                  <c:v>6.6666666666666666E-2</c:v>
                </c:pt>
                <c:pt idx="7">
                  <c:v>9.0909090909090912E-2</c:v>
                </c:pt>
                <c:pt idx="8">
                  <c:v>0.30769230769230771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CCE-438A-85CD-3CFE55A7E99E}"/>
            </c:ext>
          </c:extLst>
        </c:ser>
        <c:ser>
          <c:idx val="2"/>
          <c:order val="2"/>
          <c:tx>
            <c:strRef>
              <c:f>'Estadísticas específicas'!$A$70</c:f>
              <c:strCache>
                <c:ptCount val="1"/>
                <c:pt idx="0">
                  <c:v>Carriola y porta bebé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específicas'!$B$66:$M$67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específicas'!$B$70:$M$70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0.13333333333333333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DCCE-438A-85CD-3CFE55A7E99E}"/>
            </c:ext>
          </c:extLst>
        </c:ser>
        <c:ser>
          <c:idx val="3"/>
          <c:order val="3"/>
          <c:tx>
            <c:strRef>
              <c:f>'Estadísticas específicas'!$A$71</c:f>
              <c:strCache>
                <c:ptCount val="1"/>
                <c:pt idx="0">
                  <c:v>Piso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específicas'!$B$66:$M$67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específicas'!$B$71:$M$71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0.22222222222222221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DCCE-438A-85CD-3CFE55A7E99E}"/>
            </c:ext>
          </c:extLst>
        </c:ser>
        <c:ser>
          <c:idx val="4"/>
          <c:order val="4"/>
          <c:tx>
            <c:strRef>
              <c:f>'Estadísticas específicas'!$A$72</c:f>
              <c:strCache>
                <c:ptCount val="1"/>
                <c:pt idx="0">
                  <c:v>Cojines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específicas'!$B$66:$M$67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específicas'!$B$72:$M$72</c:f>
              <c:numCache>
                <c:formatCode>0%</c:formatCode>
                <c:ptCount val="12"/>
                <c:pt idx="0">
                  <c:v>0.4375</c:v>
                </c:pt>
                <c:pt idx="1">
                  <c:v>0.25</c:v>
                </c:pt>
                <c:pt idx="2">
                  <c:v>0.61538461538461542</c:v>
                </c:pt>
                <c:pt idx="3">
                  <c:v>0.33333333333333331</c:v>
                </c:pt>
                <c:pt idx="4">
                  <c:v>0.1</c:v>
                </c:pt>
                <c:pt idx="5">
                  <c:v>0.1111111111111111</c:v>
                </c:pt>
                <c:pt idx="6">
                  <c:v>0.4</c:v>
                </c:pt>
                <c:pt idx="7">
                  <c:v>0.45454545454545453</c:v>
                </c:pt>
                <c:pt idx="8">
                  <c:v>0.38461538461538464</c:v>
                </c:pt>
                <c:pt idx="9">
                  <c:v>0.21052631578947367</c:v>
                </c:pt>
                <c:pt idx="10">
                  <c:v>0.35714285714285715</c:v>
                </c:pt>
                <c:pt idx="11">
                  <c:v>0.46153846153846156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DCCE-438A-85CD-3CFE55A7E99E}"/>
            </c:ext>
          </c:extLst>
        </c:ser>
        <c:ser>
          <c:idx val="5"/>
          <c:order val="5"/>
          <c:tx>
            <c:strRef>
              <c:f>'Estadísticas específicas'!$A$73</c:f>
              <c:strCache>
                <c:ptCount val="1"/>
                <c:pt idx="0">
                  <c:v>Banca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específicas'!$B$66:$M$67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específicas'!$B$73:$M$73</c:f>
              <c:numCache>
                <c:formatCode>0%</c:formatCode>
                <c:ptCount val="12"/>
                <c:pt idx="0">
                  <c:v>6.25E-2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0.2</c:v>
                </c:pt>
                <c:pt idx="5">
                  <c:v>0</c:v>
                </c:pt>
                <c:pt idx="6">
                  <c:v>6.6666666666666666E-2</c:v>
                </c:pt>
                <c:pt idx="7">
                  <c:v>0</c:v>
                </c:pt>
                <c:pt idx="8">
                  <c:v>0.23076923076923078</c:v>
                </c:pt>
                <c:pt idx="9">
                  <c:v>5.2631578947368418E-2</c:v>
                </c:pt>
                <c:pt idx="10">
                  <c:v>7.1428571428571425E-2</c:v>
                </c:pt>
                <c:pt idx="11">
                  <c:v>0.23076923076923078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DCCE-438A-85CD-3CFE55A7E99E}"/>
            </c:ext>
          </c:extLst>
        </c:ser>
        <c:ser>
          <c:idx val="6"/>
          <c:order val="6"/>
          <c:tx>
            <c:strRef>
              <c:f>'Estadísticas específicas'!$A$74</c:f>
              <c:strCache>
                <c:ptCount val="1"/>
                <c:pt idx="0">
                  <c:v>Banco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específicas'!$B$66:$M$67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específicas'!$B$74:$M$74</c:f>
              <c:numCache>
                <c:formatCode>0%</c:formatCode>
                <c:ptCount val="12"/>
                <c:pt idx="0">
                  <c:v>0.125</c:v>
                </c:pt>
                <c:pt idx="1">
                  <c:v>0.125</c:v>
                </c:pt>
                <c:pt idx="2">
                  <c:v>0</c:v>
                </c:pt>
                <c:pt idx="3">
                  <c:v>8.3333333333333329E-2</c:v>
                </c:pt>
                <c:pt idx="4">
                  <c:v>0.1</c:v>
                </c:pt>
                <c:pt idx="5">
                  <c:v>0.1111111111111111</c:v>
                </c:pt>
                <c:pt idx="6">
                  <c:v>0.13333333333333333</c:v>
                </c:pt>
                <c:pt idx="7">
                  <c:v>0</c:v>
                </c:pt>
                <c:pt idx="8">
                  <c:v>7.6923076923076927E-2</c:v>
                </c:pt>
                <c:pt idx="9">
                  <c:v>0.10526315789473684</c:v>
                </c:pt>
                <c:pt idx="10">
                  <c:v>7.1428571428571425E-2</c:v>
                </c:pt>
                <c:pt idx="11">
                  <c:v>0.23076923076923078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DCCE-438A-85CD-3CFE55A7E99E}"/>
            </c:ext>
          </c:extLst>
        </c:ser>
        <c:ser>
          <c:idx val="7"/>
          <c:order val="7"/>
          <c:tx>
            <c:strRef>
              <c:f>'Estadísticas específicas'!$A$75</c:f>
              <c:strCache>
                <c:ptCount val="1"/>
                <c:pt idx="0">
                  <c:v>Reposet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específicas'!$B$66:$M$67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específicas'!$B$75:$M$75</c:f>
              <c:numCache>
                <c:formatCode>0%</c:formatCode>
                <c:ptCount val="12"/>
                <c:pt idx="0">
                  <c:v>0.1875</c:v>
                </c:pt>
                <c:pt idx="1">
                  <c:v>0.25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</c:v>
                </c:pt>
                <c:pt idx="6">
                  <c:v>6.6666666666666666E-2</c:v>
                </c:pt>
                <c:pt idx="7">
                  <c:v>9.0909090909090912E-2</c:v>
                </c:pt>
                <c:pt idx="8">
                  <c:v>0</c:v>
                </c:pt>
                <c:pt idx="9">
                  <c:v>0.21052631578947367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DCCE-438A-85CD-3CFE55A7E99E}"/>
            </c:ext>
          </c:extLst>
        </c:ser>
        <c:ser>
          <c:idx val="8"/>
          <c:order val="8"/>
          <c:tx>
            <c:strRef>
              <c:f>'Estadísticas específicas'!$A$76</c:f>
              <c:strCache>
                <c:ptCount val="1"/>
                <c:pt idx="0">
                  <c:v>Colchón interno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específicas'!$B$66:$M$67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específicas'!$B$76:$M$76</c:f>
              <c:numCache>
                <c:formatCode>0%</c:formatCode>
                <c:ptCount val="12"/>
                <c:pt idx="0">
                  <c:v>0.125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0.22222222222222221</c:v>
                </c:pt>
                <c:pt idx="6">
                  <c:v>0</c:v>
                </c:pt>
                <c:pt idx="7">
                  <c:v>9.0909090909090912E-2</c:v>
                </c:pt>
                <c:pt idx="8">
                  <c:v>0</c:v>
                </c:pt>
                <c:pt idx="9">
                  <c:v>0</c:v>
                </c:pt>
                <c:pt idx="10">
                  <c:v>7.1428571428571425E-2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DCCE-438A-85CD-3CFE55A7E99E}"/>
            </c:ext>
          </c:extLst>
        </c:ser>
        <c:ser>
          <c:idx val="9"/>
          <c:order val="9"/>
          <c:tx>
            <c:strRef>
              <c:f>'Estadísticas específicas'!$A$77</c:f>
              <c:strCache>
                <c:ptCount val="1"/>
                <c:pt idx="0">
                  <c:v>Torre de gatos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específicas'!$B$66:$M$67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específicas'!$B$77:$M$77</c:f>
              <c:numCache>
                <c:formatCode>0%</c:formatCode>
                <c:ptCount val="12"/>
                <c:pt idx="0">
                  <c:v>6.25E-2</c:v>
                </c:pt>
                <c:pt idx="1">
                  <c:v>0.125</c:v>
                </c:pt>
                <c:pt idx="2">
                  <c:v>7.6923076923076927E-2</c:v>
                </c:pt>
                <c:pt idx="3">
                  <c:v>0</c:v>
                </c:pt>
                <c:pt idx="4">
                  <c:v>0.2</c:v>
                </c:pt>
                <c:pt idx="5">
                  <c:v>0.1111111111111111</c:v>
                </c:pt>
                <c:pt idx="6">
                  <c:v>0</c:v>
                </c:pt>
                <c:pt idx="7">
                  <c:v>9.0909090909090912E-2</c:v>
                </c:pt>
                <c:pt idx="8">
                  <c:v>0</c:v>
                </c:pt>
                <c:pt idx="9">
                  <c:v>0.10526315789473684</c:v>
                </c:pt>
                <c:pt idx="10">
                  <c:v>0.2857142857142857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DCCE-438A-85CD-3CFE55A7E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9598592"/>
        <c:axId val="149600128"/>
      </c:barChart>
      <c:catAx>
        <c:axId val="14959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9600128"/>
        <c:crosses val="autoZero"/>
        <c:auto val="1"/>
        <c:lblAlgn val="ctr"/>
        <c:lblOffset val="100"/>
        <c:noMultiLvlLbl val="0"/>
      </c:catAx>
      <c:valAx>
        <c:axId val="14960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959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'Estadísticas específicas'!$A$81</c:f>
              <c:strCache>
                <c:ptCount val="1"/>
                <c:pt idx="0">
                  <c:v>PURT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específicas'!$B$79:$M$80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específicas'!$B$81:$M$81</c:f>
              <c:numCache>
                <c:formatCode>0%</c:formatCode>
                <c:ptCount val="12"/>
                <c:pt idx="0">
                  <c:v>0.1</c:v>
                </c:pt>
                <c:pt idx="1">
                  <c:v>0.08</c:v>
                </c:pt>
                <c:pt idx="2">
                  <c:v>0.08</c:v>
                </c:pt>
                <c:pt idx="3">
                  <c:v>0.08</c:v>
                </c:pt>
                <c:pt idx="4">
                  <c:v>0.13</c:v>
                </c:pt>
                <c:pt idx="5">
                  <c:v>0.13</c:v>
                </c:pt>
                <c:pt idx="6">
                  <c:v>0.09</c:v>
                </c:pt>
                <c:pt idx="7">
                  <c:v>0.1</c:v>
                </c:pt>
                <c:pt idx="8">
                  <c:v>0.08</c:v>
                </c:pt>
                <c:pt idx="9">
                  <c:v>0.08</c:v>
                </c:pt>
                <c:pt idx="10">
                  <c:v>0.04</c:v>
                </c:pt>
                <c:pt idx="11">
                  <c:v>0.11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8BE-41E9-8016-1B39271740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0532224"/>
        <c:axId val="40538112"/>
      </c:barChart>
      <c:catAx>
        <c:axId val="4053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0538112"/>
        <c:crosses val="autoZero"/>
        <c:auto val="1"/>
        <c:lblAlgn val="ctr"/>
        <c:lblOffset val="100"/>
        <c:noMultiLvlLbl val="0"/>
      </c:catAx>
      <c:valAx>
        <c:axId val="4053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0532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Tipo de venta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'Estadísticas específicas'!$A$86</c:f>
              <c:strCache>
                <c:ptCount val="1"/>
                <c:pt idx="0">
                  <c:v>Internet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específicas'!$B$83:$M$84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específicas'!$B$86:$M$86</c:f>
              <c:numCache>
                <c:formatCode>0%</c:formatCode>
                <c:ptCount val="12"/>
                <c:pt idx="0">
                  <c:v>0.57446808510638303</c:v>
                </c:pt>
                <c:pt idx="1">
                  <c:v>0.37142857142857144</c:v>
                </c:pt>
                <c:pt idx="2">
                  <c:v>0.44444444444444442</c:v>
                </c:pt>
                <c:pt idx="3">
                  <c:v>0.63414634146341464</c:v>
                </c:pt>
                <c:pt idx="4">
                  <c:v>0.48837209302325579</c:v>
                </c:pt>
                <c:pt idx="5">
                  <c:v>0.48979591836734693</c:v>
                </c:pt>
                <c:pt idx="6">
                  <c:v>0.68627450980392157</c:v>
                </c:pt>
                <c:pt idx="7">
                  <c:v>0.39130434782608697</c:v>
                </c:pt>
                <c:pt idx="8">
                  <c:v>0.62790697674418605</c:v>
                </c:pt>
                <c:pt idx="9">
                  <c:v>0.45833333333333331</c:v>
                </c:pt>
                <c:pt idx="10">
                  <c:v>0.52500000000000002</c:v>
                </c:pt>
                <c:pt idx="11">
                  <c:v>0.23684210526315788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4AB-4E81-9500-DA5518BD4C5A}"/>
            </c:ext>
          </c:extLst>
        </c:ser>
        <c:ser>
          <c:idx val="2"/>
          <c:order val="1"/>
          <c:tx>
            <c:strRef>
              <c:f>'Estadísticas específicas'!$A$87</c:f>
              <c:strCache>
                <c:ptCount val="1"/>
                <c:pt idx="0">
                  <c:v>Recomendación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específicas'!$B$83:$M$84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específicas'!$B$87:$M$87</c:f>
              <c:numCache>
                <c:formatCode>0%</c:formatCode>
                <c:ptCount val="12"/>
                <c:pt idx="0">
                  <c:v>6.3829787234042548E-2</c:v>
                </c:pt>
                <c:pt idx="1">
                  <c:v>5.7142857142857141E-2</c:v>
                </c:pt>
                <c:pt idx="2">
                  <c:v>0.1388888888888889</c:v>
                </c:pt>
                <c:pt idx="3">
                  <c:v>2.4390243902439025E-2</c:v>
                </c:pt>
                <c:pt idx="4">
                  <c:v>9.3023255813953487E-2</c:v>
                </c:pt>
                <c:pt idx="5">
                  <c:v>4.0816326530612242E-2</c:v>
                </c:pt>
                <c:pt idx="6">
                  <c:v>0</c:v>
                </c:pt>
                <c:pt idx="7">
                  <c:v>0</c:v>
                </c:pt>
                <c:pt idx="8">
                  <c:v>6.9767441860465115E-2</c:v>
                </c:pt>
                <c:pt idx="9">
                  <c:v>0</c:v>
                </c:pt>
                <c:pt idx="10">
                  <c:v>2.5000000000000001E-2</c:v>
                </c:pt>
                <c:pt idx="11">
                  <c:v>5.2631578947368418E-2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44AB-4E81-9500-DA5518BD4C5A}"/>
            </c:ext>
          </c:extLst>
        </c:ser>
        <c:ser>
          <c:idx val="3"/>
          <c:order val="2"/>
          <c:tx>
            <c:strRef>
              <c:f>'Estadísticas específicas'!$A$88</c:f>
              <c:strCache>
                <c:ptCount val="1"/>
                <c:pt idx="0">
                  <c:v>Folletos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específicas'!$B$83:$M$84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específicas'!$B$88:$M$88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44AB-4E81-9500-DA5518BD4C5A}"/>
            </c:ext>
          </c:extLst>
        </c:ser>
        <c:ser>
          <c:idx val="4"/>
          <c:order val="3"/>
          <c:tx>
            <c:strRef>
              <c:f>'Estadísticas específicas'!$A$89</c:f>
              <c:strCache>
                <c:ptCount val="1"/>
                <c:pt idx="0">
                  <c:v>Vendedores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específicas'!$B$83:$M$84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específicas'!$B$89:$M$89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44AB-4E81-9500-DA5518BD4C5A}"/>
            </c:ext>
          </c:extLst>
        </c:ser>
        <c:ser>
          <c:idx val="5"/>
          <c:order val="4"/>
          <c:tx>
            <c:strRef>
              <c:f>'Estadísticas específicas'!$A$90</c:f>
              <c:strCache>
                <c:ptCount val="1"/>
                <c:pt idx="0">
                  <c:v>Repetición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específicas'!$B$83:$M$84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específicas'!$B$90:$M$90</c:f>
              <c:numCache>
                <c:formatCode>0%</c:formatCode>
                <c:ptCount val="12"/>
                <c:pt idx="0">
                  <c:v>0.2978723404255319</c:v>
                </c:pt>
                <c:pt idx="1">
                  <c:v>0.5714285714285714</c:v>
                </c:pt>
                <c:pt idx="2">
                  <c:v>0.3888888888888889</c:v>
                </c:pt>
                <c:pt idx="3">
                  <c:v>0.31707317073170732</c:v>
                </c:pt>
                <c:pt idx="4">
                  <c:v>0.37209302325581395</c:v>
                </c:pt>
                <c:pt idx="5">
                  <c:v>0.42857142857142855</c:v>
                </c:pt>
                <c:pt idx="6">
                  <c:v>0.29411764705882354</c:v>
                </c:pt>
                <c:pt idx="7">
                  <c:v>0.5</c:v>
                </c:pt>
                <c:pt idx="8">
                  <c:v>0.30232558139534882</c:v>
                </c:pt>
                <c:pt idx="9">
                  <c:v>0.52083333333333337</c:v>
                </c:pt>
                <c:pt idx="10">
                  <c:v>0.45</c:v>
                </c:pt>
                <c:pt idx="11">
                  <c:v>0.65789473684210531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44AB-4E81-9500-DA5518BD4C5A}"/>
            </c:ext>
          </c:extLst>
        </c:ser>
        <c:ser>
          <c:idx val="6"/>
          <c:order val="5"/>
          <c:tx>
            <c:strRef>
              <c:f>'Estadísticas específicas'!$A$91</c:f>
              <c:strCache>
                <c:ptCount val="1"/>
                <c:pt idx="0">
                  <c:v>Otro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específicas'!$B$83:$M$84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específicas'!$B$91:$M$91</c:f>
              <c:numCache>
                <c:formatCode>0%</c:formatCode>
                <c:ptCount val="12"/>
                <c:pt idx="0">
                  <c:v>6.3829787234042548E-2</c:v>
                </c:pt>
                <c:pt idx="1">
                  <c:v>0</c:v>
                </c:pt>
                <c:pt idx="2">
                  <c:v>2.7777777777777776E-2</c:v>
                </c:pt>
                <c:pt idx="3">
                  <c:v>2.4390243902439025E-2</c:v>
                </c:pt>
                <c:pt idx="4">
                  <c:v>4.6511627906976744E-2</c:v>
                </c:pt>
                <c:pt idx="5">
                  <c:v>4.0816326530612242E-2</c:v>
                </c:pt>
                <c:pt idx="6">
                  <c:v>5.8823529411764705E-2</c:v>
                </c:pt>
                <c:pt idx="7">
                  <c:v>0.10869565217391304</c:v>
                </c:pt>
                <c:pt idx="8">
                  <c:v>0</c:v>
                </c:pt>
                <c:pt idx="9">
                  <c:v>2.0833333333333332E-2</c:v>
                </c:pt>
                <c:pt idx="10">
                  <c:v>0</c:v>
                </c:pt>
                <c:pt idx="11">
                  <c:v>5.2631578947368418E-2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44AB-4E81-9500-DA5518BD4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51697024"/>
        <c:axId val="251698560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'Estadísticas específicas'!$A$85</c15:sqref>
                        </c15:formulaRef>
                      </c:ext>
                    </c:extLst>
                    <c:strCache>
                      <c:ptCount val="1"/>
                      <c:pt idx="0">
                        <c:v>num de Serv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multiLvlStrRef>
                    <c:extLst>
                      <c:ext uri="{02D57815-91ED-43cb-92C2-25804820EDAC}">
                        <c15:formulaRef>
                          <c15:sqref>'Estadísticas específicas'!$B$83:$M$84</c15:sqref>
                        </c15:formulaRef>
                      </c:ext>
                    </c:extLst>
                    <c:multiLvlStrCache>
                      <c:ptCount val="12"/>
                      <c:lvl>
                        <c:pt idx="0">
                          <c:v>Enero</c:v>
                        </c:pt>
                        <c:pt idx="1">
                          <c:v>Febrero</c:v>
                        </c:pt>
                        <c:pt idx="2">
                          <c:v>Marzo</c:v>
                        </c:pt>
                        <c:pt idx="3">
                          <c:v>Abril</c:v>
                        </c:pt>
                        <c:pt idx="4">
                          <c:v>Mayo</c:v>
                        </c:pt>
                        <c:pt idx="5">
                          <c:v>Junio</c:v>
                        </c:pt>
                        <c:pt idx="6">
                          <c:v>Julio</c:v>
                        </c:pt>
                        <c:pt idx="7">
                          <c:v>Agosto</c:v>
                        </c:pt>
                        <c:pt idx="8">
                          <c:v>Septiembre</c:v>
                        </c:pt>
                        <c:pt idx="9">
                          <c:v>Octubre</c:v>
                        </c:pt>
                        <c:pt idx="10">
                          <c:v>Noviembre</c:v>
                        </c:pt>
                        <c:pt idx="11">
                          <c:v>Diciembre</c:v>
                        </c:pt>
                      </c:lvl>
                      <c:lvl>
                        <c:pt idx="0">
                          <c:v>Mes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'Estadísticas específicas'!$B$85:$M$85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47</c:v>
                      </c:pt>
                      <c:pt idx="1">
                        <c:v>35</c:v>
                      </c:pt>
                      <c:pt idx="2">
                        <c:v>36</c:v>
                      </c:pt>
                      <c:pt idx="3">
                        <c:v>41</c:v>
                      </c:pt>
                      <c:pt idx="4">
                        <c:v>43</c:v>
                      </c:pt>
                      <c:pt idx="5">
                        <c:v>49</c:v>
                      </c:pt>
                      <c:pt idx="6">
                        <c:v>51</c:v>
                      </c:pt>
                      <c:pt idx="7">
                        <c:v>46</c:v>
                      </c:pt>
                      <c:pt idx="8">
                        <c:v>43</c:v>
                      </c:pt>
                      <c:pt idx="9">
                        <c:v>48</c:v>
                      </c:pt>
                      <c:pt idx="10">
                        <c:v>40</c:v>
                      </c:pt>
                      <c:pt idx="11">
                        <c:v>38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44AB-4E81-9500-DA5518BD4C5A}"/>
                  </c:ext>
                </c:extLst>
              </c15:ser>
            </c15:filteredBarSeries>
          </c:ext>
        </c:extLst>
      </c:barChart>
      <c:catAx>
        <c:axId val="25169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1698560"/>
        <c:crosses val="autoZero"/>
        <c:auto val="1"/>
        <c:lblAlgn val="ctr"/>
        <c:lblOffset val="100"/>
        <c:noMultiLvlLbl val="0"/>
      </c:catAx>
      <c:valAx>
        <c:axId val="25169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169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13" Type="http://schemas.openxmlformats.org/officeDocument/2006/relationships/chart" Target="../charts/chart21.xml"/><Relationship Id="rId18" Type="http://schemas.openxmlformats.org/officeDocument/2006/relationships/chart" Target="../charts/chart2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12" Type="http://schemas.openxmlformats.org/officeDocument/2006/relationships/chart" Target="../charts/chart20.xml"/><Relationship Id="rId17" Type="http://schemas.openxmlformats.org/officeDocument/2006/relationships/chart" Target="../charts/chart25.xml"/><Relationship Id="rId2" Type="http://schemas.openxmlformats.org/officeDocument/2006/relationships/chart" Target="../charts/chart10.xml"/><Relationship Id="rId16" Type="http://schemas.openxmlformats.org/officeDocument/2006/relationships/chart" Target="../charts/chart24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11" Type="http://schemas.openxmlformats.org/officeDocument/2006/relationships/chart" Target="../charts/chart19.xml"/><Relationship Id="rId5" Type="http://schemas.openxmlformats.org/officeDocument/2006/relationships/chart" Target="../charts/chart13.xml"/><Relationship Id="rId15" Type="http://schemas.openxmlformats.org/officeDocument/2006/relationships/chart" Target="../charts/chart23.xml"/><Relationship Id="rId10" Type="http://schemas.openxmlformats.org/officeDocument/2006/relationships/chart" Target="../charts/chart18.xml"/><Relationship Id="rId4" Type="http://schemas.openxmlformats.org/officeDocument/2006/relationships/chart" Target="../charts/chart12.xml"/><Relationship Id="rId9" Type="http://schemas.openxmlformats.org/officeDocument/2006/relationships/chart" Target="../charts/chart17.xml"/><Relationship Id="rId14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33</xdr:row>
      <xdr:rowOff>119062</xdr:rowOff>
    </xdr:from>
    <xdr:to>
      <xdr:col>5</xdr:col>
      <xdr:colOff>657225</xdr:colOff>
      <xdr:row>48</xdr:row>
      <xdr:rowOff>4762</xdr:rowOff>
    </xdr:to>
    <xdr:graphicFrame macro="">
      <xdr:nvGraphicFramePr>
        <xdr:cNvPr id="8" name="Gráfico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17</xdr:row>
      <xdr:rowOff>185737</xdr:rowOff>
    </xdr:from>
    <xdr:to>
      <xdr:col>5</xdr:col>
      <xdr:colOff>657225</xdr:colOff>
      <xdr:row>32</xdr:row>
      <xdr:rowOff>71437</xdr:rowOff>
    </xdr:to>
    <xdr:graphicFrame macro="">
      <xdr:nvGraphicFramePr>
        <xdr:cNvPr id="10" name="Gráfico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133350</xdr:colOff>
      <xdr:row>33</xdr:row>
      <xdr:rowOff>109537</xdr:rowOff>
    </xdr:from>
    <xdr:to>
      <xdr:col>12</xdr:col>
      <xdr:colOff>133350</xdr:colOff>
      <xdr:row>47</xdr:row>
      <xdr:rowOff>185737</xdr:rowOff>
    </xdr:to>
    <xdr:graphicFrame macro="">
      <xdr:nvGraphicFramePr>
        <xdr:cNvPr id="12" name="Gráfico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49</xdr:row>
      <xdr:rowOff>109537</xdr:rowOff>
    </xdr:from>
    <xdr:to>
      <xdr:col>5</xdr:col>
      <xdr:colOff>657225</xdr:colOff>
      <xdr:row>63</xdr:row>
      <xdr:rowOff>185737</xdr:rowOff>
    </xdr:to>
    <xdr:graphicFrame macro="">
      <xdr:nvGraphicFramePr>
        <xdr:cNvPr id="14" name="Gráfico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95250</xdr:colOff>
      <xdr:row>49</xdr:row>
      <xdr:rowOff>109537</xdr:rowOff>
    </xdr:from>
    <xdr:to>
      <xdr:col>12</xdr:col>
      <xdr:colOff>95250</xdr:colOff>
      <xdr:row>63</xdr:row>
      <xdr:rowOff>185737</xdr:rowOff>
    </xdr:to>
    <xdr:graphicFrame macro="">
      <xdr:nvGraphicFramePr>
        <xdr:cNvPr id="17" name="Gráfico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133350</xdr:colOff>
      <xdr:row>17</xdr:row>
      <xdr:rowOff>185737</xdr:rowOff>
    </xdr:from>
    <xdr:to>
      <xdr:col>12</xdr:col>
      <xdr:colOff>133350</xdr:colOff>
      <xdr:row>32</xdr:row>
      <xdr:rowOff>71437</xdr:rowOff>
    </xdr:to>
    <xdr:graphicFrame macro="">
      <xdr:nvGraphicFramePr>
        <xdr:cNvPr id="23" name="Gráfico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9525</xdr:colOff>
      <xdr:row>66</xdr:row>
      <xdr:rowOff>19050</xdr:rowOff>
    </xdr:from>
    <xdr:to>
      <xdr:col>5</xdr:col>
      <xdr:colOff>666750</xdr:colOff>
      <xdr:row>80</xdr:row>
      <xdr:rowOff>95250</xdr:rowOff>
    </xdr:to>
    <xdr:graphicFrame macro="">
      <xdr:nvGraphicFramePr>
        <xdr:cNvPr id="26" name="Gráfico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142875</xdr:colOff>
      <xdr:row>66</xdr:row>
      <xdr:rowOff>14287</xdr:rowOff>
    </xdr:from>
    <xdr:to>
      <xdr:col>12</xdr:col>
      <xdr:colOff>142875</xdr:colOff>
      <xdr:row>80</xdr:row>
      <xdr:rowOff>90487</xdr:rowOff>
    </xdr:to>
    <xdr:graphicFrame macro="">
      <xdr:nvGraphicFramePr>
        <xdr:cNvPr id="27" name="Gráfico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352425</xdr:colOff>
      <xdr:row>0</xdr:row>
      <xdr:rowOff>80962</xdr:rowOff>
    </xdr:from>
    <xdr:to>
      <xdr:col>21</xdr:col>
      <xdr:colOff>352425</xdr:colOff>
      <xdr:row>14</xdr:row>
      <xdr:rowOff>147637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19050</xdr:colOff>
      <xdr:row>0</xdr:row>
      <xdr:rowOff>61912</xdr:rowOff>
    </xdr:from>
    <xdr:to>
      <xdr:col>28</xdr:col>
      <xdr:colOff>19050</xdr:colOff>
      <xdr:row>14</xdr:row>
      <xdr:rowOff>128587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371475</xdr:colOff>
      <xdr:row>15</xdr:row>
      <xdr:rowOff>90487</xdr:rowOff>
    </xdr:from>
    <xdr:to>
      <xdr:col>21</xdr:col>
      <xdr:colOff>371475</xdr:colOff>
      <xdr:row>29</xdr:row>
      <xdr:rowOff>157162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0</xdr:colOff>
      <xdr:row>15</xdr:row>
      <xdr:rowOff>109537</xdr:rowOff>
    </xdr:from>
    <xdr:to>
      <xdr:col>28</xdr:col>
      <xdr:colOff>0</xdr:colOff>
      <xdr:row>29</xdr:row>
      <xdr:rowOff>176212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304800</xdr:colOff>
      <xdr:row>32</xdr:row>
      <xdr:rowOff>109537</xdr:rowOff>
    </xdr:from>
    <xdr:to>
      <xdr:col>21</xdr:col>
      <xdr:colOff>304800</xdr:colOff>
      <xdr:row>46</xdr:row>
      <xdr:rowOff>166687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76200</xdr:colOff>
      <xdr:row>32</xdr:row>
      <xdr:rowOff>128587</xdr:rowOff>
    </xdr:from>
    <xdr:to>
      <xdr:col>28</xdr:col>
      <xdr:colOff>76200</xdr:colOff>
      <xdr:row>46</xdr:row>
      <xdr:rowOff>185737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276225</xdr:colOff>
      <xdr:row>48</xdr:row>
      <xdr:rowOff>23812</xdr:rowOff>
    </xdr:from>
    <xdr:to>
      <xdr:col>21</xdr:col>
      <xdr:colOff>276225</xdr:colOff>
      <xdr:row>62</xdr:row>
      <xdr:rowOff>61912</xdr:rowOff>
    </xdr:to>
    <xdr:graphicFrame macro="">
      <xdr:nvGraphicFramePr>
        <xdr:cNvPr id="8" name="Gráfico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552450</xdr:colOff>
      <xdr:row>48</xdr:row>
      <xdr:rowOff>23812</xdr:rowOff>
    </xdr:from>
    <xdr:to>
      <xdr:col>27</xdr:col>
      <xdr:colOff>552450</xdr:colOff>
      <xdr:row>62</xdr:row>
      <xdr:rowOff>61912</xdr:rowOff>
    </xdr:to>
    <xdr:graphicFrame macro="">
      <xdr:nvGraphicFramePr>
        <xdr:cNvPr id="9" name="Gráfico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92</xdr:row>
      <xdr:rowOff>166686</xdr:rowOff>
    </xdr:from>
    <xdr:to>
      <xdr:col>8</xdr:col>
      <xdr:colOff>723900</xdr:colOff>
      <xdr:row>110</xdr:row>
      <xdr:rowOff>190499</xdr:rowOff>
    </xdr:to>
    <xdr:graphicFrame macro="">
      <xdr:nvGraphicFramePr>
        <xdr:cNvPr id="10" name="Gráfico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142874</xdr:colOff>
      <xdr:row>92</xdr:row>
      <xdr:rowOff>147636</xdr:rowOff>
    </xdr:from>
    <xdr:to>
      <xdr:col>17</xdr:col>
      <xdr:colOff>761999</xdr:colOff>
      <xdr:row>110</xdr:row>
      <xdr:rowOff>171449</xdr:rowOff>
    </xdr:to>
    <xdr:graphicFrame macro="">
      <xdr:nvGraphicFramePr>
        <xdr:cNvPr id="11" name="Gráfico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112</xdr:row>
      <xdr:rowOff>147637</xdr:rowOff>
    </xdr:from>
    <xdr:to>
      <xdr:col>8</xdr:col>
      <xdr:colOff>733424</xdr:colOff>
      <xdr:row>132</xdr:row>
      <xdr:rowOff>9525</xdr:rowOff>
    </xdr:to>
    <xdr:graphicFrame macro="">
      <xdr:nvGraphicFramePr>
        <xdr:cNvPr id="20" name="Gráfico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142874</xdr:colOff>
      <xdr:row>112</xdr:row>
      <xdr:rowOff>147637</xdr:rowOff>
    </xdr:from>
    <xdr:to>
      <xdr:col>17</xdr:col>
      <xdr:colOff>761999</xdr:colOff>
      <xdr:row>132</xdr:row>
      <xdr:rowOff>9525</xdr:rowOff>
    </xdr:to>
    <xdr:graphicFrame macro="">
      <xdr:nvGraphicFramePr>
        <xdr:cNvPr id="21" name="Gráfico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9525</xdr:colOff>
      <xdr:row>133</xdr:row>
      <xdr:rowOff>14287</xdr:rowOff>
    </xdr:from>
    <xdr:to>
      <xdr:col>8</xdr:col>
      <xdr:colOff>714375</xdr:colOff>
      <xdr:row>153</xdr:row>
      <xdr:rowOff>161925</xdr:rowOff>
    </xdr:to>
    <xdr:graphicFrame macro="">
      <xdr:nvGraphicFramePr>
        <xdr:cNvPr id="22" name="Gráfico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133349</xdr:colOff>
      <xdr:row>133</xdr:row>
      <xdr:rowOff>33337</xdr:rowOff>
    </xdr:from>
    <xdr:to>
      <xdr:col>17</xdr:col>
      <xdr:colOff>752474</xdr:colOff>
      <xdr:row>153</xdr:row>
      <xdr:rowOff>161925</xdr:rowOff>
    </xdr:to>
    <xdr:graphicFrame macro="">
      <xdr:nvGraphicFramePr>
        <xdr:cNvPr id="23" name="Gráfico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0</xdr:colOff>
      <xdr:row>156</xdr:row>
      <xdr:rowOff>23812</xdr:rowOff>
    </xdr:from>
    <xdr:to>
      <xdr:col>8</xdr:col>
      <xdr:colOff>704850</xdr:colOff>
      <xdr:row>177</xdr:row>
      <xdr:rowOff>0</xdr:rowOff>
    </xdr:to>
    <xdr:graphicFrame macro="">
      <xdr:nvGraphicFramePr>
        <xdr:cNvPr id="24" name="Gráfico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9</xdr:col>
      <xdr:colOff>161924</xdr:colOff>
      <xdr:row>156</xdr:row>
      <xdr:rowOff>4761</xdr:rowOff>
    </xdr:from>
    <xdr:to>
      <xdr:col>17</xdr:col>
      <xdr:colOff>761999</xdr:colOff>
      <xdr:row>176</xdr:row>
      <xdr:rowOff>180974</xdr:rowOff>
    </xdr:to>
    <xdr:graphicFrame macro="">
      <xdr:nvGraphicFramePr>
        <xdr:cNvPr id="25" name="Gráfico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0</xdr:colOff>
      <xdr:row>178</xdr:row>
      <xdr:rowOff>176211</xdr:rowOff>
    </xdr:from>
    <xdr:to>
      <xdr:col>8</xdr:col>
      <xdr:colOff>676274</xdr:colOff>
      <xdr:row>200</xdr:row>
      <xdr:rowOff>9524</xdr:rowOff>
    </xdr:to>
    <xdr:graphicFrame macro="">
      <xdr:nvGraphicFramePr>
        <xdr:cNvPr id="26" name="Gráfico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9</xdr:col>
      <xdr:colOff>142874</xdr:colOff>
      <xdr:row>179</xdr:row>
      <xdr:rowOff>4762</xdr:rowOff>
    </xdr:from>
    <xdr:to>
      <xdr:col>18</xdr:col>
      <xdr:colOff>38099</xdr:colOff>
      <xdr:row>200</xdr:row>
      <xdr:rowOff>19050</xdr:rowOff>
    </xdr:to>
    <xdr:graphicFrame macro="">
      <xdr:nvGraphicFramePr>
        <xdr:cNvPr id="27" name="Gráfico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0"/>
  <sheetViews>
    <sheetView tabSelected="1" topLeftCell="H78" workbookViewId="0">
      <selection activeCell="Q117" sqref="Q82:Q117"/>
    </sheetView>
  </sheetViews>
  <sheetFormatPr baseColWidth="10" defaultRowHeight="15" x14ac:dyDescent="0.25"/>
  <cols>
    <col min="1" max="1" width="6.42578125" customWidth="1"/>
    <col min="2" max="2" width="11.42578125" style="7"/>
    <col min="4" max="4" width="34.5703125" customWidth="1"/>
    <col min="5" max="5" width="13.7109375" customWidth="1"/>
    <col min="6" max="6" width="45.5703125" customWidth="1"/>
    <col min="7" max="7" width="7.7109375" customWidth="1"/>
    <col min="8" max="8" width="14.140625" style="38" bestFit="1" customWidth="1"/>
    <col min="9" max="9" width="68.5703125" customWidth="1"/>
    <col min="10" max="10" width="45.7109375" customWidth="1"/>
  </cols>
  <sheetData>
    <row r="1" spans="1:17" ht="15" customHeight="1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80" t="s">
        <v>8</v>
      </c>
      <c r="I1" s="6" t="s">
        <v>9</v>
      </c>
      <c r="J1" s="1" t="s">
        <v>10</v>
      </c>
      <c r="K1" s="4" t="s">
        <v>11</v>
      </c>
      <c r="L1" s="4" t="s">
        <v>12</v>
      </c>
      <c r="M1" s="4" t="s">
        <v>13</v>
      </c>
      <c r="N1" s="4" t="s">
        <v>2769</v>
      </c>
      <c r="O1" s="4" t="s">
        <v>2776</v>
      </c>
      <c r="P1" s="4" t="s">
        <v>2777</v>
      </c>
      <c r="Q1" s="4" t="s">
        <v>2779</v>
      </c>
    </row>
    <row r="2" spans="1:17" x14ac:dyDescent="0.25">
      <c r="A2" s="79">
        <v>1</v>
      </c>
      <c r="B2" s="7" t="s">
        <v>14</v>
      </c>
      <c r="C2" s="40">
        <v>44929</v>
      </c>
      <c r="D2" t="s">
        <v>194</v>
      </c>
      <c r="E2" t="s">
        <v>195</v>
      </c>
      <c r="F2" t="s">
        <v>196</v>
      </c>
      <c r="G2" t="s">
        <v>197</v>
      </c>
      <c r="H2" s="38">
        <v>2359</v>
      </c>
      <c r="I2" t="s">
        <v>198</v>
      </c>
      <c r="J2" t="s">
        <v>199</v>
      </c>
      <c r="K2" t="s">
        <v>838</v>
      </c>
      <c r="L2" s="89" t="s">
        <v>838</v>
      </c>
      <c r="M2" s="89" t="s">
        <v>838</v>
      </c>
      <c r="N2" s="89" t="s">
        <v>838</v>
      </c>
      <c r="O2" s="89" t="s">
        <v>838</v>
      </c>
      <c r="P2" s="89" t="s">
        <v>838</v>
      </c>
      <c r="Q2" s="89" t="s">
        <v>838</v>
      </c>
    </row>
    <row r="3" spans="1:17" x14ac:dyDescent="0.25">
      <c r="A3">
        <f>A2+1</f>
        <v>2</v>
      </c>
      <c r="B3" s="7" t="s">
        <v>15</v>
      </c>
      <c r="C3" s="40">
        <v>44929</v>
      </c>
      <c r="D3" t="s">
        <v>200</v>
      </c>
      <c r="E3" t="s">
        <v>201</v>
      </c>
      <c r="F3" t="s">
        <v>202</v>
      </c>
      <c r="G3" t="s">
        <v>197</v>
      </c>
      <c r="H3" s="38">
        <v>1498</v>
      </c>
      <c r="I3" t="s">
        <v>203</v>
      </c>
      <c r="J3" t="s">
        <v>204</v>
      </c>
      <c r="K3" t="s">
        <v>838</v>
      </c>
      <c r="L3" s="89" t="s">
        <v>838</v>
      </c>
      <c r="M3" t="s">
        <v>2767</v>
      </c>
      <c r="N3" s="89" t="s">
        <v>838</v>
      </c>
      <c r="O3" s="89" t="s">
        <v>838</v>
      </c>
      <c r="P3" s="89" t="s">
        <v>838</v>
      </c>
      <c r="Q3" s="89" t="s">
        <v>838</v>
      </c>
    </row>
    <row r="4" spans="1:17" x14ac:dyDescent="0.25">
      <c r="A4">
        <f t="shared" ref="A4:A67" si="0">A3+1</f>
        <v>3</v>
      </c>
      <c r="B4" s="7" t="s">
        <v>16</v>
      </c>
      <c r="C4" s="40">
        <v>44930</v>
      </c>
      <c r="D4" t="s">
        <v>205</v>
      </c>
      <c r="E4" t="s">
        <v>206</v>
      </c>
      <c r="F4" t="s">
        <v>207</v>
      </c>
      <c r="G4" t="s">
        <v>193</v>
      </c>
      <c r="H4" s="38">
        <v>2118</v>
      </c>
      <c r="I4" t="s">
        <v>208</v>
      </c>
      <c r="J4" t="s">
        <v>266</v>
      </c>
      <c r="K4" t="s">
        <v>838</v>
      </c>
      <c r="L4" s="89" t="s">
        <v>838</v>
      </c>
      <c r="M4" t="s">
        <v>2767</v>
      </c>
      <c r="N4" s="89" t="s">
        <v>838</v>
      </c>
      <c r="O4" s="89" t="s">
        <v>838</v>
      </c>
      <c r="P4" s="89" t="s">
        <v>838</v>
      </c>
      <c r="Q4" s="89" t="s">
        <v>838</v>
      </c>
    </row>
    <row r="5" spans="1:17" x14ac:dyDescent="0.25">
      <c r="A5" s="83">
        <f t="shared" si="0"/>
        <v>4</v>
      </c>
      <c r="B5" s="7" t="s">
        <v>17</v>
      </c>
      <c r="C5" s="40">
        <v>44930</v>
      </c>
      <c r="D5" t="s">
        <v>209</v>
      </c>
      <c r="E5" t="s">
        <v>210</v>
      </c>
      <c r="F5" t="s">
        <v>211</v>
      </c>
      <c r="G5" t="s">
        <v>193</v>
      </c>
      <c r="H5" s="38">
        <v>780</v>
      </c>
      <c r="I5" t="s">
        <v>212</v>
      </c>
      <c r="J5" t="s">
        <v>213</v>
      </c>
      <c r="K5" t="s">
        <v>838</v>
      </c>
      <c r="L5" s="89" t="s">
        <v>838</v>
      </c>
      <c r="M5" t="s">
        <v>2767</v>
      </c>
      <c r="N5" s="89" t="s">
        <v>838</v>
      </c>
      <c r="O5" s="89" t="s">
        <v>838</v>
      </c>
      <c r="P5" s="89" t="s">
        <v>838</v>
      </c>
      <c r="Q5" s="89" t="s">
        <v>838</v>
      </c>
    </row>
    <row r="6" spans="1:17" x14ac:dyDescent="0.25">
      <c r="A6" s="83">
        <f t="shared" si="0"/>
        <v>5</v>
      </c>
      <c r="B6" s="7" t="s">
        <v>18</v>
      </c>
      <c r="C6" s="40">
        <v>44931</v>
      </c>
      <c r="D6" t="s">
        <v>214</v>
      </c>
      <c r="E6" t="s">
        <v>215</v>
      </c>
      <c r="F6" t="s">
        <v>216</v>
      </c>
      <c r="G6" t="s">
        <v>192</v>
      </c>
      <c r="H6" s="38">
        <v>2400</v>
      </c>
      <c r="I6" t="s">
        <v>217</v>
      </c>
      <c r="J6" t="s">
        <v>218</v>
      </c>
      <c r="K6" t="s">
        <v>838</v>
      </c>
      <c r="L6" s="89" t="s">
        <v>838</v>
      </c>
      <c r="M6" t="s">
        <v>2767</v>
      </c>
      <c r="N6" s="89" t="s">
        <v>838</v>
      </c>
      <c r="O6" s="89" t="s">
        <v>838</v>
      </c>
      <c r="P6" s="89" t="s">
        <v>838</v>
      </c>
      <c r="Q6" s="89" t="s">
        <v>838</v>
      </c>
    </row>
    <row r="7" spans="1:17" x14ac:dyDescent="0.25">
      <c r="A7">
        <f t="shared" si="0"/>
        <v>6</v>
      </c>
      <c r="B7" s="7" t="s">
        <v>19</v>
      </c>
      <c r="C7" s="40">
        <v>44931</v>
      </c>
      <c r="D7" t="s">
        <v>220</v>
      </c>
      <c r="E7" t="s">
        <v>221</v>
      </c>
      <c r="F7" t="s">
        <v>222</v>
      </c>
      <c r="G7" t="s">
        <v>197</v>
      </c>
      <c r="H7" s="38">
        <v>1286</v>
      </c>
      <c r="I7" t="s">
        <v>223</v>
      </c>
      <c r="J7" t="s">
        <v>228</v>
      </c>
      <c r="K7" t="s">
        <v>838</v>
      </c>
      <c r="L7" s="89" t="s">
        <v>838</v>
      </c>
      <c r="M7" t="s">
        <v>2767</v>
      </c>
      <c r="N7" s="89" t="s">
        <v>838</v>
      </c>
      <c r="O7" s="89" t="s">
        <v>838</v>
      </c>
      <c r="P7" s="89" t="s">
        <v>838</v>
      </c>
      <c r="Q7" s="89" t="s">
        <v>838</v>
      </c>
    </row>
    <row r="8" spans="1:17" x14ac:dyDescent="0.25">
      <c r="A8" s="81">
        <f t="shared" si="0"/>
        <v>7</v>
      </c>
      <c r="B8" s="7" t="s">
        <v>20</v>
      </c>
      <c r="C8" s="40">
        <v>44932</v>
      </c>
      <c r="D8" t="s">
        <v>224</v>
      </c>
      <c r="E8" t="s">
        <v>225</v>
      </c>
      <c r="F8" t="s">
        <v>226</v>
      </c>
      <c r="G8" t="s">
        <v>192</v>
      </c>
      <c r="H8" s="38">
        <v>2756.11</v>
      </c>
      <c r="I8" t="s">
        <v>227</v>
      </c>
      <c r="J8" t="s">
        <v>233</v>
      </c>
      <c r="K8" t="s">
        <v>838</v>
      </c>
      <c r="L8" s="89" t="s">
        <v>838</v>
      </c>
      <c r="M8" t="s">
        <v>2767</v>
      </c>
      <c r="N8" s="89" t="s">
        <v>838</v>
      </c>
      <c r="O8" s="89" t="s">
        <v>838</v>
      </c>
      <c r="P8" s="89" t="s">
        <v>838</v>
      </c>
      <c r="Q8" s="89" t="s">
        <v>838</v>
      </c>
    </row>
    <row r="9" spans="1:17" x14ac:dyDescent="0.25">
      <c r="A9" s="81">
        <f t="shared" si="0"/>
        <v>8</v>
      </c>
      <c r="B9" s="7" t="s">
        <v>21</v>
      </c>
      <c r="C9" s="40">
        <v>44933</v>
      </c>
      <c r="D9" t="s">
        <v>229</v>
      </c>
      <c r="E9" t="s">
        <v>230</v>
      </c>
      <c r="F9" t="s">
        <v>231</v>
      </c>
      <c r="G9" t="s">
        <v>192</v>
      </c>
      <c r="H9" s="38">
        <v>2110.04</v>
      </c>
      <c r="I9" t="s">
        <v>232</v>
      </c>
      <c r="J9" t="s">
        <v>219</v>
      </c>
      <c r="K9" t="s">
        <v>838</v>
      </c>
      <c r="L9" s="89" t="s">
        <v>838</v>
      </c>
      <c r="M9" t="s">
        <v>2767</v>
      </c>
      <c r="N9" s="89" t="s">
        <v>838</v>
      </c>
      <c r="O9" s="89" t="s">
        <v>838</v>
      </c>
      <c r="P9" s="89" t="s">
        <v>838</v>
      </c>
      <c r="Q9" s="89" t="s">
        <v>838</v>
      </c>
    </row>
    <row r="10" spans="1:17" x14ac:dyDescent="0.25">
      <c r="A10">
        <f t="shared" si="0"/>
        <v>9</v>
      </c>
      <c r="B10" s="7" t="s">
        <v>234</v>
      </c>
      <c r="C10" s="40">
        <v>44935</v>
      </c>
      <c r="D10" t="s">
        <v>2778</v>
      </c>
      <c r="E10" t="s">
        <v>250</v>
      </c>
      <c r="F10" t="s">
        <v>251</v>
      </c>
      <c r="G10" t="s">
        <v>197</v>
      </c>
      <c r="H10" s="38">
        <v>1829</v>
      </c>
      <c r="I10" t="s">
        <v>252</v>
      </c>
      <c r="J10" t="s">
        <v>257</v>
      </c>
      <c r="K10" t="s">
        <v>838</v>
      </c>
      <c r="L10" s="89" t="s">
        <v>838</v>
      </c>
      <c r="M10" t="s">
        <v>2767</v>
      </c>
      <c r="N10" s="89" t="s">
        <v>838</v>
      </c>
      <c r="O10" s="89" t="s">
        <v>838</v>
      </c>
      <c r="P10" s="89" t="s">
        <v>838</v>
      </c>
      <c r="Q10" s="89" t="s">
        <v>838</v>
      </c>
    </row>
    <row r="11" spans="1:17" x14ac:dyDescent="0.25">
      <c r="A11">
        <f t="shared" si="0"/>
        <v>10</v>
      </c>
      <c r="B11" s="7" t="s">
        <v>235</v>
      </c>
      <c r="C11" s="40">
        <v>44931</v>
      </c>
      <c r="D11" t="s">
        <v>253</v>
      </c>
      <c r="E11" t="s">
        <v>254</v>
      </c>
      <c r="F11" t="s">
        <v>255</v>
      </c>
      <c r="G11" t="s">
        <v>197</v>
      </c>
      <c r="H11" s="38">
        <v>5761.18</v>
      </c>
      <c r="I11" t="s">
        <v>256</v>
      </c>
      <c r="J11" t="s">
        <v>267</v>
      </c>
      <c r="K11" t="s">
        <v>838</v>
      </c>
      <c r="L11" s="89" t="s">
        <v>838</v>
      </c>
      <c r="M11" t="s">
        <v>2767</v>
      </c>
      <c r="N11" s="89" t="s">
        <v>838</v>
      </c>
      <c r="O11" s="89" t="s">
        <v>838</v>
      </c>
      <c r="P11" s="89" t="s">
        <v>838</v>
      </c>
      <c r="Q11" s="89" t="s">
        <v>838</v>
      </c>
    </row>
    <row r="12" spans="1:17" x14ac:dyDescent="0.25">
      <c r="A12">
        <f t="shared" si="0"/>
        <v>11</v>
      </c>
      <c r="B12" s="7" t="s">
        <v>236</v>
      </c>
      <c r="C12" s="40">
        <v>44936</v>
      </c>
      <c r="D12" t="s">
        <v>258</v>
      </c>
      <c r="E12" t="s">
        <v>259</v>
      </c>
      <c r="F12" t="s">
        <v>260</v>
      </c>
      <c r="G12" t="s">
        <v>197</v>
      </c>
      <c r="H12" s="38">
        <v>1044</v>
      </c>
      <c r="I12" t="s">
        <v>261</v>
      </c>
      <c r="J12" t="s">
        <v>267</v>
      </c>
      <c r="K12" t="s">
        <v>838</v>
      </c>
      <c r="L12" s="89" t="s">
        <v>838</v>
      </c>
      <c r="M12" t="s">
        <v>2767</v>
      </c>
      <c r="N12" s="89" t="s">
        <v>838</v>
      </c>
      <c r="O12" s="89" t="s">
        <v>838</v>
      </c>
      <c r="P12" s="89" t="s">
        <v>838</v>
      </c>
      <c r="Q12" s="89" t="s">
        <v>838</v>
      </c>
    </row>
    <row r="13" spans="1:17" x14ac:dyDescent="0.25">
      <c r="A13">
        <f t="shared" si="0"/>
        <v>12</v>
      </c>
      <c r="B13" s="7" t="s">
        <v>237</v>
      </c>
      <c r="C13" s="40">
        <v>44932</v>
      </c>
      <c r="D13" t="s">
        <v>262</v>
      </c>
      <c r="E13" t="s">
        <v>263</v>
      </c>
      <c r="F13" t="s">
        <v>264</v>
      </c>
      <c r="G13" t="s">
        <v>193</v>
      </c>
      <c r="H13" s="38">
        <v>1849</v>
      </c>
      <c r="I13" t="s">
        <v>265</v>
      </c>
      <c r="J13" t="s">
        <v>219</v>
      </c>
      <c r="K13" t="s">
        <v>838</v>
      </c>
      <c r="L13" s="89" t="s">
        <v>838</v>
      </c>
      <c r="M13" t="s">
        <v>2767</v>
      </c>
      <c r="N13" s="89" t="s">
        <v>838</v>
      </c>
      <c r="O13" s="89" t="s">
        <v>838</v>
      </c>
      <c r="P13" s="89" t="s">
        <v>838</v>
      </c>
      <c r="Q13" s="89" t="s">
        <v>838</v>
      </c>
    </row>
    <row r="14" spans="1:17" x14ac:dyDescent="0.25">
      <c r="A14">
        <f t="shared" si="0"/>
        <v>13</v>
      </c>
      <c r="B14" s="7" t="s">
        <v>238</v>
      </c>
      <c r="C14" s="40">
        <v>44938</v>
      </c>
      <c r="D14" t="s">
        <v>268</v>
      </c>
      <c r="E14" t="s">
        <v>269</v>
      </c>
      <c r="F14" t="s">
        <v>270</v>
      </c>
      <c r="G14" t="s">
        <v>197</v>
      </c>
      <c r="H14" s="38">
        <v>986</v>
      </c>
      <c r="I14" t="s">
        <v>271</v>
      </c>
      <c r="J14" t="s">
        <v>286</v>
      </c>
      <c r="K14" t="s">
        <v>838</v>
      </c>
      <c r="L14" s="89" t="s">
        <v>838</v>
      </c>
      <c r="M14" t="s">
        <v>2767</v>
      </c>
      <c r="N14" s="89" t="s">
        <v>838</v>
      </c>
      <c r="O14" s="89" t="s">
        <v>838</v>
      </c>
      <c r="P14" s="89" t="s">
        <v>838</v>
      </c>
      <c r="Q14" s="89" t="s">
        <v>838</v>
      </c>
    </row>
    <row r="15" spans="1:17" x14ac:dyDescent="0.25">
      <c r="A15" s="83">
        <f t="shared" si="0"/>
        <v>14</v>
      </c>
      <c r="B15" s="7" t="s">
        <v>239</v>
      </c>
      <c r="C15" s="40">
        <v>44938</v>
      </c>
      <c r="D15" t="s">
        <v>272</v>
      </c>
      <c r="E15" t="s">
        <v>273</v>
      </c>
      <c r="F15" t="s">
        <v>274</v>
      </c>
      <c r="G15" t="s">
        <v>192</v>
      </c>
      <c r="H15" s="38">
        <v>1182</v>
      </c>
      <c r="I15" t="s">
        <v>275</v>
      </c>
      <c r="J15" t="s">
        <v>219</v>
      </c>
      <c r="K15" t="s">
        <v>838</v>
      </c>
      <c r="L15" s="89" t="s">
        <v>838</v>
      </c>
      <c r="M15" t="s">
        <v>2767</v>
      </c>
      <c r="N15" s="89" t="s">
        <v>838</v>
      </c>
      <c r="O15" s="89" t="s">
        <v>838</v>
      </c>
      <c r="P15" s="89" t="s">
        <v>838</v>
      </c>
      <c r="Q15" s="89" t="s">
        <v>838</v>
      </c>
    </row>
    <row r="16" spans="1:17" x14ac:dyDescent="0.25">
      <c r="A16">
        <f t="shared" si="0"/>
        <v>15</v>
      </c>
      <c r="B16" s="7" t="s">
        <v>240</v>
      </c>
      <c r="C16" s="40">
        <v>44938</v>
      </c>
      <c r="D16" t="s">
        <v>276</v>
      </c>
      <c r="E16" t="s">
        <v>277</v>
      </c>
      <c r="F16" t="s">
        <v>278</v>
      </c>
      <c r="G16" t="s">
        <v>197</v>
      </c>
      <c r="H16" s="38">
        <v>2688</v>
      </c>
      <c r="I16" t="s">
        <v>279</v>
      </c>
      <c r="J16" t="s">
        <v>285</v>
      </c>
      <c r="K16" t="s">
        <v>838</v>
      </c>
      <c r="L16" s="89" t="s">
        <v>838</v>
      </c>
      <c r="M16" t="s">
        <v>2767</v>
      </c>
      <c r="N16" s="89" t="s">
        <v>838</v>
      </c>
      <c r="O16" s="89" t="s">
        <v>838</v>
      </c>
      <c r="P16" s="89" t="s">
        <v>838</v>
      </c>
      <c r="Q16" s="89" t="s">
        <v>838</v>
      </c>
    </row>
    <row r="17" spans="1:17" x14ac:dyDescent="0.25">
      <c r="A17">
        <f t="shared" si="0"/>
        <v>16</v>
      </c>
      <c r="B17" s="7" t="s">
        <v>241</v>
      </c>
      <c r="C17" s="40">
        <v>44931</v>
      </c>
      <c r="D17" t="s">
        <v>280</v>
      </c>
      <c r="E17" t="s">
        <v>281</v>
      </c>
      <c r="F17" t="s">
        <v>282</v>
      </c>
      <c r="G17" t="s">
        <v>197</v>
      </c>
      <c r="H17" s="38">
        <v>1692.34</v>
      </c>
      <c r="I17" t="s">
        <v>283</v>
      </c>
      <c r="J17" t="s">
        <v>284</v>
      </c>
      <c r="K17" t="s">
        <v>838</v>
      </c>
      <c r="L17" s="89" t="s">
        <v>838</v>
      </c>
      <c r="M17" t="s">
        <v>2767</v>
      </c>
      <c r="N17" s="89" t="s">
        <v>838</v>
      </c>
      <c r="O17" s="89" t="s">
        <v>838</v>
      </c>
      <c r="P17" s="89" t="s">
        <v>838</v>
      </c>
      <c r="Q17" s="89" t="s">
        <v>838</v>
      </c>
    </row>
    <row r="18" spans="1:17" x14ac:dyDescent="0.25">
      <c r="A18">
        <f t="shared" si="0"/>
        <v>17</v>
      </c>
      <c r="B18" s="7" t="s">
        <v>242</v>
      </c>
      <c r="C18" s="40">
        <v>44937</v>
      </c>
      <c r="D18" t="s">
        <v>289</v>
      </c>
      <c r="E18" t="s">
        <v>287</v>
      </c>
      <c r="F18" t="s">
        <v>288</v>
      </c>
      <c r="G18" t="s">
        <v>197</v>
      </c>
      <c r="H18" s="38">
        <v>978</v>
      </c>
      <c r="I18" t="s">
        <v>290</v>
      </c>
      <c r="J18" t="s">
        <v>291</v>
      </c>
      <c r="K18" t="s">
        <v>838</v>
      </c>
      <c r="L18" s="89" t="s">
        <v>838</v>
      </c>
      <c r="M18" t="s">
        <v>2767</v>
      </c>
      <c r="N18" s="89" t="s">
        <v>838</v>
      </c>
      <c r="O18" s="89" t="s">
        <v>838</v>
      </c>
      <c r="P18" s="89" t="s">
        <v>838</v>
      </c>
      <c r="Q18" s="89" t="s">
        <v>838</v>
      </c>
    </row>
    <row r="19" spans="1:17" x14ac:dyDescent="0.25">
      <c r="A19" s="82">
        <f t="shared" si="0"/>
        <v>18</v>
      </c>
      <c r="B19" s="7" t="s">
        <v>243</v>
      </c>
      <c r="C19" s="40">
        <v>44940</v>
      </c>
      <c r="D19" t="s">
        <v>292</v>
      </c>
      <c r="E19" t="s">
        <v>293</v>
      </c>
      <c r="F19" t="s">
        <v>294</v>
      </c>
      <c r="G19" t="s">
        <v>197</v>
      </c>
      <c r="H19" s="38">
        <v>2338.56</v>
      </c>
      <c r="I19" t="s">
        <v>295</v>
      </c>
      <c r="J19" t="s">
        <v>300</v>
      </c>
      <c r="K19" t="s">
        <v>838</v>
      </c>
      <c r="L19" s="89" t="s">
        <v>838</v>
      </c>
      <c r="M19" t="s">
        <v>2767</v>
      </c>
      <c r="N19" s="89" t="s">
        <v>838</v>
      </c>
      <c r="O19" s="89" t="s">
        <v>838</v>
      </c>
      <c r="P19" s="89" t="s">
        <v>838</v>
      </c>
      <c r="Q19" s="89" t="s">
        <v>838</v>
      </c>
    </row>
    <row r="20" spans="1:17" x14ac:dyDescent="0.25">
      <c r="A20">
        <f t="shared" si="0"/>
        <v>19</v>
      </c>
      <c r="B20" s="7" t="s">
        <v>244</v>
      </c>
      <c r="C20" s="40">
        <v>44936</v>
      </c>
      <c r="D20" t="s">
        <v>296</v>
      </c>
      <c r="E20" t="s">
        <v>297</v>
      </c>
      <c r="F20" t="s">
        <v>298</v>
      </c>
      <c r="G20" t="s">
        <v>197</v>
      </c>
      <c r="H20" s="38">
        <v>1734.8</v>
      </c>
      <c r="I20" t="s">
        <v>299</v>
      </c>
      <c r="J20" t="s">
        <v>316</v>
      </c>
      <c r="K20" t="s">
        <v>838</v>
      </c>
      <c r="L20" s="89" t="s">
        <v>838</v>
      </c>
      <c r="M20" t="s">
        <v>2767</v>
      </c>
      <c r="N20" s="89" t="s">
        <v>838</v>
      </c>
      <c r="O20" s="89" t="s">
        <v>838</v>
      </c>
      <c r="P20" s="89" t="s">
        <v>838</v>
      </c>
      <c r="Q20" s="89" t="s">
        <v>838</v>
      </c>
    </row>
    <row r="21" spans="1:17" x14ac:dyDescent="0.25">
      <c r="A21">
        <f>A20+1</f>
        <v>20</v>
      </c>
      <c r="B21" s="7" t="s">
        <v>245</v>
      </c>
      <c r="C21" s="40">
        <v>44942</v>
      </c>
      <c r="D21" t="s">
        <v>301</v>
      </c>
      <c r="E21" t="s">
        <v>302</v>
      </c>
      <c r="F21" t="s">
        <v>303</v>
      </c>
      <c r="G21" t="s">
        <v>197</v>
      </c>
      <c r="H21" s="38">
        <v>1241</v>
      </c>
      <c r="I21" t="s">
        <v>304</v>
      </c>
      <c r="J21" t="s">
        <v>305</v>
      </c>
      <c r="K21" t="s">
        <v>838</v>
      </c>
      <c r="L21" s="89" t="s">
        <v>838</v>
      </c>
      <c r="M21" t="s">
        <v>2767</v>
      </c>
      <c r="N21" s="89" t="s">
        <v>838</v>
      </c>
      <c r="O21" s="89" t="s">
        <v>838</v>
      </c>
      <c r="P21" s="89" t="s">
        <v>838</v>
      </c>
      <c r="Q21" s="89" t="s">
        <v>838</v>
      </c>
    </row>
    <row r="22" spans="1:17" x14ac:dyDescent="0.25">
      <c r="A22" s="82">
        <f t="shared" si="0"/>
        <v>21</v>
      </c>
      <c r="B22" s="7" t="s">
        <v>246</v>
      </c>
      <c r="C22" s="40">
        <v>44942</v>
      </c>
      <c r="D22" t="s">
        <v>306</v>
      </c>
      <c r="E22" t="s">
        <v>307</v>
      </c>
      <c r="F22" t="s">
        <v>308</v>
      </c>
      <c r="G22" t="s">
        <v>197</v>
      </c>
      <c r="H22" s="38">
        <v>12504.8</v>
      </c>
      <c r="I22" t="s">
        <v>309</v>
      </c>
      <c r="J22" t="s">
        <v>310</v>
      </c>
      <c r="K22" t="s">
        <v>838</v>
      </c>
      <c r="L22" s="89" t="s">
        <v>838</v>
      </c>
      <c r="M22" t="s">
        <v>2767</v>
      </c>
      <c r="N22" s="89" t="s">
        <v>838</v>
      </c>
      <c r="O22" s="89" t="s">
        <v>838</v>
      </c>
      <c r="P22" s="89" t="s">
        <v>838</v>
      </c>
      <c r="Q22" s="89" t="s">
        <v>838</v>
      </c>
    </row>
    <row r="23" spans="1:17" x14ac:dyDescent="0.25">
      <c r="A23" s="82">
        <f t="shared" si="0"/>
        <v>22</v>
      </c>
      <c r="B23" s="7" t="s">
        <v>247</v>
      </c>
      <c r="C23" s="40">
        <v>44935</v>
      </c>
      <c r="D23" t="s">
        <v>311</v>
      </c>
      <c r="E23" t="s">
        <v>312</v>
      </c>
      <c r="F23" t="s">
        <v>313</v>
      </c>
      <c r="G23" t="s">
        <v>197</v>
      </c>
      <c r="H23" s="38">
        <v>3684.42</v>
      </c>
      <c r="I23" t="s">
        <v>314</v>
      </c>
      <c r="J23" t="s">
        <v>315</v>
      </c>
      <c r="K23" t="s">
        <v>838</v>
      </c>
      <c r="L23" s="89" t="s">
        <v>838</v>
      </c>
      <c r="M23" t="s">
        <v>2767</v>
      </c>
      <c r="N23" s="89" t="s">
        <v>838</v>
      </c>
      <c r="O23" s="89" t="s">
        <v>838</v>
      </c>
      <c r="P23" s="89" t="s">
        <v>838</v>
      </c>
      <c r="Q23" s="89" t="s">
        <v>838</v>
      </c>
    </row>
    <row r="24" spans="1:17" x14ac:dyDescent="0.25">
      <c r="A24" s="83">
        <f t="shared" si="0"/>
        <v>23</v>
      </c>
      <c r="B24" s="7" t="s">
        <v>248</v>
      </c>
      <c r="C24" s="40">
        <v>44943</v>
      </c>
      <c r="D24" t="s">
        <v>318</v>
      </c>
      <c r="E24" t="s">
        <v>317</v>
      </c>
      <c r="F24" t="s">
        <v>319</v>
      </c>
      <c r="G24" t="s">
        <v>192</v>
      </c>
      <c r="H24" s="38">
        <v>2688.5</v>
      </c>
      <c r="I24" t="s">
        <v>320</v>
      </c>
      <c r="J24" t="s">
        <v>338</v>
      </c>
      <c r="K24" t="s">
        <v>838</v>
      </c>
      <c r="L24" s="89" t="s">
        <v>838</v>
      </c>
      <c r="M24" t="s">
        <v>2767</v>
      </c>
      <c r="N24" s="89" t="s">
        <v>838</v>
      </c>
      <c r="O24" s="89" t="s">
        <v>838</v>
      </c>
      <c r="P24" s="89" t="s">
        <v>838</v>
      </c>
      <c r="Q24" s="89" t="s">
        <v>838</v>
      </c>
    </row>
    <row r="25" spans="1:17" x14ac:dyDescent="0.25">
      <c r="A25">
        <f t="shared" si="0"/>
        <v>24</v>
      </c>
      <c r="B25" s="7" t="s">
        <v>321</v>
      </c>
      <c r="C25" s="40">
        <v>44944</v>
      </c>
      <c r="D25" t="s">
        <v>333</v>
      </c>
      <c r="E25" t="s">
        <v>334</v>
      </c>
      <c r="F25" t="s">
        <v>335</v>
      </c>
      <c r="G25" t="s">
        <v>197</v>
      </c>
      <c r="H25" s="38">
        <v>2209</v>
      </c>
      <c r="I25" t="s">
        <v>336</v>
      </c>
      <c r="J25" t="s">
        <v>349</v>
      </c>
      <c r="K25" t="s">
        <v>838</v>
      </c>
      <c r="L25" s="89" t="s">
        <v>838</v>
      </c>
      <c r="M25" t="s">
        <v>2767</v>
      </c>
      <c r="N25" s="89" t="s">
        <v>838</v>
      </c>
      <c r="O25" s="89" t="s">
        <v>838</v>
      </c>
      <c r="P25" s="89" t="s">
        <v>838</v>
      </c>
      <c r="Q25" s="89" t="s">
        <v>838</v>
      </c>
    </row>
    <row r="26" spans="1:17" x14ac:dyDescent="0.25">
      <c r="A26" s="83">
        <f t="shared" si="0"/>
        <v>25</v>
      </c>
      <c r="B26" s="7" t="s">
        <v>322</v>
      </c>
      <c r="C26" s="40">
        <v>44944</v>
      </c>
      <c r="D26" t="s">
        <v>339</v>
      </c>
      <c r="E26" t="s">
        <v>340</v>
      </c>
      <c r="F26" t="s">
        <v>341</v>
      </c>
      <c r="G26" t="s">
        <v>192</v>
      </c>
      <c r="H26" s="38">
        <v>1378</v>
      </c>
      <c r="I26" t="s">
        <v>342</v>
      </c>
      <c r="J26" t="s">
        <v>348</v>
      </c>
      <c r="K26" t="s">
        <v>838</v>
      </c>
      <c r="L26" s="89" t="s">
        <v>838</v>
      </c>
      <c r="M26" t="s">
        <v>2767</v>
      </c>
      <c r="N26" s="89" t="s">
        <v>838</v>
      </c>
      <c r="O26" s="89" t="s">
        <v>838</v>
      </c>
      <c r="P26" s="89" t="s">
        <v>838</v>
      </c>
      <c r="Q26" s="89" t="s">
        <v>838</v>
      </c>
    </row>
    <row r="27" spans="1:17" x14ac:dyDescent="0.25">
      <c r="A27" s="83">
        <f t="shared" si="0"/>
        <v>26</v>
      </c>
      <c r="B27" s="7" t="s">
        <v>323</v>
      </c>
      <c r="C27" s="40">
        <v>44935</v>
      </c>
      <c r="D27" t="s">
        <v>343</v>
      </c>
      <c r="E27" t="s">
        <v>344</v>
      </c>
      <c r="F27" t="s">
        <v>345</v>
      </c>
      <c r="G27" t="s">
        <v>192</v>
      </c>
      <c r="H27" s="38">
        <v>1811</v>
      </c>
      <c r="I27" t="s">
        <v>346</v>
      </c>
      <c r="J27" t="s">
        <v>347</v>
      </c>
      <c r="K27" t="s">
        <v>838</v>
      </c>
      <c r="L27" s="89" t="s">
        <v>838</v>
      </c>
      <c r="M27" t="s">
        <v>2767</v>
      </c>
      <c r="N27" s="89" t="s">
        <v>838</v>
      </c>
      <c r="O27" s="89" t="s">
        <v>838</v>
      </c>
      <c r="P27" s="89" t="s">
        <v>838</v>
      </c>
      <c r="Q27" s="89" t="s">
        <v>838</v>
      </c>
    </row>
    <row r="28" spans="1:17" x14ac:dyDescent="0.25">
      <c r="A28">
        <f t="shared" si="0"/>
        <v>27</v>
      </c>
      <c r="B28" s="7" t="s">
        <v>324</v>
      </c>
      <c r="C28" s="40">
        <v>44945</v>
      </c>
      <c r="D28" t="s">
        <v>350</v>
      </c>
      <c r="E28" t="s">
        <v>351</v>
      </c>
      <c r="F28" t="s">
        <v>352</v>
      </c>
      <c r="G28" t="s">
        <v>197</v>
      </c>
      <c r="H28" s="38">
        <v>1070</v>
      </c>
      <c r="I28" t="s">
        <v>353</v>
      </c>
      <c r="J28" t="s">
        <v>354</v>
      </c>
      <c r="K28" t="s">
        <v>838</v>
      </c>
      <c r="L28" s="89" t="s">
        <v>838</v>
      </c>
      <c r="M28" t="s">
        <v>2767</v>
      </c>
      <c r="N28" s="89" t="s">
        <v>838</v>
      </c>
      <c r="O28" s="89" t="s">
        <v>838</v>
      </c>
      <c r="P28" s="89" t="s">
        <v>838</v>
      </c>
      <c r="Q28" s="89" t="s">
        <v>838</v>
      </c>
    </row>
    <row r="29" spans="1:17" x14ac:dyDescent="0.25">
      <c r="A29" s="83">
        <f t="shared" si="0"/>
        <v>28</v>
      </c>
      <c r="B29" s="7" t="s">
        <v>325</v>
      </c>
      <c r="C29" s="40">
        <v>44945</v>
      </c>
      <c r="D29" t="s">
        <v>355</v>
      </c>
      <c r="E29" t="s">
        <v>356</v>
      </c>
      <c r="F29" t="s">
        <v>357</v>
      </c>
      <c r="G29" t="s">
        <v>192</v>
      </c>
      <c r="H29" s="38">
        <v>1226</v>
      </c>
      <c r="I29" t="s">
        <v>358</v>
      </c>
      <c r="J29" t="s">
        <v>359</v>
      </c>
      <c r="K29" t="s">
        <v>838</v>
      </c>
      <c r="L29" s="89" t="s">
        <v>838</v>
      </c>
      <c r="M29" t="s">
        <v>2767</v>
      </c>
      <c r="N29" s="89" t="s">
        <v>838</v>
      </c>
      <c r="O29" s="89" t="s">
        <v>838</v>
      </c>
      <c r="P29" s="89" t="s">
        <v>838</v>
      </c>
      <c r="Q29" s="89" t="s">
        <v>838</v>
      </c>
    </row>
    <row r="30" spans="1:17" x14ac:dyDescent="0.25">
      <c r="A30" s="82">
        <f t="shared" si="0"/>
        <v>29</v>
      </c>
      <c r="B30" s="7" t="s">
        <v>326</v>
      </c>
      <c r="C30" s="40">
        <v>44943</v>
      </c>
      <c r="D30" t="s">
        <v>360</v>
      </c>
      <c r="E30" t="s">
        <v>361</v>
      </c>
      <c r="F30" t="s">
        <v>362</v>
      </c>
      <c r="G30" t="s">
        <v>197</v>
      </c>
      <c r="H30" s="38">
        <v>2278.96</v>
      </c>
      <c r="I30" t="s">
        <v>363</v>
      </c>
      <c r="J30" t="s">
        <v>219</v>
      </c>
      <c r="K30" t="s">
        <v>838</v>
      </c>
      <c r="L30" s="89" t="s">
        <v>838</v>
      </c>
      <c r="M30" t="s">
        <v>2767</v>
      </c>
      <c r="N30" s="89" t="s">
        <v>838</v>
      </c>
      <c r="O30" s="89" t="s">
        <v>838</v>
      </c>
      <c r="P30" s="89" t="s">
        <v>838</v>
      </c>
      <c r="Q30" s="89" t="s">
        <v>838</v>
      </c>
    </row>
    <row r="31" spans="1:17" x14ac:dyDescent="0.25">
      <c r="A31">
        <f t="shared" si="0"/>
        <v>30</v>
      </c>
      <c r="B31" s="7" t="s">
        <v>327</v>
      </c>
      <c r="C31" s="40">
        <v>44939</v>
      </c>
      <c r="D31" t="s">
        <v>364</v>
      </c>
      <c r="E31" t="s">
        <v>365</v>
      </c>
      <c r="F31" t="s">
        <v>366</v>
      </c>
      <c r="G31" t="s">
        <v>197</v>
      </c>
      <c r="H31" s="38">
        <v>6298.6</v>
      </c>
      <c r="I31" t="s">
        <v>367</v>
      </c>
      <c r="J31" t="s">
        <v>337</v>
      </c>
      <c r="K31" t="s">
        <v>838</v>
      </c>
      <c r="L31" s="89" t="s">
        <v>838</v>
      </c>
      <c r="M31" t="s">
        <v>2767</v>
      </c>
      <c r="N31" s="89" t="s">
        <v>838</v>
      </c>
      <c r="O31" s="89" t="s">
        <v>838</v>
      </c>
      <c r="P31" s="89" t="s">
        <v>838</v>
      </c>
      <c r="Q31" s="89" t="s">
        <v>838</v>
      </c>
    </row>
    <row r="32" spans="1:17" x14ac:dyDescent="0.25">
      <c r="A32">
        <f t="shared" si="0"/>
        <v>31</v>
      </c>
      <c r="B32" s="7" t="s">
        <v>328</v>
      </c>
      <c r="C32" s="40">
        <v>44939</v>
      </c>
      <c r="D32" t="s">
        <v>368</v>
      </c>
      <c r="E32" t="s">
        <v>369</v>
      </c>
      <c r="F32" t="s">
        <v>370</v>
      </c>
      <c r="G32" t="s">
        <v>197</v>
      </c>
      <c r="H32" s="38">
        <v>630</v>
      </c>
      <c r="I32" t="s">
        <v>371</v>
      </c>
      <c r="J32" t="s">
        <v>372</v>
      </c>
      <c r="K32" t="s">
        <v>838</v>
      </c>
      <c r="L32" s="89" t="s">
        <v>838</v>
      </c>
      <c r="M32" t="s">
        <v>2767</v>
      </c>
      <c r="N32" s="89" t="s">
        <v>838</v>
      </c>
      <c r="O32" s="89" t="s">
        <v>838</v>
      </c>
      <c r="P32" s="89" t="s">
        <v>838</v>
      </c>
      <c r="Q32" s="89" t="s">
        <v>838</v>
      </c>
    </row>
    <row r="33" spans="1:17" x14ac:dyDescent="0.25">
      <c r="A33">
        <f t="shared" si="0"/>
        <v>32</v>
      </c>
      <c r="B33" s="7" t="s">
        <v>329</v>
      </c>
      <c r="C33" s="40">
        <v>44949</v>
      </c>
      <c r="D33" t="s">
        <v>373</v>
      </c>
      <c r="E33" t="s">
        <v>374</v>
      </c>
      <c r="F33" t="s">
        <v>375</v>
      </c>
      <c r="G33" t="s">
        <v>197</v>
      </c>
      <c r="H33" s="38">
        <v>2009</v>
      </c>
      <c r="I33" t="s">
        <v>376</v>
      </c>
      <c r="J33" t="s">
        <v>219</v>
      </c>
      <c r="K33" t="s">
        <v>838</v>
      </c>
      <c r="L33" s="89" t="s">
        <v>838</v>
      </c>
      <c r="M33" t="s">
        <v>2767</v>
      </c>
      <c r="N33" s="89" t="s">
        <v>838</v>
      </c>
      <c r="O33" s="89" t="s">
        <v>838</v>
      </c>
      <c r="P33" s="89" t="s">
        <v>838</v>
      </c>
      <c r="Q33" s="89" t="s">
        <v>838</v>
      </c>
    </row>
    <row r="34" spans="1:17" x14ac:dyDescent="0.25">
      <c r="A34">
        <f t="shared" si="0"/>
        <v>33</v>
      </c>
      <c r="B34" s="7" t="s">
        <v>330</v>
      </c>
      <c r="C34" s="40">
        <v>44944</v>
      </c>
      <c r="D34" t="s">
        <v>377</v>
      </c>
      <c r="E34" t="s">
        <v>378</v>
      </c>
      <c r="F34" t="s">
        <v>379</v>
      </c>
      <c r="G34" t="s">
        <v>380</v>
      </c>
      <c r="H34" s="38">
        <v>567.76</v>
      </c>
      <c r="I34" t="s">
        <v>381</v>
      </c>
      <c r="J34" t="s">
        <v>219</v>
      </c>
      <c r="K34" t="s">
        <v>838</v>
      </c>
      <c r="L34" s="89" t="s">
        <v>838</v>
      </c>
      <c r="M34" t="s">
        <v>2767</v>
      </c>
      <c r="N34" s="89" t="s">
        <v>838</v>
      </c>
      <c r="O34" s="89" t="s">
        <v>838</v>
      </c>
      <c r="P34" s="89" t="s">
        <v>838</v>
      </c>
      <c r="Q34" s="89" t="s">
        <v>838</v>
      </c>
    </row>
    <row r="35" spans="1:17" x14ac:dyDescent="0.25">
      <c r="A35" s="83">
        <f t="shared" si="0"/>
        <v>34</v>
      </c>
      <c r="B35" s="7" t="s">
        <v>331</v>
      </c>
      <c r="C35" s="40">
        <v>44946</v>
      </c>
      <c r="D35" t="s">
        <v>382</v>
      </c>
      <c r="E35" t="s">
        <v>383</v>
      </c>
      <c r="F35" t="s">
        <v>384</v>
      </c>
      <c r="G35" t="s">
        <v>192</v>
      </c>
      <c r="H35" s="38">
        <v>881.84</v>
      </c>
      <c r="I35" t="s">
        <v>385</v>
      </c>
      <c r="J35" t="s">
        <v>396</v>
      </c>
      <c r="K35" t="s">
        <v>838</v>
      </c>
      <c r="L35" s="89" t="s">
        <v>838</v>
      </c>
      <c r="M35" t="s">
        <v>2767</v>
      </c>
      <c r="N35" s="89" t="s">
        <v>838</v>
      </c>
      <c r="O35" s="89" t="s">
        <v>838</v>
      </c>
      <c r="P35" s="89" t="s">
        <v>838</v>
      </c>
      <c r="Q35" s="89" t="s">
        <v>838</v>
      </c>
    </row>
    <row r="36" spans="1:17" x14ac:dyDescent="0.25">
      <c r="A36">
        <f t="shared" si="0"/>
        <v>35</v>
      </c>
      <c r="B36" s="7" t="s">
        <v>332</v>
      </c>
      <c r="C36" s="40">
        <v>44951</v>
      </c>
      <c r="D36" t="s">
        <v>386</v>
      </c>
      <c r="E36" t="s">
        <v>387</v>
      </c>
      <c r="F36" t="s">
        <v>388</v>
      </c>
      <c r="G36" t="s">
        <v>197</v>
      </c>
      <c r="H36" s="38">
        <v>1200</v>
      </c>
      <c r="I36" t="s">
        <v>227</v>
      </c>
      <c r="J36" t="s">
        <v>389</v>
      </c>
      <c r="K36" t="s">
        <v>838</v>
      </c>
      <c r="L36" s="89" t="s">
        <v>838</v>
      </c>
      <c r="M36" t="s">
        <v>2767</v>
      </c>
      <c r="N36" s="89" t="s">
        <v>838</v>
      </c>
      <c r="O36" s="89" t="s">
        <v>838</v>
      </c>
      <c r="P36" s="89" t="s">
        <v>838</v>
      </c>
      <c r="Q36" s="89" t="s">
        <v>838</v>
      </c>
    </row>
    <row r="37" spans="1:17" x14ac:dyDescent="0.25">
      <c r="A37" s="83">
        <f t="shared" si="0"/>
        <v>36</v>
      </c>
      <c r="B37" s="7" t="s">
        <v>390</v>
      </c>
      <c r="C37" s="40">
        <v>44952</v>
      </c>
      <c r="D37" t="s">
        <v>333</v>
      </c>
      <c r="E37" t="s">
        <v>334</v>
      </c>
      <c r="F37" t="s">
        <v>335</v>
      </c>
      <c r="G37" t="s">
        <v>192</v>
      </c>
      <c r="H37" s="38">
        <v>950</v>
      </c>
      <c r="I37" t="s">
        <v>395</v>
      </c>
      <c r="J37" t="s">
        <v>397</v>
      </c>
      <c r="K37" t="s">
        <v>838</v>
      </c>
      <c r="L37" s="89" t="s">
        <v>838</v>
      </c>
      <c r="M37" t="s">
        <v>2767</v>
      </c>
      <c r="N37" s="89" t="s">
        <v>838</v>
      </c>
      <c r="O37" s="89" t="s">
        <v>838</v>
      </c>
      <c r="P37" s="89" t="s">
        <v>838</v>
      </c>
      <c r="Q37" s="89" t="s">
        <v>838</v>
      </c>
    </row>
    <row r="38" spans="1:17" x14ac:dyDescent="0.25">
      <c r="A38" s="83">
        <f>A37+1</f>
        <v>37</v>
      </c>
      <c r="B38" s="7" t="s">
        <v>391</v>
      </c>
      <c r="C38" s="40">
        <v>44947</v>
      </c>
      <c r="D38" t="s">
        <v>398</v>
      </c>
      <c r="E38" t="s">
        <v>399</v>
      </c>
      <c r="F38" t="s">
        <v>400</v>
      </c>
      <c r="G38" t="s">
        <v>197</v>
      </c>
      <c r="H38" s="38">
        <v>7681.42</v>
      </c>
      <c r="I38" t="s">
        <v>401</v>
      </c>
      <c r="J38" t="s">
        <v>219</v>
      </c>
      <c r="K38" t="s">
        <v>838</v>
      </c>
      <c r="L38" s="89" t="s">
        <v>838</v>
      </c>
      <c r="M38" t="s">
        <v>2767</v>
      </c>
      <c r="N38" s="89" t="s">
        <v>838</v>
      </c>
      <c r="O38" s="89" t="s">
        <v>838</v>
      </c>
      <c r="P38" s="89" t="s">
        <v>838</v>
      </c>
      <c r="Q38" s="89" t="s">
        <v>838</v>
      </c>
    </row>
    <row r="39" spans="1:17" x14ac:dyDescent="0.25">
      <c r="A39" s="83">
        <f t="shared" si="0"/>
        <v>38</v>
      </c>
      <c r="B39" s="7" t="s">
        <v>392</v>
      </c>
      <c r="C39" s="40">
        <v>44949</v>
      </c>
      <c r="D39" t="s">
        <v>364</v>
      </c>
      <c r="E39" t="s">
        <v>365</v>
      </c>
      <c r="F39" t="s">
        <v>366</v>
      </c>
      <c r="G39" t="s">
        <v>192</v>
      </c>
      <c r="H39" s="38">
        <v>1019.36</v>
      </c>
      <c r="I39" t="s">
        <v>402</v>
      </c>
      <c r="J39" t="s">
        <v>219</v>
      </c>
      <c r="K39" t="s">
        <v>838</v>
      </c>
      <c r="L39" s="89" t="s">
        <v>838</v>
      </c>
      <c r="M39" t="s">
        <v>2767</v>
      </c>
      <c r="N39" s="89" t="s">
        <v>838</v>
      </c>
      <c r="O39" s="89" t="s">
        <v>838</v>
      </c>
      <c r="P39" s="89" t="s">
        <v>838</v>
      </c>
      <c r="Q39" s="89" t="s">
        <v>838</v>
      </c>
    </row>
    <row r="40" spans="1:17" x14ac:dyDescent="0.25">
      <c r="A40">
        <f t="shared" si="0"/>
        <v>39</v>
      </c>
      <c r="B40" s="98" t="s">
        <v>393</v>
      </c>
      <c r="C40" s="40">
        <v>44950</v>
      </c>
      <c r="D40" t="s">
        <v>403</v>
      </c>
      <c r="E40" t="s">
        <v>404</v>
      </c>
      <c r="F40" t="s">
        <v>405</v>
      </c>
      <c r="G40" t="s">
        <v>197</v>
      </c>
      <c r="H40" s="38">
        <v>975</v>
      </c>
      <c r="I40" t="s">
        <v>406</v>
      </c>
      <c r="J40" t="s">
        <v>219</v>
      </c>
      <c r="K40" t="s">
        <v>838</v>
      </c>
      <c r="L40" s="89" t="s">
        <v>838</v>
      </c>
      <c r="M40" t="s">
        <v>2767</v>
      </c>
      <c r="N40" s="89" t="s">
        <v>838</v>
      </c>
      <c r="O40" s="89" t="s">
        <v>838</v>
      </c>
      <c r="P40" s="89" t="s">
        <v>838</v>
      </c>
      <c r="Q40" s="89" t="s">
        <v>838</v>
      </c>
    </row>
    <row r="41" spans="1:17" x14ac:dyDescent="0.25">
      <c r="A41" s="83">
        <f t="shared" si="0"/>
        <v>40</v>
      </c>
      <c r="B41" s="7" t="s">
        <v>394</v>
      </c>
      <c r="C41" s="40">
        <v>44950</v>
      </c>
      <c r="D41" t="s">
        <v>296</v>
      </c>
      <c r="E41" t="s">
        <v>297</v>
      </c>
      <c r="F41" t="s">
        <v>298</v>
      </c>
      <c r="G41" t="s">
        <v>192</v>
      </c>
      <c r="H41" s="38">
        <v>310.8</v>
      </c>
      <c r="I41" t="s">
        <v>407</v>
      </c>
      <c r="J41" t="s">
        <v>219</v>
      </c>
      <c r="K41" t="s">
        <v>838</v>
      </c>
      <c r="L41" s="89" t="s">
        <v>838</v>
      </c>
      <c r="M41" t="s">
        <v>2767</v>
      </c>
      <c r="N41" s="89" t="s">
        <v>838</v>
      </c>
      <c r="O41" s="89" t="s">
        <v>838</v>
      </c>
      <c r="P41" s="89" t="s">
        <v>838</v>
      </c>
      <c r="Q41" s="89" t="s">
        <v>838</v>
      </c>
    </row>
    <row r="42" spans="1:17" x14ac:dyDescent="0.25">
      <c r="A42">
        <f t="shared" si="0"/>
        <v>41</v>
      </c>
      <c r="B42" s="98" t="s">
        <v>410</v>
      </c>
      <c r="C42" s="40">
        <v>44956</v>
      </c>
      <c r="D42" t="s">
        <v>426</v>
      </c>
      <c r="E42" t="s">
        <v>425</v>
      </c>
      <c r="F42" t="s">
        <v>427</v>
      </c>
      <c r="G42" t="s">
        <v>380</v>
      </c>
      <c r="H42" s="38">
        <v>2208</v>
      </c>
      <c r="I42" t="s">
        <v>428</v>
      </c>
      <c r="J42" t="s">
        <v>429</v>
      </c>
      <c r="K42" t="s">
        <v>838</v>
      </c>
      <c r="L42" s="89" t="s">
        <v>838</v>
      </c>
      <c r="M42" t="s">
        <v>2767</v>
      </c>
      <c r="N42" s="89" t="s">
        <v>838</v>
      </c>
      <c r="O42" s="89" t="s">
        <v>838</v>
      </c>
      <c r="P42" s="89" t="s">
        <v>838</v>
      </c>
      <c r="Q42" s="89" t="s">
        <v>838</v>
      </c>
    </row>
    <row r="43" spans="1:17" x14ac:dyDescent="0.25">
      <c r="A43">
        <f t="shared" si="0"/>
        <v>42</v>
      </c>
      <c r="B43" s="7" t="s">
        <v>411</v>
      </c>
      <c r="C43" s="40">
        <v>44957</v>
      </c>
      <c r="D43" t="s">
        <v>430</v>
      </c>
      <c r="E43" t="s">
        <v>431</v>
      </c>
      <c r="F43" t="s">
        <v>432</v>
      </c>
      <c r="G43" t="s">
        <v>433</v>
      </c>
      <c r="H43" s="38">
        <v>1122</v>
      </c>
      <c r="I43" t="s">
        <v>295</v>
      </c>
      <c r="J43" t="s">
        <v>438</v>
      </c>
      <c r="K43" t="s">
        <v>838</v>
      </c>
      <c r="L43" s="89" t="s">
        <v>838</v>
      </c>
      <c r="M43" t="s">
        <v>2767</v>
      </c>
      <c r="N43" s="89" t="s">
        <v>838</v>
      </c>
      <c r="O43" s="89" t="s">
        <v>838</v>
      </c>
      <c r="P43" s="89" t="s">
        <v>838</v>
      </c>
      <c r="Q43" s="89" t="s">
        <v>838</v>
      </c>
    </row>
    <row r="44" spans="1:17" x14ac:dyDescent="0.25">
      <c r="A44">
        <f t="shared" si="0"/>
        <v>43</v>
      </c>
      <c r="B44" s="7" t="s">
        <v>412</v>
      </c>
      <c r="C44" s="40">
        <v>44949</v>
      </c>
      <c r="D44" t="s">
        <v>434</v>
      </c>
      <c r="E44" t="s">
        <v>435</v>
      </c>
      <c r="F44" t="s">
        <v>436</v>
      </c>
      <c r="G44" t="s">
        <v>197</v>
      </c>
      <c r="H44" s="38">
        <v>711</v>
      </c>
      <c r="I44" t="s">
        <v>437</v>
      </c>
      <c r="J44" t="s">
        <v>219</v>
      </c>
      <c r="K44" t="s">
        <v>838</v>
      </c>
      <c r="L44" s="89" t="s">
        <v>838</v>
      </c>
      <c r="M44" t="s">
        <v>2767</v>
      </c>
      <c r="N44" s="89" t="s">
        <v>838</v>
      </c>
      <c r="O44" s="89" t="s">
        <v>838</v>
      </c>
      <c r="P44" s="89" t="s">
        <v>838</v>
      </c>
      <c r="Q44" s="89" t="s">
        <v>838</v>
      </c>
    </row>
    <row r="45" spans="1:17" x14ac:dyDescent="0.25">
      <c r="A45" s="83">
        <f t="shared" si="0"/>
        <v>44</v>
      </c>
      <c r="B45" s="7" t="s">
        <v>413</v>
      </c>
      <c r="C45" s="40">
        <v>44959</v>
      </c>
      <c r="D45" t="s">
        <v>440</v>
      </c>
      <c r="E45" t="s">
        <v>441</v>
      </c>
      <c r="F45" t="s">
        <v>442</v>
      </c>
      <c r="G45" t="s">
        <v>192</v>
      </c>
      <c r="H45" s="38">
        <v>1728</v>
      </c>
      <c r="I45" t="s">
        <v>443</v>
      </c>
      <c r="J45" t="s">
        <v>349</v>
      </c>
      <c r="K45" t="s">
        <v>838</v>
      </c>
      <c r="L45" s="89" t="s">
        <v>838</v>
      </c>
      <c r="M45" s="89" t="s">
        <v>838</v>
      </c>
      <c r="N45" s="89" t="s">
        <v>838</v>
      </c>
      <c r="O45" s="89" t="s">
        <v>838</v>
      </c>
      <c r="P45" s="89" t="s">
        <v>838</v>
      </c>
      <c r="Q45" s="89" t="s">
        <v>838</v>
      </c>
    </row>
    <row r="46" spans="1:17" x14ac:dyDescent="0.25">
      <c r="A46" s="83">
        <f t="shared" si="0"/>
        <v>45</v>
      </c>
      <c r="B46" s="7" t="s">
        <v>414</v>
      </c>
      <c r="C46" s="40">
        <v>44954</v>
      </c>
      <c r="D46" t="s">
        <v>444</v>
      </c>
      <c r="E46" t="s">
        <v>445</v>
      </c>
      <c r="F46" t="s">
        <v>446</v>
      </c>
      <c r="G46" t="s">
        <v>192</v>
      </c>
      <c r="H46" s="38">
        <v>2539.16</v>
      </c>
      <c r="I46" t="s">
        <v>447</v>
      </c>
      <c r="J46" t="s">
        <v>348</v>
      </c>
      <c r="K46" t="s">
        <v>838</v>
      </c>
      <c r="L46" s="89" t="s">
        <v>838</v>
      </c>
      <c r="M46" s="89" t="s">
        <v>838</v>
      </c>
      <c r="N46" s="89" t="s">
        <v>838</v>
      </c>
      <c r="O46" s="89" t="s">
        <v>838</v>
      </c>
      <c r="P46" s="89" t="s">
        <v>838</v>
      </c>
      <c r="Q46" s="89" t="s">
        <v>838</v>
      </c>
    </row>
    <row r="47" spans="1:17" x14ac:dyDescent="0.25">
      <c r="A47" s="83">
        <f t="shared" si="0"/>
        <v>46</v>
      </c>
      <c r="B47" s="7" t="s">
        <v>415</v>
      </c>
      <c r="C47" s="40">
        <v>44958</v>
      </c>
      <c r="D47" t="s">
        <v>448</v>
      </c>
      <c r="E47" t="s">
        <v>435</v>
      </c>
      <c r="F47" t="s">
        <v>436</v>
      </c>
      <c r="G47" t="s">
        <v>192</v>
      </c>
      <c r="H47" s="38">
        <v>255</v>
      </c>
      <c r="I47" t="s">
        <v>449</v>
      </c>
      <c r="J47" t="s">
        <v>219</v>
      </c>
      <c r="K47" s="89" t="s">
        <v>838</v>
      </c>
      <c r="L47" s="89" t="s">
        <v>838</v>
      </c>
      <c r="M47" s="89" t="s">
        <v>838</v>
      </c>
      <c r="N47" s="89" t="s">
        <v>838</v>
      </c>
      <c r="O47" s="89" t="s">
        <v>838</v>
      </c>
      <c r="P47" s="89" t="s">
        <v>838</v>
      </c>
      <c r="Q47" s="89" t="s">
        <v>838</v>
      </c>
    </row>
    <row r="48" spans="1:17" x14ac:dyDescent="0.25">
      <c r="A48">
        <f t="shared" si="0"/>
        <v>47</v>
      </c>
      <c r="B48" s="7" t="s">
        <v>416</v>
      </c>
      <c r="C48" s="40">
        <v>44960</v>
      </c>
      <c r="D48" t="s">
        <v>450</v>
      </c>
      <c r="E48" t="s">
        <v>451</v>
      </c>
      <c r="F48" t="s">
        <v>452</v>
      </c>
      <c r="G48" t="s">
        <v>197</v>
      </c>
      <c r="H48" s="38">
        <v>1493</v>
      </c>
      <c r="I48" t="s">
        <v>453</v>
      </c>
      <c r="J48" t="s">
        <v>464</v>
      </c>
      <c r="K48" s="89" t="s">
        <v>838</v>
      </c>
      <c r="L48" s="89" t="s">
        <v>838</v>
      </c>
      <c r="M48" s="89" t="s">
        <v>838</v>
      </c>
      <c r="N48" s="89" t="s">
        <v>838</v>
      </c>
      <c r="O48" s="89" t="s">
        <v>838</v>
      </c>
      <c r="P48" s="89" t="s">
        <v>838</v>
      </c>
      <c r="Q48" s="89" t="s">
        <v>838</v>
      </c>
    </row>
    <row r="49" spans="1:17" x14ac:dyDescent="0.25">
      <c r="A49" s="83">
        <f t="shared" si="0"/>
        <v>48</v>
      </c>
      <c r="B49" s="7" t="s">
        <v>417</v>
      </c>
      <c r="C49" s="40">
        <v>44960</v>
      </c>
      <c r="D49" t="s">
        <v>454</v>
      </c>
      <c r="E49" t="s">
        <v>455</v>
      </c>
      <c r="F49" t="s">
        <v>456</v>
      </c>
      <c r="G49" t="s">
        <v>192</v>
      </c>
      <c r="H49" s="38">
        <v>1597</v>
      </c>
      <c r="I49" t="s">
        <v>457</v>
      </c>
      <c r="J49" t="s">
        <v>462</v>
      </c>
      <c r="K49" s="89" t="s">
        <v>838</v>
      </c>
      <c r="L49" s="89" t="s">
        <v>838</v>
      </c>
      <c r="M49" s="89" t="s">
        <v>838</v>
      </c>
      <c r="N49" s="89" t="s">
        <v>838</v>
      </c>
      <c r="O49" s="89" t="s">
        <v>838</v>
      </c>
      <c r="P49" s="89" t="s">
        <v>838</v>
      </c>
      <c r="Q49" s="89" t="s">
        <v>838</v>
      </c>
    </row>
    <row r="50" spans="1:17" x14ac:dyDescent="0.25">
      <c r="A50" s="83">
        <f t="shared" si="0"/>
        <v>49</v>
      </c>
      <c r="B50" s="7" t="s">
        <v>418</v>
      </c>
      <c r="C50" s="40">
        <v>44960</v>
      </c>
      <c r="D50" t="s">
        <v>458</v>
      </c>
      <c r="E50" t="s">
        <v>459</v>
      </c>
      <c r="F50" t="s">
        <v>460</v>
      </c>
      <c r="G50" t="s">
        <v>192</v>
      </c>
      <c r="H50" s="38">
        <v>1622</v>
      </c>
      <c r="I50" t="s">
        <v>461</v>
      </c>
      <c r="J50" t="s">
        <v>463</v>
      </c>
      <c r="K50" s="89" t="s">
        <v>838</v>
      </c>
      <c r="L50" s="89" t="s">
        <v>838</v>
      </c>
      <c r="M50" s="89" t="s">
        <v>838</v>
      </c>
      <c r="N50" s="89" t="s">
        <v>838</v>
      </c>
      <c r="O50" s="89" t="s">
        <v>838</v>
      </c>
      <c r="P50" s="89" t="s">
        <v>838</v>
      </c>
      <c r="Q50" s="89" t="s">
        <v>838</v>
      </c>
    </row>
    <row r="51" spans="1:17" x14ac:dyDescent="0.25">
      <c r="A51" s="83">
        <f t="shared" si="0"/>
        <v>50</v>
      </c>
      <c r="B51" s="98" t="s">
        <v>419</v>
      </c>
      <c r="C51" s="40">
        <v>44963</v>
      </c>
      <c r="D51" t="s">
        <v>468</v>
      </c>
      <c r="E51" t="s">
        <v>467</v>
      </c>
      <c r="F51" t="s">
        <v>466</v>
      </c>
      <c r="G51" t="s">
        <v>192</v>
      </c>
      <c r="H51" s="38">
        <v>2226</v>
      </c>
      <c r="I51" t="s">
        <v>465</v>
      </c>
      <c r="J51" t="s">
        <v>300</v>
      </c>
      <c r="K51" s="89" t="s">
        <v>838</v>
      </c>
      <c r="L51" s="89" t="s">
        <v>838</v>
      </c>
      <c r="M51" s="89" t="s">
        <v>838</v>
      </c>
      <c r="N51" s="89" t="s">
        <v>838</v>
      </c>
      <c r="O51" s="89" t="s">
        <v>838</v>
      </c>
      <c r="P51" s="89" t="s">
        <v>838</v>
      </c>
      <c r="Q51" s="89" t="s">
        <v>838</v>
      </c>
    </row>
    <row r="52" spans="1:17" x14ac:dyDescent="0.25">
      <c r="A52" s="83">
        <f t="shared" si="0"/>
        <v>51</v>
      </c>
      <c r="B52" s="7" t="s">
        <v>420</v>
      </c>
      <c r="C52" s="40">
        <v>44940</v>
      </c>
      <c r="D52" t="s">
        <v>469</v>
      </c>
      <c r="E52" t="s">
        <v>470</v>
      </c>
      <c r="F52" t="s">
        <v>471</v>
      </c>
      <c r="G52" t="s">
        <v>192</v>
      </c>
      <c r="H52" s="38">
        <v>2614</v>
      </c>
      <c r="I52" t="s">
        <v>472</v>
      </c>
      <c r="J52" t="s">
        <v>219</v>
      </c>
      <c r="K52" s="89" t="s">
        <v>838</v>
      </c>
      <c r="L52" s="89" t="s">
        <v>838</v>
      </c>
      <c r="M52" s="89" t="s">
        <v>838</v>
      </c>
      <c r="N52" s="89" t="s">
        <v>838</v>
      </c>
      <c r="O52" s="89" t="s">
        <v>838</v>
      </c>
      <c r="P52" s="89" t="s">
        <v>838</v>
      </c>
      <c r="Q52" s="89" t="s">
        <v>838</v>
      </c>
    </row>
    <row r="53" spans="1:17" x14ac:dyDescent="0.25">
      <c r="A53" s="83">
        <f t="shared" si="0"/>
        <v>52</v>
      </c>
      <c r="B53" s="7" t="s">
        <v>421</v>
      </c>
      <c r="C53" s="40">
        <v>44964</v>
      </c>
      <c r="D53" t="s">
        <v>458</v>
      </c>
      <c r="E53" t="s">
        <v>473</v>
      </c>
      <c r="F53" t="s">
        <v>460</v>
      </c>
      <c r="G53" t="s">
        <v>192</v>
      </c>
      <c r="H53" s="38">
        <v>930</v>
      </c>
      <c r="I53" t="s">
        <v>474</v>
      </c>
      <c r="J53" t="s">
        <v>475</v>
      </c>
      <c r="K53" s="89" t="s">
        <v>838</v>
      </c>
      <c r="L53" s="89" t="s">
        <v>838</v>
      </c>
      <c r="M53" s="89" t="s">
        <v>838</v>
      </c>
      <c r="N53" s="89" t="s">
        <v>838</v>
      </c>
      <c r="O53" s="89" t="s">
        <v>838</v>
      </c>
      <c r="P53" s="89" t="s">
        <v>838</v>
      </c>
      <c r="Q53" s="89" t="s">
        <v>838</v>
      </c>
    </row>
    <row r="54" spans="1:17" x14ac:dyDescent="0.25">
      <c r="A54">
        <f t="shared" si="0"/>
        <v>53</v>
      </c>
      <c r="B54" s="7" t="s">
        <v>422</v>
      </c>
      <c r="C54" s="40">
        <v>44956</v>
      </c>
      <c r="D54" t="s">
        <v>477</v>
      </c>
      <c r="E54" t="s">
        <v>478</v>
      </c>
      <c r="F54" t="s">
        <v>479</v>
      </c>
      <c r="G54" t="s">
        <v>197</v>
      </c>
      <c r="H54" s="38">
        <v>1451.35</v>
      </c>
      <c r="I54" t="s">
        <v>480</v>
      </c>
      <c r="J54" t="s">
        <v>499</v>
      </c>
      <c r="K54" s="89" t="s">
        <v>838</v>
      </c>
      <c r="L54" s="89" t="s">
        <v>838</v>
      </c>
      <c r="M54" s="89" t="s">
        <v>838</v>
      </c>
      <c r="N54" s="89" t="s">
        <v>838</v>
      </c>
      <c r="O54" s="89" t="s">
        <v>838</v>
      </c>
      <c r="P54" s="89" t="s">
        <v>838</v>
      </c>
      <c r="Q54" s="89" t="s">
        <v>838</v>
      </c>
    </row>
    <row r="55" spans="1:17" x14ac:dyDescent="0.25">
      <c r="A55">
        <f t="shared" si="0"/>
        <v>54</v>
      </c>
      <c r="B55" s="7" t="s">
        <v>423</v>
      </c>
      <c r="C55" s="40">
        <v>44964</v>
      </c>
      <c r="D55" t="s">
        <v>481</v>
      </c>
      <c r="E55" t="s">
        <v>482</v>
      </c>
      <c r="F55" t="s">
        <v>483</v>
      </c>
      <c r="G55" t="s">
        <v>197</v>
      </c>
      <c r="H55" s="38">
        <v>1410</v>
      </c>
      <c r="I55" t="s">
        <v>484</v>
      </c>
      <c r="J55" t="s">
        <v>500</v>
      </c>
      <c r="K55" s="89" t="s">
        <v>838</v>
      </c>
      <c r="L55" s="89" t="s">
        <v>838</v>
      </c>
      <c r="M55" s="89" t="s">
        <v>838</v>
      </c>
      <c r="N55" s="89" t="s">
        <v>838</v>
      </c>
      <c r="O55" s="89" t="s">
        <v>838</v>
      </c>
      <c r="P55" s="89" t="s">
        <v>838</v>
      </c>
      <c r="Q55" s="89" t="s">
        <v>838</v>
      </c>
    </row>
    <row r="56" spans="1:17" x14ac:dyDescent="0.25">
      <c r="A56" s="83">
        <f t="shared" si="0"/>
        <v>55</v>
      </c>
      <c r="B56" s="7" t="s">
        <v>424</v>
      </c>
      <c r="C56" s="40">
        <v>44961</v>
      </c>
      <c r="D56" t="s">
        <v>495</v>
      </c>
      <c r="E56" t="s">
        <v>496</v>
      </c>
      <c r="F56" t="s">
        <v>497</v>
      </c>
      <c r="G56" t="s">
        <v>192</v>
      </c>
      <c r="H56" s="38">
        <v>1687</v>
      </c>
      <c r="I56" t="s">
        <v>498</v>
      </c>
      <c r="J56" t="s">
        <v>349</v>
      </c>
      <c r="K56" s="89" t="s">
        <v>838</v>
      </c>
      <c r="L56" s="89" t="s">
        <v>838</v>
      </c>
      <c r="M56" s="89" t="s">
        <v>838</v>
      </c>
      <c r="N56" s="89" t="s">
        <v>838</v>
      </c>
      <c r="O56" s="89" t="s">
        <v>838</v>
      </c>
      <c r="P56" s="89" t="s">
        <v>838</v>
      </c>
      <c r="Q56" s="89" t="s">
        <v>838</v>
      </c>
    </row>
    <row r="57" spans="1:17" x14ac:dyDescent="0.25">
      <c r="A57">
        <f t="shared" si="0"/>
        <v>56</v>
      </c>
      <c r="B57" s="7" t="s">
        <v>485</v>
      </c>
      <c r="C57" s="40">
        <v>44967</v>
      </c>
      <c r="D57" t="s">
        <v>501</v>
      </c>
      <c r="E57" t="s">
        <v>502</v>
      </c>
      <c r="F57" t="s">
        <v>503</v>
      </c>
      <c r="G57" t="s">
        <v>197</v>
      </c>
      <c r="H57" s="38">
        <v>2260</v>
      </c>
      <c r="I57" t="s">
        <v>504</v>
      </c>
      <c r="J57" t="s">
        <v>505</v>
      </c>
      <c r="K57" s="89" t="s">
        <v>838</v>
      </c>
      <c r="L57" s="89" t="s">
        <v>838</v>
      </c>
      <c r="M57" s="89" t="s">
        <v>838</v>
      </c>
      <c r="N57" s="89" t="s">
        <v>838</v>
      </c>
      <c r="O57" s="89" t="s">
        <v>838</v>
      </c>
      <c r="P57" s="89" t="s">
        <v>838</v>
      </c>
      <c r="Q57" s="89" t="s">
        <v>838</v>
      </c>
    </row>
    <row r="58" spans="1:17" x14ac:dyDescent="0.25">
      <c r="A58">
        <f t="shared" si="0"/>
        <v>57</v>
      </c>
      <c r="B58" s="7" t="s">
        <v>486</v>
      </c>
      <c r="C58" s="40">
        <v>44968</v>
      </c>
      <c r="D58" t="s">
        <v>506</v>
      </c>
      <c r="E58" t="s">
        <v>507</v>
      </c>
      <c r="F58" t="s">
        <v>508</v>
      </c>
      <c r="G58" t="s">
        <v>197</v>
      </c>
      <c r="H58" s="38">
        <v>3031</v>
      </c>
      <c r="I58" t="s">
        <v>509</v>
      </c>
      <c r="J58" t="s">
        <v>510</v>
      </c>
      <c r="K58" s="89" t="s">
        <v>838</v>
      </c>
      <c r="L58" s="89" t="s">
        <v>838</v>
      </c>
      <c r="M58" s="89" t="s">
        <v>838</v>
      </c>
      <c r="N58" s="89" t="s">
        <v>838</v>
      </c>
      <c r="O58" s="89" t="s">
        <v>838</v>
      </c>
      <c r="P58" s="89" t="s">
        <v>838</v>
      </c>
      <c r="Q58" s="89" t="s">
        <v>838</v>
      </c>
    </row>
    <row r="59" spans="1:17" x14ac:dyDescent="0.25">
      <c r="A59">
        <f t="shared" si="0"/>
        <v>58</v>
      </c>
      <c r="B59" s="7" t="s">
        <v>487</v>
      </c>
      <c r="C59" s="40">
        <v>44967</v>
      </c>
      <c r="D59" t="s">
        <v>511</v>
      </c>
      <c r="E59" t="s">
        <v>512</v>
      </c>
      <c r="F59" t="s">
        <v>513</v>
      </c>
      <c r="G59" t="s">
        <v>197</v>
      </c>
      <c r="H59" s="38">
        <v>2476.5500000000002</v>
      </c>
      <c r="I59" t="s">
        <v>514</v>
      </c>
      <c r="J59" t="s">
        <v>522</v>
      </c>
      <c r="K59" s="89" t="s">
        <v>838</v>
      </c>
      <c r="L59" s="89" t="s">
        <v>838</v>
      </c>
      <c r="M59" s="89" t="s">
        <v>838</v>
      </c>
      <c r="N59" s="89" t="s">
        <v>838</v>
      </c>
      <c r="O59" s="89" t="s">
        <v>838</v>
      </c>
      <c r="P59" s="89" t="s">
        <v>838</v>
      </c>
      <c r="Q59" s="89" t="s">
        <v>838</v>
      </c>
    </row>
    <row r="60" spans="1:17" x14ac:dyDescent="0.25">
      <c r="A60">
        <f t="shared" si="0"/>
        <v>59</v>
      </c>
      <c r="B60" s="7" t="s">
        <v>488</v>
      </c>
      <c r="C60" s="40">
        <v>44970</v>
      </c>
      <c r="D60" t="s">
        <v>518</v>
      </c>
      <c r="E60" t="s">
        <v>519</v>
      </c>
      <c r="F60" t="s">
        <v>520</v>
      </c>
      <c r="G60" t="s">
        <v>197</v>
      </c>
      <c r="H60" s="38">
        <v>2757</v>
      </c>
      <c r="I60" t="s">
        <v>521</v>
      </c>
      <c r="J60" t="s">
        <v>219</v>
      </c>
      <c r="K60" s="89" t="s">
        <v>838</v>
      </c>
      <c r="L60" s="89" t="s">
        <v>838</v>
      </c>
      <c r="M60" s="89" t="s">
        <v>838</v>
      </c>
      <c r="N60" s="89" t="s">
        <v>838</v>
      </c>
      <c r="O60" s="89" t="s">
        <v>838</v>
      </c>
      <c r="P60" s="89" t="s">
        <v>838</v>
      </c>
      <c r="Q60" s="89" t="s">
        <v>838</v>
      </c>
    </row>
    <row r="61" spans="1:17" x14ac:dyDescent="0.25">
      <c r="A61">
        <f t="shared" si="0"/>
        <v>60</v>
      </c>
      <c r="B61" s="7" t="s">
        <v>489</v>
      </c>
      <c r="C61" s="40">
        <v>44971</v>
      </c>
      <c r="D61" t="s">
        <v>523</v>
      </c>
      <c r="E61" t="s">
        <v>524</v>
      </c>
      <c r="F61" t="s">
        <v>525</v>
      </c>
      <c r="G61" t="s">
        <v>197</v>
      </c>
      <c r="H61" s="38">
        <v>960</v>
      </c>
      <c r="I61" t="s">
        <v>526</v>
      </c>
      <c r="J61" t="s">
        <v>531</v>
      </c>
      <c r="K61" s="89" t="s">
        <v>838</v>
      </c>
      <c r="L61" s="89" t="s">
        <v>838</v>
      </c>
      <c r="M61" s="89" t="s">
        <v>838</v>
      </c>
      <c r="N61" s="89" t="s">
        <v>838</v>
      </c>
      <c r="O61" s="89" t="s">
        <v>838</v>
      </c>
      <c r="P61" s="89" t="s">
        <v>838</v>
      </c>
      <c r="Q61" s="89" t="s">
        <v>838</v>
      </c>
    </row>
    <row r="62" spans="1:17" x14ac:dyDescent="0.25">
      <c r="A62">
        <f t="shared" si="0"/>
        <v>61</v>
      </c>
      <c r="B62" s="7" t="s">
        <v>490</v>
      </c>
      <c r="C62" s="40">
        <v>44971</v>
      </c>
      <c r="D62" t="s">
        <v>527</v>
      </c>
      <c r="E62" t="s">
        <v>528</v>
      </c>
      <c r="F62" t="s">
        <v>529</v>
      </c>
      <c r="G62" t="s">
        <v>197</v>
      </c>
      <c r="H62" s="38">
        <v>953</v>
      </c>
      <c r="I62" t="s">
        <v>530</v>
      </c>
      <c r="J62" t="s">
        <v>532</v>
      </c>
      <c r="K62" s="89" t="s">
        <v>838</v>
      </c>
      <c r="L62" s="89" t="s">
        <v>838</v>
      </c>
      <c r="M62" s="89" t="s">
        <v>838</v>
      </c>
      <c r="N62" s="89" t="s">
        <v>838</v>
      </c>
      <c r="O62" s="89" t="s">
        <v>838</v>
      </c>
      <c r="P62" s="89" t="s">
        <v>838</v>
      </c>
      <c r="Q62" s="89" t="s">
        <v>838</v>
      </c>
    </row>
    <row r="63" spans="1:17" x14ac:dyDescent="0.25">
      <c r="A63" s="81">
        <f t="shared" si="0"/>
        <v>62</v>
      </c>
      <c r="B63" s="7" t="s">
        <v>491</v>
      </c>
      <c r="C63" s="40">
        <v>44966</v>
      </c>
      <c r="D63" t="s">
        <v>533</v>
      </c>
      <c r="E63" t="s">
        <v>534</v>
      </c>
      <c r="F63" t="s">
        <v>535</v>
      </c>
      <c r="G63" t="s">
        <v>192</v>
      </c>
      <c r="H63" s="38">
        <v>1915.06</v>
      </c>
      <c r="I63" t="s">
        <v>536</v>
      </c>
      <c r="J63" t="s">
        <v>537</v>
      </c>
      <c r="K63" s="89" t="s">
        <v>838</v>
      </c>
      <c r="L63" s="89" t="s">
        <v>838</v>
      </c>
      <c r="M63" s="89" t="s">
        <v>838</v>
      </c>
      <c r="N63" s="89" t="s">
        <v>838</v>
      </c>
      <c r="O63" s="89" t="s">
        <v>838</v>
      </c>
      <c r="P63" s="89" t="s">
        <v>838</v>
      </c>
      <c r="Q63" s="89" t="s">
        <v>838</v>
      </c>
    </row>
    <row r="64" spans="1:17" x14ac:dyDescent="0.25">
      <c r="A64">
        <f t="shared" si="0"/>
        <v>63</v>
      </c>
      <c r="B64" s="7" t="s">
        <v>492</v>
      </c>
      <c r="C64" s="40">
        <v>44966</v>
      </c>
      <c r="D64" t="s">
        <v>538</v>
      </c>
      <c r="E64" t="s">
        <v>539</v>
      </c>
      <c r="F64" t="s">
        <v>535</v>
      </c>
      <c r="G64" t="s">
        <v>193</v>
      </c>
      <c r="H64" s="38">
        <v>360</v>
      </c>
      <c r="I64" t="s">
        <v>540</v>
      </c>
      <c r="J64" t="s">
        <v>550</v>
      </c>
      <c r="K64" s="89" t="s">
        <v>838</v>
      </c>
      <c r="L64" s="89" t="s">
        <v>838</v>
      </c>
      <c r="M64" s="89" t="s">
        <v>838</v>
      </c>
      <c r="N64" s="89" t="s">
        <v>838</v>
      </c>
      <c r="O64" s="89" t="s">
        <v>838</v>
      </c>
      <c r="P64" s="89" t="s">
        <v>838</v>
      </c>
      <c r="Q64" s="89" t="s">
        <v>838</v>
      </c>
    </row>
    <row r="65" spans="1:17" x14ac:dyDescent="0.25">
      <c r="A65">
        <f t="shared" si="0"/>
        <v>64</v>
      </c>
      <c r="B65" s="7" t="s">
        <v>493</v>
      </c>
      <c r="C65" s="40">
        <v>44972</v>
      </c>
      <c r="D65" t="s">
        <v>541</v>
      </c>
      <c r="E65" t="s">
        <v>542</v>
      </c>
      <c r="F65" t="s">
        <v>543</v>
      </c>
      <c r="G65" t="s">
        <v>197</v>
      </c>
      <c r="H65" s="38">
        <v>3492</v>
      </c>
      <c r="I65" t="s">
        <v>544</v>
      </c>
      <c r="J65" t="s">
        <v>545</v>
      </c>
      <c r="K65" s="89" t="s">
        <v>838</v>
      </c>
      <c r="L65" s="89" t="s">
        <v>838</v>
      </c>
      <c r="M65" s="89" t="s">
        <v>838</v>
      </c>
      <c r="N65" s="89" t="s">
        <v>838</v>
      </c>
      <c r="O65" s="89" t="s">
        <v>838</v>
      </c>
      <c r="P65" s="89" t="s">
        <v>838</v>
      </c>
      <c r="Q65" s="89" t="s">
        <v>838</v>
      </c>
    </row>
    <row r="66" spans="1:17" x14ac:dyDescent="0.25">
      <c r="A66" s="83">
        <f t="shared" si="0"/>
        <v>65</v>
      </c>
      <c r="B66" s="7" t="s">
        <v>494</v>
      </c>
      <c r="C66" s="40">
        <v>44968</v>
      </c>
      <c r="D66" t="s">
        <v>546</v>
      </c>
      <c r="E66" t="s">
        <v>547</v>
      </c>
      <c r="F66" t="s">
        <v>548</v>
      </c>
      <c r="G66" t="s">
        <v>192</v>
      </c>
      <c r="H66" s="38">
        <v>1810</v>
      </c>
      <c r="I66" t="s">
        <v>549</v>
      </c>
      <c r="J66" t="s">
        <v>560</v>
      </c>
      <c r="K66" s="89" t="s">
        <v>838</v>
      </c>
      <c r="L66" s="89" t="s">
        <v>838</v>
      </c>
      <c r="M66" s="89" t="s">
        <v>838</v>
      </c>
      <c r="N66" s="89" t="s">
        <v>838</v>
      </c>
      <c r="O66" s="89" t="s">
        <v>838</v>
      </c>
      <c r="P66" s="89" t="s">
        <v>838</v>
      </c>
      <c r="Q66" s="89" t="s">
        <v>838</v>
      </c>
    </row>
    <row r="67" spans="1:17" x14ac:dyDescent="0.25">
      <c r="A67" s="83">
        <f t="shared" si="0"/>
        <v>66</v>
      </c>
      <c r="B67" s="7" t="s">
        <v>515</v>
      </c>
      <c r="C67" s="40">
        <v>44973</v>
      </c>
      <c r="D67" t="s">
        <v>551</v>
      </c>
      <c r="E67" t="s">
        <v>552</v>
      </c>
      <c r="F67" t="s">
        <v>553</v>
      </c>
      <c r="G67" t="s">
        <v>192</v>
      </c>
      <c r="H67" s="38">
        <v>2862</v>
      </c>
      <c r="I67" t="s">
        <v>554</v>
      </c>
      <c r="J67" t="s">
        <v>555</v>
      </c>
      <c r="K67" s="89" t="s">
        <v>838</v>
      </c>
      <c r="L67" s="89" t="s">
        <v>838</v>
      </c>
      <c r="M67" s="89" t="s">
        <v>838</v>
      </c>
      <c r="N67" s="89" t="s">
        <v>838</v>
      </c>
      <c r="O67" s="89" t="s">
        <v>838</v>
      </c>
      <c r="P67" s="89" t="s">
        <v>838</v>
      </c>
      <c r="Q67" s="89" t="s">
        <v>838</v>
      </c>
    </row>
    <row r="68" spans="1:17" x14ac:dyDescent="0.25">
      <c r="A68">
        <f t="shared" ref="A68:A131" si="1">A67+1</f>
        <v>67</v>
      </c>
      <c r="B68" s="98" t="s">
        <v>516</v>
      </c>
      <c r="C68" s="40">
        <v>44970</v>
      </c>
      <c r="D68" t="s">
        <v>556</v>
      </c>
      <c r="E68" t="s">
        <v>557</v>
      </c>
      <c r="F68" t="s">
        <v>558</v>
      </c>
      <c r="G68" t="s">
        <v>197</v>
      </c>
      <c r="H68" s="38">
        <v>2536.8200000000002</v>
      </c>
      <c r="I68" t="s">
        <v>559</v>
      </c>
      <c r="J68" t="s">
        <v>219</v>
      </c>
      <c r="K68" s="89" t="s">
        <v>838</v>
      </c>
      <c r="L68" s="89" t="s">
        <v>838</v>
      </c>
      <c r="M68" s="89" t="s">
        <v>838</v>
      </c>
      <c r="N68" s="89" t="s">
        <v>838</v>
      </c>
      <c r="O68" s="89" t="s">
        <v>838</v>
      </c>
      <c r="P68" s="89" t="s">
        <v>838</v>
      </c>
      <c r="Q68" s="89" t="s">
        <v>838</v>
      </c>
    </row>
    <row r="69" spans="1:17" x14ac:dyDescent="0.25">
      <c r="A69">
        <f t="shared" si="1"/>
        <v>68</v>
      </c>
      <c r="B69" s="7" t="s">
        <v>517</v>
      </c>
      <c r="C69" s="40">
        <v>44957</v>
      </c>
      <c r="D69" t="s">
        <v>561</v>
      </c>
      <c r="E69" t="s">
        <v>562</v>
      </c>
      <c r="F69" t="s">
        <v>563</v>
      </c>
      <c r="G69" t="s">
        <v>197</v>
      </c>
      <c r="H69" s="38">
        <v>1508.2</v>
      </c>
      <c r="I69" t="s">
        <v>564</v>
      </c>
      <c r="J69" t="s">
        <v>219</v>
      </c>
      <c r="K69" s="89" t="s">
        <v>838</v>
      </c>
      <c r="L69" s="89" t="s">
        <v>838</v>
      </c>
      <c r="M69" s="89" t="s">
        <v>838</v>
      </c>
      <c r="N69" s="89" t="s">
        <v>838</v>
      </c>
      <c r="O69" s="89" t="s">
        <v>838</v>
      </c>
      <c r="P69" s="89" t="s">
        <v>838</v>
      </c>
      <c r="Q69" s="89" t="s">
        <v>838</v>
      </c>
    </row>
    <row r="70" spans="1:17" x14ac:dyDescent="0.25">
      <c r="A70">
        <f t="shared" si="1"/>
        <v>69</v>
      </c>
      <c r="B70" s="7" t="s">
        <v>567</v>
      </c>
      <c r="C70" s="40">
        <v>44978</v>
      </c>
      <c r="D70" t="s">
        <v>578</v>
      </c>
      <c r="E70" t="s">
        <v>579</v>
      </c>
      <c r="F70" t="s">
        <v>580</v>
      </c>
      <c r="G70" t="s">
        <v>197</v>
      </c>
      <c r="H70" s="38">
        <v>1620</v>
      </c>
      <c r="I70" t="s">
        <v>581</v>
      </c>
      <c r="J70" t="s">
        <v>582</v>
      </c>
      <c r="K70" s="89" t="s">
        <v>838</v>
      </c>
      <c r="L70" s="89" t="s">
        <v>838</v>
      </c>
      <c r="M70" s="89" t="s">
        <v>838</v>
      </c>
      <c r="N70" s="89" t="s">
        <v>838</v>
      </c>
      <c r="O70" s="89" t="s">
        <v>838</v>
      </c>
      <c r="P70" s="89" t="s">
        <v>838</v>
      </c>
      <c r="Q70" s="89" t="s">
        <v>838</v>
      </c>
    </row>
    <row r="71" spans="1:17" x14ac:dyDescent="0.25">
      <c r="A71" s="83">
        <f t="shared" si="1"/>
        <v>70</v>
      </c>
      <c r="B71" s="7" t="s">
        <v>568</v>
      </c>
      <c r="C71" s="40">
        <v>44980</v>
      </c>
      <c r="D71" t="s">
        <v>583</v>
      </c>
      <c r="E71" t="s">
        <v>584</v>
      </c>
      <c r="F71" t="s">
        <v>585</v>
      </c>
      <c r="G71" t="s">
        <v>192</v>
      </c>
      <c r="H71" s="38">
        <v>975</v>
      </c>
      <c r="I71" t="s">
        <v>586</v>
      </c>
      <c r="J71" t="s">
        <v>587</v>
      </c>
      <c r="K71" s="89" t="s">
        <v>838</v>
      </c>
      <c r="L71" s="89" t="s">
        <v>838</v>
      </c>
      <c r="M71" s="89" t="s">
        <v>838</v>
      </c>
      <c r="N71" s="89" t="s">
        <v>838</v>
      </c>
      <c r="O71" s="89" t="s">
        <v>838</v>
      </c>
      <c r="P71" s="89" t="s">
        <v>838</v>
      </c>
      <c r="Q71" s="89" t="s">
        <v>838</v>
      </c>
    </row>
    <row r="72" spans="1:17" x14ac:dyDescent="0.25">
      <c r="A72" s="83">
        <f t="shared" si="1"/>
        <v>71</v>
      </c>
      <c r="B72" s="7" t="s">
        <v>569</v>
      </c>
      <c r="C72" s="40">
        <v>44980</v>
      </c>
      <c r="D72" t="s">
        <v>588</v>
      </c>
      <c r="E72" t="s">
        <v>589</v>
      </c>
      <c r="F72" t="s">
        <v>590</v>
      </c>
      <c r="G72" t="s">
        <v>192</v>
      </c>
      <c r="H72" s="38">
        <v>1868</v>
      </c>
      <c r="I72" t="s">
        <v>591</v>
      </c>
      <c r="J72" t="s">
        <v>598</v>
      </c>
      <c r="K72" s="89" t="s">
        <v>838</v>
      </c>
      <c r="L72" s="89" t="s">
        <v>838</v>
      </c>
      <c r="M72" s="89" t="s">
        <v>838</v>
      </c>
      <c r="N72" s="89" t="s">
        <v>838</v>
      </c>
      <c r="O72" s="89" t="s">
        <v>838</v>
      </c>
      <c r="P72" s="89" t="s">
        <v>838</v>
      </c>
      <c r="Q72" s="89" t="s">
        <v>838</v>
      </c>
    </row>
    <row r="73" spans="1:17" x14ac:dyDescent="0.25">
      <c r="A73" s="83">
        <f t="shared" si="1"/>
        <v>72</v>
      </c>
      <c r="B73" s="7" t="s">
        <v>570</v>
      </c>
      <c r="C73" s="40">
        <v>44973</v>
      </c>
      <c r="D73" t="s">
        <v>592</v>
      </c>
      <c r="E73" t="s">
        <v>593</v>
      </c>
      <c r="F73" t="s">
        <v>594</v>
      </c>
      <c r="G73" t="s">
        <v>192</v>
      </c>
      <c r="H73" s="38">
        <v>1299.0999999999999</v>
      </c>
      <c r="I73" t="s">
        <v>595</v>
      </c>
      <c r="J73" t="s">
        <v>219</v>
      </c>
      <c r="K73" s="89" t="s">
        <v>838</v>
      </c>
      <c r="L73" s="89" t="s">
        <v>838</v>
      </c>
      <c r="M73" s="89" t="s">
        <v>838</v>
      </c>
      <c r="N73" s="89" t="s">
        <v>838</v>
      </c>
      <c r="O73" s="89" t="s">
        <v>838</v>
      </c>
      <c r="P73" s="89" t="s">
        <v>838</v>
      </c>
      <c r="Q73" s="89" t="s">
        <v>838</v>
      </c>
    </row>
    <row r="74" spans="1:17" x14ac:dyDescent="0.25">
      <c r="A74" s="81">
        <f t="shared" si="1"/>
        <v>73</v>
      </c>
      <c r="B74" s="7" t="s">
        <v>571</v>
      </c>
      <c r="C74" s="40">
        <v>44979</v>
      </c>
      <c r="D74" t="s">
        <v>533</v>
      </c>
      <c r="E74" t="s">
        <v>534</v>
      </c>
      <c r="F74" t="s">
        <v>596</v>
      </c>
      <c r="G74" t="s">
        <v>192</v>
      </c>
      <c r="H74" s="38">
        <v>9959.8700000000008</v>
      </c>
      <c r="I74" t="s">
        <v>597</v>
      </c>
      <c r="J74" t="s">
        <v>463</v>
      </c>
      <c r="K74" s="89" t="s">
        <v>838</v>
      </c>
      <c r="L74" s="89" t="s">
        <v>838</v>
      </c>
      <c r="M74" s="89" t="s">
        <v>838</v>
      </c>
      <c r="N74" s="89" t="s">
        <v>838</v>
      </c>
      <c r="O74" s="89" t="s">
        <v>838</v>
      </c>
      <c r="P74" s="89" t="s">
        <v>838</v>
      </c>
      <c r="Q74" s="89" t="s">
        <v>838</v>
      </c>
    </row>
    <row r="75" spans="1:17" x14ac:dyDescent="0.25">
      <c r="A75" s="83">
        <f t="shared" si="1"/>
        <v>74</v>
      </c>
      <c r="B75" s="7" t="s">
        <v>572</v>
      </c>
      <c r="C75" s="40">
        <v>44981</v>
      </c>
      <c r="D75" t="s">
        <v>592</v>
      </c>
      <c r="E75" t="s">
        <v>593</v>
      </c>
      <c r="F75" t="s">
        <v>594</v>
      </c>
      <c r="G75" t="s">
        <v>192</v>
      </c>
      <c r="H75" s="38">
        <v>3000</v>
      </c>
      <c r="I75" t="s">
        <v>599</v>
      </c>
      <c r="J75" t="s">
        <v>219</v>
      </c>
      <c r="K75" s="89" t="s">
        <v>838</v>
      </c>
      <c r="L75" s="89" t="s">
        <v>838</v>
      </c>
      <c r="M75" s="89" t="s">
        <v>838</v>
      </c>
      <c r="N75" s="89" t="s">
        <v>838</v>
      </c>
      <c r="O75" s="89" t="s">
        <v>838</v>
      </c>
      <c r="P75" s="89" t="s">
        <v>838</v>
      </c>
      <c r="Q75" s="89" t="s">
        <v>838</v>
      </c>
    </row>
    <row r="76" spans="1:17" x14ac:dyDescent="0.25">
      <c r="A76">
        <f t="shared" si="1"/>
        <v>75</v>
      </c>
      <c r="B76" s="7" t="s">
        <v>573</v>
      </c>
      <c r="C76" s="40">
        <v>44981</v>
      </c>
      <c r="D76" t="s">
        <v>600</v>
      </c>
      <c r="E76" t="s">
        <v>601</v>
      </c>
      <c r="F76" t="s">
        <v>602</v>
      </c>
      <c r="G76" t="s">
        <v>197</v>
      </c>
      <c r="H76" s="38">
        <v>984</v>
      </c>
      <c r="I76" t="s">
        <v>603</v>
      </c>
      <c r="J76" t="s">
        <v>582</v>
      </c>
      <c r="K76" s="89" t="s">
        <v>838</v>
      </c>
      <c r="L76" s="89" t="s">
        <v>838</v>
      </c>
      <c r="M76" s="89" t="s">
        <v>838</v>
      </c>
      <c r="N76" s="89" t="s">
        <v>838</v>
      </c>
      <c r="O76" s="89" t="s">
        <v>838</v>
      </c>
      <c r="P76" s="89" t="s">
        <v>838</v>
      </c>
      <c r="Q76" s="89" t="s">
        <v>838</v>
      </c>
    </row>
    <row r="77" spans="1:17" x14ac:dyDescent="0.25">
      <c r="A77" s="83">
        <f t="shared" si="1"/>
        <v>76</v>
      </c>
      <c r="B77" s="7" t="s">
        <v>574</v>
      </c>
      <c r="C77" s="40">
        <v>44982</v>
      </c>
      <c r="D77" t="s">
        <v>604</v>
      </c>
      <c r="E77" t="s">
        <v>605</v>
      </c>
      <c r="F77" t="s">
        <v>606</v>
      </c>
      <c r="G77" t="s">
        <v>192</v>
      </c>
      <c r="H77" s="38">
        <v>1324.07</v>
      </c>
      <c r="I77" t="s">
        <v>227</v>
      </c>
      <c r="J77" t="s">
        <v>612</v>
      </c>
      <c r="K77" s="89" t="s">
        <v>838</v>
      </c>
      <c r="L77" s="89" t="s">
        <v>838</v>
      </c>
      <c r="M77" s="89" t="s">
        <v>838</v>
      </c>
      <c r="N77" s="89" t="s">
        <v>838</v>
      </c>
      <c r="O77" s="89" t="s">
        <v>838</v>
      </c>
      <c r="P77" s="89" t="s">
        <v>838</v>
      </c>
      <c r="Q77" s="89" t="s">
        <v>838</v>
      </c>
    </row>
    <row r="78" spans="1:17" x14ac:dyDescent="0.25">
      <c r="A78" s="83">
        <f t="shared" si="1"/>
        <v>77</v>
      </c>
      <c r="B78" s="7" t="s">
        <v>575</v>
      </c>
      <c r="C78" s="40">
        <v>44971</v>
      </c>
      <c r="D78" t="s">
        <v>607</v>
      </c>
      <c r="E78" t="s">
        <v>608</v>
      </c>
      <c r="F78" t="s">
        <v>609</v>
      </c>
      <c r="G78" t="s">
        <v>192</v>
      </c>
      <c r="H78" s="38">
        <v>1632.64</v>
      </c>
      <c r="I78" t="s">
        <v>610</v>
      </c>
      <c r="J78" t="s">
        <v>611</v>
      </c>
      <c r="K78" s="89" t="s">
        <v>838</v>
      </c>
      <c r="L78" s="89" t="s">
        <v>838</v>
      </c>
      <c r="M78" s="89" t="s">
        <v>838</v>
      </c>
      <c r="N78" s="89" t="s">
        <v>838</v>
      </c>
      <c r="O78" s="89" t="s">
        <v>838</v>
      </c>
      <c r="P78" s="89" t="s">
        <v>838</v>
      </c>
      <c r="Q78" s="89" t="s">
        <v>838</v>
      </c>
    </row>
    <row r="79" spans="1:17" x14ac:dyDescent="0.25">
      <c r="A79">
        <f t="shared" si="1"/>
        <v>78</v>
      </c>
      <c r="B79" s="98" t="s">
        <v>576</v>
      </c>
      <c r="C79" s="40">
        <v>44984</v>
      </c>
      <c r="D79" t="s">
        <v>626</v>
      </c>
      <c r="E79" t="s">
        <v>613</v>
      </c>
      <c r="F79" t="s">
        <v>614</v>
      </c>
      <c r="G79" t="s">
        <v>197</v>
      </c>
      <c r="H79" s="38">
        <v>1796</v>
      </c>
      <c r="I79" t="s">
        <v>615</v>
      </c>
      <c r="J79" t="s">
        <v>616</v>
      </c>
      <c r="K79" s="89" t="s">
        <v>838</v>
      </c>
      <c r="L79" s="89" t="s">
        <v>838</v>
      </c>
      <c r="M79" s="89" t="s">
        <v>838</v>
      </c>
      <c r="N79" s="89" t="s">
        <v>838</v>
      </c>
      <c r="O79" s="89" t="s">
        <v>838</v>
      </c>
      <c r="P79" s="89" t="s">
        <v>838</v>
      </c>
      <c r="Q79" s="89" t="s">
        <v>838</v>
      </c>
    </row>
    <row r="80" spans="1:17" x14ac:dyDescent="0.25">
      <c r="A80" s="83">
        <f t="shared" si="1"/>
        <v>79</v>
      </c>
      <c r="B80" s="87" t="s">
        <v>577</v>
      </c>
      <c r="C80" s="40">
        <v>44984</v>
      </c>
      <c r="D80" t="s">
        <v>617</v>
      </c>
      <c r="E80" t="s">
        <v>445</v>
      </c>
      <c r="F80" t="s">
        <v>618</v>
      </c>
      <c r="G80" t="s">
        <v>192</v>
      </c>
      <c r="H80" s="38">
        <v>3400</v>
      </c>
      <c r="I80" t="s">
        <v>619</v>
      </c>
      <c r="J80" t="s">
        <v>620</v>
      </c>
      <c r="K80" s="89" t="s">
        <v>838</v>
      </c>
      <c r="L80" s="89" t="s">
        <v>838</v>
      </c>
      <c r="M80" s="89" t="s">
        <v>838</v>
      </c>
      <c r="N80" s="89" t="s">
        <v>838</v>
      </c>
      <c r="O80" s="89" t="s">
        <v>838</v>
      </c>
      <c r="P80" s="89" t="s">
        <v>838</v>
      </c>
      <c r="Q80" s="89" t="s">
        <v>838</v>
      </c>
    </row>
    <row r="81" spans="1:17" x14ac:dyDescent="0.25">
      <c r="A81">
        <f t="shared" si="1"/>
        <v>80</v>
      </c>
      <c r="B81" s="7" t="s">
        <v>621</v>
      </c>
      <c r="C81" s="40">
        <v>44978</v>
      </c>
      <c r="D81" t="s">
        <v>622</v>
      </c>
      <c r="E81" t="s">
        <v>623</v>
      </c>
      <c r="F81" t="s">
        <v>624</v>
      </c>
      <c r="G81" t="s">
        <v>193</v>
      </c>
      <c r="H81" s="38">
        <v>849.15</v>
      </c>
      <c r="I81" t="s">
        <v>371</v>
      </c>
      <c r="J81" t="s">
        <v>439</v>
      </c>
      <c r="K81" t="s">
        <v>838</v>
      </c>
      <c r="L81" s="89" t="s">
        <v>838</v>
      </c>
      <c r="M81" s="89" t="s">
        <v>838</v>
      </c>
      <c r="N81" s="89" t="s">
        <v>838</v>
      </c>
      <c r="O81" s="89" t="s">
        <v>838</v>
      </c>
      <c r="P81" s="89" t="s">
        <v>838</v>
      </c>
      <c r="Q81" s="89" t="s">
        <v>838</v>
      </c>
    </row>
    <row r="82" spans="1:17" x14ac:dyDescent="0.25">
      <c r="A82" s="83">
        <f t="shared" si="1"/>
        <v>81</v>
      </c>
      <c r="B82" s="7" t="s">
        <v>627</v>
      </c>
      <c r="C82" s="40">
        <v>44986</v>
      </c>
      <c r="D82" t="s">
        <v>628</v>
      </c>
      <c r="E82" t="s">
        <v>629</v>
      </c>
      <c r="F82" t="s">
        <v>630</v>
      </c>
      <c r="G82" t="s">
        <v>192</v>
      </c>
      <c r="H82" s="38">
        <v>2496</v>
      </c>
      <c r="I82" t="s">
        <v>631</v>
      </c>
      <c r="J82" t="s">
        <v>642</v>
      </c>
      <c r="K82" s="89" t="s">
        <v>838</v>
      </c>
      <c r="L82" s="89" t="s">
        <v>838</v>
      </c>
      <c r="M82" s="89" t="s">
        <v>838</v>
      </c>
      <c r="N82" s="89" t="s">
        <v>838</v>
      </c>
      <c r="O82" s="89" t="s">
        <v>838</v>
      </c>
      <c r="P82" s="89" t="s">
        <v>838</v>
      </c>
      <c r="Q82" s="89" t="s">
        <v>838</v>
      </c>
    </row>
    <row r="83" spans="1:17" x14ac:dyDescent="0.25">
      <c r="A83">
        <f t="shared" si="1"/>
        <v>82</v>
      </c>
      <c r="B83" s="7" t="s">
        <v>632</v>
      </c>
      <c r="C83" s="40">
        <v>44986</v>
      </c>
      <c r="D83" t="s">
        <v>633</v>
      </c>
      <c r="E83" t="s">
        <v>634</v>
      </c>
      <c r="F83" t="s">
        <v>635</v>
      </c>
      <c r="G83" t="s">
        <v>197</v>
      </c>
      <c r="H83" s="38">
        <v>1642</v>
      </c>
      <c r="I83" t="s">
        <v>636</v>
      </c>
      <c r="J83" t="s">
        <v>219</v>
      </c>
      <c r="K83" s="89" t="s">
        <v>838</v>
      </c>
      <c r="L83" s="89" t="s">
        <v>838</v>
      </c>
      <c r="M83" s="89" t="s">
        <v>838</v>
      </c>
      <c r="N83" s="89" t="s">
        <v>838</v>
      </c>
      <c r="O83" s="89" t="s">
        <v>838</v>
      </c>
      <c r="P83" s="89" t="s">
        <v>838</v>
      </c>
      <c r="Q83" s="89" t="s">
        <v>838</v>
      </c>
    </row>
    <row r="84" spans="1:17" x14ac:dyDescent="0.25">
      <c r="A84" s="83">
        <f t="shared" si="1"/>
        <v>83</v>
      </c>
      <c r="B84" s="7" t="s">
        <v>637</v>
      </c>
      <c r="C84" s="40">
        <v>44987</v>
      </c>
      <c r="D84" t="s">
        <v>638</v>
      </c>
      <c r="E84" t="s">
        <v>639</v>
      </c>
      <c r="F84" t="s">
        <v>640</v>
      </c>
      <c r="G84" t="s">
        <v>192</v>
      </c>
      <c r="H84" s="38">
        <v>1365</v>
      </c>
      <c r="I84" t="s">
        <v>641</v>
      </c>
      <c r="J84" t="s">
        <v>219</v>
      </c>
      <c r="K84" s="89" t="s">
        <v>838</v>
      </c>
      <c r="L84" s="89" t="s">
        <v>838</v>
      </c>
      <c r="M84" s="89" t="s">
        <v>838</v>
      </c>
      <c r="N84" s="89" t="s">
        <v>838</v>
      </c>
      <c r="O84" s="89" t="s">
        <v>838</v>
      </c>
      <c r="P84" s="89" t="s">
        <v>838</v>
      </c>
      <c r="Q84" s="89" t="s">
        <v>838</v>
      </c>
    </row>
    <row r="85" spans="1:17" x14ac:dyDescent="0.25">
      <c r="A85">
        <f t="shared" si="1"/>
        <v>84</v>
      </c>
      <c r="B85" s="7" t="s">
        <v>643</v>
      </c>
      <c r="C85" s="40">
        <v>44987</v>
      </c>
      <c r="D85" t="s">
        <v>644</v>
      </c>
      <c r="E85" t="s">
        <v>645</v>
      </c>
      <c r="F85" t="s">
        <v>646</v>
      </c>
      <c r="G85" t="s">
        <v>193</v>
      </c>
      <c r="H85" s="38">
        <v>946</v>
      </c>
      <c r="I85" t="s">
        <v>647</v>
      </c>
      <c r="J85" t="s">
        <v>648</v>
      </c>
      <c r="K85" s="89" t="s">
        <v>838</v>
      </c>
      <c r="L85" s="89" t="s">
        <v>838</v>
      </c>
      <c r="M85" s="89" t="s">
        <v>838</v>
      </c>
      <c r="N85" s="89" t="s">
        <v>838</v>
      </c>
      <c r="O85" s="89" t="s">
        <v>838</v>
      </c>
      <c r="P85" s="89" t="s">
        <v>838</v>
      </c>
      <c r="Q85" s="89" t="s">
        <v>838</v>
      </c>
    </row>
    <row r="86" spans="1:17" x14ac:dyDescent="0.25">
      <c r="A86" s="83">
        <f t="shared" si="1"/>
        <v>85</v>
      </c>
      <c r="B86" s="7" t="s">
        <v>649</v>
      </c>
      <c r="C86" s="40">
        <v>44987</v>
      </c>
      <c r="D86" t="s">
        <v>220</v>
      </c>
      <c r="E86" t="s">
        <v>660</v>
      </c>
      <c r="F86" t="s">
        <v>650</v>
      </c>
      <c r="G86" t="s">
        <v>197</v>
      </c>
      <c r="H86" s="38">
        <v>2664</v>
      </c>
      <c r="I86" t="s">
        <v>651</v>
      </c>
      <c r="J86" t="s">
        <v>661</v>
      </c>
      <c r="K86" s="89" t="s">
        <v>838</v>
      </c>
      <c r="L86" s="89" t="s">
        <v>838</v>
      </c>
      <c r="M86" s="89" t="s">
        <v>838</v>
      </c>
      <c r="N86" s="89" t="s">
        <v>838</v>
      </c>
      <c r="O86" s="89" t="s">
        <v>838</v>
      </c>
      <c r="P86" s="89" t="s">
        <v>838</v>
      </c>
      <c r="Q86" s="89" t="s">
        <v>838</v>
      </c>
    </row>
    <row r="87" spans="1:17" x14ac:dyDescent="0.25">
      <c r="A87" s="81">
        <f t="shared" si="1"/>
        <v>86</v>
      </c>
      <c r="B87" s="7" t="s">
        <v>652</v>
      </c>
      <c r="C87" s="40">
        <v>44988</v>
      </c>
      <c r="D87" t="s">
        <v>533</v>
      </c>
      <c r="E87" t="s">
        <v>534</v>
      </c>
      <c r="F87" t="s">
        <v>653</v>
      </c>
      <c r="G87" t="s">
        <v>192</v>
      </c>
      <c r="H87" s="38">
        <v>2666.8</v>
      </c>
      <c r="I87" t="s">
        <v>654</v>
      </c>
      <c r="J87" t="s">
        <v>659</v>
      </c>
      <c r="K87" s="89" t="s">
        <v>838</v>
      </c>
      <c r="L87" s="89" t="s">
        <v>838</v>
      </c>
      <c r="M87" s="89" t="s">
        <v>838</v>
      </c>
      <c r="N87" s="89" t="s">
        <v>838</v>
      </c>
      <c r="O87" s="89" t="s">
        <v>838</v>
      </c>
      <c r="P87" s="89" t="s">
        <v>838</v>
      </c>
      <c r="Q87" s="89" t="s">
        <v>838</v>
      </c>
    </row>
    <row r="88" spans="1:17" x14ac:dyDescent="0.25">
      <c r="A88">
        <f t="shared" si="1"/>
        <v>87</v>
      </c>
      <c r="B88" s="7" t="s">
        <v>655</v>
      </c>
      <c r="C88" s="40">
        <v>44989</v>
      </c>
      <c r="D88" t="s">
        <v>656</v>
      </c>
      <c r="E88" t="s">
        <v>657</v>
      </c>
      <c r="F88" t="s">
        <v>658</v>
      </c>
      <c r="G88" t="s">
        <v>197</v>
      </c>
      <c r="H88" s="38">
        <v>1241</v>
      </c>
      <c r="I88" t="s">
        <v>304</v>
      </c>
      <c r="J88" t="s">
        <v>662</v>
      </c>
      <c r="K88" s="89" t="s">
        <v>838</v>
      </c>
      <c r="L88" s="89" t="s">
        <v>838</v>
      </c>
      <c r="M88" s="89" t="s">
        <v>838</v>
      </c>
      <c r="N88" s="89" t="s">
        <v>838</v>
      </c>
      <c r="O88" s="89" t="s">
        <v>838</v>
      </c>
      <c r="P88" s="89" t="s">
        <v>838</v>
      </c>
      <c r="Q88" s="89" t="s">
        <v>838</v>
      </c>
    </row>
    <row r="89" spans="1:17" x14ac:dyDescent="0.25">
      <c r="A89" s="83">
        <f t="shared" si="1"/>
        <v>88</v>
      </c>
      <c r="B89" s="7" t="s">
        <v>663</v>
      </c>
      <c r="C89" s="40">
        <v>44991</v>
      </c>
      <c r="D89" t="s">
        <v>664</v>
      </c>
      <c r="E89" t="s">
        <v>666</v>
      </c>
      <c r="F89" t="s">
        <v>665</v>
      </c>
      <c r="G89" t="s">
        <v>192</v>
      </c>
      <c r="H89" s="38">
        <v>3141</v>
      </c>
      <c r="I89" t="s">
        <v>667</v>
      </c>
      <c r="J89" t="s">
        <v>545</v>
      </c>
      <c r="K89" s="89" t="s">
        <v>838</v>
      </c>
      <c r="L89" s="89" t="s">
        <v>838</v>
      </c>
      <c r="M89" s="89" t="s">
        <v>838</v>
      </c>
      <c r="N89" s="89" t="s">
        <v>838</v>
      </c>
      <c r="O89" s="89" t="s">
        <v>838</v>
      </c>
      <c r="P89" s="89" t="s">
        <v>838</v>
      </c>
      <c r="Q89" s="89" t="s">
        <v>838</v>
      </c>
    </row>
    <row r="90" spans="1:17" x14ac:dyDescent="0.25">
      <c r="A90" s="83">
        <f t="shared" si="1"/>
        <v>89</v>
      </c>
      <c r="B90" s="7" t="s">
        <v>668</v>
      </c>
      <c r="C90" s="40">
        <v>44992</v>
      </c>
      <c r="D90" t="s">
        <v>669</v>
      </c>
      <c r="E90" t="s">
        <v>670</v>
      </c>
      <c r="F90" t="s">
        <v>671</v>
      </c>
      <c r="G90" t="s">
        <v>192</v>
      </c>
      <c r="H90" s="38">
        <v>1035</v>
      </c>
      <c r="I90" t="s">
        <v>672</v>
      </c>
      <c r="J90" t="s">
        <v>348</v>
      </c>
      <c r="K90" s="89" t="s">
        <v>838</v>
      </c>
      <c r="L90" s="89" t="s">
        <v>838</v>
      </c>
      <c r="M90" s="89" t="s">
        <v>838</v>
      </c>
      <c r="N90" s="89" t="s">
        <v>838</v>
      </c>
      <c r="O90" s="89" t="s">
        <v>838</v>
      </c>
      <c r="P90" s="89" t="s">
        <v>838</v>
      </c>
      <c r="Q90" s="89" t="s">
        <v>838</v>
      </c>
    </row>
    <row r="91" spans="1:17" x14ac:dyDescent="0.25">
      <c r="A91">
        <f t="shared" si="1"/>
        <v>90</v>
      </c>
      <c r="B91" s="7" t="s">
        <v>673</v>
      </c>
      <c r="C91" s="40">
        <v>44992</v>
      </c>
      <c r="D91" t="s">
        <v>674</v>
      </c>
      <c r="E91" t="s">
        <v>675</v>
      </c>
      <c r="F91" t="s">
        <v>676</v>
      </c>
      <c r="G91" t="s">
        <v>197</v>
      </c>
      <c r="H91" s="38">
        <v>960</v>
      </c>
      <c r="I91" t="s">
        <v>526</v>
      </c>
      <c r="J91" t="s">
        <v>348</v>
      </c>
      <c r="K91" s="89" t="s">
        <v>838</v>
      </c>
      <c r="L91" s="89" t="s">
        <v>838</v>
      </c>
      <c r="M91" s="89" t="s">
        <v>838</v>
      </c>
      <c r="N91" s="89" t="s">
        <v>838</v>
      </c>
      <c r="O91" s="89" t="s">
        <v>838</v>
      </c>
      <c r="P91" s="89" t="s">
        <v>838</v>
      </c>
      <c r="Q91" s="89" t="s">
        <v>838</v>
      </c>
    </row>
    <row r="92" spans="1:17" x14ac:dyDescent="0.25">
      <c r="A92" s="83">
        <f t="shared" si="1"/>
        <v>91</v>
      </c>
      <c r="B92" s="7" t="s">
        <v>677</v>
      </c>
      <c r="C92" s="40">
        <v>44981</v>
      </c>
      <c r="D92" t="s">
        <v>280</v>
      </c>
      <c r="E92" t="s">
        <v>281</v>
      </c>
      <c r="F92" t="s">
        <v>282</v>
      </c>
      <c r="G92" t="s">
        <v>192</v>
      </c>
      <c r="H92" s="38">
        <v>1784.6</v>
      </c>
      <c r="I92" t="s">
        <v>678</v>
      </c>
      <c r="J92" t="s">
        <v>219</v>
      </c>
      <c r="K92" s="89" t="s">
        <v>838</v>
      </c>
      <c r="L92" s="89" t="s">
        <v>838</v>
      </c>
      <c r="M92" s="89" t="s">
        <v>838</v>
      </c>
      <c r="N92" s="89" t="s">
        <v>838</v>
      </c>
      <c r="O92" s="89" t="s">
        <v>838</v>
      </c>
      <c r="P92" s="89" t="s">
        <v>838</v>
      </c>
      <c r="Q92" s="89" t="s">
        <v>838</v>
      </c>
    </row>
    <row r="93" spans="1:17" x14ac:dyDescent="0.25">
      <c r="A93" s="79">
        <f t="shared" si="1"/>
        <v>92</v>
      </c>
      <c r="B93" s="87" t="s">
        <v>680</v>
      </c>
      <c r="C93" s="40">
        <v>44993</v>
      </c>
      <c r="D93" t="s">
        <v>681</v>
      </c>
      <c r="E93" t="s">
        <v>682</v>
      </c>
      <c r="F93" t="s">
        <v>683</v>
      </c>
      <c r="G93" t="s">
        <v>193</v>
      </c>
      <c r="H93" s="38">
        <v>3147</v>
      </c>
      <c r="I93" t="s">
        <v>684</v>
      </c>
      <c r="J93" t="s">
        <v>685</v>
      </c>
      <c r="K93" s="89" t="s">
        <v>838</v>
      </c>
      <c r="L93" s="89" t="s">
        <v>838</v>
      </c>
      <c r="M93" s="89" t="s">
        <v>838</v>
      </c>
      <c r="N93" s="89" t="s">
        <v>838</v>
      </c>
      <c r="O93" s="89" t="s">
        <v>838</v>
      </c>
      <c r="P93" s="89" t="s">
        <v>838</v>
      </c>
      <c r="Q93" s="89" t="s">
        <v>838</v>
      </c>
    </row>
    <row r="94" spans="1:17" x14ac:dyDescent="0.25">
      <c r="A94" s="83">
        <f t="shared" si="1"/>
        <v>93</v>
      </c>
      <c r="B94" s="7" t="s">
        <v>686</v>
      </c>
      <c r="C94" s="40">
        <v>44994</v>
      </c>
      <c r="D94" t="s">
        <v>687</v>
      </c>
      <c r="E94" t="s">
        <v>688</v>
      </c>
      <c r="F94" t="s">
        <v>689</v>
      </c>
      <c r="G94" t="s">
        <v>192</v>
      </c>
      <c r="H94" s="38">
        <v>1164</v>
      </c>
      <c r="I94" t="s">
        <v>690</v>
      </c>
      <c r="J94" t="s">
        <v>349</v>
      </c>
      <c r="K94" s="89" t="s">
        <v>838</v>
      </c>
      <c r="L94" s="89" t="s">
        <v>838</v>
      </c>
      <c r="M94" s="89" t="s">
        <v>838</v>
      </c>
      <c r="N94" s="89" t="s">
        <v>838</v>
      </c>
      <c r="O94" s="89" t="s">
        <v>838</v>
      </c>
      <c r="P94" s="89" t="s">
        <v>838</v>
      </c>
      <c r="Q94" s="89" t="s">
        <v>838</v>
      </c>
    </row>
    <row r="95" spans="1:17" x14ac:dyDescent="0.25">
      <c r="A95" s="83">
        <f t="shared" si="1"/>
        <v>94</v>
      </c>
      <c r="B95" s="7" t="s">
        <v>691</v>
      </c>
      <c r="C95" s="40">
        <v>44995</v>
      </c>
      <c r="D95" t="s">
        <v>333</v>
      </c>
      <c r="E95" t="s">
        <v>334</v>
      </c>
      <c r="F95" t="s">
        <v>692</v>
      </c>
      <c r="G95" t="s">
        <v>192</v>
      </c>
      <c r="H95" s="38">
        <v>7622.53</v>
      </c>
      <c r="I95" t="s">
        <v>693</v>
      </c>
      <c r="J95" t="s">
        <v>699</v>
      </c>
      <c r="K95" s="89" t="s">
        <v>838</v>
      </c>
      <c r="L95" s="89" t="s">
        <v>838</v>
      </c>
      <c r="M95" s="89" t="s">
        <v>838</v>
      </c>
      <c r="N95" s="89" t="s">
        <v>838</v>
      </c>
      <c r="O95" s="89" t="s">
        <v>838</v>
      </c>
      <c r="P95" s="89" t="s">
        <v>838</v>
      </c>
      <c r="Q95" s="89" t="s">
        <v>838</v>
      </c>
    </row>
    <row r="96" spans="1:17" x14ac:dyDescent="0.25">
      <c r="A96">
        <f t="shared" si="1"/>
        <v>95</v>
      </c>
      <c r="B96" s="7" t="s">
        <v>694</v>
      </c>
      <c r="C96" s="40">
        <v>44996</v>
      </c>
      <c r="D96" t="s">
        <v>695</v>
      </c>
      <c r="E96" t="s">
        <v>696</v>
      </c>
      <c r="F96" t="s">
        <v>697</v>
      </c>
      <c r="G96" t="s">
        <v>197</v>
      </c>
      <c r="H96" s="38">
        <v>1365</v>
      </c>
      <c r="I96" t="s">
        <v>698</v>
      </c>
      <c r="J96" t="s">
        <v>349</v>
      </c>
      <c r="K96" s="89" t="s">
        <v>838</v>
      </c>
      <c r="L96" s="89" t="s">
        <v>838</v>
      </c>
      <c r="M96" s="89" t="s">
        <v>838</v>
      </c>
      <c r="N96" s="89" t="s">
        <v>838</v>
      </c>
      <c r="O96" s="89" t="s">
        <v>838</v>
      </c>
      <c r="P96" s="89" t="s">
        <v>838</v>
      </c>
      <c r="Q96" s="89" t="s">
        <v>838</v>
      </c>
    </row>
    <row r="97" spans="1:17" x14ac:dyDescent="0.25">
      <c r="A97" s="83">
        <f t="shared" si="1"/>
        <v>96</v>
      </c>
      <c r="B97" s="7" t="s">
        <v>700</v>
      </c>
      <c r="C97" s="40">
        <v>44985</v>
      </c>
      <c r="D97" t="s">
        <v>701</v>
      </c>
      <c r="E97" t="s">
        <v>702</v>
      </c>
      <c r="F97" t="s">
        <v>703</v>
      </c>
      <c r="G97" t="s">
        <v>192</v>
      </c>
      <c r="H97" s="38">
        <v>2482</v>
      </c>
      <c r="I97" t="s">
        <v>704</v>
      </c>
      <c r="J97" t="s">
        <v>219</v>
      </c>
      <c r="K97" s="89" t="s">
        <v>838</v>
      </c>
      <c r="L97" s="89" t="s">
        <v>838</v>
      </c>
      <c r="M97" s="89" t="s">
        <v>838</v>
      </c>
      <c r="N97" s="89" t="s">
        <v>838</v>
      </c>
      <c r="O97" s="89" t="s">
        <v>838</v>
      </c>
      <c r="P97" s="89" t="s">
        <v>838</v>
      </c>
      <c r="Q97" s="89" t="s">
        <v>838</v>
      </c>
    </row>
    <row r="98" spans="1:17" x14ac:dyDescent="0.25">
      <c r="A98">
        <f t="shared" si="1"/>
        <v>97</v>
      </c>
      <c r="B98" s="7" t="s">
        <v>706</v>
      </c>
      <c r="C98" s="40">
        <v>44992</v>
      </c>
      <c r="D98" t="s">
        <v>707</v>
      </c>
      <c r="E98" t="s">
        <v>708</v>
      </c>
      <c r="F98" t="s">
        <v>709</v>
      </c>
      <c r="G98" t="s">
        <v>193</v>
      </c>
      <c r="H98" s="38">
        <v>1510</v>
      </c>
      <c r="I98" t="s">
        <v>710</v>
      </c>
      <c r="J98" t="s">
        <v>716</v>
      </c>
      <c r="K98" s="89" t="s">
        <v>838</v>
      </c>
      <c r="L98" s="89" t="s">
        <v>838</v>
      </c>
      <c r="M98" s="89" t="s">
        <v>838</v>
      </c>
      <c r="N98" s="89" t="s">
        <v>838</v>
      </c>
      <c r="O98" s="89" t="s">
        <v>838</v>
      </c>
      <c r="P98" s="89" t="s">
        <v>838</v>
      </c>
      <c r="Q98" s="89" t="s">
        <v>838</v>
      </c>
    </row>
    <row r="99" spans="1:17" x14ac:dyDescent="0.25">
      <c r="A99" s="83">
        <f t="shared" si="1"/>
        <v>98</v>
      </c>
      <c r="B99" s="7" t="s">
        <v>711</v>
      </c>
      <c r="C99" s="40">
        <v>44999</v>
      </c>
      <c r="D99" t="s">
        <v>712</v>
      </c>
      <c r="E99" t="s">
        <v>713</v>
      </c>
      <c r="F99" t="s">
        <v>714</v>
      </c>
      <c r="G99" t="s">
        <v>192</v>
      </c>
      <c r="H99" s="38">
        <v>971</v>
      </c>
      <c r="I99" t="s">
        <v>715</v>
      </c>
      <c r="J99" t="s">
        <v>348</v>
      </c>
      <c r="K99" s="89" t="s">
        <v>838</v>
      </c>
      <c r="L99" s="89" t="s">
        <v>838</v>
      </c>
      <c r="M99" s="89" t="s">
        <v>838</v>
      </c>
      <c r="N99" s="89" t="s">
        <v>838</v>
      </c>
      <c r="O99" s="89" t="s">
        <v>838</v>
      </c>
      <c r="P99" s="89" t="s">
        <v>838</v>
      </c>
      <c r="Q99" s="89" t="s">
        <v>838</v>
      </c>
    </row>
    <row r="100" spans="1:17" x14ac:dyDescent="0.25">
      <c r="A100" s="83">
        <f t="shared" si="1"/>
        <v>99</v>
      </c>
      <c r="B100" s="7" t="s">
        <v>717</v>
      </c>
      <c r="C100" s="40">
        <v>45000</v>
      </c>
      <c r="D100" t="s">
        <v>718</v>
      </c>
      <c r="E100" t="s">
        <v>719</v>
      </c>
      <c r="F100" t="s">
        <v>720</v>
      </c>
      <c r="G100" t="s">
        <v>192</v>
      </c>
      <c r="H100" s="38">
        <v>8141</v>
      </c>
      <c r="I100" t="s">
        <v>721</v>
      </c>
      <c r="J100" t="s">
        <v>722</v>
      </c>
      <c r="K100" s="89" t="s">
        <v>838</v>
      </c>
      <c r="L100" s="89" t="s">
        <v>838</v>
      </c>
      <c r="M100" s="89" t="s">
        <v>838</v>
      </c>
      <c r="N100" s="89" t="s">
        <v>838</v>
      </c>
      <c r="O100" s="89" t="s">
        <v>838</v>
      </c>
      <c r="P100" s="89" t="s">
        <v>838</v>
      </c>
      <c r="Q100" s="89" t="s">
        <v>838</v>
      </c>
    </row>
    <row r="101" spans="1:17" x14ac:dyDescent="0.25">
      <c r="A101" s="83">
        <f t="shared" si="1"/>
        <v>100</v>
      </c>
      <c r="B101" s="7" t="s">
        <v>723</v>
      </c>
      <c r="C101" s="40">
        <v>44999</v>
      </c>
      <c r="D101" t="s">
        <v>724</v>
      </c>
      <c r="E101" t="s">
        <v>725</v>
      </c>
      <c r="F101" t="s">
        <v>726</v>
      </c>
      <c r="G101" t="s">
        <v>192</v>
      </c>
      <c r="H101" s="38">
        <v>1505.58</v>
      </c>
      <c r="I101" t="s">
        <v>727</v>
      </c>
      <c r="J101" t="s">
        <v>348</v>
      </c>
      <c r="K101" s="89" t="s">
        <v>838</v>
      </c>
      <c r="L101" s="89" t="s">
        <v>838</v>
      </c>
      <c r="M101" s="89" t="s">
        <v>838</v>
      </c>
      <c r="N101" s="89" t="s">
        <v>838</v>
      </c>
      <c r="O101" s="89" t="s">
        <v>838</v>
      </c>
      <c r="P101" s="89" t="s">
        <v>838</v>
      </c>
      <c r="Q101" s="89" t="s">
        <v>838</v>
      </c>
    </row>
    <row r="102" spans="1:17" x14ac:dyDescent="0.25">
      <c r="A102">
        <f t="shared" si="1"/>
        <v>101</v>
      </c>
      <c r="B102" s="7" t="s">
        <v>728</v>
      </c>
      <c r="C102" s="40">
        <v>45001</v>
      </c>
      <c r="D102" t="s">
        <v>729</v>
      </c>
      <c r="E102" t="s">
        <v>730</v>
      </c>
      <c r="F102" t="s">
        <v>731</v>
      </c>
      <c r="G102" t="s">
        <v>197</v>
      </c>
      <c r="H102" s="38">
        <v>7228</v>
      </c>
      <c r="I102" t="s">
        <v>732</v>
      </c>
      <c r="J102" t="s">
        <v>733</v>
      </c>
      <c r="K102" s="89" t="s">
        <v>838</v>
      </c>
      <c r="L102" s="89" t="s">
        <v>838</v>
      </c>
      <c r="M102" s="89" t="s">
        <v>838</v>
      </c>
      <c r="N102" s="89" t="s">
        <v>838</v>
      </c>
      <c r="O102" s="89" t="s">
        <v>838</v>
      </c>
      <c r="P102" s="89" t="s">
        <v>838</v>
      </c>
      <c r="Q102" s="89" t="s">
        <v>838</v>
      </c>
    </row>
    <row r="103" spans="1:17" x14ac:dyDescent="0.25">
      <c r="A103">
        <f t="shared" si="1"/>
        <v>102</v>
      </c>
      <c r="B103" s="7" t="s">
        <v>734</v>
      </c>
      <c r="C103" s="40">
        <v>45002</v>
      </c>
      <c r="D103" t="s">
        <v>735</v>
      </c>
      <c r="E103" t="s">
        <v>736</v>
      </c>
      <c r="F103" t="s">
        <v>737</v>
      </c>
      <c r="G103" t="s">
        <v>197</v>
      </c>
      <c r="H103" s="38">
        <v>1658</v>
      </c>
      <c r="I103" t="s">
        <v>738</v>
      </c>
      <c r="J103" t="s">
        <v>749</v>
      </c>
      <c r="K103" s="89" t="s">
        <v>838</v>
      </c>
      <c r="L103" s="89" t="s">
        <v>838</v>
      </c>
      <c r="M103" s="89" t="s">
        <v>838</v>
      </c>
      <c r="N103" s="89" t="s">
        <v>838</v>
      </c>
      <c r="O103" s="89" t="s">
        <v>838</v>
      </c>
      <c r="P103" s="89" t="s">
        <v>838</v>
      </c>
      <c r="Q103" s="89" t="s">
        <v>838</v>
      </c>
    </row>
    <row r="104" spans="1:17" x14ac:dyDescent="0.25">
      <c r="A104">
        <f t="shared" si="1"/>
        <v>103</v>
      </c>
      <c r="B104" s="7" t="s">
        <v>739</v>
      </c>
      <c r="C104" s="40">
        <v>44998</v>
      </c>
      <c r="D104" t="s">
        <v>740</v>
      </c>
      <c r="E104" t="s">
        <v>741</v>
      </c>
      <c r="F104" t="s">
        <v>742</v>
      </c>
      <c r="G104" t="s">
        <v>193</v>
      </c>
      <c r="H104" s="38">
        <v>6143.86</v>
      </c>
      <c r="I104" t="s">
        <v>743</v>
      </c>
      <c r="J104" t="s">
        <v>349</v>
      </c>
      <c r="K104" s="89" t="s">
        <v>838</v>
      </c>
      <c r="L104" s="89" t="s">
        <v>838</v>
      </c>
      <c r="M104" s="89" t="s">
        <v>838</v>
      </c>
      <c r="N104" s="89" t="s">
        <v>838</v>
      </c>
      <c r="O104" s="89" t="s">
        <v>838</v>
      </c>
      <c r="P104" s="89" t="s">
        <v>838</v>
      </c>
      <c r="Q104" s="89" t="s">
        <v>838</v>
      </c>
    </row>
    <row r="105" spans="1:17" x14ac:dyDescent="0.25">
      <c r="A105" s="82">
        <f t="shared" si="1"/>
        <v>104</v>
      </c>
      <c r="B105" s="7" t="s">
        <v>744</v>
      </c>
      <c r="C105" s="40">
        <v>44993</v>
      </c>
      <c r="D105" t="s">
        <v>745</v>
      </c>
      <c r="E105" t="s">
        <v>746</v>
      </c>
      <c r="F105" t="s">
        <v>747</v>
      </c>
      <c r="G105" t="s">
        <v>193</v>
      </c>
      <c r="H105" s="38">
        <v>1537</v>
      </c>
      <c r="I105" t="s">
        <v>748</v>
      </c>
      <c r="J105" t="s">
        <v>349</v>
      </c>
      <c r="K105" s="89" t="s">
        <v>838</v>
      </c>
      <c r="L105" s="89" t="s">
        <v>838</v>
      </c>
      <c r="M105" s="89" t="s">
        <v>838</v>
      </c>
      <c r="N105" s="89" t="s">
        <v>838</v>
      </c>
      <c r="O105" s="89" t="s">
        <v>838</v>
      </c>
      <c r="P105" s="89" t="s">
        <v>838</v>
      </c>
      <c r="Q105" s="89" t="s">
        <v>838</v>
      </c>
    </row>
    <row r="106" spans="1:17" x14ac:dyDescent="0.25">
      <c r="A106" s="82">
        <f t="shared" si="1"/>
        <v>105</v>
      </c>
      <c r="B106" s="7" t="s">
        <v>750</v>
      </c>
      <c r="C106" s="40">
        <v>45003</v>
      </c>
      <c r="D106" t="s">
        <v>751</v>
      </c>
      <c r="E106" t="s">
        <v>752</v>
      </c>
      <c r="F106" t="s">
        <v>753</v>
      </c>
      <c r="G106" t="s">
        <v>197</v>
      </c>
      <c r="H106" s="38">
        <v>6032</v>
      </c>
      <c r="I106" t="s">
        <v>754</v>
      </c>
      <c r="J106" t="s">
        <v>348</v>
      </c>
      <c r="K106" s="89" t="s">
        <v>838</v>
      </c>
      <c r="L106" s="89" t="s">
        <v>838</v>
      </c>
      <c r="M106" s="89" t="s">
        <v>838</v>
      </c>
      <c r="N106" s="89" t="s">
        <v>838</v>
      </c>
      <c r="O106" s="89" t="s">
        <v>838</v>
      </c>
      <c r="P106" s="89" t="s">
        <v>838</v>
      </c>
      <c r="Q106" s="89" t="s">
        <v>838</v>
      </c>
    </row>
    <row r="107" spans="1:17" x14ac:dyDescent="0.25">
      <c r="A107">
        <f t="shared" si="1"/>
        <v>106</v>
      </c>
      <c r="B107" s="98" t="s">
        <v>755</v>
      </c>
      <c r="C107" s="40">
        <v>45006</v>
      </c>
      <c r="D107" t="s">
        <v>756</v>
      </c>
      <c r="E107" t="s">
        <v>757</v>
      </c>
      <c r="F107" t="s">
        <v>758</v>
      </c>
      <c r="G107" t="s">
        <v>197</v>
      </c>
      <c r="H107" s="38">
        <v>1296</v>
      </c>
      <c r="I107" t="s">
        <v>759</v>
      </c>
      <c r="J107" t="s">
        <v>315</v>
      </c>
      <c r="K107" s="89" t="s">
        <v>838</v>
      </c>
      <c r="L107" s="89" t="s">
        <v>838</v>
      </c>
      <c r="M107" s="89" t="s">
        <v>838</v>
      </c>
      <c r="N107" s="89" t="s">
        <v>838</v>
      </c>
      <c r="O107" s="89" t="s">
        <v>838</v>
      </c>
      <c r="P107" s="89" t="s">
        <v>838</v>
      </c>
      <c r="Q107" s="89" t="s">
        <v>838</v>
      </c>
    </row>
    <row r="108" spans="1:17" x14ac:dyDescent="0.25">
      <c r="A108">
        <f t="shared" si="1"/>
        <v>107</v>
      </c>
      <c r="B108" s="7" t="s">
        <v>760</v>
      </c>
      <c r="C108" s="40">
        <v>45001</v>
      </c>
      <c r="D108" t="s">
        <v>1485</v>
      </c>
      <c r="E108" t="s">
        <v>763</v>
      </c>
      <c r="F108" t="s">
        <v>764</v>
      </c>
      <c r="G108" t="s">
        <v>197</v>
      </c>
      <c r="H108" s="38">
        <v>3072</v>
      </c>
      <c r="I108" t="s">
        <v>765</v>
      </c>
      <c r="J108" t="s">
        <v>349</v>
      </c>
      <c r="K108" s="89" t="s">
        <v>838</v>
      </c>
      <c r="L108" s="89" t="s">
        <v>838</v>
      </c>
      <c r="M108" s="89" t="s">
        <v>838</v>
      </c>
      <c r="N108" s="89" t="s">
        <v>838</v>
      </c>
      <c r="O108" s="89" t="s">
        <v>838</v>
      </c>
      <c r="P108" s="89" t="s">
        <v>838</v>
      </c>
      <c r="Q108" s="89" t="s">
        <v>838</v>
      </c>
    </row>
    <row r="109" spans="1:17" x14ac:dyDescent="0.25">
      <c r="A109">
        <f t="shared" si="1"/>
        <v>108</v>
      </c>
      <c r="B109" s="7" t="s">
        <v>761</v>
      </c>
      <c r="C109" s="40">
        <v>45007</v>
      </c>
      <c r="D109" t="s">
        <v>766</v>
      </c>
      <c r="E109" t="s">
        <v>767</v>
      </c>
      <c r="F109" t="s">
        <v>768</v>
      </c>
      <c r="G109" t="s">
        <v>197</v>
      </c>
      <c r="H109" s="38">
        <v>946</v>
      </c>
      <c r="I109" t="s">
        <v>769</v>
      </c>
      <c r="J109" t="s">
        <v>770</v>
      </c>
      <c r="K109" s="89" t="s">
        <v>838</v>
      </c>
      <c r="L109" s="89" t="s">
        <v>838</v>
      </c>
      <c r="M109" s="89" t="s">
        <v>838</v>
      </c>
      <c r="N109" s="89" t="s">
        <v>838</v>
      </c>
      <c r="O109" s="89" t="s">
        <v>838</v>
      </c>
      <c r="P109" s="89" t="s">
        <v>838</v>
      </c>
      <c r="Q109" s="89" t="s">
        <v>838</v>
      </c>
    </row>
    <row r="110" spans="1:17" x14ac:dyDescent="0.25">
      <c r="A110">
        <f t="shared" si="1"/>
        <v>109</v>
      </c>
      <c r="B110" s="7" t="s">
        <v>771</v>
      </c>
      <c r="C110" s="40">
        <v>45002</v>
      </c>
      <c r="D110" t="s">
        <v>774</v>
      </c>
      <c r="E110" t="s">
        <v>775</v>
      </c>
      <c r="F110" t="s">
        <v>776</v>
      </c>
      <c r="G110" t="s">
        <v>197</v>
      </c>
      <c r="H110" s="38">
        <v>1242</v>
      </c>
      <c r="I110" t="s">
        <v>777</v>
      </c>
      <c r="J110" t="s">
        <v>348</v>
      </c>
      <c r="K110" s="89" t="s">
        <v>838</v>
      </c>
      <c r="L110" s="89" t="s">
        <v>838</v>
      </c>
      <c r="M110" s="89" t="s">
        <v>838</v>
      </c>
      <c r="N110" s="89" t="s">
        <v>838</v>
      </c>
      <c r="O110" s="89" t="s">
        <v>838</v>
      </c>
      <c r="P110" s="89" t="s">
        <v>838</v>
      </c>
      <c r="Q110" s="89" t="s">
        <v>838</v>
      </c>
    </row>
    <row r="111" spans="1:17" x14ac:dyDescent="0.25">
      <c r="A111" s="83">
        <f t="shared" si="1"/>
        <v>110</v>
      </c>
      <c r="B111" s="7" t="s">
        <v>772</v>
      </c>
      <c r="C111" s="40">
        <v>45003</v>
      </c>
      <c r="D111" t="s">
        <v>778</v>
      </c>
      <c r="E111" t="s">
        <v>779</v>
      </c>
      <c r="F111" t="s">
        <v>780</v>
      </c>
      <c r="G111" t="s">
        <v>192</v>
      </c>
      <c r="H111" s="38">
        <v>1148.43</v>
      </c>
      <c r="I111" t="s">
        <v>781</v>
      </c>
      <c r="J111" t="s">
        <v>782</v>
      </c>
      <c r="K111" s="89" t="s">
        <v>838</v>
      </c>
      <c r="L111" s="89" t="s">
        <v>838</v>
      </c>
      <c r="M111" s="89" t="s">
        <v>838</v>
      </c>
      <c r="N111" s="89" t="s">
        <v>838</v>
      </c>
      <c r="O111" s="89" t="s">
        <v>838</v>
      </c>
      <c r="P111" s="89" t="s">
        <v>838</v>
      </c>
      <c r="Q111" s="89" t="s">
        <v>838</v>
      </c>
    </row>
    <row r="112" spans="1:17" x14ac:dyDescent="0.25">
      <c r="A112" s="83">
        <f t="shared" si="1"/>
        <v>111</v>
      </c>
      <c r="B112" s="7" t="s">
        <v>773</v>
      </c>
      <c r="C112" s="40">
        <v>45009</v>
      </c>
      <c r="D112" t="s">
        <v>783</v>
      </c>
      <c r="E112" t="s">
        <v>2771</v>
      </c>
      <c r="F112" t="s">
        <v>785</v>
      </c>
      <c r="G112" t="s">
        <v>192</v>
      </c>
      <c r="H112" s="38">
        <v>1636</v>
      </c>
      <c r="I112" t="s">
        <v>786</v>
      </c>
      <c r="J112" t="s">
        <v>798</v>
      </c>
      <c r="K112" s="89" t="s">
        <v>838</v>
      </c>
      <c r="L112" s="89" t="s">
        <v>838</v>
      </c>
      <c r="M112" s="89" t="s">
        <v>838</v>
      </c>
      <c r="N112" s="89" t="s">
        <v>838</v>
      </c>
      <c r="O112" s="89" t="s">
        <v>838</v>
      </c>
      <c r="P112" s="89" t="s">
        <v>838</v>
      </c>
      <c r="Q112" s="89" t="s">
        <v>838</v>
      </c>
    </row>
    <row r="113" spans="1:17" x14ac:dyDescent="0.25">
      <c r="A113" s="81">
        <f t="shared" si="1"/>
        <v>112</v>
      </c>
      <c r="B113" s="7" t="s">
        <v>787</v>
      </c>
      <c r="C113" s="40">
        <v>45010</v>
      </c>
      <c r="D113" t="s">
        <v>604</v>
      </c>
      <c r="E113" t="s">
        <v>605</v>
      </c>
      <c r="F113" t="s">
        <v>606</v>
      </c>
      <c r="G113" t="s">
        <v>192</v>
      </c>
      <c r="H113" s="38">
        <v>1434.4</v>
      </c>
      <c r="I113" t="s">
        <v>227</v>
      </c>
      <c r="J113" t="s">
        <v>348</v>
      </c>
      <c r="K113" s="89" t="s">
        <v>838</v>
      </c>
      <c r="L113" s="89" t="s">
        <v>838</v>
      </c>
      <c r="M113" s="89" t="s">
        <v>838</v>
      </c>
      <c r="N113" s="89" t="s">
        <v>838</v>
      </c>
      <c r="O113" s="89" t="s">
        <v>838</v>
      </c>
      <c r="P113" s="89" t="s">
        <v>838</v>
      </c>
      <c r="Q113" s="89" t="s">
        <v>838</v>
      </c>
    </row>
    <row r="114" spans="1:17" x14ac:dyDescent="0.25">
      <c r="A114">
        <f t="shared" si="1"/>
        <v>113</v>
      </c>
      <c r="B114" s="7" t="s">
        <v>788</v>
      </c>
      <c r="C114" s="40">
        <v>45013</v>
      </c>
      <c r="D114" t="s">
        <v>799</v>
      </c>
      <c r="E114" t="s">
        <v>800</v>
      </c>
      <c r="F114" t="s">
        <v>801</v>
      </c>
      <c r="G114" t="s">
        <v>197</v>
      </c>
      <c r="H114" s="38">
        <v>993</v>
      </c>
      <c r="I114" t="s">
        <v>802</v>
      </c>
      <c r="J114" t="s">
        <v>808</v>
      </c>
      <c r="K114" s="89" t="s">
        <v>838</v>
      </c>
      <c r="L114" s="89" t="s">
        <v>838</v>
      </c>
      <c r="M114" s="89" t="s">
        <v>838</v>
      </c>
      <c r="N114" s="89" t="s">
        <v>838</v>
      </c>
      <c r="O114" s="89" t="s">
        <v>838</v>
      </c>
      <c r="P114" s="89" t="s">
        <v>838</v>
      </c>
      <c r="Q114" s="89" t="s">
        <v>838</v>
      </c>
    </row>
    <row r="115" spans="1:17" x14ac:dyDescent="0.25">
      <c r="A115">
        <f t="shared" si="1"/>
        <v>114</v>
      </c>
      <c r="B115" s="7" t="s">
        <v>789</v>
      </c>
      <c r="C115" s="40">
        <v>45014</v>
      </c>
      <c r="D115" t="s">
        <v>803</v>
      </c>
      <c r="E115" t="s">
        <v>804</v>
      </c>
      <c r="F115" t="s">
        <v>805</v>
      </c>
      <c r="G115" t="s">
        <v>806</v>
      </c>
      <c r="H115" s="38">
        <v>3826.6</v>
      </c>
      <c r="I115" t="s">
        <v>807</v>
      </c>
      <c r="J115" t="s">
        <v>349</v>
      </c>
      <c r="K115" s="89" t="s">
        <v>838</v>
      </c>
      <c r="L115" s="89" t="s">
        <v>838</v>
      </c>
      <c r="M115" s="89" t="s">
        <v>838</v>
      </c>
      <c r="N115" s="89" t="s">
        <v>838</v>
      </c>
      <c r="O115" s="89" t="s">
        <v>838</v>
      </c>
      <c r="P115" s="89" t="s">
        <v>838</v>
      </c>
      <c r="Q115" s="89" t="s">
        <v>838</v>
      </c>
    </row>
    <row r="116" spans="1:17" ht="14.25" customHeight="1" x14ac:dyDescent="0.25">
      <c r="A116" s="83">
        <f t="shared" si="1"/>
        <v>115</v>
      </c>
      <c r="B116" s="7" t="s">
        <v>790</v>
      </c>
      <c r="C116" s="40">
        <v>45015</v>
      </c>
      <c r="D116" t="s">
        <v>823</v>
      </c>
      <c r="E116" t="s">
        <v>810</v>
      </c>
      <c r="F116" t="s">
        <v>811</v>
      </c>
      <c r="G116" t="s">
        <v>192</v>
      </c>
      <c r="H116" s="38">
        <v>2538</v>
      </c>
      <c r="I116" t="s">
        <v>812</v>
      </c>
      <c r="J116" t="s">
        <v>659</v>
      </c>
      <c r="K116" s="89" t="s">
        <v>838</v>
      </c>
      <c r="L116" s="89" t="s">
        <v>838</v>
      </c>
      <c r="M116" s="89" t="s">
        <v>838</v>
      </c>
      <c r="N116" s="89" t="s">
        <v>838</v>
      </c>
      <c r="O116" s="89" t="s">
        <v>838</v>
      </c>
      <c r="P116" s="89" t="s">
        <v>838</v>
      </c>
      <c r="Q116" s="89" t="s">
        <v>838</v>
      </c>
    </row>
    <row r="117" spans="1:17" x14ac:dyDescent="0.25">
      <c r="A117">
        <f t="shared" si="1"/>
        <v>116</v>
      </c>
      <c r="B117" s="7" t="s">
        <v>791</v>
      </c>
      <c r="C117" s="40">
        <v>45016</v>
      </c>
      <c r="D117" t="s">
        <v>819</v>
      </c>
      <c r="E117" t="s">
        <v>820</v>
      </c>
      <c r="F117" t="s">
        <v>821</v>
      </c>
      <c r="G117" t="s">
        <v>197</v>
      </c>
      <c r="H117" s="38">
        <v>2681</v>
      </c>
      <c r="I117" t="s">
        <v>822</v>
      </c>
      <c r="J117" t="s">
        <v>348</v>
      </c>
      <c r="K117" t="s">
        <v>838</v>
      </c>
      <c r="L117" s="89" t="s">
        <v>838</v>
      </c>
      <c r="M117" s="89" t="s">
        <v>838</v>
      </c>
      <c r="N117" s="89" t="s">
        <v>838</v>
      </c>
      <c r="O117" s="89" t="s">
        <v>838</v>
      </c>
      <c r="P117" s="89" t="s">
        <v>838</v>
      </c>
      <c r="Q117" s="89" t="s">
        <v>838</v>
      </c>
    </row>
    <row r="118" spans="1:17" x14ac:dyDescent="0.25">
      <c r="A118" s="81">
        <f t="shared" si="1"/>
        <v>117</v>
      </c>
      <c r="B118" s="7" t="s">
        <v>792</v>
      </c>
      <c r="C118" s="40">
        <v>45017</v>
      </c>
      <c r="D118" t="s">
        <v>824</v>
      </c>
      <c r="E118" t="s">
        <v>825</v>
      </c>
      <c r="F118" t="s">
        <v>826</v>
      </c>
      <c r="G118" t="s">
        <v>192</v>
      </c>
      <c r="H118" s="38">
        <v>1617.04</v>
      </c>
      <c r="I118" t="s">
        <v>827</v>
      </c>
      <c r="J118" t="s">
        <v>463</v>
      </c>
      <c r="K118" s="89" t="s">
        <v>838</v>
      </c>
      <c r="L118" s="89" t="s">
        <v>838</v>
      </c>
      <c r="M118" s="89" t="s">
        <v>838</v>
      </c>
      <c r="N118" s="89" t="s">
        <v>838</v>
      </c>
      <c r="O118" s="89" t="s">
        <v>838</v>
      </c>
      <c r="P118" s="89" t="s">
        <v>838</v>
      </c>
    </row>
    <row r="119" spans="1:17" x14ac:dyDescent="0.25">
      <c r="A119">
        <f t="shared" si="1"/>
        <v>118</v>
      </c>
      <c r="B119" s="7" t="s">
        <v>793</v>
      </c>
      <c r="C119" s="40">
        <v>45019</v>
      </c>
      <c r="D119" t="s">
        <v>2772</v>
      </c>
      <c r="E119" t="s">
        <v>830</v>
      </c>
      <c r="F119" t="s">
        <v>831</v>
      </c>
      <c r="G119" t="s">
        <v>197</v>
      </c>
      <c r="H119" s="38">
        <v>2268</v>
      </c>
      <c r="I119" t="s">
        <v>832</v>
      </c>
      <c r="J119" t="s">
        <v>833</v>
      </c>
      <c r="K119" s="89" t="s">
        <v>838</v>
      </c>
      <c r="L119" s="89" t="s">
        <v>838</v>
      </c>
      <c r="M119" s="89" t="s">
        <v>838</v>
      </c>
      <c r="N119" s="89" t="s">
        <v>838</v>
      </c>
      <c r="O119" s="89" t="s">
        <v>838</v>
      </c>
      <c r="P119" s="89" t="s">
        <v>838</v>
      </c>
    </row>
    <row r="120" spans="1:17" x14ac:dyDescent="0.25">
      <c r="A120">
        <f t="shared" si="1"/>
        <v>119</v>
      </c>
      <c r="B120" s="7" t="s">
        <v>794</v>
      </c>
      <c r="C120" s="40">
        <v>45019</v>
      </c>
      <c r="D120" t="s">
        <v>834</v>
      </c>
      <c r="E120" t="s">
        <v>835</v>
      </c>
      <c r="F120" t="s">
        <v>836</v>
      </c>
      <c r="G120" t="s">
        <v>197</v>
      </c>
      <c r="H120" s="38">
        <v>1200</v>
      </c>
      <c r="I120" t="s">
        <v>309</v>
      </c>
      <c r="J120" t="s">
        <v>837</v>
      </c>
      <c r="K120" s="89" t="s">
        <v>838</v>
      </c>
      <c r="L120" s="89" t="s">
        <v>838</v>
      </c>
      <c r="M120" s="89" t="s">
        <v>838</v>
      </c>
      <c r="N120" s="89" t="s">
        <v>838</v>
      </c>
      <c r="O120" s="89" t="s">
        <v>838</v>
      </c>
      <c r="P120" s="89" t="s">
        <v>838</v>
      </c>
    </row>
    <row r="121" spans="1:17" x14ac:dyDescent="0.25">
      <c r="A121" s="82">
        <f t="shared" si="1"/>
        <v>120</v>
      </c>
      <c r="B121" s="7" t="s">
        <v>795</v>
      </c>
      <c r="C121" s="40">
        <v>45015</v>
      </c>
      <c r="D121" t="s">
        <v>854</v>
      </c>
      <c r="E121" t="s">
        <v>855</v>
      </c>
      <c r="F121" t="s">
        <v>856</v>
      </c>
      <c r="G121" t="s">
        <v>197</v>
      </c>
      <c r="H121" s="38">
        <v>1746.12</v>
      </c>
      <c r="I121" t="s">
        <v>857</v>
      </c>
      <c r="J121" t="s">
        <v>463</v>
      </c>
      <c r="K121" s="89" t="s">
        <v>838</v>
      </c>
      <c r="L121" s="89" t="s">
        <v>838</v>
      </c>
      <c r="M121" s="89" t="s">
        <v>838</v>
      </c>
      <c r="N121" s="89" t="s">
        <v>838</v>
      </c>
      <c r="O121" s="89" t="s">
        <v>838</v>
      </c>
      <c r="P121" s="89" t="s">
        <v>838</v>
      </c>
    </row>
    <row r="122" spans="1:17" x14ac:dyDescent="0.25">
      <c r="A122">
        <f t="shared" si="1"/>
        <v>121</v>
      </c>
      <c r="B122" s="7" t="s">
        <v>796</v>
      </c>
      <c r="C122" s="40">
        <v>45020</v>
      </c>
      <c r="D122" t="s">
        <v>859</v>
      </c>
      <c r="E122" t="s">
        <v>860</v>
      </c>
      <c r="F122" t="s">
        <v>861</v>
      </c>
      <c r="G122" t="s">
        <v>197</v>
      </c>
      <c r="H122" s="38">
        <v>2070</v>
      </c>
      <c r="I122" t="s">
        <v>862</v>
      </c>
      <c r="J122" t="s">
        <v>219</v>
      </c>
      <c r="K122" s="89" t="s">
        <v>838</v>
      </c>
      <c r="L122" s="89" t="s">
        <v>838</v>
      </c>
      <c r="M122" s="89" t="s">
        <v>838</v>
      </c>
      <c r="N122" s="89" t="s">
        <v>838</v>
      </c>
      <c r="O122" s="89" t="s">
        <v>838</v>
      </c>
      <c r="P122" s="89" t="s">
        <v>838</v>
      </c>
    </row>
    <row r="123" spans="1:17" x14ac:dyDescent="0.25">
      <c r="A123">
        <f t="shared" si="1"/>
        <v>122</v>
      </c>
      <c r="B123" s="7" t="s">
        <v>797</v>
      </c>
      <c r="C123" s="40">
        <v>45021</v>
      </c>
      <c r="D123" t="s">
        <v>863</v>
      </c>
      <c r="E123" t="s">
        <v>864</v>
      </c>
      <c r="F123" t="s">
        <v>865</v>
      </c>
      <c r="G123" t="s">
        <v>197</v>
      </c>
      <c r="H123" s="38">
        <v>1242</v>
      </c>
      <c r="I123" t="s">
        <v>866</v>
      </c>
      <c r="J123" t="s">
        <v>963</v>
      </c>
      <c r="K123" s="89" t="s">
        <v>838</v>
      </c>
      <c r="L123" s="89" t="s">
        <v>838</v>
      </c>
      <c r="M123" s="89" t="s">
        <v>838</v>
      </c>
      <c r="N123" s="89" t="s">
        <v>838</v>
      </c>
      <c r="O123" s="89" t="s">
        <v>838</v>
      </c>
      <c r="P123" s="89" t="s">
        <v>838</v>
      </c>
    </row>
    <row r="124" spans="1:17" x14ac:dyDescent="0.25">
      <c r="A124" s="83">
        <v>123</v>
      </c>
      <c r="B124" s="7" t="s">
        <v>813</v>
      </c>
      <c r="C124" s="40">
        <v>45021</v>
      </c>
      <c r="D124" t="s">
        <v>867</v>
      </c>
      <c r="E124" t="s">
        <v>868</v>
      </c>
      <c r="F124" t="s">
        <v>869</v>
      </c>
      <c r="G124" t="s">
        <v>192</v>
      </c>
      <c r="H124" s="38">
        <v>2095</v>
      </c>
      <c r="I124" t="s">
        <v>870</v>
      </c>
      <c r="J124" t="s">
        <v>348</v>
      </c>
      <c r="K124" s="89" t="s">
        <v>838</v>
      </c>
      <c r="L124" s="89" t="s">
        <v>838</v>
      </c>
      <c r="M124" s="89" t="s">
        <v>838</v>
      </c>
      <c r="N124" s="89" t="s">
        <v>838</v>
      </c>
      <c r="O124" s="89" t="s">
        <v>838</v>
      </c>
      <c r="P124" s="89" t="s">
        <v>838</v>
      </c>
    </row>
    <row r="125" spans="1:17" x14ac:dyDescent="0.25">
      <c r="A125" s="97">
        <f t="shared" si="1"/>
        <v>124</v>
      </c>
      <c r="B125" s="7" t="s">
        <v>814</v>
      </c>
      <c r="C125" s="40">
        <v>45026</v>
      </c>
      <c r="D125" t="s">
        <v>871</v>
      </c>
      <c r="E125" t="s">
        <v>872</v>
      </c>
      <c r="F125" t="s">
        <v>873</v>
      </c>
      <c r="G125" t="s">
        <v>197</v>
      </c>
      <c r="H125" s="38">
        <v>1812</v>
      </c>
      <c r="I125" t="s">
        <v>874</v>
      </c>
      <c r="J125" t="s">
        <v>900</v>
      </c>
      <c r="K125" s="89" t="s">
        <v>838</v>
      </c>
      <c r="L125" s="89" t="s">
        <v>838</v>
      </c>
      <c r="M125" s="89" t="s">
        <v>838</v>
      </c>
      <c r="N125" s="89" t="s">
        <v>838</v>
      </c>
      <c r="O125" s="89" t="s">
        <v>838</v>
      </c>
      <c r="P125" s="89" t="s">
        <v>838</v>
      </c>
    </row>
    <row r="126" spans="1:17" x14ac:dyDescent="0.25">
      <c r="A126" s="82">
        <f t="shared" si="1"/>
        <v>125</v>
      </c>
      <c r="B126" s="7" t="s">
        <v>815</v>
      </c>
      <c r="C126" s="40">
        <v>45026</v>
      </c>
      <c r="D126" t="s">
        <v>875</v>
      </c>
      <c r="E126" t="s">
        <v>876</v>
      </c>
      <c r="F126" t="s">
        <v>877</v>
      </c>
      <c r="G126" t="s">
        <v>197</v>
      </c>
      <c r="H126" s="38">
        <v>2053.1999999999998</v>
      </c>
      <c r="I126" t="s">
        <v>878</v>
      </c>
      <c r="J126" t="s">
        <v>879</v>
      </c>
      <c r="K126" s="89" t="s">
        <v>838</v>
      </c>
      <c r="L126" s="89" t="s">
        <v>838</v>
      </c>
      <c r="M126" s="89" t="s">
        <v>838</v>
      </c>
      <c r="N126" s="89" t="s">
        <v>838</v>
      </c>
      <c r="O126" s="89" t="s">
        <v>838</v>
      </c>
      <c r="P126" s="89" t="s">
        <v>838</v>
      </c>
    </row>
    <row r="127" spans="1:17" x14ac:dyDescent="0.25">
      <c r="A127">
        <f t="shared" si="1"/>
        <v>126</v>
      </c>
      <c r="B127" s="7" t="s">
        <v>816</v>
      </c>
      <c r="C127" s="40">
        <v>45026</v>
      </c>
      <c r="D127" t="s">
        <v>880</v>
      </c>
      <c r="E127" t="s">
        <v>881</v>
      </c>
      <c r="F127" t="s">
        <v>882</v>
      </c>
      <c r="G127" t="s">
        <v>197</v>
      </c>
      <c r="H127" s="38">
        <v>960</v>
      </c>
      <c r="I127" t="s">
        <v>526</v>
      </c>
      <c r="J127" t="s">
        <v>901</v>
      </c>
      <c r="K127" s="89" t="s">
        <v>838</v>
      </c>
      <c r="L127" s="89" t="s">
        <v>838</v>
      </c>
      <c r="M127" s="89" t="s">
        <v>838</v>
      </c>
      <c r="N127" s="89" t="s">
        <v>838</v>
      </c>
      <c r="O127" s="89" t="s">
        <v>838</v>
      </c>
      <c r="P127" s="89" t="s">
        <v>838</v>
      </c>
    </row>
    <row r="128" spans="1:17" x14ac:dyDescent="0.25">
      <c r="A128">
        <f t="shared" si="1"/>
        <v>127</v>
      </c>
      <c r="B128" s="7" t="s">
        <v>817</v>
      </c>
      <c r="C128" s="40">
        <v>45017</v>
      </c>
      <c r="D128" t="s">
        <v>895</v>
      </c>
      <c r="E128" t="s">
        <v>896</v>
      </c>
      <c r="F128" t="s">
        <v>897</v>
      </c>
      <c r="G128" t="s">
        <v>197</v>
      </c>
      <c r="H128" s="38">
        <v>1339.8</v>
      </c>
      <c r="I128" t="s">
        <v>898</v>
      </c>
      <c r="J128" t="s">
        <v>899</v>
      </c>
      <c r="K128" s="89" t="s">
        <v>838</v>
      </c>
      <c r="L128" s="89" t="s">
        <v>838</v>
      </c>
      <c r="M128" s="89" t="s">
        <v>838</v>
      </c>
      <c r="N128" s="89" t="s">
        <v>838</v>
      </c>
      <c r="O128" s="89" t="s">
        <v>838</v>
      </c>
      <c r="P128" s="89" t="s">
        <v>838</v>
      </c>
    </row>
    <row r="129" spans="1:16" x14ac:dyDescent="0.25">
      <c r="A129" s="83">
        <f t="shared" si="1"/>
        <v>128</v>
      </c>
      <c r="B129" s="7" t="s">
        <v>818</v>
      </c>
      <c r="C129" s="40">
        <v>45019</v>
      </c>
      <c r="D129" t="s">
        <v>902</v>
      </c>
      <c r="E129" t="s">
        <v>903</v>
      </c>
      <c r="F129" t="s">
        <v>904</v>
      </c>
      <c r="G129" t="s">
        <v>192</v>
      </c>
      <c r="H129" s="38">
        <v>1784.63</v>
      </c>
      <c r="I129" t="s">
        <v>905</v>
      </c>
      <c r="J129" t="s">
        <v>917</v>
      </c>
      <c r="K129" s="89" t="s">
        <v>838</v>
      </c>
      <c r="L129" s="89" t="s">
        <v>838</v>
      </c>
      <c r="M129" s="89" t="s">
        <v>838</v>
      </c>
      <c r="N129" s="89" t="s">
        <v>838</v>
      </c>
      <c r="O129" s="89" t="s">
        <v>838</v>
      </c>
      <c r="P129" s="89" t="s">
        <v>838</v>
      </c>
    </row>
    <row r="130" spans="1:16" x14ac:dyDescent="0.25">
      <c r="A130" s="83">
        <f t="shared" si="1"/>
        <v>129</v>
      </c>
      <c r="B130" s="7" t="s">
        <v>842</v>
      </c>
      <c r="C130" s="40">
        <v>45027</v>
      </c>
      <c r="D130" t="s">
        <v>382</v>
      </c>
      <c r="E130" t="s">
        <v>383</v>
      </c>
      <c r="F130" t="s">
        <v>906</v>
      </c>
      <c r="G130" t="s">
        <v>192</v>
      </c>
      <c r="H130" s="38">
        <v>776</v>
      </c>
      <c r="I130" t="s">
        <v>907</v>
      </c>
      <c r="J130" t="s">
        <v>219</v>
      </c>
      <c r="K130" s="89" t="s">
        <v>838</v>
      </c>
      <c r="L130" s="89" t="s">
        <v>838</v>
      </c>
      <c r="M130" s="89" t="s">
        <v>838</v>
      </c>
      <c r="N130" s="89" t="s">
        <v>838</v>
      </c>
      <c r="O130" s="89" t="s">
        <v>838</v>
      </c>
      <c r="P130" s="89" t="s">
        <v>838</v>
      </c>
    </row>
    <row r="131" spans="1:16" x14ac:dyDescent="0.25">
      <c r="A131">
        <f t="shared" si="1"/>
        <v>130</v>
      </c>
      <c r="B131" s="7" t="s">
        <v>843</v>
      </c>
      <c r="C131" s="40">
        <v>45027</v>
      </c>
      <c r="D131" t="s">
        <v>908</v>
      </c>
      <c r="E131" t="s">
        <v>909</v>
      </c>
      <c r="F131" t="s">
        <v>910</v>
      </c>
      <c r="G131" t="s">
        <v>193</v>
      </c>
      <c r="H131" s="38">
        <v>1038</v>
      </c>
      <c r="I131" t="s">
        <v>911</v>
      </c>
      <c r="J131" t="s">
        <v>912</v>
      </c>
      <c r="K131" s="89" t="s">
        <v>838</v>
      </c>
      <c r="L131" s="89" t="s">
        <v>838</v>
      </c>
      <c r="M131" s="89" t="s">
        <v>838</v>
      </c>
      <c r="N131" s="89" t="s">
        <v>838</v>
      </c>
      <c r="O131" s="89" t="s">
        <v>838</v>
      </c>
      <c r="P131" s="89" t="s">
        <v>838</v>
      </c>
    </row>
    <row r="132" spans="1:16" x14ac:dyDescent="0.25">
      <c r="A132" s="82">
        <f t="shared" ref="A132:A195" si="2">A131+1</f>
        <v>131</v>
      </c>
      <c r="B132" s="7" t="s">
        <v>844</v>
      </c>
      <c r="C132" s="40">
        <v>45020</v>
      </c>
      <c r="D132" t="s">
        <v>913</v>
      </c>
      <c r="E132" t="s">
        <v>914</v>
      </c>
      <c r="F132" t="s">
        <v>915</v>
      </c>
      <c r="G132" t="s">
        <v>197</v>
      </c>
      <c r="H132" s="38">
        <v>6916.56</v>
      </c>
      <c r="I132" t="s">
        <v>916</v>
      </c>
      <c r="J132" t="s">
        <v>337</v>
      </c>
      <c r="K132" s="89" t="s">
        <v>838</v>
      </c>
      <c r="L132" s="89" t="s">
        <v>838</v>
      </c>
      <c r="M132" s="89" t="s">
        <v>838</v>
      </c>
      <c r="N132" s="89" t="s">
        <v>838</v>
      </c>
      <c r="O132" s="89" t="s">
        <v>838</v>
      </c>
      <c r="P132" s="89" t="s">
        <v>838</v>
      </c>
    </row>
    <row r="133" spans="1:16" x14ac:dyDescent="0.25">
      <c r="A133" s="83">
        <f t="shared" si="2"/>
        <v>132</v>
      </c>
      <c r="B133" s="87" t="s">
        <v>845</v>
      </c>
      <c r="C133" s="40">
        <v>45029</v>
      </c>
      <c r="D133" t="s">
        <v>318</v>
      </c>
      <c r="E133" t="s">
        <v>317</v>
      </c>
      <c r="F133" t="s">
        <v>918</v>
      </c>
      <c r="G133" t="s">
        <v>192</v>
      </c>
      <c r="H133" s="38">
        <v>2910.8</v>
      </c>
      <c r="I133" t="s">
        <v>919</v>
      </c>
      <c r="J133" t="s">
        <v>920</v>
      </c>
      <c r="K133" s="89" t="s">
        <v>838</v>
      </c>
      <c r="L133" s="89" t="s">
        <v>838</v>
      </c>
      <c r="M133" s="89" t="s">
        <v>838</v>
      </c>
      <c r="N133" s="89" t="s">
        <v>838</v>
      </c>
      <c r="O133" s="89" t="s">
        <v>838</v>
      </c>
      <c r="P133" s="89" t="s">
        <v>838</v>
      </c>
    </row>
    <row r="134" spans="1:16" x14ac:dyDescent="0.25">
      <c r="A134">
        <f t="shared" si="2"/>
        <v>133</v>
      </c>
      <c r="B134" s="7" t="s">
        <v>846</v>
      </c>
      <c r="C134" s="40">
        <v>45027</v>
      </c>
      <c r="D134" t="s">
        <v>921</v>
      </c>
      <c r="E134" t="s">
        <v>922</v>
      </c>
      <c r="F134" t="s">
        <v>928</v>
      </c>
      <c r="G134" t="s">
        <v>197</v>
      </c>
      <c r="H134" s="38">
        <v>1745</v>
      </c>
      <c r="I134" t="s">
        <v>923</v>
      </c>
      <c r="J134" t="s">
        <v>924</v>
      </c>
      <c r="K134" s="89" t="s">
        <v>838</v>
      </c>
      <c r="L134" s="89" t="s">
        <v>838</v>
      </c>
      <c r="M134" s="89" t="s">
        <v>838</v>
      </c>
      <c r="N134" s="89" t="s">
        <v>838</v>
      </c>
      <c r="O134" s="89" t="s">
        <v>838</v>
      </c>
      <c r="P134" s="89" t="s">
        <v>838</v>
      </c>
    </row>
    <row r="135" spans="1:16" x14ac:dyDescent="0.25">
      <c r="A135" s="83">
        <f t="shared" si="2"/>
        <v>134</v>
      </c>
      <c r="B135" s="7" t="s">
        <v>847</v>
      </c>
      <c r="C135" s="40">
        <v>45027</v>
      </c>
      <c r="D135" t="s">
        <v>925</v>
      </c>
      <c r="E135" t="s">
        <v>926</v>
      </c>
      <c r="F135" t="s">
        <v>927</v>
      </c>
      <c r="G135" t="s">
        <v>192</v>
      </c>
      <c r="H135" s="38">
        <v>1609</v>
      </c>
      <c r="I135" t="s">
        <v>929</v>
      </c>
      <c r="J135" t="s">
        <v>944</v>
      </c>
      <c r="K135" s="89" t="s">
        <v>838</v>
      </c>
      <c r="L135" s="89" t="s">
        <v>838</v>
      </c>
      <c r="M135" s="89" t="s">
        <v>838</v>
      </c>
      <c r="N135" s="89" t="s">
        <v>838</v>
      </c>
      <c r="O135" s="89" t="s">
        <v>838</v>
      </c>
      <c r="P135" s="89" t="s">
        <v>838</v>
      </c>
    </row>
    <row r="136" spans="1:16" x14ac:dyDescent="0.25">
      <c r="A136" s="83">
        <f t="shared" si="2"/>
        <v>135</v>
      </c>
      <c r="B136" s="7" t="s">
        <v>848</v>
      </c>
      <c r="C136" s="40">
        <v>45030</v>
      </c>
      <c r="D136" t="s">
        <v>930</v>
      </c>
      <c r="E136" t="s">
        <v>931</v>
      </c>
      <c r="F136" t="s">
        <v>932</v>
      </c>
      <c r="G136" t="s">
        <v>192</v>
      </c>
      <c r="H136" s="38">
        <v>960</v>
      </c>
      <c r="I136" t="s">
        <v>526</v>
      </c>
      <c r="J136" t="s">
        <v>933</v>
      </c>
      <c r="K136" s="89" t="s">
        <v>838</v>
      </c>
      <c r="L136" s="89" t="s">
        <v>838</v>
      </c>
      <c r="M136" s="89" t="s">
        <v>838</v>
      </c>
      <c r="N136" s="89" t="s">
        <v>838</v>
      </c>
      <c r="O136" s="89" t="s">
        <v>838</v>
      </c>
      <c r="P136" s="89" t="s">
        <v>838</v>
      </c>
    </row>
    <row r="137" spans="1:16" x14ac:dyDescent="0.25">
      <c r="A137" s="83">
        <f t="shared" si="2"/>
        <v>136</v>
      </c>
      <c r="B137" s="7" t="s">
        <v>849</v>
      </c>
      <c r="C137" s="40">
        <v>45031</v>
      </c>
      <c r="D137" t="s">
        <v>934</v>
      </c>
      <c r="E137" t="s">
        <v>935</v>
      </c>
      <c r="F137" t="s">
        <v>936</v>
      </c>
      <c r="G137" t="s">
        <v>192</v>
      </c>
      <c r="H137" s="38">
        <v>1305</v>
      </c>
      <c r="I137" t="s">
        <v>937</v>
      </c>
      <c r="J137" t="s">
        <v>938</v>
      </c>
      <c r="K137" s="89" t="s">
        <v>838</v>
      </c>
      <c r="L137" s="89" t="s">
        <v>838</v>
      </c>
      <c r="M137" s="89" t="s">
        <v>838</v>
      </c>
      <c r="N137" s="89" t="s">
        <v>838</v>
      </c>
      <c r="O137" s="89" t="s">
        <v>838</v>
      </c>
      <c r="P137" s="89" t="s">
        <v>838</v>
      </c>
    </row>
    <row r="138" spans="1:16" x14ac:dyDescent="0.25">
      <c r="A138" s="83">
        <f t="shared" si="2"/>
        <v>137</v>
      </c>
      <c r="B138" s="7" t="s">
        <v>850</v>
      </c>
      <c r="C138" s="40">
        <v>45033</v>
      </c>
      <c r="D138" t="s">
        <v>939</v>
      </c>
      <c r="E138" t="s">
        <v>940</v>
      </c>
      <c r="F138" t="s">
        <v>941</v>
      </c>
      <c r="G138" t="s">
        <v>192</v>
      </c>
      <c r="H138" s="38">
        <v>1537</v>
      </c>
      <c r="I138" t="s">
        <v>942</v>
      </c>
      <c r="J138" t="s">
        <v>943</v>
      </c>
      <c r="K138" s="89" t="s">
        <v>838</v>
      </c>
      <c r="L138" s="89" t="s">
        <v>838</v>
      </c>
      <c r="M138" s="89" t="s">
        <v>838</v>
      </c>
      <c r="N138" s="89" t="s">
        <v>838</v>
      </c>
      <c r="O138" s="89" t="s">
        <v>838</v>
      </c>
      <c r="P138" s="89" t="s">
        <v>838</v>
      </c>
    </row>
    <row r="139" spans="1:16" x14ac:dyDescent="0.25">
      <c r="A139">
        <f t="shared" si="2"/>
        <v>138</v>
      </c>
      <c r="B139" s="7" t="s">
        <v>851</v>
      </c>
      <c r="C139" s="40">
        <v>45034</v>
      </c>
      <c r="D139" t="s">
        <v>945</v>
      </c>
      <c r="E139" t="s">
        <v>946</v>
      </c>
      <c r="F139" t="s">
        <v>947</v>
      </c>
      <c r="G139" t="s">
        <v>197</v>
      </c>
      <c r="H139" s="38">
        <v>1169</v>
      </c>
      <c r="I139" t="s">
        <v>948</v>
      </c>
      <c r="J139" t="s">
        <v>958</v>
      </c>
      <c r="K139" s="89" t="s">
        <v>838</v>
      </c>
      <c r="L139" s="89" t="s">
        <v>838</v>
      </c>
      <c r="M139" s="89" t="s">
        <v>838</v>
      </c>
      <c r="N139" s="89" t="s">
        <v>838</v>
      </c>
      <c r="O139" s="89" t="s">
        <v>838</v>
      </c>
      <c r="P139" s="89" t="s">
        <v>838</v>
      </c>
    </row>
    <row r="140" spans="1:16" x14ac:dyDescent="0.25">
      <c r="A140">
        <f t="shared" si="2"/>
        <v>139</v>
      </c>
      <c r="B140" s="7" t="s">
        <v>852</v>
      </c>
      <c r="C140" s="40">
        <v>45035</v>
      </c>
      <c r="D140" t="s">
        <v>949</v>
      </c>
      <c r="E140" t="s">
        <v>950</v>
      </c>
      <c r="F140" t="s">
        <v>951</v>
      </c>
      <c r="G140" t="s">
        <v>197</v>
      </c>
      <c r="H140" s="38">
        <v>1170</v>
      </c>
      <c r="I140" t="s">
        <v>952</v>
      </c>
      <c r="J140" t="s">
        <v>953</v>
      </c>
      <c r="K140" s="89" t="s">
        <v>838</v>
      </c>
      <c r="L140" s="89" t="s">
        <v>838</v>
      </c>
      <c r="M140" s="89" t="s">
        <v>838</v>
      </c>
      <c r="N140" s="89" t="s">
        <v>838</v>
      </c>
      <c r="O140" s="89" t="s">
        <v>838</v>
      </c>
      <c r="P140" s="89" t="s">
        <v>838</v>
      </c>
    </row>
    <row r="141" spans="1:16" x14ac:dyDescent="0.25">
      <c r="A141" s="79">
        <f t="shared" si="2"/>
        <v>140</v>
      </c>
      <c r="B141" s="7" t="s">
        <v>853</v>
      </c>
      <c r="C141" s="40">
        <v>45035</v>
      </c>
      <c r="D141" t="s">
        <v>954</v>
      </c>
      <c r="E141" t="s">
        <v>955</v>
      </c>
      <c r="F141" t="s">
        <v>956</v>
      </c>
      <c r="G141" t="s">
        <v>197</v>
      </c>
      <c r="H141" s="38">
        <v>1664</v>
      </c>
      <c r="I141" t="s">
        <v>957</v>
      </c>
      <c r="J141" t="s">
        <v>962</v>
      </c>
      <c r="K141" s="89" t="s">
        <v>838</v>
      </c>
      <c r="L141" s="89" t="s">
        <v>838</v>
      </c>
      <c r="M141" s="89" t="s">
        <v>838</v>
      </c>
      <c r="N141" s="89" t="s">
        <v>838</v>
      </c>
      <c r="O141" s="89" t="s">
        <v>838</v>
      </c>
      <c r="P141" s="89" t="s">
        <v>838</v>
      </c>
    </row>
    <row r="142" spans="1:16" x14ac:dyDescent="0.25">
      <c r="A142" s="82">
        <f t="shared" si="2"/>
        <v>141</v>
      </c>
      <c r="B142" s="7" t="s">
        <v>883</v>
      </c>
      <c r="C142" s="40">
        <v>45031</v>
      </c>
      <c r="D142" t="s">
        <v>978</v>
      </c>
      <c r="E142" t="s">
        <v>959</v>
      </c>
      <c r="F142" t="s">
        <v>960</v>
      </c>
      <c r="G142" t="s">
        <v>197</v>
      </c>
      <c r="H142" s="38">
        <v>1619</v>
      </c>
      <c r="I142" t="s">
        <v>961</v>
      </c>
      <c r="J142" t="s">
        <v>349</v>
      </c>
      <c r="K142" s="89" t="s">
        <v>838</v>
      </c>
      <c r="L142" s="89" t="s">
        <v>838</v>
      </c>
      <c r="M142" s="89" t="s">
        <v>838</v>
      </c>
      <c r="N142" s="89" t="s">
        <v>838</v>
      </c>
      <c r="O142" s="89" t="s">
        <v>838</v>
      </c>
      <c r="P142" s="89" t="s">
        <v>838</v>
      </c>
    </row>
    <row r="143" spans="1:16" x14ac:dyDescent="0.25">
      <c r="A143" s="83">
        <f t="shared" si="2"/>
        <v>142</v>
      </c>
      <c r="B143" s="7" t="s">
        <v>884</v>
      </c>
      <c r="C143" s="40">
        <v>45033</v>
      </c>
      <c r="D143" t="s">
        <v>966</v>
      </c>
      <c r="E143" t="s">
        <v>967</v>
      </c>
      <c r="F143" t="s">
        <v>968</v>
      </c>
      <c r="G143" t="s">
        <v>192</v>
      </c>
      <c r="H143" s="38">
        <v>3930.56</v>
      </c>
      <c r="I143" t="s">
        <v>969</v>
      </c>
      <c r="J143" t="s">
        <v>977</v>
      </c>
      <c r="K143" s="89" t="s">
        <v>838</v>
      </c>
      <c r="L143" s="89" t="s">
        <v>838</v>
      </c>
      <c r="M143" s="89" t="s">
        <v>838</v>
      </c>
      <c r="N143" s="89" t="s">
        <v>838</v>
      </c>
      <c r="O143" s="89" t="s">
        <v>838</v>
      </c>
      <c r="P143" s="89" t="s">
        <v>838</v>
      </c>
    </row>
    <row r="144" spans="1:16" x14ac:dyDescent="0.25">
      <c r="A144" s="83">
        <f t="shared" si="2"/>
        <v>143</v>
      </c>
      <c r="B144" s="7" t="s">
        <v>885</v>
      </c>
      <c r="C144" s="40">
        <v>45037</v>
      </c>
      <c r="D144" t="s">
        <v>970</v>
      </c>
      <c r="E144" t="s">
        <v>971</v>
      </c>
      <c r="F144" t="s">
        <v>972</v>
      </c>
      <c r="G144" t="s">
        <v>192</v>
      </c>
      <c r="H144" s="38">
        <v>5879.55</v>
      </c>
      <c r="I144" t="s">
        <v>973</v>
      </c>
      <c r="J144" t="s">
        <v>348</v>
      </c>
      <c r="K144" s="89" t="s">
        <v>838</v>
      </c>
      <c r="L144" s="89" t="s">
        <v>838</v>
      </c>
      <c r="M144" s="89" t="s">
        <v>838</v>
      </c>
      <c r="N144" s="89" t="s">
        <v>838</v>
      </c>
      <c r="O144" s="89" t="s">
        <v>838</v>
      </c>
      <c r="P144" s="89" t="s">
        <v>838</v>
      </c>
    </row>
    <row r="145" spans="1:16" x14ac:dyDescent="0.25">
      <c r="A145">
        <f t="shared" si="2"/>
        <v>144</v>
      </c>
      <c r="B145" s="7" t="s">
        <v>886</v>
      </c>
      <c r="C145" s="40">
        <v>45040</v>
      </c>
      <c r="D145" t="s">
        <v>974</v>
      </c>
      <c r="E145" t="s">
        <v>975</v>
      </c>
      <c r="F145" t="s">
        <v>976</v>
      </c>
      <c r="G145" t="s">
        <v>197</v>
      </c>
      <c r="H145" s="38">
        <v>910</v>
      </c>
      <c r="I145" t="s">
        <v>586</v>
      </c>
      <c r="J145" t="s">
        <v>983</v>
      </c>
      <c r="K145" s="89" t="s">
        <v>838</v>
      </c>
      <c r="L145" s="89" t="s">
        <v>838</v>
      </c>
      <c r="M145" s="89" t="s">
        <v>838</v>
      </c>
      <c r="N145" s="89" t="s">
        <v>838</v>
      </c>
      <c r="O145" s="89" t="s">
        <v>838</v>
      </c>
      <c r="P145" s="89" t="s">
        <v>838</v>
      </c>
    </row>
    <row r="146" spans="1:16" x14ac:dyDescent="0.25">
      <c r="A146">
        <f t="shared" si="2"/>
        <v>145</v>
      </c>
      <c r="B146" s="7" t="s">
        <v>887</v>
      </c>
      <c r="C146" s="40">
        <v>45040</v>
      </c>
      <c r="D146" t="s">
        <v>979</v>
      </c>
      <c r="E146" t="s">
        <v>980</v>
      </c>
      <c r="F146" t="s">
        <v>981</v>
      </c>
      <c r="G146" t="s">
        <v>197</v>
      </c>
      <c r="H146" s="38">
        <v>1620</v>
      </c>
      <c r="I146" t="s">
        <v>982</v>
      </c>
      <c r="J146" t="s">
        <v>984</v>
      </c>
      <c r="K146" s="89" t="s">
        <v>838</v>
      </c>
      <c r="L146" s="89" t="s">
        <v>838</v>
      </c>
      <c r="M146" s="89" t="s">
        <v>838</v>
      </c>
      <c r="N146" s="89" t="s">
        <v>838</v>
      </c>
      <c r="O146" s="89" t="s">
        <v>838</v>
      </c>
      <c r="P146" s="89" t="s">
        <v>838</v>
      </c>
    </row>
    <row r="147" spans="1:16" x14ac:dyDescent="0.25">
      <c r="A147" s="83">
        <f t="shared" si="2"/>
        <v>146</v>
      </c>
      <c r="B147" s="7" t="s">
        <v>888</v>
      </c>
      <c r="C147" s="40">
        <v>45038</v>
      </c>
      <c r="D147" t="s">
        <v>985</v>
      </c>
      <c r="E147" t="s">
        <v>986</v>
      </c>
      <c r="F147" t="s">
        <v>987</v>
      </c>
      <c r="G147" t="s">
        <v>192</v>
      </c>
      <c r="H147" s="38">
        <v>3773</v>
      </c>
      <c r="I147" t="s">
        <v>988</v>
      </c>
      <c r="J147" t="s">
        <v>993</v>
      </c>
      <c r="K147" s="89" t="s">
        <v>838</v>
      </c>
      <c r="L147" s="89" t="s">
        <v>838</v>
      </c>
      <c r="M147" s="89" t="s">
        <v>838</v>
      </c>
      <c r="N147" s="89" t="s">
        <v>838</v>
      </c>
      <c r="O147" s="89" t="s">
        <v>838</v>
      </c>
      <c r="P147" s="89" t="s">
        <v>838</v>
      </c>
    </row>
    <row r="148" spans="1:16" x14ac:dyDescent="0.25">
      <c r="A148">
        <f t="shared" si="2"/>
        <v>147</v>
      </c>
      <c r="B148" s="7" t="s">
        <v>889</v>
      </c>
      <c r="C148" s="40">
        <v>45041</v>
      </c>
      <c r="D148" t="s">
        <v>989</v>
      </c>
      <c r="E148" t="s">
        <v>991</v>
      </c>
      <c r="F148" t="s">
        <v>990</v>
      </c>
      <c r="G148" t="s">
        <v>197</v>
      </c>
      <c r="H148" s="38">
        <v>1425</v>
      </c>
      <c r="I148" t="s">
        <v>992</v>
      </c>
      <c r="J148" t="s">
        <v>994</v>
      </c>
      <c r="K148" s="89" t="s">
        <v>838</v>
      </c>
      <c r="L148" s="89" t="s">
        <v>838</v>
      </c>
      <c r="M148" s="89" t="s">
        <v>838</v>
      </c>
      <c r="N148" s="89" t="s">
        <v>838</v>
      </c>
      <c r="O148" s="89" t="s">
        <v>838</v>
      </c>
      <c r="P148" s="89" t="s">
        <v>838</v>
      </c>
    </row>
    <row r="149" spans="1:16" x14ac:dyDescent="0.25">
      <c r="A149">
        <f t="shared" si="2"/>
        <v>148</v>
      </c>
      <c r="B149" s="7" t="s">
        <v>890</v>
      </c>
      <c r="C149" s="40">
        <v>45042</v>
      </c>
      <c r="D149" t="s">
        <v>995</v>
      </c>
      <c r="E149" t="s">
        <v>996</v>
      </c>
      <c r="F149" t="s">
        <v>997</v>
      </c>
      <c r="G149" t="s">
        <v>197</v>
      </c>
      <c r="H149" s="38">
        <v>1026</v>
      </c>
      <c r="I149" t="s">
        <v>998</v>
      </c>
      <c r="J149" t="s">
        <v>999</v>
      </c>
      <c r="K149" s="89" t="s">
        <v>838</v>
      </c>
      <c r="L149" s="89" t="s">
        <v>838</v>
      </c>
      <c r="M149" s="89" t="s">
        <v>838</v>
      </c>
      <c r="N149" s="89" t="s">
        <v>838</v>
      </c>
      <c r="O149" s="89" t="s">
        <v>838</v>
      </c>
      <c r="P149" s="89" t="s">
        <v>838</v>
      </c>
    </row>
    <row r="150" spans="1:16" x14ac:dyDescent="0.25">
      <c r="A150" s="79">
        <f t="shared" si="2"/>
        <v>149</v>
      </c>
      <c r="B150" s="7" t="s">
        <v>891</v>
      </c>
      <c r="C150" s="40">
        <v>44998</v>
      </c>
      <c r="D150" t="s">
        <v>839</v>
      </c>
      <c r="E150" t="s">
        <v>1000</v>
      </c>
      <c r="F150" t="s">
        <v>1001</v>
      </c>
      <c r="G150" t="s">
        <v>197</v>
      </c>
      <c r="H150" s="38">
        <v>1429</v>
      </c>
      <c r="I150" t="s">
        <v>1002</v>
      </c>
      <c r="J150" t="s">
        <v>1003</v>
      </c>
      <c r="K150" s="89" t="s">
        <v>838</v>
      </c>
      <c r="L150" s="89" t="s">
        <v>838</v>
      </c>
      <c r="M150" s="89" t="s">
        <v>838</v>
      </c>
      <c r="N150" s="89" t="s">
        <v>838</v>
      </c>
      <c r="O150" s="89" t="s">
        <v>838</v>
      </c>
      <c r="P150" s="89" t="s">
        <v>838</v>
      </c>
    </row>
    <row r="151" spans="1:16" x14ac:dyDescent="0.25">
      <c r="A151" s="83">
        <f t="shared" si="2"/>
        <v>150</v>
      </c>
      <c r="B151" s="7" t="s">
        <v>892</v>
      </c>
      <c r="C151" s="40">
        <v>45036</v>
      </c>
      <c r="D151" t="s">
        <v>1004</v>
      </c>
      <c r="E151" t="s">
        <v>1005</v>
      </c>
      <c r="F151" t="s">
        <v>1006</v>
      </c>
      <c r="G151" t="s">
        <v>806</v>
      </c>
      <c r="H151" s="38">
        <v>6469.2</v>
      </c>
      <c r="I151" t="s">
        <v>1007</v>
      </c>
      <c r="J151" t="s">
        <v>1008</v>
      </c>
      <c r="K151" s="89" t="s">
        <v>838</v>
      </c>
      <c r="L151" s="89" t="s">
        <v>838</v>
      </c>
      <c r="M151" s="89" t="s">
        <v>838</v>
      </c>
      <c r="N151" s="89" t="s">
        <v>838</v>
      </c>
      <c r="O151" s="89" t="s">
        <v>838</v>
      </c>
      <c r="P151" s="89" t="s">
        <v>838</v>
      </c>
    </row>
    <row r="152" spans="1:16" x14ac:dyDescent="0.25">
      <c r="A152">
        <f t="shared" si="2"/>
        <v>151</v>
      </c>
      <c r="B152" s="7" t="s">
        <v>893</v>
      </c>
      <c r="C152" s="40">
        <v>45036</v>
      </c>
      <c r="D152" t="s">
        <v>1009</v>
      </c>
      <c r="E152" t="s">
        <v>1010</v>
      </c>
      <c r="F152" t="s">
        <v>1011</v>
      </c>
      <c r="G152" t="s">
        <v>193</v>
      </c>
      <c r="H152" s="38">
        <v>1203</v>
      </c>
      <c r="I152" t="s">
        <v>1012</v>
      </c>
      <c r="J152" t="s">
        <v>1013</v>
      </c>
      <c r="K152" s="89" t="s">
        <v>838</v>
      </c>
      <c r="L152" s="89" t="s">
        <v>838</v>
      </c>
      <c r="M152" s="89" t="s">
        <v>838</v>
      </c>
      <c r="N152" s="89" t="s">
        <v>838</v>
      </c>
      <c r="O152" s="89" t="s">
        <v>838</v>
      </c>
      <c r="P152" s="89" t="s">
        <v>838</v>
      </c>
    </row>
    <row r="153" spans="1:16" x14ac:dyDescent="0.25">
      <c r="A153">
        <f t="shared" si="2"/>
        <v>152</v>
      </c>
      <c r="B153" s="7" t="s">
        <v>894</v>
      </c>
      <c r="C153" s="40">
        <v>45043</v>
      </c>
      <c r="D153" t="s">
        <v>1014</v>
      </c>
      <c r="E153" t="s">
        <v>1015</v>
      </c>
      <c r="F153" t="s">
        <v>1016</v>
      </c>
      <c r="G153" t="s">
        <v>197</v>
      </c>
      <c r="H153" s="38">
        <v>1604</v>
      </c>
      <c r="I153" t="s">
        <v>1017</v>
      </c>
      <c r="J153" t="s">
        <v>1018</v>
      </c>
      <c r="K153" s="89" t="s">
        <v>838</v>
      </c>
      <c r="L153" s="89" t="s">
        <v>838</v>
      </c>
      <c r="M153" s="89" t="s">
        <v>838</v>
      </c>
      <c r="N153" s="89" t="s">
        <v>838</v>
      </c>
      <c r="O153" s="89" t="s">
        <v>838</v>
      </c>
      <c r="P153" s="89" t="s">
        <v>838</v>
      </c>
    </row>
    <row r="154" spans="1:16" x14ac:dyDescent="0.25">
      <c r="A154" s="82">
        <f t="shared" si="2"/>
        <v>153</v>
      </c>
      <c r="B154" s="7" t="s">
        <v>964</v>
      </c>
      <c r="C154" s="40">
        <v>45044</v>
      </c>
      <c r="D154" t="s">
        <v>1019</v>
      </c>
      <c r="E154" t="s">
        <v>1020</v>
      </c>
      <c r="F154" t="s">
        <v>1021</v>
      </c>
      <c r="G154" t="s">
        <v>197</v>
      </c>
      <c r="H154" s="38">
        <v>1085.76</v>
      </c>
      <c r="I154" t="s">
        <v>1022</v>
      </c>
      <c r="J154" t="s">
        <v>1023</v>
      </c>
      <c r="K154" s="89" t="s">
        <v>838</v>
      </c>
      <c r="L154" s="89" t="s">
        <v>838</v>
      </c>
      <c r="M154" s="89" t="s">
        <v>838</v>
      </c>
      <c r="N154" s="89" t="s">
        <v>838</v>
      </c>
      <c r="O154" s="89" t="s">
        <v>838</v>
      </c>
      <c r="P154" s="89" t="s">
        <v>838</v>
      </c>
    </row>
    <row r="155" spans="1:16" x14ac:dyDescent="0.25">
      <c r="A155">
        <f t="shared" si="2"/>
        <v>154</v>
      </c>
      <c r="B155" s="7" t="s">
        <v>965</v>
      </c>
      <c r="C155" s="40">
        <v>45044</v>
      </c>
      <c r="D155" t="s">
        <v>1037</v>
      </c>
      <c r="E155" t="s">
        <v>1038</v>
      </c>
      <c r="F155" t="s">
        <v>1039</v>
      </c>
      <c r="G155" t="s">
        <v>197</v>
      </c>
      <c r="H155" s="38">
        <v>1167</v>
      </c>
      <c r="I155" t="s">
        <v>1040</v>
      </c>
      <c r="J155" t="s">
        <v>1041</v>
      </c>
      <c r="K155" s="89" t="s">
        <v>838</v>
      </c>
      <c r="L155" s="89" t="s">
        <v>838</v>
      </c>
      <c r="M155" s="89" t="s">
        <v>838</v>
      </c>
      <c r="N155" s="89" t="s">
        <v>838</v>
      </c>
      <c r="O155" s="89" t="s">
        <v>838</v>
      </c>
      <c r="P155" s="89" t="s">
        <v>838</v>
      </c>
    </row>
    <row r="156" spans="1:16" x14ac:dyDescent="0.25">
      <c r="A156">
        <f t="shared" si="2"/>
        <v>155</v>
      </c>
      <c r="B156" s="7" t="s">
        <v>1024</v>
      </c>
      <c r="C156" s="40">
        <v>45036</v>
      </c>
      <c r="D156" t="s">
        <v>1042</v>
      </c>
      <c r="E156" t="s">
        <v>1043</v>
      </c>
      <c r="F156" t="s">
        <v>1044</v>
      </c>
      <c r="G156" t="s">
        <v>197</v>
      </c>
      <c r="H156" s="38">
        <v>1176</v>
      </c>
      <c r="I156" t="s">
        <v>1045</v>
      </c>
      <c r="J156" t="s">
        <v>219</v>
      </c>
      <c r="K156" s="89" t="s">
        <v>838</v>
      </c>
      <c r="L156" s="89" t="s">
        <v>838</v>
      </c>
      <c r="M156" s="89" t="s">
        <v>838</v>
      </c>
      <c r="N156" s="89" t="s">
        <v>838</v>
      </c>
      <c r="O156" s="89" t="s">
        <v>838</v>
      </c>
      <c r="P156" s="89" t="s">
        <v>838</v>
      </c>
    </row>
    <row r="157" spans="1:16" x14ac:dyDescent="0.25">
      <c r="A157">
        <f t="shared" si="2"/>
        <v>156</v>
      </c>
      <c r="B157" s="7" t="s">
        <v>1025</v>
      </c>
      <c r="C157" s="40">
        <v>45049</v>
      </c>
      <c r="D157" t="s">
        <v>1046</v>
      </c>
      <c r="E157" t="s">
        <v>1047</v>
      </c>
      <c r="F157" t="s">
        <v>1048</v>
      </c>
      <c r="G157" t="s">
        <v>197</v>
      </c>
      <c r="H157" s="38">
        <v>3144</v>
      </c>
      <c r="I157" t="s">
        <v>1049</v>
      </c>
      <c r="J157" t="s">
        <v>1050</v>
      </c>
      <c r="K157" s="89" t="s">
        <v>838</v>
      </c>
      <c r="L157" s="89" t="s">
        <v>838</v>
      </c>
      <c r="M157" s="89" t="s">
        <v>838</v>
      </c>
      <c r="N157" s="89" t="s">
        <v>838</v>
      </c>
      <c r="O157" s="89" t="s">
        <v>838</v>
      </c>
      <c r="P157" s="89" t="s">
        <v>838</v>
      </c>
    </row>
    <row r="158" spans="1:16" x14ac:dyDescent="0.25">
      <c r="A158">
        <f t="shared" si="2"/>
        <v>157</v>
      </c>
      <c r="B158" s="7" t="s">
        <v>1026</v>
      </c>
      <c r="C158" s="40">
        <v>45049</v>
      </c>
      <c r="D158" t="s">
        <v>1051</v>
      </c>
      <c r="E158" t="s">
        <v>1052</v>
      </c>
      <c r="F158" t="s">
        <v>1053</v>
      </c>
      <c r="G158" t="s">
        <v>193</v>
      </c>
      <c r="H158" s="38">
        <v>2214</v>
      </c>
      <c r="I158" t="s">
        <v>1054</v>
      </c>
      <c r="J158" t="s">
        <v>349</v>
      </c>
      <c r="K158" s="89" t="s">
        <v>838</v>
      </c>
      <c r="L158" s="89" t="s">
        <v>838</v>
      </c>
      <c r="M158" s="89" t="s">
        <v>838</v>
      </c>
      <c r="N158" s="89" t="s">
        <v>838</v>
      </c>
      <c r="O158" s="89" t="s">
        <v>838</v>
      </c>
      <c r="P158" s="89" t="s">
        <v>838</v>
      </c>
    </row>
    <row r="159" spans="1:16" x14ac:dyDescent="0.25">
      <c r="A159" s="82">
        <f t="shared" si="2"/>
        <v>158</v>
      </c>
      <c r="B159" s="7" t="s">
        <v>1027</v>
      </c>
      <c r="C159" s="40">
        <v>45042</v>
      </c>
      <c r="D159" t="s">
        <v>2773</v>
      </c>
      <c r="E159" t="s">
        <v>1056</v>
      </c>
      <c r="F159" t="s">
        <v>1057</v>
      </c>
      <c r="G159" t="s">
        <v>197</v>
      </c>
      <c r="H159" s="38">
        <v>3154</v>
      </c>
      <c r="I159" t="s">
        <v>1058</v>
      </c>
      <c r="J159" t="s">
        <v>219</v>
      </c>
      <c r="K159" s="89" t="s">
        <v>838</v>
      </c>
      <c r="L159" s="89" t="s">
        <v>838</v>
      </c>
      <c r="M159" s="89" t="s">
        <v>838</v>
      </c>
      <c r="N159" s="89" t="s">
        <v>838</v>
      </c>
      <c r="O159" s="89" t="s">
        <v>838</v>
      </c>
      <c r="P159" s="89" t="s">
        <v>838</v>
      </c>
    </row>
    <row r="160" spans="1:16" x14ac:dyDescent="0.25">
      <c r="A160">
        <f t="shared" si="2"/>
        <v>159</v>
      </c>
      <c r="B160" s="7" t="s">
        <v>1028</v>
      </c>
      <c r="C160" s="40">
        <v>45050</v>
      </c>
      <c r="D160" t="s">
        <v>1059</v>
      </c>
      <c r="E160" t="s">
        <v>1060</v>
      </c>
      <c r="F160" t="s">
        <v>1061</v>
      </c>
      <c r="G160" t="s">
        <v>197</v>
      </c>
      <c r="H160" s="38">
        <v>1864</v>
      </c>
      <c r="I160" t="s">
        <v>1062</v>
      </c>
      <c r="J160" t="s">
        <v>1072</v>
      </c>
      <c r="K160" s="89" t="s">
        <v>838</v>
      </c>
      <c r="L160" s="89" t="s">
        <v>838</v>
      </c>
      <c r="M160" s="89" t="s">
        <v>838</v>
      </c>
      <c r="N160" s="89" t="s">
        <v>838</v>
      </c>
      <c r="O160" s="89" t="s">
        <v>838</v>
      </c>
      <c r="P160" s="89" t="s">
        <v>838</v>
      </c>
    </row>
    <row r="161" spans="1:16" x14ac:dyDescent="0.25">
      <c r="A161" s="83">
        <f t="shared" si="2"/>
        <v>160</v>
      </c>
      <c r="B161" s="7" t="s">
        <v>1029</v>
      </c>
      <c r="C161" s="40">
        <v>45043</v>
      </c>
      <c r="D161" t="s">
        <v>1009</v>
      </c>
      <c r="E161" t="s">
        <v>1010</v>
      </c>
      <c r="F161" t="s">
        <v>1063</v>
      </c>
      <c r="G161" t="s">
        <v>192</v>
      </c>
      <c r="H161" s="38">
        <v>1203</v>
      </c>
      <c r="I161" t="s">
        <v>1064</v>
      </c>
      <c r="J161" t="s">
        <v>349</v>
      </c>
      <c r="K161" s="89" t="s">
        <v>838</v>
      </c>
      <c r="L161" s="89" t="s">
        <v>838</v>
      </c>
      <c r="M161" s="89" t="s">
        <v>838</v>
      </c>
      <c r="N161" s="89" t="s">
        <v>838</v>
      </c>
      <c r="O161" s="89" t="s">
        <v>838</v>
      </c>
      <c r="P161" s="89" t="s">
        <v>838</v>
      </c>
    </row>
    <row r="162" spans="1:16" x14ac:dyDescent="0.25">
      <c r="A162" s="83">
        <f t="shared" si="2"/>
        <v>161</v>
      </c>
      <c r="B162" s="7" t="s">
        <v>1030</v>
      </c>
      <c r="C162" s="40">
        <v>45045</v>
      </c>
      <c r="D162" t="s">
        <v>1065</v>
      </c>
      <c r="E162" t="s">
        <v>1066</v>
      </c>
      <c r="F162" t="s">
        <v>1067</v>
      </c>
      <c r="G162" t="s">
        <v>197</v>
      </c>
      <c r="H162" s="38">
        <v>1287</v>
      </c>
      <c r="I162" t="s">
        <v>1068</v>
      </c>
      <c r="J162" t="s">
        <v>1081</v>
      </c>
      <c r="K162" t="s">
        <v>838</v>
      </c>
      <c r="L162" s="89" t="s">
        <v>838</v>
      </c>
      <c r="M162" s="89" t="s">
        <v>838</v>
      </c>
      <c r="N162" s="89" t="s">
        <v>838</v>
      </c>
      <c r="O162" s="89" t="s">
        <v>838</v>
      </c>
      <c r="P162" s="89" t="s">
        <v>838</v>
      </c>
    </row>
    <row r="163" spans="1:16" x14ac:dyDescent="0.25">
      <c r="A163">
        <f t="shared" si="2"/>
        <v>162</v>
      </c>
      <c r="B163" s="7" t="s">
        <v>1031</v>
      </c>
      <c r="C163" s="40">
        <v>45052</v>
      </c>
      <c r="D163" t="s">
        <v>1069</v>
      </c>
      <c r="E163" t="s">
        <v>1070</v>
      </c>
      <c r="F163" t="s">
        <v>1071</v>
      </c>
      <c r="G163" t="s">
        <v>197</v>
      </c>
      <c r="H163" s="38">
        <v>946</v>
      </c>
      <c r="I163" t="s">
        <v>769</v>
      </c>
      <c r="J163" t="s">
        <v>1082</v>
      </c>
      <c r="K163" s="89" t="s">
        <v>838</v>
      </c>
      <c r="L163" s="89" t="s">
        <v>838</v>
      </c>
      <c r="M163" s="89" t="s">
        <v>838</v>
      </c>
      <c r="N163" s="89" t="s">
        <v>838</v>
      </c>
      <c r="O163" s="89" t="s">
        <v>838</v>
      </c>
      <c r="P163" s="89" t="s">
        <v>838</v>
      </c>
    </row>
    <row r="164" spans="1:16" x14ac:dyDescent="0.25">
      <c r="A164">
        <f t="shared" si="2"/>
        <v>163</v>
      </c>
      <c r="B164" s="7" t="s">
        <v>1032</v>
      </c>
      <c r="C164" s="40">
        <v>45052</v>
      </c>
      <c r="D164" t="s">
        <v>1073</v>
      </c>
      <c r="E164" t="s">
        <v>1074</v>
      </c>
      <c r="F164" t="s">
        <v>1075</v>
      </c>
      <c r="G164" t="s">
        <v>197</v>
      </c>
      <c r="H164" s="38">
        <v>1223</v>
      </c>
      <c r="I164" t="s">
        <v>1076</v>
      </c>
      <c r="J164" t="s">
        <v>1077</v>
      </c>
      <c r="K164" s="89" t="s">
        <v>838</v>
      </c>
      <c r="L164" s="89" t="s">
        <v>838</v>
      </c>
      <c r="M164" s="89" t="s">
        <v>838</v>
      </c>
      <c r="N164" s="89" t="s">
        <v>838</v>
      </c>
      <c r="O164" s="89" t="s">
        <v>838</v>
      </c>
      <c r="P164" s="89" t="s">
        <v>838</v>
      </c>
    </row>
    <row r="165" spans="1:16" x14ac:dyDescent="0.25">
      <c r="A165">
        <f t="shared" si="2"/>
        <v>164</v>
      </c>
      <c r="B165" s="7" t="s">
        <v>1033</v>
      </c>
      <c r="C165" s="40">
        <v>45054</v>
      </c>
      <c r="D165" t="s">
        <v>1079</v>
      </c>
      <c r="E165" t="s">
        <v>1078</v>
      </c>
      <c r="F165" t="s">
        <v>1080</v>
      </c>
      <c r="G165" t="s">
        <v>193</v>
      </c>
      <c r="H165" s="38">
        <v>3120</v>
      </c>
      <c r="I165" t="s">
        <v>309</v>
      </c>
      <c r="J165" t="s">
        <v>901</v>
      </c>
      <c r="K165" s="89" t="s">
        <v>838</v>
      </c>
      <c r="L165" s="89" t="s">
        <v>838</v>
      </c>
      <c r="M165" s="89" t="s">
        <v>838</v>
      </c>
      <c r="N165" s="89" t="s">
        <v>838</v>
      </c>
      <c r="O165" s="89" t="s">
        <v>838</v>
      </c>
      <c r="P165" s="89" t="s">
        <v>838</v>
      </c>
    </row>
    <row r="166" spans="1:16" x14ac:dyDescent="0.25">
      <c r="A166">
        <f t="shared" si="2"/>
        <v>165</v>
      </c>
      <c r="B166" s="7" t="s">
        <v>1034</v>
      </c>
      <c r="C166" s="40">
        <v>45055</v>
      </c>
      <c r="D166" t="s">
        <v>1083</v>
      </c>
      <c r="E166" t="s">
        <v>1084</v>
      </c>
      <c r="F166" t="s">
        <v>1085</v>
      </c>
      <c r="G166" t="s">
        <v>1086</v>
      </c>
      <c r="H166" s="38">
        <v>1786</v>
      </c>
      <c r="I166" t="s">
        <v>1087</v>
      </c>
      <c r="J166" t="s">
        <v>1112</v>
      </c>
      <c r="K166" s="89" t="s">
        <v>838</v>
      </c>
      <c r="L166" s="89" t="s">
        <v>838</v>
      </c>
      <c r="M166" s="89" t="s">
        <v>838</v>
      </c>
      <c r="N166" s="89" t="s">
        <v>838</v>
      </c>
      <c r="O166" s="89" t="s">
        <v>838</v>
      </c>
      <c r="P166" s="89" t="s">
        <v>838</v>
      </c>
    </row>
    <row r="167" spans="1:16" x14ac:dyDescent="0.25">
      <c r="A167" s="83">
        <f t="shared" si="2"/>
        <v>166</v>
      </c>
      <c r="B167" s="7" t="s">
        <v>1035</v>
      </c>
      <c r="C167" s="40">
        <v>45056</v>
      </c>
      <c r="D167" t="s">
        <v>1088</v>
      </c>
      <c r="E167" t="s">
        <v>1089</v>
      </c>
      <c r="F167" t="s">
        <v>1090</v>
      </c>
      <c r="G167" t="s">
        <v>192</v>
      </c>
      <c r="H167" s="38">
        <v>1987.2</v>
      </c>
      <c r="I167" t="s">
        <v>428</v>
      </c>
      <c r="J167" t="s">
        <v>1113</v>
      </c>
      <c r="K167" s="89" t="s">
        <v>838</v>
      </c>
      <c r="L167" s="89" t="s">
        <v>838</v>
      </c>
      <c r="M167" s="89" t="s">
        <v>838</v>
      </c>
      <c r="N167" s="89" t="s">
        <v>838</v>
      </c>
      <c r="O167" s="89" t="s">
        <v>838</v>
      </c>
      <c r="P167" s="89" t="s">
        <v>838</v>
      </c>
    </row>
    <row r="168" spans="1:16" x14ac:dyDescent="0.25">
      <c r="A168" s="83">
        <f t="shared" si="2"/>
        <v>167</v>
      </c>
      <c r="B168" s="98" t="s">
        <v>1036</v>
      </c>
      <c r="C168" s="40">
        <v>45057</v>
      </c>
      <c r="D168" t="s">
        <v>1091</v>
      </c>
      <c r="E168" t="s">
        <v>1092</v>
      </c>
      <c r="F168" t="s">
        <v>1093</v>
      </c>
      <c r="G168" t="s">
        <v>192</v>
      </c>
      <c r="H168" s="38">
        <v>2124</v>
      </c>
      <c r="I168" t="s">
        <v>1094</v>
      </c>
      <c r="J168" t="s">
        <v>219</v>
      </c>
      <c r="K168" s="89" t="s">
        <v>838</v>
      </c>
      <c r="L168" s="89" t="s">
        <v>838</v>
      </c>
      <c r="M168" s="89" t="s">
        <v>838</v>
      </c>
      <c r="N168" s="89" t="s">
        <v>838</v>
      </c>
      <c r="O168" s="89" t="s">
        <v>838</v>
      </c>
      <c r="P168" s="89" t="s">
        <v>838</v>
      </c>
    </row>
    <row r="169" spans="1:16" x14ac:dyDescent="0.25">
      <c r="A169" s="83">
        <f t="shared" si="2"/>
        <v>168</v>
      </c>
      <c r="B169" s="7" t="s">
        <v>1095</v>
      </c>
      <c r="C169" s="40">
        <v>45061</v>
      </c>
      <c r="D169" t="s">
        <v>859</v>
      </c>
      <c r="E169" t="s">
        <v>860</v>
      </c>
      <c r="F169" t="s">
        <v>1110</v>
      </c>
      <c r="G169" t="s">
        <v>192</v>
      </c>
      <c r="H169" s="38">
        <v>1422</v>
      </c>
      <c r="I169" t="s">
        <v>1111</v>
      </c>
      <c r="J169" t="s">
        <v>219</v>
      </c>
      <c r="K169" s="89" t="s">
        <v>838</v>
      </c>
      <c r="L169" s="89" t="s">
        <v>838</v>
      </c>
      <c r="M169" s="89" t="s">
        <v>838</v>
      </c>
      <c r="N169" s="89" t="s">
        <v>838</v>
      </c>
      <c r="O169" s="89" t="s">
        <v>838</v>
      </c>
      <c r="P169" s="89" t="s">
        <v>838</v>
      </c>
    </row>
    <row r="170" spans="1:16" x14ac:dyDescent="0.25">
      <c r="A170" s="83">
        <f t="shared" si="2"/>
        <v>169</v>
      </c>
      <c r="B170" s="7" t="s">
        <v>1096</v>
      </c>
      <c r="C170" s="40">
        <v>45049</v>
      </c>
      <c r="D170" t="s">
        <v>253</v>
      </c>
      <c r="E170" t="s">
        <v>1114</v>
      </c>
      <c r="F170" t="s">
        <v>1115</v>
      </c>
      <c r="G170" t="s">
        <v>192</v>
      </c>
      <c r="H170" s="38">
        <v>5080</v>
      </c>
      <c r="I170" t="s">
        <v>1116</v>
      </c>
      <c r="J170" t="s">
        <v>439</v>
      </c>
      <c r="K170" s="89" t="s">
        <v>838</v>
      </c>
      <c r="L170" s="89" t="s">
        <v>838</v>
      </c>
      <c r="M170" s="89" t="s">
        <v>838</v>
      </c>
      <c r="N170" s="89" t="s">
        <v>838</v>
      </c>
      <c r="O170" s="89" t="s">
        <v>838</v>
      </c>
      <c r="P170" s="89" t="s">
        <v>838</v>
      </c>
    </row>
    <row r="171" spans="1:16" x14ac:dyDescent="0.25">
      <c r="A171" s="83">
        <f t="shared" si="2"/>
        <v>170</v>
      </c>
      <c r="B171" s="87" t="s">
        <v>1097</v>
      </c>
      <c r="C171" s="40">
        <v>45062</v>
      </c>
      <c r="D171" t="s">
        <v>712</v>
      </c>
      <c r="E171" t="s">
        <v>713</v>
      </c>
      <c r="F171" t="s">
        <v>1117</v>
      </c>
      <c r="G171" t="s">
        <v>192</v>
      </c>
      <c r="H171" s="38">
        <v>1921</v>
      </c>
      <c r="I171" t="s">
        <v>1477</v>
      </c>
      <c r="J171" t="s">
        <v>1118</v>
      </c>
      <c r="K171" s="89" t="s">
        <v>838</v>
      </c>
      <c r="L171" s="89" t="s">
        <v>838</v>
      </c>
      <c r="M171" s="89" t="s">
        <v>838</v>
      </c>
      <c r="N171" s="89" t="s">
        <v>838</v>
      </c>
      <c r="O171" s="89" t="s">
        <v>838</v>
      </c>
      <c r="P171" s="89" t="s">
        <v>838</v>
      </c>
    </row>
    <row r="172" spans="1:16" x14ac:dyDescent="0.25">
      <c r="A172" s="83">
        <f t="shared" si="2"/>
        <v>171</v>
      </c>
      <c r="B172" s="7" t="s">
        <v>1098</v>
      </c>
      <c r="C172" s="40">
        <v>45051</v>
      </c>
      <c r="D172" t="s">
        <v>1119</v>
      </c>
      <c r="E172" t="s">
        <v>1120</v>
      </c>
      <c r="F172" t="s">
        <v>1121</v>
      </c>
      <c r="G172" t="s">
        <v>192</v>
      </c>
      <c r="H172" s="38">
        <v>2318.4</v>
      </c>
      <c r="I172" t="s">
        <v>1122</v>
      </c>
      <c r="J172" t="s">
        <v>219</v>
      </c>
      <c r="K172" s="89" t="s">
        <v>838</v>
      </c>
      <c r="L172" s="89" t="s">
        <v>838</v>
      </c>
      <c r="M172" s="89" t="s">
        <v>838</v>
      </c>
      <c r="N172" s="89" t="s">
        <v>838</v>
      </c>
      <c r="O172" s="89" t="s">
        <v>838</v>
      </c>
      <c r="P172" s="89" t="s">
        <v>838</v>
      </c>
    </row>
    <row r="173" spans="1:16" x14ac:dyDescent="0.25">
      <c r="A173">
        <f t="shared" si="2"/>
        <v>172</v>
      </c>
      <c r="B173" s="98" t="s">
        <v>1099</v>
      </c>
      <c r="C173" s="40">
        <v>45063</v>
      </c>
      <c r="D173" t="s">
        <v>1123</v>
      </c>
      <c r="E173" t="s">
        <v>1124</v>
      </c>
      <c r="F173" t="s">
        <v>1125</v>
      </c>
      <c r="G173" t="s">
        <v>193</v>
      </c>
      <c r="H173" s="38">
        <v>1064</v>
      </c>
      <c r="I173" t="s">
        <v>1126</v>
      </c>
      <c r="J173" t="s">
        <v>315</v>
      </c>
      <c r="K173" s="89" t="s">
        <v>838</v>
      </c>
      <c r="L173" s="89" t="s">
        <v>838</v>
      </c>
      <c r="M173" s="89" t="s">
        <v>838</v>
      </c>
      <c r="N173" s="89" t="s">
        <v>838</v>
      </c>
      <c r="O173" s="89" t="s">
        <v>838</v>
      </c>
      <c r="P173" s="89" t="s">
        <v>838</v>
      </c>
    </row>
    <row r="174" spans="1:16" x14ac:dyDescent="0.25">
      <c r="A174">
        <f t="shared" si="2"/>
        <v>173</v>
      </c>
      <c r="B174" s="7" t="s">
        <v>1100</v>
      </c>
      <c r="C174" s="40">
        <v>45064</v>
      </c>
      <c r="D174" t="s">
        <v>1127</v>
      </c>
      <c r="E174" t="s">
        <v>1128</v>
      </c>
      <c r="F174" t="s">
        <v>1129</v>
      </c>
      <c r="G174" t="s">
        <v>197</v>
      </c>
      <c r="H174" s="38">
        <v>1120</v>
      </c>
      <c r="I174" t="s">
        <v>1130</v>
      </c>
      <c r="J174" t="s">
        <v>1131</v>
      </c>
      <c r="K174" s="89" t="s">
        <v>838</v>
      </c>
      <c r="L174" s="89" t="s">
        <v>838</v>
      </c>
      <c r="M174" s="89" t="s">
        <v>838</v>
      </c>
      <c r="N174" s="89" t="s">
        <v>838</v>
      </c>
      <c r="O174" s="89" t="s">
        <v>838</v>
      </c>
      <c r="P174" s="89" t="s">
        <v>838</v>
      </c>
    </row>
    <row r="175" spans="1:16" x14ac:dyDescent="0.25">
      <c r="A175" s="82">
        <f t="shared" si="2"/>
        <v>174</v>
      </c>
      <c r="B175" s="7" t="s">
        <v>1101</v>
      </c>
      <c r="C175" s="40">
        <v>45054</v>
      </c>
      <c r="D175" t="s">
        <v>1132</v>
      </c>
      <c r="E175" t="s">
        <v>1133</v>
      </c>
      <c r="F175" t="s">
        <v>1134</v>
      </c>
      <c r="G175" t="s">
        <v>193</v>
      </c>
      <c r="H175" s="38">
        <v>4808.57</v>
      </c>
      <c r="I175" t="s">
        <v>1135</v>
      </c>
      <c r="J175" t="s">
        <v>1136</v>
      </c>
      <c r="K175" s="89" t="s">
        <v>838</v>
      </c>
      <c r="L175" s="89" t="s">
        <v>838</v>
      </c>
      <c r="M175" s="89" t="s">
        <v>838</v>
      </c>
      <c r="N175" s="89" t="s">
        <v>838</v>
      </c>
      <c r="O175" s="89" t="s">
        <v>838</v>
      </c>
      <c r="P175" s="89" t="s">
        <v>838</v>
      </c>
    </row>
    <row r="176" spans="1:16" x14ac:dyDescent="0.25">
      <c r="A176" s="83">
        <f t="shared" si="2"/>
        <v>175</v>
      </c>
      <c r="B176" s="7" t="s">
        <v>1102</v>
      </c>
      <c r="C176" s="40">
        <v>45065</v>
      </c>
      <c r="D176" t="s">
        <v>1137</v>
      </c>
      <c r="E176" t="s">
        <v>1138</v>
      </c>
      <c r="F176" t="s">
        <v>1139</v>
      </c>
      <c r="G176" t="s">
        <v>192</v>
      </c>
      <c r="H176" s="38">
        <v>2550</v>
      </c>
      <c r="I176" t="s">
        <v>1140</v>
      </c>
      <c r="J176" t="s">
        <v>1144</v>
      </c>
      <c r="K176" s="89" t="s">
        <v>838</v>
      </c>
      <c r="L176" s="89" t="s">
        <v>838</v>
      </c>
      <c r="M176" s="89" t="s">
        <v>838</v>
      </c>
      <c r="N176" s="89" t="s">
        <v>838</v>
      </c>
      <c r="O176" s="89" t="s">
        <v>838</v>
      </c>
      <c r="P176" s="89" t="s">
        <v>838</v>
      </c>
    </row>
    <row r="177" spans="1:16" x14ac:dyDescent="0.25">
      <c r="A177">
        <f t="shared" si="2"/>
        <v>176</v>
      </c>
      <c r="B177" s="7" t="s">
        <v>1103</v>
      </c>
      <c r="C177" s="40">
        <v>45068</v>
      </c>
      <c r="D177" t="s">
        <v>1141</v>
      </c>
      <c r="E177" t="s">
        <v>1142</v>
      </c>
      <c r="F177" t="s">
        <v>1143</v>
      </c>
      <c r="G177" t="s">
        <v>197</v>
      </c>
      <c r="H177" s="38">
        <v>960</v>
      </c>
      <c r="I177" t="s">
        <v>526</v>
      </c>
      <c r="J177" t="s">
        <v>1148</v>
      </c>
      <c r="K177" s="89" t="s">
        <v>838</v>
      </c>
      <c r="L177" s="89" t="s">
        <v>838</v>
      </c>
      <c r="M177" s="89" t="s">
        <v>838</v>
      </c>
      <c r="N177" s="89" t="s">
        <v>838</v>
      </c>
      <c r="O177" s="89" t="s">
        <v>838</v>
      </c>
      <c r="P177" s="89" t="s">
        <v>838</v>
      </c>
    </row>
    <row r="178" spans="1:16" x14ac:dyDescent="0.25">
      <c r="A178">
        <f t="shared" si="2"/>
        <v>177</v>
      </c>
      <c r="B178" s="7" t="s">
        <v>1104</v>
      </c>
      <c r="C178" s="40">
        <v>45068</v>
      </c>
      <c r="D178" t="s">
        <v>1145</v>
      </c>
      <c r="E178" t="s">
        <v>1146</v>
      </c>
      <c r="F178" t="s">
        <v>1147</v>
      </c>
      <c r="G178" t="s">
        <v>197</v>
      </c>
      <c r="H178" s="38">
        <v>1111.5</v>
      </c>
      <c r="I178" t="s">
        <v>952</v>
      </c>
      <c r="J178" t="s">
        <v>1149</v>
      </c>
      <c r="K178" s="89" t="s">
        <v>838</v>
      </c>
      <c r="L178" s="89" t="s">
        <v>838</v>
      </c>
      <c r="M178" s="89" t="s">
        <v>838</v>
      </c>
      <c r="N178" s="89" t="s">
        <v>838</v>
      </c>
      <c r="O178" s="89" t="s">
        <v>838</v>
      </c>
      <c r="P178" s="89" t="s">
        <v>838</v>
      </c>
    </row>
    <row r="179" spans="1:16" x14ac:dyDescent="0.25">
      <c r="A179" s="83">
        <f t="shared" si="2"/>
        <v>178</v>
      </c>
      <c r="B179" s="7" t="s">
        <v>1105</v>
      </c>
      <c r="C179" s="40">
        <v>45056</v>
      </c>
      <c r="D179" t="s">
        <v>1150</v>
      </c>
      <c r="E179" t="s">
        <v>1151</v>
      </c>
      <c r="F179" t="s">
        <v>1152</v>
      </c>
      <c r="G179" t="s">
        <v>192</v>
      </c>
      <c r="H179" s="38">
        <v>2236.4</v>
      </c>
      <c r="I179" t="s">
        <v>1153</v>
      </c>
      <c r="J179" t="s">
        <v>1154</v>
      </c>
      <c r="K179" s="89" t="s">
        <v>838</v>
      </c>
      <c r="L179" s="89" t="s">
        <v>838</v>
      </c>
      <c r="M179" s="89" t="s">
        <v>838</v>
      </c>
      <c r="N179" s="89" t="s">
        <v>838</v>
      </c>
      <c r="O179" s="89" t="s">
        <v>838</v>
      </c>
      <c r="P179" s="89" t="s">
        <v>838</v>
      </c>
    </row>
    <row r="180" spans="1:16" x14ac:dyDescent="0.25">
      <c r="A180" s="83">
        <f t="shared" si="2"/>
        <v>179</v>
      </c>
      <c r="B180" s="7" t="s">
        <v>1106</v>
      </c>
      <c r="C180" s="40">
        <v>45069</v>
      </c>
      <c r="D180" t="s">
        <v>638</v>
      </c>
      <c r="E180" t="s">
        <v>639</v>
      </c>
      <c r="F180" t="s">
        <v>640</v>
      </c>
      <c r="G180" t="s">
        <v>192</v>
      </c>
      <c r="H180" s="38">
        <v>1365</v>
      </c>
      <c r="I180" t="s">
        <v>641</v>
      </c>
      <c r="J180" t="s">
        <v>733</v>
      </c>
      <c r="K180" s="89" t="s">
        <v>838</v>
      </c>
      <c r="L180" s="89" t="s">
        <v>838</v>
      </c>
      <c r="M180" s="89" t="s">
        <v>838</v>
      </c>
      <c r="N180" s="89" t="s">
        <v>838</v>
      </c>
      <c r="O180" s="89" t="s">
        <v>838</v>
      </c>
      <c r="P180" s="89" t="s">
        <v>838</v>
      </c>
    </row>
    <row r="181" spans="1:16" x14ac:dyDescent="0.25">
      <c r="A181" s="83">
        <f t="shared" si="2"/>
        <v>180</v>
      </c>
      <c r="B181" s="7" t="s">
        <v>1107</v>
      </c>
      <c r="C181" s="40">
        <v>45069</v>
      </c>
      <c r="D181" t="s">
        <v>1155</v>
      </c>
      <c r="E181" t="s">
        <v>1156</v>
      </c>
      <c r="F181" t="s">
        <v>1157</v>
      </c>
      <c r="G181" t="s">
        <v>192</v>
      </c>
      <c r="H181" s="38">
        <v>1350</v>
      </c>
      <c r="I181" t="s">
        <v>1158</v>
      </c>
      <c r="J181" t="s">
        <v>219</v>
      </c>
      <c r="K181" s="89" t="s">
        <v>838</v>
      </c>
      <c r="L181" s="89" t="s">
        <v>838</v>
      </c>
      <c r="M181" s="89" t="s">
        <v>838</v>
      </c>
      <c r="N181" s="89" t="s">
        <v>838</v>
      </c>
      <c r="O181" s="89" t="s">
        <v>838</v>
      </c>
      <c r="P181" s="89" t="s">
        <v>838</v>
      </c>
    </row>
    <row r="182" spans="1:16" x14ac:dyDescent="0.25">
      <c r="A182">
        <f t="shared" si="2"/>
        <v>181</v>
      </c>
      <c r="B182" s="7" t="s">
        <v>1159</v>
      </c>
      <c r="C182" s="40">
        <v>45069</v>
      </c>
      <c r="D182" t="s">
        <v>1160</v>
      </c>
      <c r="E182" t="s">
        <v>1161</v>
      </c>
      <c r="F182" t="s">
        <v>1162</v>
      </c>
      <c r="G182" t="s">
        <v>197</v>
      </c>
      <c r="H182" s="38">
        <v>1170</v>
      </c>
      <c r="I182" t="s">
        <v>1163</v>
      </c>
      <c r="J182" t="s">
        <v>348</v>
      </c>
      <c r="K182" s="89" t="s">
        <v>838</v>
      </c>
      <c r="L182" s="89" t="s">
        <v>838</v>
      </c>
      <c r="M182" s="89" t="s">
        <v>838</v>
      </c>
      <c r="N182" s="89" t="s">
        <v>838</v>
      </c>
      <c r="O182" s="89" t="s">
        <v>838</v>
      </c>
      <c r="P182" s="89" t="s">
        <v>838</v>
      </c>
    </row>
    <row r="183" spans="1:16" x14ac:dyDescent="0.25">
      <c r="A183">
        <f t="shared" si="2"/>
        <v>182</v>
      </c>
      <c r="B183" s="7" t="s">
        <v>1108</v>
      </c>
      <c r="C183" s="40">
        <v>45063</v>
      </c>
      <c r="D183" t="s">
        <v>1164</v>
      </c>
      <c r="E183" t="s">
        <v>1165</v>
      </c>
      <c r="F183" t="s">
        <v>1166</v>
      </c>
      <c r="G183" t="s">
        <v>197</v>
      </c>
      <c r="H183" s="38">
        <v>1231.92</v>
      </c>
      <c r="I183" t="s">
        <v>1012</v>
      </c>
      <c r="J183" t="s">
        <v>1211</v>
      </c>
      <c r="K183" s="89" t="s">
        <v>838</v>
      </c>
      <c r="L183" s="89" t="s">
        <v>838</v>
      </c>
      <c r="M183" s="89" t="s">
        <v>838</v>
      </c>
      <c r="N183" s="89" t="s">
        <v>838</v>
      </c>
      <c r="O183" s="89" t="s">
        <v>838</v>
      </c>
      <c r="P183" s="89" t="s">
        <v>838</v>
      </c>
    </row>
    <row r="184" spans="1:16" x14ac:dyDescent="0.25">
      <c r="A184">
        <f t="shared" si="2"/>
        <v>183</v>
      </c>
      <c r="B184" s="7" t="s">
        <v>1109</v>
      </c>
      <c r="C184" s="40">
        <v>45070</v>
      </c>
      <c r="D184" t="s">
        <v>1167</v>
      </c>
      <c r="E184" t="s">
        <v>1168</v>
      </c>
      <c r="F184" t="s">
        <v>1169</v>
      </c>
      <c r="G184" t="s">
        <v>197</v>
      </c>
      <c r="H184" s="38">
        <v>2900</v>
      </c>
      <c r="I184" t="s">
        <v>1170</v>
      </c>
      <c r="J184" t="s">
        <v>1189</v>
      </c>
      <c r="K184" s="89" t="s">
        <v>838</v>
      </c>
      <c r="L184" s="89" t="s">
        <v>838</v>
      </c>
      <c r="M184" s="89" t="s">
        <v>838</v>
      </c>
      <c r="N184" s="89" t="s">
        <v>838</v>
      </c>
      <c r="O184" s="89" t="s">
        <v>838</v>
      </c>
      <c r="P184" s="89" t="s">
        <v>838</v>
      </c>
    </row>
    <row r="185" spans="1:16" x14ac:dyDescent="0.25">
      <c r="A185">
        <f t="shared" si="2"/>
        <v>184</v>
      </c>
      <c r="B185" s="7" t="s">
        <v>1171</v>
      </c>
      <c r="C185" s="40">
        <v>45071</v>
      </c>
      <c r="D185" t="s">
        <v>1186</v>
      </c>
      <c r="E185" t="s">
        <v>1187</v>
      </c>
      <c r="F185" t="s">
        <v>1188</v>
      </c>
      <c r="G185" t="s">
        <v>197</v>
      </c>
      <c r="H185" s="38">
        <v>1410</v>
      </c>
      <c r="I185" t="s">
        <v>484</v>
      </c>
      <c r="J185" t="s">
        <v>1212</v>
      </c>
      <c r="K185" s="89" t="s">
        <v>838</v>
      </c>
      <c r="L185" s="89" t="s">
        <v>838</v>
      </c>
      <c r="M185" s="89" t="s">
        <v>838</v>
      </c>
      <c r="N185" s="89" t="s">
        <v>838</v>
      </c>
      <c r="O185" s="89" t="s">
        <v>838</v>
      </c>
      <c r="P185" s="89" t="s">
        <v>838</v>
      </c>
    </row>
    <row r="186" spans="1:16" x14ac:dyDescent="0.25">
      <c r="A186">
        <f t="shared" si="2"/>
        <v>185</v>
      </c>
      <c r="B186" s="7" t="s">
        <v>1172</v>
      </c>
      <c r="C186" s="40">
        <v>45071</v>
      </c>
      <c r="D186" t="s">
        <v>1190</v>
      </c>
      <c r="E186" t="s">
        <v>1191</v>
      </c>
      <c r="F186" t="s">
        <v>1192</v>
      </c>
      <c r="G186" t="s">
        <v>197</v>
      </c>
      <c r="H186" s="38">
        <v>928</v>
      </c>
      <c r="I186" t="s">
        <v>1193</v>
      </c>
      <c r="J186" t="s">
        <v>1194</v>
      </c>
      <c r="K186" s="89" t="s">
        <v>838</v>
      </c>
      <c r="L186" s="89" t="s">
        <v>838</v>
      </c>
      <c r="M186" s="89" t="s">
        <v>838</v>
      </c>
      <c r="N186" s="89" t="s">
        <v>838</v>
      </c>
      <c r="O186" s="89" t="s">
        <v>838</v>
      </c>
      <c r="P186" s="89" t="s">
        <v>838</v>
      </c>
    </row>
    <row r="187" spans="1:16" x14ac:dyDescent="0.25">
      <c r="A187" s="79">
        <f t="shared" si="2"/>
        <v>186</v>
      </c>
      <c r="B187" s="7" t="s">
        <v>1173</v>
      </c>
      <c r="C187" s="40">
        <v>45072</v>
      </c>
      <c r="D187" t="s">
        <v>1207</v>
      </c>
      <c r="E187" t="s">
        <v>1208</v>
      </c>
      <c r="F187" t="s">
        <v>1209</v>
      </c>
      <c r="G187" t="s">
        <v>197</v>
      </c>
      <c r="H187" s="38">
        <v>3465</v>
      </c>
      <c r="I187" t="s">
        <v>1219</v>
      </c>
      <c r="J187" t="s">
        <v>1210</v>
      </c>
      <c r="K187" s="89" t="s">
        <v>838</v>
      </c>
      <c r="L187" s="89" t="s">
        <v>838</v>
      </c>
      <c r="M187" s="89" t="s">
        <v>838</v>
      </c>
      <c r="N187" s="89" t="s">
        <v>838</v>
      </c>
      <c r="O187" s="89" t="s">
        <v>838</v>
      </c>
      <c r="P187" s="89" t="s">
        <v>838</v>
      </c>
    </row>
    <row r="188" spans="1:16" x14ac:dyDescent="0.25">
      <c r="A188" s="82">
        <f t="shared" si="2"/>
        <v>187</v>
      </c>
      <c r="B188" s="7" t="s">
        <v>1174</v>
      </c>
      <c r="C188" s="40">
        <v>45072</v>
      </c>
      <c r="D188" t="s">
        <v>1213</v>
      </c>
      <c r="E188" t="s">
        <v>1214</v>
      </c>
      <c r="F188" t="s">
        <v>1215</v>
      </c>
      <c r="G188" t="s">
        <v>197</v>
      </c>
      <c r="H188" s="38">
        <v>1176.24</v>
      </c>
      <c r="I188" t="s">
        <v>1216</v>
      </c>
      <c r="J188" t="s">
        <v>1217</v>
      </c>
      <c r="K188" s="89" t="s">
        <v>838</v>
      </c>
      <c r="L188" s="89" t="s">
        <v>838</v>
      </c>
      <c r="M188" s="89" t="s">
        <v>838</v>
      </c>
      <c r="N188" s="89" t="s">
        <v>838</v>
      </c>
      <c r="O188" s="89" t="s">
        <v>838</v>
      </c>
      <c r="P188" s="89" t="s">
        <v>838</v>
      </c>
    </row>
    <row r="189" spans="1:16" x14ac:dyDescent="0.25">
      <c r="A189" s="81">
        <f t="shared" si="2"/>
        <v>188</v>
      </c>
      <c r="B189" s="7" t="s">
        <v>1175</v>
      </c>
      <c r="C189" s="40">
        <v>45072</v>
      </c>
      <c r="D189" s="89" t="s">
        <v>1213</v>
      </c>
      <c r="E189" s="89" t="s">
        <v>1214</v>
      </c>
      <c r="F189" t="s">
        <v>1218</v>
      </c>
      <c r="G189" t="s">
        <v>192</v>
      </c>
      <c r="H189" s="38">
        <v>2185.44</v>
      </c>
      <c r="I189" t="s">
        <v>1220</v>
      </c>
      <c r="J189" t="s">
        <v>1217</v>
      </c>
      <c r="K189" s="89" t="s">
        <v>838</v>
      </c>
      <c r="L189" s="89" t="s">
        <v>838</v>
      </c>
      <c r="M189" s="89" t="s">
        <v>838</v>
      </c>
      <c r="N189" s="89" t="s">
        <v>838</v>
      </c>
      <c r="O189" s="89" t="s">
        <v>838</v>
      </c>
      <c r="P189" s="89" t="s">
        <v>838</v>
      </c>
    </row>
    <row r="190" spans="1:16" x14ac:dyDescent="0.25">
      <c r="A190" s="83">
        <f t="shared" si="2"/>
        <v>189</v>
      </c>
      <c r="B190" s="7" t="s">
        <v>1176</v>
      </c>
      <c r="C190" s="40">
        <v>45058</v>
      </c>
      <c r="D190" t="s">
        <v>1223</v>
      </c>
      <c r="E190" t="s">
        <v>1224</v>
      </c>
      <c r="F190" t="s">
        <v>1225</v>
      </c>
      <c r="G190" t="s">
        <v>192</v>
      </c>
      <c r="H190" s="38">
        <v>906</v>
      </c>
      <c r="I190" t="s">
        <v>514</v>
      </c>
      <c r="J190" t="s">
        <v>219</v>
      </c>
      <c r="K190" s="89" t="s">
        <v>838</v>
      </c>
      <c r="L190" s="89" t="s">
        <v>838</v>
      </c>
      <c r="M190" s="89" t="s">
        <v>838</v>
      </c>
      <c r="N190" s="89" t="s">
        <v>838</v>
      </c>
      <c r="O190" s="89" t="s">
        <v>838</v>
      </c>
      <c r="P190" s="89" t="s">
        <v>838</v>
      </c>
    </row>
    <row r="191" spans="1:16" x14ac:dyDescent="0.25">
      <c r="A191">
        <f t="shared" si="2"/>
        <v>190</v>
      </c>
      <c r="B191" s="7" t="s">
        <v>1177</v>
      </c>
      <c r="C191" s="40">
        <v>45075</v>
      </c>
      <c r="D191" t="s">
        <v>1226</v>
      </c>
      <c r="E191" t="s">
        <v>1227</v>
      </c>
      <c r="F191" t="s">
        <v>1228</v>
      </c>
      <c r="G191" t="s">
        <v>197</v>
      </c>
      <c r="H191" s="38">
        <v>2100</v>
      </c>
      <c r="I191" t="s">
        <v>1229</v>
      </c>
      <c r="J191" t="s">
        <v>462</v>
      </c>
      <c r="K191" s="89" t="s">
        <v>838</v>
      </c>
      <c r="L191" s="89" t="s">
        <v>838</v>
      </c>
      <c r="M191" s="89" t="s">
        <v>838</v>
      </c>
      <c r="N191" s="89" t="s">
        <v>838</v>
      </c>
      <c r="O191" s="89" t="s">
        <v>838</v>
      </c>
      <c r="P191" s="89" t="s">
        <v>838</v>
      </c>
    </row>
    <row r="192" spans="1:16" x14ac:dyDescent="0.25">
      <c r="A192" s="83">
        <f t="shared" si="2"/>
        <v>191</v>
      </c>
      <c r="B192" s="7" t="s">
        <v>1178</v>
      </c>
      <c r="C192" s="40">
        <v>45075</v>
      </c>
      <c r="D192" t="s">
        <v>1230</v>
      </c>
      <c r="E192" t="s">
        <v>1231</v>
      </c>
      <c r="F192" t="s">
        <v>1232</v>
      </c>
      <c r="G192" t="s">
        <v>192</v>
      </c>
      <c r="H192" s="38">
        <v>1842</v>
      </c>
      <c r="I192" t="s">
        <v>1233</v>
      </c>
      <c r="J192" t="s">
        <v>219</v>
      </c>
      <c r="K192" s="89" t="s">
        <v>838</v>
      </c>
      <c r="L192" s="89" t="s">
        <v>838</v>
      </c>
      <c r="M192" s="89" t="s">
        <v>838</v>
      </c>
      <c r="N192" s="89" t="s">
        <v>838</v>
      </c>
      <c r="O192" s="89" t="s">
        <v>838</v>
      </c>
      <c r="P192" s="89" t="s">
        <v>838</v>
      </c>
    </row>
    <row r="193" spans="1:16" x14ac:dyDescent="0.25">
      <c r="A193">
        <f t="shared" si="2"/>
        <v>192</v>
      </c>
      <c r="B193" s="7" t="s">
        <v>1179</v>
      </c>
      <c r="C193" s="40">
        <v>45076</v>
      </c>
      <c r="D193" t="s">
        <v>1234</v>
      </c>
      <c r="E193" t="s">
        <v>1235</v>
      </c>
      <c r="F193" t="s">
        <v>1236</v>
      </c>
      <c r="G193" t="s">
        <v>197</v>
      </c>
      <c r="H193" s="38">
        <v>1396</v>
      </c>
      <c r="I193" t="s">
        <v>1237</v>
      </c>
      <c r="J193" t="s">
        <v>219</v>
      </c>
      <c r="K193" s="89" t="s">
        <v>838</v>
      </c>
      <c r="L193" s="89" t="s">
        <v>838</v>
      </c>
      <c r="M193" s="89" t="s">
        <v>838</v>
      </c>
      <c r="N193" s="89" t="s">
        <v>838</v>
      </c>
      <c r="O193" s="89" t="s">
        <v>838</v>
      </c>
      <c r="P193" s="89" t="s">
        <v>838</v>
      </c>
    </row>
    <row r="194" spans="1:16" x14ac:dyDescent="0.25">
      <c r="A194">
        <f t="shared" si="2"/>
        <v>193</v>
      </c>
      <c r="B194" s="7" t="s">
        <v>1180</v>
      </c>
      <c r="C194" s="40">
        <v>45076</v>
      </c>
      <c r="D194" t="s">
        <v>1238</v>
      </c>
      <c r="E194" t="s">
        <v>1239</v>
      </c>
      <c r="F194" t="s">
        <v>1240</v>
      </c>
      <c r="G194" t="s">
        <v>197</v>
      </c>
      <c r="H194" s="38">
        <v>1181</v>
      </c>
      <c r="I194" t="s">
        <v>1241</v>
      </c>
      <c r="J194" t="s">
        <v>349</v>
      </c>
      <c r="K194" s="89" t="s">
        <v>838</v>
      </c>
      <c r="L194" s="89" t="s">
        <v>838</v>
      </c>
      <c r="M194" s="89" t="s">
        <v>838</v>
      </c>
      <c r="N194" s="89" t="s">
        <v>838</v>
      </c>
      <c r="O194" s="89" t="s">
        <v>838</v>
      </c>
      <c r="P194" s="89" t="s">
        <v>838</v>
      </c>
    </row>
    <row r="195" spans="1:16" x14ac:dyDescent="0.25">
      <c r="A195">
        <f t="shared" si="2"/>
        <v>194</v>
      </c>
      <c r="B195" s="98" t="s">
        <v>1181</v>
      </c>
      <c r="C195" s="40">
        <v>45055</v>
      </c>
      <c r="D195" t="s">
        <v>1247</v>
      </c>
      <c r="F195" t="s">
        <v>1248</v>
      </c>
      <c r="G195" t="s">
        <v>193</v>
      </c>
      <c r="H195" s="38">
        <v>18704.02</v>
      </c>
      <c r="I195" t="s">
        <v>295</v>
      </c>
      <c r="J195" t="s">
        <v>1249</v>
      </c>
      <c r="K195" s="89" t="s">
        <v>838</v>
      </c>
      <c r="L195" s="89" t="s">
        <v>838</v>
      </c>
      <c r="M195" s="89" t="s">
        <v>838</v>
      </c>
      <c r="N195" s="89" t="s">
        <v>838</v>
      </c>
      <c r="O195" s="89" t="s">
        <v>838</v>
      </c>
      <c r="P195" s="89" t="s">
        <v>838</v>
      </c>
    </row>
    <row r="196" spans="1:16" x14ac:dyDescent="0.25">
      <c r="A196">
        <f t="shared" ref="A196:A259" si="3">A195+1</f>
        <v>195</v>
      </c>
      <c r="B196" s="7" t="s">
        <v>1182</v>
      </c>
      <c r="C196" s="40">
        <v>45077</v>
      </c>
      <c r="D196" t="s">
        <v>1250</v>
      </c>
      <c r="E196" t="s">
        <v>1251</v>
      </c>
      <c r="F196" t="s">
        <v>1252</v>
      </c>
      <c r="G196" t="s">
        <v>197</v>
      </c>
      <c r="H196" s="38">
        <v>1073</v>
      </c>
      <c r="I196" t="s">
        <v>1253</v>
      </c>
      <c r="J196" t="s">
        <v>1262</v>
      </c>
      <c r="K196" s="89" t="s">
        <v>838</v>
      </c>
      <c r="L196" s="89" t="s">
        <v>838</v>
      </c>
      <c r="M196" s="89" t="s">
        <v>838</v>
      </c>
      <c r="N196" s="89" t="s">
        <v>838</v>
      </c>
      <c r="O196" s="89" t="s">
        <v>838</v>
      </c>
      <c r="P196" s="89" t="s">
        <v>838</v>
      </c>
    </row>
    <row r="197" spans="1:16" x14ac:dyDescent="0.25">
      <c r="A197">
        <f t="shared" si="3"/>
        <v>196</v>
      </c>
      <c r="B197" s="7" t="s">
        <v>1183</v>
      </c>
      <c r="C197" s="40">
        <v>45077</v>
      </c>
      <c r="D197" t="s">
        <v>1254</v>
      </c>
      <c r="E197" t="s">
        <v>1255</v>
      </c>
      <c r="F197" t="s">
        <v>1256</v>
      </c>
      <c r="G197" t="s">
        <v>197</v>
      </c>
      <c r="H197" s="38">
        <v>946</v>
      </c>
      <c r="I197" t="s">
        <v>647</v>
      </c>
      <c r="J197" t="s">
        <v>1263</v>
      </c>
      <c r="K197" t="s">
        <v>838</v>
      </c>
      <c r="L197" s="89" t="s">
        <v>838</v>
      </c>
      <c r="M197" s="89" t="s">
        <v>838</v>
      </c>
      <c r="N197" s="89" t="s">
        <v>838</v>
      </c>
      <c r="O197" s="89" t="s">
        <v>838</v>
      </c>
      <c r="P197" s="89" t="s">
        <v>838</v>
      </c>
    </row>
    <row r="198" spans="1:16" x14ac:dyDescent="0.25">
      <c r="A198" s="83">
        <f t="shared" si="3"/>
        <v>197</v>
      </c>
      <c r="B198" s="7" t="s">
        <v>1184</v>
      </c>
      <c r="C198" s="40">
        <v>45078</v>
      </c>
      <c r="D198" t="s">
        <v>1258</v>
      </c>
      <c r="E198" t="s">
        <v>1259</v>
      </c>
      <c r="F198" t="s">
        <v>1260</v>
      </c>
      <c r="G198" t="s">
        <v>192</v>
      </c>
      <c r="H198" s="38">
        <v>3450</v>
      </c>
      <c r="I198" t="s">
        <v>1261</v>
      </c>
      <c r="J198" t="s">
        <v>1277</v>
      </c>
      <c r="K198" s="89" t="s">
        <v>838</v>
      </c>
      <c r="L198" s="89" t="s">
        <v>838</v>
      </c>
      <c r="M198" s="89" t="s">
        <v>838</v>
      </c>
      <c r="N198" s="89" t="s">
        <v>838</v>
      </c>
      <c r="O198" s="89" t="s">
        <v>838</v>
      </c>
      <c r="P198" s="89" t="s">
        <v>838</v>
      </c>
    </row>
    <row r="199" spans="1:16" x14ac:dyDescent="0.25">
      <c r="A199" s="83">
        <f t="shared" si="3"/>
        <v>198</v>
      </c>
      <c r="B199" s="7" t="s">
        <v>1185</v>
      </c>
      <c r="C199" s="40">
        <v>45080</v>
      </c>
      <c r="D199" t="s">
        <v>985</v>
      </c>
      <c r="E199" t="s">
        <v>986</v>
      </c>
      <c r="F199" t="s">
        <v>987</v>
      </c>
      <c r="G199" t="s">
        <v>192</v>
      </c>
      <c r="H199" s="38">
        <v>2866</v>
      </c>
      <c r="I199" t="s">
        <v>1276</v>
      </c>
      <c r="J199" t="s">
        <v>219</v>
      </c>
      <c r="K199" s="89" t="s">
        <v>838</v>
      </c>
      <c r="L199" s="89" t="s">
        <v>838</v>
      </c>
      <c r="M199" s="89" t="s">
        <v>838</v>
      </c>
      <c r="N199" s="89" t="s">
        <v>838</v>
      </c>
      <c r="O199" s="89" t="s">
        <v>838</v>
      </c>
      <c r="P199" s="89" t="s">
        <v>838</v>
      </c>
    </row>
    <row r="200" spans="1:16" x14ac:dyDescent="0.25">
      <c r="A200">
        <f t="shared" si="3"/>
        <v>199</v>
      </c>
      <c r="B200" s="7" t="s">
        <v>1195</v>
      </c>
      <c r="C200" s="40">
        <v>45070</v>
      </c>
      <c r="D200" t="s">
        <v>1278</v>
      </c>
      <c r="E200" t="s">
        <v>1279</v>
      </c>
      <c r="F200" t="s">
        <v>1280</v>
      </c>
      <c r="G200" t="s">
        <v>197</v>
      </c>
      <c r="H200" s="38">
        <v>1372</v>
      </c>
      <c r="I200" t="s">
        <v>1281</v>
      </c>
      <c r="J200" t="s">
        <v>219</v>
      </c>
      <c r="K200" s="89" t="s">
        <v>838</v>
      </c>
      <c r="L200" s="89" t="s">
        <v>838</v>
      </c>
      <c r="M200" s="89" t="s">
        <v>838</v>
      </c>
      <c r="N200" s="89" t="s">
        <v>838</v>
      </c>
      <c r="O200" s="89" t="s">
        <v>838</v>
      </c>
      <c r="P200" s="89" t="s">
        <v>838</v>
      </c>
    </row>
    <row r="201" spans="1:16" x14ac:dyDescent="0.25">
      <c r="A201" s="83">
        <f t="shared" si="3"/>
        <v>200</v>
      </c>
      <c r="B201" s="87" t="s">
        <v>1196</v>
      </c>
      <c r="C201" s="40">
        <v>45082</v>
      </c>
      <c r="D201" t="s">
        <v>1285</v>
      </c>
      <c r="E201" t="s">
        <v>682</v>
      </c>
      <c r="F201" t="s">
        <v>1286</v>
      </c>
      <c r="G201" t="s">
        <v>192</v>
      </c>
      <c r="H201" s="38">
        <v>1160</v>
      </c>
      <c r="I201" t="s">
        <v>1287</v>
      </c>
      <c r="J201" t="s">
        <v>1288</v>
      </c>
      <c r="K201" s="89" t="s">
        <v>838</v>
      </c>
      <c r="L201" s="89" t="s">
        <v>838</v>
      </c>
      <c r="M201" s="89" t="s">
        <v>838</v>
      </c>
      <c r="N201" s="89" t="s">
        <v>838</v>
      </c>
      <c r="O201" s="89" t="s">
        <v>838</v>
      </c>
      <c r="P201" s="89" t="s">
        <v>838</v>
      </c>
    </row>
    <row r="202" spans="1:16" x14ac:dyDescent="0.25">
      <c r="A202">
        <f t="shared" si="3"/>
        <v>201</v>
      </c>
      <c r="B202" s="98" t="s">
        <v>1197</v>
      </c>
      <c r="C202" s="40">
        <v>45082</v>
      </c>
      <c r="D202" t="s">
        <v>1289</v>
      </c>
      <c r="E202" t="s">
        <v>1290</v>
      </c>
      <c r="F202" t="s">
        <v>1291</v>
      </c>
      <c r="G202" t="s">
        <v>1292</v>
      </c>
      <c r="H202" s="38">
        <v>1560</v>
      </c>
      <c r="I202" t="s">
        <v>1293</v>
      </c>
      <c r="J202" t="s">
        <v>219</v>
      </c>
      <c r="K202" s="89" t="s">
        <v>838</v>
      </c>
      <c r="L202" s="89" t="s">
        <v>838</v>
      </c>
      <c r="M202" s="89" t="s">
        <v>838</v>
      </c>
      <c r="N202" s="89" t="s">
        <v>838</v>
      </c>
      <c r="O202" s="89" t="s">
        <v>838</v>
      </c>
      <c r="P202" s="89" t="s">
        <v>838</v>
      </c>
    </row>
    <row r="203" spans="1:16" x14ac:dyDescent="0.25">
      <c r="A203" s="83">
        <f t="shared" si="3"/>
        <v>202</v>
      </c>
      <c r="B203" s="87" t="s">
        <v>1198</v>
      </c>
      <c r="C203" s="40">
        <v>45083</v>
      </c>
      <c r="D203" t="s">
        <v>1294</v>
      </c>
      <c r="E203" t="s">
        <v>682</v>
      </c>
      <c r="F203" s="89" t="s">
        <v>1295</v>
      </c>
      <c r="G203" t="s">
        <v>197</v>
      </c>
      <c r="H203" s="38">
        <v>1678</v>
      </c>
      <c r="I203" t="s">
        <v>1296</v>
      </c>
      <c r="J203" t="s">
        <v>1297</v>
      </c>
      <c r="K203" s="89" t="s">
        <v>838</v>
      </c>
      <c r="L203" s="89" t="s">
        <v>838</v>
      </c>
      <c r="M203" s="89" t="s">
        <v>838</v>
      </c>
      <c r="N203" s="89" t="s">
        <v>838</v>
      </c>
      <c r="O203" s="89" t="s">
        <v>838</v>
      </c>
      <c r="P203" s="89" t="s">
        <v>838</v>
      </c>
    </row>
    <row r="204" spans="1:16" x14ac:dyDescent="0.25">
      <c r="A204">
        <f t="shared" si="3"/>
        <v>203</v>
      </c>
      <c r="B204" s="7" t="s">
        <v>1199</v>
      </c>
      <c r="C204" s="40">
        <v>45083</v>
      </c>
      <c r="D204" t="s">
        <v>1298</v>
      </c>
      <c r="E204" t="s">
        <v>1299</v>
      </c>
      <c r="F204" t="s">
        <v>1300</v>
      </c>
      <c r="G204" t="s">
        <v>197</v>
      </c>
      <c r="H204" s="38">
        <v>2574</v>
      </c>
      <c r="I204" t="s">
        <v>1301</v>
      </c>
      <c r="J204" t="s">
        <v>219</v>
      </c>
      <c r="K204" s="89" t="s">
        <v>838</v>
      </c>
      <c r="L204" s="89" t="s">
        <v>838</v>
      </c>
      <c r="M204" s="89" t="s">
        <v>838</v>
      </c>
      <c r="N204" s="89" t="s">
        <v>838</v>
      </c>
      <c r="O204" s="89" t="s">
        <v>838</v>
      </c>
      <c r="P204" s="89" t="s">
        <v>838</v>
      </c>
    </row>
    <row r="205" spans="1:16" x14ac:dyDescent="0.25">
      <c r="A205">
        <f t="shared" si="3"/>
        <v>204</v>
      </c>
      <c r="B205" s="87" t="s">
        <v>1200</v>
      </c>
      <c r="C205" s="40">
        <v>45078</v>
      </c>
      <c r="D205" t="s">
        <v>1306</v>
      </c>
      <c r="E205" t="s">
        <v>1307</v>
      </c>
      <c r="F205" t="s">
        <v>1308</v>
      </c>
      <c r="G205" t="s">
        <v>197</v>
      </c>
      <c r="H205" s="38">
        <v>3541</v>
      </c>
      <c r="I205" t="s">
        <v>1309</v>
      </c>
      <c r="J205" t="s">
        <v>1314</v>
      </c>
      <c r="K205" s="89" t="s">
        <v>838</v>
      </c>
      <c r="L205" s="89" t="s">
        <v>838</v>
      </c>
      <c r="M205" s="89" t="s">
        <v>838</v>
      </c>
      <c r="N205" s="89" t="s">
        <v>838</v>
      </c>
      <c r="O205" s="89" t="s">
        <v>838</v>
      </c>
      <c r="P205" s="89" t="s">
        <v>838</v>
      </c>
    </row>
    <row r="206" spans="1:16" x14ac:dyDescent="0.25">
      <c r="A206" s="83">
        <f t="shared" si="3"/>
        <v>205</v>
      </c>
      <c r="B206" s="7" t="s">
        <v>1201</v>
      </c>
      <c r="C206" s="40">
        <v>45084</v>
      </c>
      <c r="D206" t="s">
        <v>1310</v>
      </c>
      <c r="E206" t="s">
        <v>1311</v>
      </c>
      <c r="F206" t="s">
        <v>1312</v>
      </c>
      <c r="G206" t="s">
        <v>192</v>
      </c>
      <c r="H206" s="38">
        <v>1421</v>
      </c>
      <c r="I206" t="s">
        <v>1313</v>
      </c>
      <c r="J206" t="s">
        <v>733</v>
      </c>
      <c r="K206" s="89" t="s">
        <v>838</v>
      </c>
      <c r="L206" s="89" t="s">
        <v>838</v>
      </c>
      <c r="M206" s="89" t="s">
        <v>838</v>
      </c>
      <c r="N206" s="89" t="s">
        <v>838</v>
      </c>
      <c r="O206" s="89" t="s">
        <v>838</v>
      </c>
      <c r="P206" s="89" t="s">
        <v>838</v>
      </c>
    </row>
    <row r="207" spans="1:16" x14ac:dyDescent="0.25">
      <c r="A207">
        <f t="shared" si="3"/>
        <v>206</v>
      </c>
      <c r="B207" s="7" t="s">
        <v>1202</v>
      </c>
      <c r="C207" s="40">
        <v>45084</v>
      </c>
      <c r="D207" t="s">
        <v>1315</v>
      </c>
      <c r="E207" t="s">
        <v>1316</v>
      </c>
      <c r="F207" t="s">
        <v>1317</v>
      </c>
      <c r="G207" t="s">
        <v>197</v>
      </c>
      <c r="H207" s="38">
        <v>1365</v>
      </c>
      <c r="I207" t="s">
        <v>641</v>
      </c>
      <c r="J207" t="s">
        <v>1318</v>
      </c>
      <c r="K207" s="89" t="s">
        <v>838</v>
      </c>
      <c r="L207" s="89" t="s">
        <v>838</v>
      </c>
      <c r="M207" s="89" t="s">
        <v>838</v>
      </c>
      <c r="N207" s="89" t="s">
        <v>838</v>
      </c>
      <c r="O207" s="89" t="s">
        <v>838</v>
      </c>
      <c r="P207" s="89" t="s">
        <v>838</v>
      </c>
    </row>
    <row r="208" spans="1:16" x14ac:dyDescent="0.25">
      <c r="A208" s="83">
        <f t="shared" si="3"/>
        <v>207</v>
      </c>
      <c r="B208" s="7" t="s">
        <v>1203</v>
      </c>
      <c r="C208" s="40">
        <v>45077</v>
      </c>
      <c r="D208" t="s">
        <v>1319</v>
      </c>
      <c r="E208" t="s">
        <v>1320</v>
      </c>
      <c r="F208" t="s">
        <v>1321</v>
      </c>
      <c r="G208" t="s">
        <v>192</v>
      </c>
      <c r="H208" s="38">
        <v>1108.72</v>
      </c>
      <c r="I208" t="s">
        <v>1322</v>
      </c>
      <c r="J208" t="s">
        <v>349</v>
      </c>
      <c r="K208" s="89" t="s">
        <v>838</v>
      </c>
      <c r="L208" s="89" t="s">
        <v>838</v>
      </c>
      <c r="M208" s="89" t="s">
        <v>838</v>
      </c>
      <c r="N208" s="89" t="s">
        <v>838</v>
      </c>
      <c r="O208" s="89" t="s">
        <v>838</v>
      </c>
      <c r="P208" s="89" t="s">
        <v>838</v>
      </c>
    </row>
    <row r="209" spans="1:16" x14ac:dyDescent="0.25">
      <c r="A209" s="83">
        <f t="shared" si="3"/>
        <v>208</v>
      </c>
      <c r="B209" s="87" t="s">
        <v>1204</v>
      </c>
      <c r="C209" s="40">
        <v>45086</v>
      </c>
      <c r="D209" t="s">
        <v>318</v>
      </c>
      <c r="E209" t="s">
        <v>317</v>
      </c>
      <c r="F209" t="s">
        <v>918</v>
      </c>
      <c r="G209" t="s">
        <v>192</v>
      </c>
      <c r="H209" s="38">
        <v>2200.1999999999998</v>
      </c>
      <c r="I209" t="s">
        <v>1323</v>
      </c>
      <c r="J209" t="s">
        <v>1324</v>
      </c>
      <c r="K209" s="89" t="s">
        <v>838</v>
      </c>
      <c r="L209" s="89" t="s">
        <v>838</v>
      </c>
      <c r="M209" s="89" t="s">
        <v>838</v>
      </c>
      <c r="N209" s="89" t="s">
        <v>838</v>
      </c>
      <c r="O209" s="89" t="s">
        <v>838</v>
      </c>
      <c r="P209" s="89" t="s">
        <v>838</v>
      </c>
    </row>
    <row r="210" spans="1:16" x14ac:dyDescent="0.25">
      <c r="A210">
        <f t="shared" si="3"/>
        <v>209</v>
      </c>
      <c r="B210" s="7" t="s">
        <v>1205</v>
      </c>
      <c r="C210" s="40">
        <v>45087</v>
      </c>
      <c r="D210" t="s">
        <v>1325</v>
      </c>
      <c r="E210" t="s">
        <v>1326</v>
      </c>
      <c r="F210" t="s">
        <v>1327</v>
      </c>
      <c r="G210" t="s">
        <v>193</v>
      </c>
      <c r="H210" s="38">
        <v>1894.3</v>
      </c>
      <c r="I210" t="s">
        <v>1328</v>
      </c>
      <c r="J210" t="s">
        <v>1336</v>
      </c>
      <c r="K210" s="89" t="s">
        <v>838</v>
      </c>
      <c r="L210" s="89" t="s">
        <v>838</v>
      </c>
      <c r="M210" s="89" t="s">
        <v>838</v>
      </c>
      <c r="N210" s="89" t="s">
        <v>838</v>
      </c>
      <c r="O210" s="89" t="s">
        <v>838</v>
      </c>
      <c r="P210" s="89" t="s">
        <v>838</v>
      </c>
    </row>
    <row r="211" spans="1:16" x14ac:dyDescent="0.25">
      <c r="A211" s="83">
        <f t="shared" si="3"/>
        <v>210</v>
      </c>
      <c r="B211" s="98" t="s">
        <v>1206</v>
      </c>
      <c r="C211" s="40">
        <v>45051</v>
      </c>
      <c r="D211" t="s">
        <v>1333</v>
      </c>
      <c r="F211" t="s">
        <v>1334</v>
      </c>
      <c r="G211" t="s">
        <v>192</v>
      </c>
      <c r="H211" s="38">
        <v>5699</v>
      </c>
      <c r="I211" t="s">
        <v>1126</v>
      </c>
      <c r="J211" t="s">
        <v>1335</v>
      </c>
      <c r="K211" s="89" t="s">
        <v>838</v>
      </c>
      <c r="L211" s="89" t="s">
        <v>838</v>
      </c>
      <c r="M211" s="89" t="s">
        <v>838</v>
      </c>
      <c r="N211" s="89" t="s">
        <v>838</v>
      </c>
      <c r="O211" s="89" t="s">
        <v>838</v>
      </c>
      <c r="P211" s="89" t="s">
        <v>838</v>
      </c>
    </row>
    <row r="212" spans="1:16" x14ac:dyDescent="0.25">
      <c r="A212" s="83">
        <f t="shared" si="3"/>
        <v>211</v>
      </c>
      <c r="B212" s="7" t="s">
        <v>1264</v>
      </c>
      <c r="C212" s="40">
        <v>45089</v>
      </c>
      <c r="D212" t="s">
        <v>1337</v>
      </c>
      <c r="E212" t="s">
        <v>1338</v>
      </c>
      <c r="F212" t="s">
        <v>1339</v>
      </c>
      <c r="G212" t="s">
        <v>192</v>
      </c>
      <c r="H212" s="38">
        <v>2693</v>
      </c>
      <c r="I212" t="s">
        <v>1340</v>
      </c>
      <c r="J212" t="s">
        <v>1345</v>
      </c>
      <c r="K212" s="89" t="s">
        <v>838</v>
      </c>
      <c r="L212" s="89" t="s">
        <v>838</v>
      </c>
      <c r="M212" s="89" t="s">
        <v>838</v>
      </c>
      <c r="N212" s="89" t="s">
        <v>838</v>
      </c>
      <c r="O212" s="89" t="s">
        <v>838</v>
      </c>
      <c r="P212" s="89" t="s">
        <v>838</v>
      </c>
    </row>
    <row r="213" spans="1:16" x14ac:dyDescent="0.25">
      <c r="A213">
        <f t="shared" si="3"/>
        <v>212</v>
      </c>
      <c r="B213" s="98" t="s">
        <v>1265</v>
      </c>
      <c r="C213" s="40">
        <v>45090</v>
      </c>
      <c r="D213" t="s">
        <v>1341</v>
      </c>
      <c r="E213" t="s">
        <v>1342</v>
      </c>
      <c r="F213" t="s">
        <v>1343</v>
      </c>
      <c r="G213" t="s">
        <v>197</v>
      </c>
      <c r="H213" s="38">
        <v>3012</v>
      </c>
      <c r="I213" t="s">
        <v>1344</v>
      </c>
      <c r="J213" t="s">
        <v>219</v>
      </c>
      <c r="K213" s="89" t="s">
        <v>838</v>
      </c>
      <c r="L213" s="89" t="s">
        <v>838</v>
      </c>
      <c r="M213" s="89" t="s">
        <v>838</v>
      </c>
      <c r="N213" s="89" t="s">
        <v>838</v>
      </c>
      <c r="O213" s="89" t="s">
        <v>838</v>
      </c>
      <c r="P213" s="89" t="s">
        <v>838</v>
      </c>
    </row>
    <row r="214" spans="1:16" x14ac:dyDescent="0.25">
      <c r="A214">
        <f t="shared" si="3"/>
        <v>213</v>
      </c>
      <c r="B214" s="98" t="s">
        <v>1266</v>
      </c>
      <c r="C214" s="40">
        <v>45079</v>
      </c>
      <c r="D214" t="s">
        <v>1346</v>
      </c>
      <c r="E214" t="s">
        <v>1347</v>
      </c>
      <c r="F214" t="s">
        <v>1348</v>
      </c>
      <c r="G214" t="s">
        <v>197</v>
      </c>
      <c r="H214" s="38">
        <v>2069.7600000000002</v>
      </c>
      <c r="I214" t="s">
        <v>1281</v>
      </c>
      <c r="J214" t="s">
        <v>1349</v>
      </c>
      <c r="K214" s="89" t="s">
        <v>838</v>
      </c>
      <c r="L214" s="89" t="s">
        <v>838</v>
      </c>
      <c r="M214" s="89" t="s">
        <v>838</v>
      </c>
      <c r="N214" s="89" t="s">
        <v>838</v>
      </c>
      <c r="O214" s="89" t="s">
        <v>838</v>
      </c>
      <c r="P214" s="89" t="s">
        <v>838</v>
      </c>
    </row>
    <row r="215" spans="1:16" x14ac:dyDescent="0.25">
      <c r="A215">
        <f t="shared" si="3"/>
        <v>214</v>
      </c>
      <c r="B215" s="7" t="s">
        <v>1267</v>
      </c>
      <c r="C215" s="40">
        <v>45091</v>
      </c>
      <c r="D215" t="s">
        <v>1350</v>
      </c>
      <c r="E215" t="s">
        <v>1351</v>
      </c>
      <c r="F215" t="s">
        <v>1352</v>
      </c>
      <c r="G215" t="s">
        <v>197</v>
      </c>
      <c r="H215" s="38">
        <v>1250</v>
      </c>
      <c r="I215" t="s">
        <v>1353</v>
      </c>
      <c r="J215" t="s">
        <v>1354</v>
      </c>
      <c r="K215" s="89" t="s">
        <v>838</v>
      </c>
      <c r="L215" s="89" t="s">
        <v>838</v>
      </c>
      <c r="M215" s="89" t="s">
        <v>838</v>
      </c>
      <c r="N215" s="89" t="s">
        <v>838</v>
      </c>
      <c r="O215" s="89" t="s">
        <v>838</v>
      </c>
      <c r="P215" s="89" t="s">
        <v>838</v>
      </c>
    </row>
    <row r="216" spans="1:16" x14ac:dyDescent="0.25">
      <c r="A216" s="83">
        <f t="shared" si="3"/>
        <v>215</v>
      </c>
      <c r="B216" s="7" t="s">
        <v>1268</v>
      </c>
      <c r="C216" s="40">
        <v>45085</v>
      </c>
      <c r="D216" t="s">
        <v>724</v>
      </c>
      <c r="E216" t="s">
        <v>725</v>
      </c>
      <c r="F216" t="s">
        <v>726</v>
      </c>
      <c r="G216" t="s">
        <v>192</v>
      </c>
      <c r="H216" s="38">
        <v>2749</v>
      </c>
      <c r="I216" t="s">
        <v>1359</v>
      </c>
      <c r="J216" t="s">
        <v>545</v>
      </c>
      <c r="K216" s="89" t="s">
        <v>838</v>
      </c>
      <c r="L216" s="89" t="s">
        <v>838</v>
      </c>
      <c r="M216" s="89" t="s">
        <v>838</v>
      </c>
      <c r="N216" s="89" t="s">
        <v>838</v>
      </c>
      <c r="O216" s="89" t="s">
        <v>838</v>
      </c>
      <c r="P216" s="89" t="s">
        <v>838</v>
      </c>
    </row>
    <row r="217" spans="1:16" x14ac:dyDescent="0.25">
      <c r="A217" s="83">
        <f t="shared" si="3"/>
        <v>216</v>
      </c>
      <c r="B217" s="7" t="s">
        <v>1269</v>
      </c>
      <c r="C217" s="40">
        <v>45089</v>
      </c>
      <c r="D217" t="s">
        <v>1360</v>
      </c>
      <c r="E217" t="s">
        <v>1361</v>
      </c>
      <c r="F217" t="s">
        <v>1362</v>
      </c>
      <c r="G217" t="s">
        <v>192</v>
      </c>
      <c r="H217" s="38">
        <v>1965</v>
      </c>
      <c r="I217" t="s">
        <v>1363</v>
      </c>
      <c r="J217" t="s">
        <v>219</v>
      </c>
      <c r="K217" s="89" t="s">
        <v>838</v>
      </c>
      <c r="L217" s="89" t="s">
        <v>838</v>
      </c>
      <c r="M217" s="89" t="s">
        <v>838</v>
      </c>
      <c r="N217" s="89" t="s">
        <v>838</v>
      </c>
      <c r="O217" s="89" t="s">
        <v>838</v>
      </c>
      <c r="P217" s="89" t="s">
        <v>838</v>
      </c>
    </row>
    <row r="218" spans="1:16" x14ac:dyDescent="0.25">
      <c r="A218" s="83">
        <f t="shared" si="3"/>
        <v>217</v>
      </c>
      <c r="B218" s="7" t="s">
        <v>1270</v>
      </c>
      <c r="C218" s="40">
        <v>45092</v>
      </c>
      <c r="D218" t="s">
        <v>1364</v>
      </c>
      <c r="E218" t="s">
        <v>1365</v>
      </c>
      <c r="F218" t="s">
        <v>1366</v>
      </c>
      <c r="G218" t="s">
        <v>192</v>
      </c>
      <c r="H218" s="38">
        <v>975</v>
      </c>
      <c r="I218" t="s">
        <v>1367</v>
      </c>
      <c r="J218" t="s">
        <v>733</v>
      </c>
      <c r="K218" s="89" t="s">
        <v>838</v>
      </c>
      <c r="L218" s="89" t="s">
        <v>838</v>
      </c>
      <c r="M218" s="89" t="s">
        <v>838</v>
      </c>
      <c r="N218" s="89" t="s">
        <v>838</v>
      </c>
      <c r="O218" s="89" t="s">
        <v>838</v>
      </c>
      <c r="P218" s="89" t="s">
        <v>838</v>
      </c>
    </row>
    <row r="219" spans="1:16" x14ac:dyDescent="0.25">
      <c r="A219" s="83">
        <f t="shared" si="3"/>
        <v>218</v>
      </c>
      <c r="B219" s="7" t="s">
        <v>1271</v>
      </c>
      <c r="C219" s="40">
        <v>45085</v>
      </c>
      <c r="D219" t="s">
        <v>1368</v>
      </c>
      <c r="E219" t="s">
        <v>1369</v>
      </c>
      <c r="F219" t="s">
        <v>1370</v>
      </c>
      <c r="G219" t="s">
        <v>192</v>
      </c>
      <c r="H219" s="38">
        <v>2008</v>
      </c>
      <c r="I219" t="s">
        <v>1371</v>
      </c>
      <c r="J219" t="s">
        <v>545</v>
      </c>
      <c r="K219" s="89" t="s">
        <v>838</v>
      </c>
      <c r="L219" s="89" t="s">
        <v>838</v>
      </c>
      <c r="M219" s="89" t="s">
        <v>838</v>
      </c>
      <c r="N219" s="89" t="s">
        <v>838</v>
      </c>
      <c r="O219" s="89" t="s">
        <v>838</v>
      </c>
      <c r="P219" s="89" t="s">
        <v>838</v>
      </c>
    </row>
    <row r="220" spans="1:16" x14ac:dyDescent="0.25">
      <c r="A220">
        <f t="shared" si="3"/>
        <v>219</v>
      </c>
      <c r="B220" s="7" t="s">
        <v>1272</v>
      </c>
      <c r="C220" s="40">
        <v>45085</v>
      </c>
      <c r="D220" t="s">
        <v>1372</v>
      </c>
      <c r="E220" t="s">
        <v>1373</v>
      </c>
      <c r="F220" t="s">
        <v>1374</v>
      </c>
      <c r="G220" t="s">
        <v>197</v>
      </c>
      <c r="H220" s="38">
        <v>381</v>
      </c>
      <c r="I220" t="s">
        <v>449</v>
      </c>
      <c r="J220" t="s">
        <v>582</v>
      </c>
      <c r="K220" s="89" t="s">
        <v>838</v>
      </c>
      <c r="L220" s="89" t="s">
        <v>838</v>
      </c>
      <c r="M220" s="89" t="s">
        <v>838</v>
      </c>
      <c r="N220" s="89" t="s">
        <v>838</v>
      </c>
      <c r="O220" s="89" t="s">
        <v>838</v>
      </c>
      <c r="P220" s="89" t="s">
        <v>838</v>
      </c>
    </row>
    <row r="221" spans="1:16" x14ac:dyDescent="0.25">
      <c r="A221">
        <f t="shared" si="3"/>
        <v>220</v>
      </c>
      <c r="B221" s="7" t="s">
        <v>1273</v>
      </c>
      <c r="C221" s="40">
        <v>45093</v>
      </c>
      <c r="D221" t="s">
        <v>1375</v>
      </c>
      <c r="E221" t="s">
        <v>1376</v>
      </c>
      <c r="F221" t="s">
        <v>1377</v>
      </c>
      <c r="G221" t="s">
        <v>197</v>
      </c>
      <c r="H221" s="38">
        <v>1340</v>
      </c>
      <c r="I221" t="s">
        <v>1378</v>
      </c>
      <c r="J221" t="s">
        <v>219</v>
      </c>
      <c r="K221" s="89" t="s">
        <v>838</v>
      </c>
      <c r="L221" s="89" t="s">
        <v>838</v>
      </c>
      <c r="M221" s="89" t="s">
        <v>838</v>
      </c>
      <c r="N221" s="89" t="s">
        <v>838</v>
      </c>
      <c r="O221" s="89" t="s">
        <v>838</v>
      </c>
      <c r="P221" s="89" t="s">
        <v>838</v>
      </c>
    </row>
    <row r="222" spans="1:16" x14ac:dyDescent="0.25">
      <c r="A222">
        <f t="shared" si="3"/>
        <v>221</v>
      </c>
      <c r="B222" s="7" t="s">
        <v>1274</v>
      </c>
      <c r="C222" s="40">
        <v>45093</v>
      </c>
      <c r="D222" t="s">
        <v>1379</v>
      </c>
      <c r="E222" t="s">
        <v>1380</v>
      </c>
      <c r="F222" t="s">
        <v>1381</v>
      </c>
      <c r="G222" t="s">
        <v>197</v>
      </c>
      <c r="H222" s="38">
        <v>1223</v>
      </c>
      <c r="I222" t="s">
        <v>1382</v>
      </c>
      <c r="J222" t="s">
        <v>348</v>
      </c>
      <c r="K222" s="89" t="s">
        <v>838</v>
      </c>
      <c r="L222" s="89" t="s">
        <v>838</v>
      </c>
      <c r="M222" s="89" t="s">
        <v>838</v>
      </c>
      <c r="N222" s="89" t="s">
        <v>838</v>
      </c>
      <c r="O222" s="89" t="s">
        <v>838</v>
      </c>
      <c r="P222" s="89" t="s">
        <v>838</v>
      </c>
    </row>
    <row r="223" spans="1:16" x14ac:dyDescent="0.25">
      <c r="A223">
        <f t="shared" si="3"/>
        <v>222</v>
      </c>
      <c r="B223" s="7" t="s">
        <v>1275</v>
      </c>
      <c r="C223" s="40">
        <v>45093</v>
      </c>
      <c r="D223" t="s">
        <v>1383</v>
      </c>
      <c r="E223" t="s">
        <v>1384</v>
      </c>
      <c r="F223" t="s">
        <v>1385</v>
      </c>
      <c r="G223" t="s">
        <v>197</v>
      </c>
      <c r="H223" s="38">
        <v>968</v>
      </c>
      <c r="I223" t="s">
        <v>1386</v>
      </c>
      <c r="J223" t="s">
        <v>300</v>
      </c>
      <c r="K223" s="89" t="s">
        <v>838</v>
      </c>
      <c r="L223" s="89" t="s">
        <v>838</v>
      </c>
      <c r="M223" s="89" t="s">
        <v>838</v>
      </c>
      <c r="N223" s="89" t="s">
        <v>838</v>
      </c>
      <c r="O223" s="89" t="s">
        <v>838</v>
      </c>
      <c r="P223" s="89" t="s">
        <v>838</v>
      </c>
    </row>
    <row r="224" spans="1:16" x14ac:dyDescent="0.25">
      <c r="A224" s="83">
        <f t="shared" si="3"/>
        <v>223</v>
      </c>
      <c r="B224" s="7" t="s">
        <v>1302</v>
      </c>
      <c r="C224" s="40">
        <v>45094</v>
      </c>
      <c r="D224" t="s">
        <v>1387</v>
      </c>
      <c r="E224" t="s">
        <v>1388</v>
      </c>
      <c r="F224" t="s">
        <v>1389</v>
      </c>
      <c r="G224" t="s">
        <v>192</v>
      </c>
      <c r="H224" s="38">
        <v>1809</v>
      </c>
      <c r="I224" t="s">
        <v>1390</v>
      </c>
      <c r="J224" t="s">
        <v>545</v>
      </c>
      <c r="K224" s="89" t="s">
        <v>838</v>
      </c>
      <c r="L224" s="89" t="s">
        <v>838</v>
      </c>
      <c r="M224" s="89" t="s">
        <v>838</v>
      </c>
      <c r="N224" s="89" t="s">
        <v>838</v>
      </c>
      <c r="O224" s="89" t="s">
        <v>838</v>
      </c>
      <c r="P224" s="89" t="s">
        <v>838</v>
      </c>
    </row>
    <row r="225" spans="1:16" x14ac:dyDescent="0.25">
      <c r="A225">
        <f t="shared" si="3"/>
        <v>224</v>
      </c>
      <c r="B225" s="7" t="s">
        <v>1303</v>
      </c>
      <c r="C225" s="40">
        <v>45078</v>
      </c>
      <c r="D225" t="s">
        <v>1393</v>
      </c>
      <c r="E225" t="s">
        <v>1394</v>
      </c>
      <c r="F225" t="s">
        <v>1395</v>
      </c>
      <c r="G225" t="s">
        <v>197</v>
      </c>
      <c r="H225" s="38">
        <v>3039</v>
      </c>
      <c r="I225" t="s">
        <v>1396</v>
      </c>
      <c r="J225" t="s">
        <v>1420</v>
      </c>
      <c r="K225" s="89" t="s">
        <v>838</v>
      </c>
      <c r="L225" s="89" t="s">
        <v>838</v>
      </c>
      <c r="M225" s="89" t="s">
        <v>838</v>
      </c>
      <c r="N225" s="89" t="s">
        <v>838</v>
      </c>
      <c r="O225" s="89" t="s">
        <v>838</v>
      </c>
      <c r="P225" s="89" t="s">
        <v>838</v>
      </c>
    </row>
    <row r="226" spans="1:16" x14ac:dyDescent="0.25">
      <c r="A226">
        <f t="shared" si="3"/>
        <v>225</v>
      </c>
      <c r="B226" s="7" t="s">
        <v>1304</v>
      </c>
      <c r="C226" s="40">
        <v>45089</v>
      </c>
      <c r="D226" t="s">
        <v>1397</v>
      </c>
      <c r="E226" t="s">
        <v>1398</v>
      </c>
      <c r="F226" t="s">
        <v>1399</v>
      </c>
      <c r="G226" t="s">
        <v>197</v>
      </c>
      <c r="H226" s="38">
        <v>989</v>
      </c>
      <c r="I226" t="s">
        <v>1400</v>
      </c>
      <c r="J226" t="s">
        <v>1401</v>
      </c>
      <c r="K226" s="89" t="s">
        <v>838</v>
      </c>
      <c r="L226" s="89" t="s">
        <v>838</v>
      </c>
      <c r="M226" s="89" t="s">
        <v>838</v>
      </c>
      <c r="N226" s="89" t="s">
        <v>838</v>
      </c>
      <c r="O226" s="89" t="s">
        <v>838</v>
      </c>
      <c r="P226" s="89" t="s">
        <v>838</v>
      </c>
    </row>
    <row r="227" spans="1:16" x14ac:dyDescent="0.25">
      <c r="A227" s="83">
        <f t="shared" si="3"/>
        <v>226</v>
      </c>
      <c r="B227" s="7" t="s">
        <v>1305</v>
      </c>
      <c r="C227" s="40">
        <v>45096</v>
      </c>
      <c r="D227" t="s">
        <v>551</v>
      </c>
      <c r="E227" t="s">
        <v>552</v>
      </c>
      <c r="F227" t="s">
        <v>1402</v>
      </c>
      <c r="G227" t="s">
        <v>192</v>
      </c>
      <c r="H227" s="38">
        <v>1390</v>
      </c>
      <c r="I227" t="s">
        <v>1403</v>
      </c>
      <c r="J227" t="s">
        <v>219</v>
      </c>
      <c r="K227" s="89" t="s">
        <v>838</v>
      </c>
      <c r="L227" s="89" t="s">
        <v>838</v>
      </c>
      <c r="M227" s="89" t="s">
        <v>838</v>
      </c>
      <c r="N227" s="89" t="s">
        <v>838</v>
      </c>
      <c r="O227" s="89" t="s">
        <v>838</v>
      </c>
      <c r="P227" s="89" t="s">
        <v>838</v>
      </c>
    </row>
    <row r="228" spans="1:16" x14ac:dyDescent="0.25">
      <c r="A228">
        <f t="shared" si="3"/>
        <v>227</v>
      </c>
      <c r="B228" s="7" t="s">
        <v>1355</v>
      </c>
      <c r="C228" s="40">
        <v>45096</v>
      </c>
      <c r="D228" t="s">
        <v>1404</v>
      </c>
      <c r="E228" t="s">
        <v>1405</v>
      </c>
      <c r="F228" t="s">
        <v>1406</v>
      </c>
      <c r="G228" t="s">
        <v>197</v>
      </c>
      <c r="H228" s="38">
        <v>1356</v>
      </c>
      <c r="I228" t="s">
        <v>1407</v>
      </c>
      <c r="J228" t="s">
        <v>749</v>
      </c>
      <c r="K228" s="89" t="s">
        <v>838</v>
      </c>
      <c r="L228" s="89" t="s">
        <v>838</v>
      </c>
      <c r="M228" s="89" t="s">
        <v>838</v>
      </c>
      <c r="N228" s="89" t="s">
        <v>838</v>
      </c>
      <c r="O228" s="89" t="s">
        <v>838</v>
      </c>
      <c r="P228" s="89" t="s">
        <v>838</v>
      </c>
    </row>
    <row r="229" spans="1:16" x14ac:dyDescent="0.25">
      <c r="A229" s="83">
        <f t="shared" si="3"/>
        <v>228</v>
      </c>
      <c r="B229" s="98" t="s">
        <v>1356</v>
      </c>
      <c r="C229" s="40">
        <v>45098</v>
      </c>
      <c r="D229" t="s">
        <v>1408</v>
      </c>
      <c r="G229" t="s">
        <v>192</v>
      </c>
      <c r="H229" s="38">
        <v>2712.6</v>
      </c>
      <c r="I229" t="s">
        <v>1409</v>
      </c>
      <c r="J229" t="s">
        <v>1410</v>
      </c>
      <c r="K229" s="89" t="s">
        <v>838</v>
      </c>
      <c r="L229" s="89" t="s">
        <v>838</v>
      </c>
      <c r="M229" s="89" t="s">
        <v>838</v>
      </c>
      <c r="N229" s="89" t="s">
        <v>838</v>
      </c>
      <c r="O229" s="89" t="s">
        <v>838</v>
      </c>
      <c r="P229" s="89" t="s">
        <v>838</v>
      </c>
    </row>
    <row r="230" spans="1:16" x14ac:dyDescent="0.25">
      <c r="A230" s="81">
        <f t="shared" si="3"/>
        <v>229</v>
      </c>
      <c r="B230" s="7" t="s">
        <v>1357</v>
      </c>
      <c r="C230" s="40">
        <v>45098</v>
      </c>
      <c r="D230" t="s">
        <v>1411</v>
      </c>
      <c r="E230" t="s">
        <v>1412</v>
      </c>
      <c r="F230" t="s">
        <v>1413</v>
      </c>
      <c r="G230" t="s">
        <v>192</v>
      </c>
      <c r="H230" s="38">
        <v>1392</v>
      </c>
      <c r="I230" t="s">
        <v>1414</v>
      </c>
      <c r="J230" t="s">
        <v>1421</v>
      </c>
      <c r="K230" s="89" t="s">
        <v>838</v>
      </c>
      <c r="L230" s="89" t="s">
        <v>838</v>
      </c>
      <c r="M230" s="89" t="s">
        <v>838</v>
      </c>
      <c r="N230" s="89" t="s">
        <v>838</v>
      </c>
      <c r="O230" s="89" t="s">
        <v>838</v>
      </c>
      <c r="P230" s="89" t="s">
        <v>838</v>
      </c>
    </row>
    <row r="231" spans="1:16" x14ac:dyDescent="0.25">
      <c r="A231">
        <f t="shared" si="3"/>
        <v>230</v>
      </c>
      <c r="B231" s="7" t="s">
        <v>1358</v>
      </c>
      <c r="C231" s="40">
        <v>45091</v>
      </c>
      <c r="D231" t="s">
        <v>1415</v>
      </c>
      <c r="E231" t="s">
        <v>1416</v>
      </c>
      <c r="F231" t="s">
        <v>1417</v>
      </c>
      <c r="G231" t="s">
        <v>197</v>
      </c>
      <c r="H231" s="38">
        <v>1077</v>
      </c>
      <c r="I231" t="s">
        <v>1418</v>
      </c>
      <c r="J231" t="s">
        <v>1419</v>
      </c>
      <c r="K231" s="89" t="s">
        <v>838</v>
      </c>
      <c r="L231" s="89" t="s">
        <v>838</v>
      </c>
      <c r="M231" s="89" t="s">
        <v>838</v>
      </c>
      <c r="N231" s="89" t="s">
        <v>838</v>
      </c>
      <c r="O231" s="89" t="s">
        <v>838</v>
      </c>
      <c r="P231" s="89" t="s">
        <v>838</v>
      </c>
    </row>
    <row r="232" spans="1:16" x14ac:dyDescent="0.25">
      <c r="A232">
        <f t="shared" si="3"/>
        <v>231</v>
      </c>
      <c r="B232" s="7" t="s">
        <v>1391</v>
      </c>
      <c r="C232" s="40">
        <v>45099</v>
      </c>
      <c r="D232" t="s">
        <v>1422</v>
      </c>
      <c r="E232" t="s">
        <v>1423</v>
      </c>
      <c r="F232" t="s">
        <v>1424</v>
      </c>
      <c r="G232" t="s">
        <v>197</v>
      </c>
      <c r="H232" s="38">
        <v>993</v>
      </c>
      <c r="I232" t="s">
        <v>1425</v>
      </c>
      <c r="J232" t="s">
        <v>204</v>
      </c>
      <c r="K232" s="89" t="s">
        <v>838</v>
      </c>
      <c r="L232" s="89" t="s">
        <v>838</v>
      </c>
      <c r="M232" s="89" t="s">
        <v>838</v>
      </c>
      <c r="N232" s="89" t="s">
        <v>838</v>
      </c>
      <c r="O232" s="89" t="s">
        <v>838</v>
      </c>
      <c r="P232" s="89" t="s">
        <v>838</v>
      </c>
    </row>
    <row r="233" spans="1:16" x14ac:dyDescent="0.25">
      <c r="A233">
        <f t="shared" si="3"/>
        <v>232</v>
      </c>
      <c r="B233" s="7" t="s">
        <v>1392</v>
      </c>
      <c r="C233" s="40">
        <v>45099</v>
      </c>
      <c r="D233" t="s">
        <v>1427</v>
      </c>
      <c r="E233" t="s">
        <v>1426</v>
      </c>
      <c r="F233" t="s">
        <v>1428</v>
      </c>
      <c r="G233" t="s">
        <v>197</v>
      </c>
      <c r="H233" s="38">
        <v>1120</v>
      </c>
      <c r="I233" t="s">
        <v>1130</v>
      </c>
      <c r="J233" t="s">
        <v>1438</v>
      </c>
      <c r="K233" s="89" t="s">
        <v>838</v>
      </c>
      <c r="L233" s="89" t="s">
        <v>838</v>
      </c>
      <c r="M233" s="89" t="s">
        <v>838</v>
      </c>
      <c r="N233" s="89" t="s">
        <v>838</v>
      </c>
      <c r="O233" s="89" t="s">
        <v>838</v>
      </c>
      <c r="P233" s="89" t="s">
        <v>838</v>
      </c>
    </row>
    <row r="234" spans="1:16" x14ac:dyDescent="0.25">
      <c r="A234" s="83">
        <f t="shared" si="3"/>
        <v>233</v>
      </c>
      <c r="B234" s="7" t="s">
        <v>1429</v>
      </c>
      <c r="C234" s="40">
        <v>45094</v>
      </c>
      <c r="D234" t="s">
        <v>617</v>
      </c>
      <c r="E234" t="s">
        <v>445</v>
      </c>
      <c r="F234" t="s">
        <v>1436</v>
      </c>
      <c r="G234" t="s">
        <v>192</v>
      </c>
      <c r="H234" s="38">
        <v>2104.4</v>
      </c>
      <c r="I234" t="s">
        <v>1437</v>
      </c>
      <c r="J234" t="s">
        <v>1454</v>
      </c>
      <c r="K234" s="89" t="s">
        <v>838</v>
      </c>
      <c r="L234" s="89" t="s">
        <v>838</v>
      </c>
      <c r="M234" s="89" t="s">
        <v>838</v>
      </c>
      <c r="N234" s="89" t="s">
        <v>838</v>
      </c>
      <c r="O234" s="89" t="s">
        <v>838</v>
      </c>
      <c r="P234" s="89" t="s">
        <v>838</v>
      </c>
    </row>
    <row r="235" spans="1:16" x14ac:dyDescent="0.25">
      <c r="A235" s="83">
        <f t="shared" si="3"/>
        <v>234</v>
      </c>
      <c r="B235" s="98" t="s">
        <v>1430</v>
      </c>
      <c r="C235" s="40">
        <v>45100</v>
      </c>
      <c r="D235" t="s">
        <v>1439</v>
      </c>
      <c r="E235" t="s">
        <v>1440</v>
      </c>
      <c r="F235" t="s">
        <v>1441</v>
      </c>
      <c r="G235" t="s">
        <v>192</v>
      </c>
      <c r="H235" s="38">
        <v>880</v>
      </c>
      <c r="I235" t="s">
        <v>1442</v>
      </c>
      <c r="J235" t="s">
        <v>1473</v>
      </c>
      <c r="K235" s="89" t="s">
        <v>838</v>
      </c>
      <c r="L235" s="89" t="s">
        <v>838</v>
      </c>
      <c r="M235" s="89" t="s">
        <v>838</v>
      </c>
      <c r="N235" s="89" t="s">
        <v>838</v>
      </c>
      <c r="O235" s="89" t="s">
        <v>838</v>
      </c>
      <c r="P235" s="89" t="s">
        <v>838</v>
      </c>
    </row>
    <row r="236" spans="1:16" x14ac:dyDescent="0.25">
      <c r="A236" s="82">
        <f t="shared" si="3"/>
        <v>235</v>
      </c>
      <c r="B236" s="7" t="s">
        <v>1431</v>
      </c>
      <c r="C236" s="40">
        <v>45100</v>
      </c>
      <c r="D236" t="s">
        <v>1443</v>
      </c>
      <c r="E236" t="s">
        <v>1444</v>
      </c>
      <c r="F236" t="s">
        <v>1445</v>
      </c>
      <c r="G236" t="s">
        <v>197</v>
      </c>
      <c r="H236" s="38">
        <v>8581.84</v>
      </c>
      <c r="I236" t="s">
        <v>309</v>
      </c>
      <c r="J236" t="s">
        <v>1446</v>
      </c>
      <c r="K236" s="89" t="s">
        <v>838</v>
      </c>
      <c r="L236" s="89" t="s">
        <v>838</v>
      </c>
      <c r="M236" s="89" t="s">
        <v>838</v>
      </c>
      <c r="N236" s="89" t="s">
        <v>838</v>
      </c>
      <c r="O236" s="89" t="s">
        <v>838</v>
      </c>
      <c r="P236" s="89" t="s">
        <v>838</v>
      </c>
    </row>
    <row r="237" spans="1:16" x14ac:dyDescent="0.25">
      <c r="A237" s="83">
        <f t="shared" si="3"/>
        <v>236</v>
      </c>
      <c r="B237" s="7" t="s">
        <v>1432</v>
      </c>
      <c r="C237" s="40">
        <v>45101</v>
      </c>
      <c r="D237" t="s">
        <v>824</v>
      </c>
      <c r="E237" t="s">
        <v>825</v>
      </c>
      <c r="F237" t="s">
        <v>1447</v>
      </c>
      <c r="G237" t="s">
        <v>192</v>
      </c>
      <c r="H237" s="38">
        <v>1064</v>
      </c>
      <c r="I237" t="s">
        <v>1130</v>
      </c>
      <c r="J237" t="s">
        <v>1454</v>
      </c>
      <c r="K237" s="89" t="s">
        <v>838</v>
      </c>
      <c r="L237" s="89" t="s">
        <v>838</v>
      </c>
      <c r="M237" s="89" t="s">
        <v>838</v>
      </c>
      <c r="N237" s="89" t="s">
        <v>838</v>
      </c>
      <c r="O237" s="89" t="s">
        <v>838</v>
      </c>
      <c r="P237" s="89" t="s">
        <v>838</v>
      </c>
    </row>
    <row r="238" spans="1:16" x14ac:dyDescent="0.25">
      <c r="A238">
        <f t="shared" si="3"/>
        <v>237</v>
      </c>
      <c r="B238" s="98" t="s">
        <v>1433</v>
      </c>
      <c r="C238" s="40">
        <v>45101</v>
      </c>
      <c r="D238" t="s">
        <v>1448</v>
      </c>
      <c r="F238" t="s">
        <v>1449</v>
      </c>
      <c r="G238" t="s">
        <v>1450</v>
      </c>
      <c r="H238" s="38">
        <v>481</v>
      </c>
      <c r="I238" t="s">
        <v>1451</v>
      </c>
      <c r="J238" t="s">
        <v>1452</v>
      </c>
      <c r="K238" s="89" t="s">
        <v>838</v>
      </c>
      <c r="L238" s="89" t="s">
        <v>838</v>
      </c>
      <c r="M238" s="89" t="s">
        <v>838</v>
      </c>
      <c r="N238" s="89" t="s">
        <v>838</v>
      </c>
      <c r="O238" s="89" t="s">
        <v>838</v>
      </c>
      <c r="P238" s="89" t="s">
        <v>838</v>
      </c>
    </row>
    <row r="239" spans="1:16" x14ac:dyDescent="0.25">
      <c r="A239" s="83">
        <f t="shared" si="3"/>
        <v>238</v>
      </c>
      <c r="B239" s="7" t="s">
        <v>1434</v>
      </c>
      <c r="C239" s="40">
        <v>45097</v>
      </c>
      <c r="D239" t="s">
        <v>735</v>
      </c>
      <c r="E239" t="s">
        <v>736</v>
      </c>
      <c r="F239" t="s">
        <v>737</v>
      </c>
      <c r="G239" t="s">
        <v>192</v>
      </c>
      <c r="H239" s="38">
        <v>2053.1999999999998</v>
      </c>
      <c r="I239" t="s">
        <v>1453</v>
      </c>
      <c r="J239" t="s">
        <v>219</v>
      </c>
      <c r="K239" s="89" t="s">
        <v>838</v>
      </c>
      <c r="L239" s="89" t="s">
        <v>838</v>
      </c>
      <c r="M239" s="89" t="s">
        <v>838</v>
      </c>
      <c r="N239" s="89" t="s">
        <v>838</v>
      </c>
      <c r="O239" s="89" t="s">
        <v>838</v>
      </c>
      <c r="P239" s="89" t="s">
        <v>838</v>
      </c>
    </row>
    <row r="240" spans="1:16" x14ac:dyDescent="0.25">
      <c r="A240">
        <f t="shared" si="3"/>
        <v>239</v>
      </c>
      <c r="B240" s="98" t="s">
        <v>1435</v>
      </c>
      <c r="C240" s="40">
        <v>45103</v>
      </c>
      <c r="D240" t="s">
        <v>1455</v>
      </c>
      <c r="E240" t="s">
        <v>1456</v>
      </c>
      <c r="F240" t="s">
        <v>1457</v>
      </c>
      <c r="G240" t="s">
        <v>197</v>
      </c>
      <c r="H240" s="38">
        <v>1051</v>
      </c>
      <c r="I240" t="s">
        <v>1458</v>
      </c>
      <c r="J240" t="s">
        <v>219</v>
      </c>
      <c r="K240" s="89" t="s">
        <v>838</v>
      </c>
      <c r="L240" s="89" t="s">
        <v>838</v>
      </c>
      <c r="M240" s="89" t="s">
        <v>838</v>
      </c>
      <c r="N240" s="89" t="s">
        <v>838</v>
      </c>
      <c r="O240" s="89" t="s">
        <v>838</v>
      </c>
      <c r="P240" s="89" t="s">
        <v>838</v>
      </c>
    </row>
    <row r="241" spans="1:16" x14ac:dyDescent="0.25">
      <c r="A241" s="81">
        <f t="shared" si="3"/>
        <v>240</v>
      </c>
      <c r="B241" s="7" t="s">
        <v>1459</v>
      </c>
      <c r="C241" s="40">
        <v>45104</v>
      </c>
      <c r="D241" t="s">
        <v>1470</v>
      </c>
      <c r="E241" t="s">
        <v>1471</v>
      </c>
      <c r="F241" t="s">
        <v>1472</v>
      </c>
      <c r="G241" t="s">
        <v>192</v>
      </c>
      <c r="H241" s="38">
        <v>1224.96</v>
      </c>
      <c r="I241" t="s">
        <v>1414</v>
      </c>
      <c r="J241" t="s">
        <v>999</v>
      </c>
      <c r="K241" s="89" t="s">
        <v>838</v>
      </c>
      <c r="L241" s="89" t="s">
        <v>838</v>
      </c>
      <c r="M241" s="89" t="s">
        <v>838</v>
      </c>
      <c r="N241" s="89" t="s">
        <v>838</v>
      </c>
      <c r="O241" s="89" t="s">
        <v>838</v>
      </c>
      <c r="P241" s="89" t="s">
        <v>838</v>
      </c>
    </row>
    <row r="242" spans="1:16" x14ac:dyDescent="0.25">
      <c r="A242">
        <f t="shared" si="3"/>
        <v>241</v>
      </c>
      <c r="B242" s="7" t="s">
        <v>1460</v>
      </c>
      <c r="C242" s="40">
        <v>45105</v>
      </c>
      <c r="D242" t="s">
        <v>1478</v>
      </c>
      <c r="E242" t="s">
        <v>1479</v>
      </c>
      <c r="F242" t="s">
        <v>1480</v>
      </c>
      <c r="G242" t="s">
        <v>197</v>
      </c>
      <c r="H242" s="38">
        <v>975</v>
      </c>
      <c r="I242" t="s">
        <v>1367</v>
      </c>
      <c r="J242" t="s">
        <v>1503</v>
      </c>
      <c r="K242" s="89" t="s">
        <v>838</v>
      </c>
      <c r="L242" s="89" t="s">
        <v>838</v>
      </c>
      <c r="M242" s="89" t="s">
        <v>838</v>
      </c>
      <c r="N242" s="89" t="s">
        <v>838</v>
      </c>
      <c r="O242" s="89" t="s">
        <v>838</v>
      </c>
      <c r="P242" s="89" t="s">
        <v>838</v>
      </c>
    </row>
    <row r="243" spans="1:16" x14ac:dyDescent="0.25">
      <c r="A243">
        <f t="shared" si="3"/>
        <v>242</v>
      </c>
      <c r="B243" s="98" t="s">
        <v>1461</v>
      </c>
      <c r="C243" s="40">
        <v>45105</v>
      </c>
      <c r="D243" t="s">
        <v>1481</v>
      </c>
      <c r="E243" t="s">
        <v>1482</v>
      </c>
      <c r="F243" t="s">
        <v>1483</v>
      </c>
      <c r="G243" t="s">
        <v>197</v>
      </c>
      <c r="H243" s="38">
        <v>1240</v>
      </c>
      <c r="I243" t="s">
        <v>1484</v>
      </c>
      <c r="J243" t="s">
        <v>1504</v>
      </c>
      <c r="K243" s="89" t="s">
        <v>838</v>
      </c>
      <c r="L243" s="89" t="s">
        <v>838</v>
      </c>
      <c r="M243" s="89" t="s">
        <v>838</v>
      </c>
      <c r="N243" s="89" t="s">
        <v>838</v>
      </c>
      <c r="O243" s="89" t="s">
        <v>838</v>
      </c>
      <c r="P243" s="89" t="s">
        <v>838</v>
      </c>
    </row>
    <row r="244" spans="1:16" x14ac:dyDescent="0.25">
      <c r="A244">
        <f t="shared" si="3"/>
        <v>243</v>
      </c>
      <c r="B244" s="7" t="s">
        <v>1462</v>
      </c>
      <c r="C244" s="40">
        <v>45106</v>
      </c>
      <c r="D244" t="s">
        <v>1499</v>
      </c>
      <c r="E244" t="s">
        <v>1500</v>
      </c>
      <c r="F244" t="s">
        <v>1501</v>
      </c>
      <c r="G244" t="s">
        <v>197</v>
      </c>
      <c r="H244" s="38">
        <v>1812</v>
      </c>
      <c r="I244" t="s">
        <v>1502</v>
      </c>
      <c r="J244" t="s">
        <v>219</v>
      </c>
      <c r="K244" s="89" t="s">
        <v>838</v>
      </c>
      <c r="L244" s="89" t="s">
        <v>838</v>
      </c>
      <c r="M244" s="89" t="s">
        <v>838</v>
      </c>
      <c r="N244" s="89" t="s">
        <v>838</v>
      </c>
      <c r="O244" s="89" t="s">
        <v>838</v>
      </c>
      <c r="P244" s="89" t="s">
        <v>838</v>
      </c>
    </row>
    <row r="245" spans="1:16" x14ac:dyDescent="0.25">
      <c r="A245" s="81">
        <f t="shared" si="3"/>
        <v>244</v>
      </c>
      <c r="B245" s="7" t="s">
        <v>1463</v>
      </c>
      <c r="C245" s="40">
        <v>45103</v>
      </c>
      <c r="D245" t="s">
        <v>604</v>
      </c>
      <c r="E245" t="s">
        <v>605</v>
      </c>
      <c r="F245" t="s">
        <v>606</v>
      </c>
      <c r="G245" t="s">
        <v>192</v>
      </c>
      <c r="H245" s="38">
        <v>1392</v>
      </c>
      <c r="I245" t="s">
        <v>309</v>
      </c>
      <c r="J245" t="s">
        <v>582</v>
      </c>
      <c r="K245" s="89" t="s">
        <v>838</v>
      </c>
      <c r="L245" s="89" t="s">
        <v>838</v>
      </c>
      <c r="M245" s="89" t="s">
        <v>838</v>
      </c>
      <c r="N245" s="89" t="s">
        <v>838</v>
      </c>
      <c r="O245" s="89" t="s">
        <v>838</v>
      </c>
      <c r="P245" s="89" t="s">
        <v>838</v>
      </c>
    </row>
    <row r="246" spans="1:16" x14ac:dyDescent="0.25">
      <c r="A246" s="83">
        <f t="shared" si="3"/>
        <v>245</v>
      </c>
      <c r="B246" s="7" t="s">
        <v>1464</v>
      </c>
      <c r="C246" s="40">
        <v>45107</v>
      </c>
      <c r="D246" t="s">
        <v>339</v>
      </c>
      <c r="E246" t="s">
        <v>340</v>
      </c>
      <c r="F246" t="s">
        <v>1505</v>
      </c>
      <c r="G246" t="s">
        <v>192</v>
      </c>
      <c r="H246" s="38">
        <v>1378</v>
      </c>
      <c r="I246" t="s">
        <v>342</v>
      </c>
      <c r="J246" t="s">
        <v>1512</v>
      </c>
      <c r="K246" t="s">
        <v>838</v>
      </c>
      <c r="L246" s="89" t="s">
        <v>838</v>
      </c>
      <c r="M246" s="89" t="s">
        <v>838</v>
      </c>
      <c r="N246" s="89" t="s">
        <v>838</v>
      </c>
      <c r="O246" s="89" t="s">
        <v>838</v>
      </c>
      <c r="P246" s="89" t="s">
        <v>838</v>
      </c>
    </row>
    <row r="247" spans="1:16" x14ac:dyDescent="0.25">
      <c r="A247">
        <f t="shared" si="3"/>
        <v>246</v>
      </c>
      <c r="B247" s="7" t="s">
        <v>1465</v>
      </c>
      <c r="C247" s="40">
        <v>45108</v>
      </c>
      <c r="D247" t="s">
        <v>1506</v>
      </c>
      <c r="E247" t="s">
        <v>1507</v>
      </c>
      <c r="F247" t="s">
        <v>1508</v>
      </c>
      <c r="G247" t="s">
        <v>806</v>
      </c>
      <c r="H247" s="38">
        <v>432</v>
      </c>
      <c r="I247" t="s">
        <v>878</v>
      </c>
      <c r="J247" t="s">
        <v>1513</v>
      </c>
      <c r="K247" s="89" t="s">
        <v>838</v>
      </c>
      <c r="L247" s="89" t="s">
        <v>838</v>
      </c>
      <c r="M247" s="89" t="s">
        <v>838</v>
      </c>
      <c r="N247" s="89" t="s">
        <v>838</v>
      </c>
      <c r="O247" s="89" t="s">
        <v>838</v>
      </c>
      <c r="P247" s="89" t="s">
        <v>838</v>
      </c>
    </row>
    <row r="248" spans="1:16" x14ac:dyDescent="0.25">
      <c r="A248" s="83">
        <f t="shared" si="3"/>
        <v>247</v>
      </c>
      <c r="B248" s="7" t="s">
        <v>1466</v>
      </c>
      <c r="C248" s="40">
        <v>45110</v>
      </c>
      <c r="D248" t="s">
        <v>1509</v>
      </c>
      <c r="E248" t="s">
        <v>547</v>
      </c>
      <c r="F248" t="s">
        <v>1510</v>
      </c>
      <c r="G248" t="s">
        <v>192</v>
      </c>
      <c r="H248" s="38">
        <v>2460</v>
      </c>
      <c r="I248" t="s">
        <v>1511</v>
      </c>
      <c r="J248" t="s">
        <v>1518</v>
      </c>
      <c r="K248" s="89" t="s">
        <v>838</v>
      </c>
      <c r="L248" s="89" t="s">
        <v>838</v>
      </c>
      <c r="M248" s="89" t="s">
        <v>838</v>
      </c>
      <c r="N248" s="89" t="s">
        <v>838</v>
      </c>
      <c r="O248" s="89" t="s">
        <v>838</v>
      </c>
      <c r="P248" s="89" t="s">
        <v>838</v>
      </c>
    </row>
    <row r="249" spans="1:16" x14ac:dyDescent="0.25">
      <c r="A249" s="79">
        <f t="shared" si="3"/>
        <v>248</v>
      </c>
      <c r="B249" s="7" t="s">
        <v>1467</v>
      </c>
      <c r="C249" s="40">
        <v>45111</v>
      </c>
      <c r="D249" t="s">
        <v>1514</v>
      </c>
      <c r="E249" t="s">
        <v>1515</v>
      </c>
      <c r="F249" t="s">
        <v>1516</v>
      </c>
      <c r="G249" t="s">
        <v>197</v>
      </c>
      <c r="H249" s="38">
        <v>1710</v>
      </c>
      <c r="I249" t="s">
        <v>1517</v>
      </c>
      <c r="J249" t="s">
        <v>1523</v>
      </c>
      <c r="K249" s="89" t="s">
        <v>838</v>
      </c>
      <c r="L249" s="89" t="s">
        <v>838</v>
      </c>
      <c r="M249" s="89" t="s">
        <v>838</v>
      </c>
      <c r="N249" s="89" t="s">
        <v>838</v>
      </c>
      <c r="O249" s="89" t="s">
        <v>838</v>
      </c>
      <c r="P249" s="89" t="s">
        <v>838</v>
      </c>
    </row>
    <row r="250" spans="1:16" x14ac:dyDescent="0.25">
      <c r="A250">
        <f t="shared" si="3"/>
        <v>249</v>
      </c>
      <c r="B250" s="7" t="s">
        <v>1468</v>
      </c>
      <c r="C250" s="40">
        <v>45111</v>
      </c>
      <c r="D250" t="s">
        <v>1519</v>
      </c>
      <c r="E250" t="s">
        <v>1520</v>
      </c>
      <c r="F250" t="s">
        <v>1521</v>
      </c>
      <c r="G250" t="s">
        <v>197</v>
      </c>
      <c r="H250" s="38">
        <v>3456.1</v>
      </c>
      <c r="I250" t="s">
        <v>1522</v>
      </c>
      <c r="J250" t="s">
        <v>219</v>
      </c>
      <c r="K250" s="89" t="s">
        <v>838</v>
      </c>
      <c r="L250" s="89" t="s">
        <v>838</v>
      </c>
      <c r="M250" s="89" t="s">
        <v>838</v>
      </c>
      <c r="N250" s="89" t="s">
        <v>838</v>
      </c>
      <c r="O250" s="89" t="s">
        <v>838</v>
      </c>
      <c r="P250" s="89" t="s">
        <v>838</v>
      </c>
    </row>
    <row r="251" spans="1:16" x14ac:dyDescent="0.25">
      <c r="A251">
        <f t="shared" si="3"/>
        <v>250</v>
      </c>
      <c r="B251" s="98" t="s">
        <v>1469</v>
      </c>
      <c r="C251" s="40">
        <v>45112</v>
      </c>
      <c r="D251" t="s">
        <v>1524</v>
      </c>
      <c r="E251" t="s">
        <v>1525</v>
      </c>
      <c r="F251" t="s">
        <v>1526</v>
      </c>
      <c r="G251" t="s">
        <v>197</v>
      </c>
      <c r="H251" s="38">
        <v>960</v>
      </c>
      <c r="I251" t="s">
        <v>526</v>
      </c>
      <c r="J251" t="s">
        <v>1527</v>
      </c>
      <c r="K251" s="89" t="s">
        <v>838</v>
      </c>
      <c r="L251" s="89" t="s">
        <v>838</v>
      </c>
      <c r="M251" s="89" t="s">
        <v>838</v>
      </c>
      <c r="N251" s="89" t="s">
        <v>838</v>
      </c>
      <c r="O251" s="89" t="s">
        <v>838</v>
      </c>
      <c r="P251" s="89" t="s">
        <v>838</v>
      </c>
    </row>
    <row r="252" spans="1:16" x14ac:dyDescent="0.25">
      <c r="A252">
        <f t="shared" si="3"/>
        <v>251</v>
      </c>
      <c r="B252" s="7" t="s">
        <v>1486</v>
      </c>
      <c r="C252" s="40">
        <v>45112</v>
      </c>
      <c r="D252" t="s">
        <v>1528</v>
      </c>
      <c r="E252" t="s">
        <v>1529</v>
      </c>
      <c r="F252" t="s">
        <v>1530</v>
      </c>
      <c r="G252" t="s">
        <v>1292</v>
      </c>
      <c r="H252" s="38">
        <v>4438.8</v>
      </c>
      <c r="I252" t="s">
        <v>1531</v>
      </c>
      <c r="J252" t="s">
        <v>582</v>
      </c>
      <c r="K252" s="89" t="s">
        <v>838</v>
      </c>
      <c r="L252" s="89" t="s">
        <v>838</v>
      </c>
      <c r="M252" s="89" t="s">
        <v>838</v>
      </c>
      <c r="N252" s="89" t="s">
        <v>838</v>
      </c>
      <c r="O252" s="89" t="s">
        <v>838</v>
      </c>
      <c r="P252" s="89" t="s">
        <v>838</v>
      </c>
    </row>
    <row r="253" spans="1:16" x14ac:dyDescent="0.25">
      <c r="A253">
        <f>A252+1</f>
        <v>252</v>
      </c>
      <c r="B253" s="7" t="s">
        <v>1487</v>
      </c>
      <c r="C253" s="40">
        <v>45113</v>
      </c>
      <c r="D253" t="s">
        <v>1532</v>
      </c>
      <c r="E253" t="s">
        <v>1533</v>
      </c>
      <c r="F253" t="s">
        <v>1534</v>
      </c>
      <c r="G253" t="s">
        <v>197</v>
      </c>
      <c r="H253" s="38">
        <v>1748</v>
      </c>
      <c r="I253" t="s">
        <v>1535</v>
      </c>
      <c r="J253" t="s">
        <v>349</v>
      </c>
      <c r="K253" s="89" t="s">
        <v>838</v>
      </c>
      <c r="L253" s="89" t="s">
        <v>838</v>
      </c>
      <c r="M253" s="89" t="s">
        <v>838</v>
      </c>
      <c r="N253" s="89" t="s">
        <v>838</v>
      </c>
      <c r="O253" s="89" t="s">
        <v>838</v>
      </c>
      <c r="P253" s="89" t="s">
        <v>838</v>
      </c>
    </row>
    <row r="254" spans="1:16" x14ac:dyDescent="0.25">
      <c r="A254" s="83">
        <f t="shared" si="3"/>
        <v>253</v>
      </c>
      <c r="B254" s="7" t="s">
        <v>1488</v>
      </c>
      <c r="C254" s="40">
        <v>45113</v>
      </c>
      <c r="D254" t="s">
        <v>1536</v>
      </c>
      <c r="E254" t="s">
        <v>1537</v>
      </c>
      <c r="F254" t="s">
        <v>1538</v>
      </c>
      <c r="G254" t="s">
        <v>192</v>
      </c>
      <c r="H254" s="38">
        <v>3591</v>
      </c>
      <c r="I254" t="s">
        <v>1539</v>
      </c>
      <c r="J254" t="s">
        <v>1540</v>
      </c>
      <c r="K254" s="89" t="s">
        <v>838</v>
      </c>
      <c r="L254" s="89" t="s">
        <v>838</v>
      </c>
      <c r="M254" s="89" t="s">
        <v>838</v>
      </c>
      <c r="N254" s="89" t="s">
        <v>838</v>
      </c>
      <c r="O254" s="89" t="s">
        <v>838</v>
      </c>
      <c r="P254" s="89" t="s">
        <v>838</v>
      </c>
    </row>
    <row r="255" spans="1:16" x14ac:dyDescent="0.25">
      <c r="A255">
        <f t="shared" si="3"/>
        <v>254</v>
      </c>
      <c r="B255" s="7" t="s">
        <v>1489</v>
      </c>
      <c r="C255" s="40">
        <v>45114</v>
      </c>
      <c r="D255" t="s">
        <v>1541</v>
      </c>
      <c r="E255" t="s">
        <v>1542</v>
      </c>
      <c r="F255" t="s">
        <v>1543</v>
      </c>
      <c r="G255" t="s">
        <v>197</v>
      </c>
      <c r="H255" s="38">
        <v>3356</v>
      </c>
      <c r="I255" t="s">
        <v>1544</v>
      </c>
      <c r="J255" t="s">
        <v>1545</v>
      </c>
      <c r="K255" s="89" t="s">
        <v>838</v>
      </c>
      <c r="L255" s="89" t="s">
        <v>838</v>
      </c>
      <c r="M255" s="89" t="s">
        <v>838</v>
      </c>
      <c r="N255" s="89" t="s">
        <v>838</v>
      </c>
      <c r="O255" s="89" t="s">
        <v>838</v>
      </c>
      <c r="P255" s="89" t="s">
        <v>838</v>
      </c>
    </row>
    <row r="256" spans="1:16" x14ac:dyDescent="0.25">
      <c r="A256">
        <f t="shared" si="3"/>
        <v>255</v>
      </c>
      <c r="B256" s="7" t="s">
        <v>1490</v>
      </c>
      <c r="C256" s="40">
        <v>45114</v>
      </c>
      <c r="D256" t="s">
        <v>1546</v>
      </c>
      <c r="E256" t="s">
        <v>1547</v>
      </c>
      <c r="F256" t="s">
        <v>1548</v>
      </c>
      <c r="G256" t="s">
        <v>197</v>
      </c>
      <c r="H256" s="38">
        <v>1448</v>
      </c>
      <c r="I256" t="s">
        <v>1549</v>
      </c>
      <c r="J256" t="s">
        <v>901</v>
      </c>
      <c r="K256" s="89" t="s">
        <v>838</v>
      </c>
      <c r="L256" s="89" t="s">
        <v>838</v>
      </c>
      <c r="M256" s="89" t="s">
        <v>838</v>
      </c>
      <c r="N256" s="89" t="s">
        <v>838</v>
      </c>
      <c r="O256" s="89" t="s">
        <v>838</v>
      </c>
      <c r="P256" s="89" t="s">
        <v>838</v>
      </c>
    </row>
    <row r="257" spans="1:16" x14ac:dyDescent="0.25">
      <c r="A257" s="83">
        <f t="shared" si="3"/>
        <v>256</v>
      </c>
      <c r="B257" s="7" t="s">
        <v>1491</v>
      </c>
      <c r="C257" s="40">
        <v>45115</v>
      </c>
      <c r="D257" t="s">
        <v>1550</v>
      </c>
      <c r="E257" t="s">
        <v>1551</v>
      </c>
      <c r="F257" t="s">
        <v>1552</v>
      </c>
      <c r="G257" t="s">
        <v>192</v>
      </c>
      <c r="H257" s="38">
        <v>2402</v>
      </c>
      <c r="I257" t="s">
        <v>1553</v>
      </c>
      <c r="J257" t="s">
        <v>1554</v>
      </c>
      <c r="K257" s="89" t="s">
        <v>838</v>
      </c>
      <c r="L257" s="89" t="s">
        <v>838</v>
      </c>
      <c r="M257" s="89" t="s">
        <v>838</v>
      </c>
      <c r="N257" s="89" t="s">
        <v>838</v>
      </c>
      <c r="O257" s="89" t="s">
        <v>838</v>
      </c>
      <c r="P257" s="89" t="s">
        <v>838</v>
      </c>
    </row>
    <row r="258" spans="1:16" x14ac:dyDescent="0.25">
      <c r="A258" s="82">
        <f t="shared" si="3"/>
        <v>257</v>
      </c>
      <c r="B258" s="7" t="s">
        <v>1492</v>
      </c>
      <c r="C258" s="40">
        <v>45107</v>
      </c>
      <c r="D258" t="s">
        <v>1555</v>
      </c>
      <c r="E258" t="s">
        <v>1556</v>
      </c>
      <c r="F258" t="s">
        <v>1557</v>
      </c>
      <c r="G258" t="s">
        <v>197</v>
      </c>
      <c r="H258" s="38">
        <v>5029</v>
      </c>
      <c r="I258" t="s">
        <v>1558</v>
      </c>
      <c r="J258" t="s">
        <v>1559</v>
      </c>
      <c r="K258" s="89" t="s">
        <v>838</v>
      </c>
      <c r="L258" s="89" t="s">
        <v>838</v>
      </c>
      <c r="M258" s="89" t="s">
        <v>838</v>
      </c>
      <c r="N258" s="89" t="s">
        <v>838</v>
      </c>
      <c r="O258" s="89" t="s">
        <v>838</v>
      </c>
      <c r="P258" s="89" t="s">
        <v>838</v>
      </c>
    </row>
    <row r="259" spans="1:16" x14ac:dyDescent="0.25">
      <c r="A259">
        <f t="shared" si="3"/>
        <v>258</v>
      </c>
      <c r="B259" s="7" t="s">
        <v>1493</v>
      </c>
      <c r="C259" s="40">
        <v>45117</v>
      </c>
      <c r="D259" t="s">
        <v>1560</v>
      </c>
      <c r="E259" t="s">
        <v>1561</v>
      </c>
      <c r="F259" t="s">
        <v>1562</v>
      </c>
      <c r="G259" t="s">
        <v>197</v>
      </c>
      <c r="H259" s="38">
        <v>1160</v>
      </c>
      <c r="I259" t="s">
        <v>1563</v>
      </c>
      <c r="J259" t="s">
        <v>1564</v>
      </c>
      <c r="K259" s="89" t="s">
        <v>838</v>
      </c>
      <c r="L259" s="89" t="s">
        <v>838</v>
      </c>
      <c r="M259" s="89" t="s">
        <v>838</v>
      </c>
      <c r="N259" s="89" t="s">
        <v>838</v>
      </c>
      <c r="O259" s="89" t="s">
        <v>838</v>
      </c>
      <c r="P259" s="89" t="s">
        <v>838</v>
      </c>
    </row>
    <row r="260" spans="1:16" x14ac:dyDescent="0.25">
      <c r="A260" s="82">
        <f t="shared" ref="A260:A323" si="4">A259+1</f>
        <v>259</v>
      </c>
      <c r="B260" s="7" t="s">
        <v>1494</v>
      </c>
      <c r="C260" s="40">
        <v>45104</v>
      </c>
      <c r="D260" t="s">
        <v>1565</v>
      </c>
      <c r="E260" t="s">
        <v>1566</v>
      </c>
      <c r="F260" t="s">
        <v>1567</v>
      </c>
      <c r="G260" t="s">
        <v>197</v>
      </c>
      <c r="H260" s="38">
        <v>1979</v>
      </c>
      <c r="I260" t="s">
        <v>564</v>
      </c>
      <c r="J260" t="s">
        <v>1568</v>
      </c>
      <c r="K260" s="89" t="s">
        <v>838</v>
      </c>
      <c r="L260" s="89" t="s">
        <v>838</v>
      </c>
      <c r="M260" s="89" t="s">
        <v>838</v>
      </c>
      <c r="N260" s="89" t="s">
        <v>838</v>
      </c>
      <c r="O260" s="89" t="s">
        <v>838</v>
      </c>
      <c r="P260" s="89" t="s">
        <v>838</v>
      </c>
    </row>
    <row r="261" spans="1:16" x14ac:dyDescent="0.25">
      <c r="A261" s="79">
        <f t="shared" si="4"/>
        <v>260</v>
      </c>
      <c r="B261" s="7" t="s">
        <v>1495</v>
      </c>
      <c r="C261" s="40">
        <v>45118</v>
      </c>
      <c r="D261" t="s">
        <v>1570</v>
      </c>
      <c r="E261" t="s">
        <v>1571</v>
      </c>
      <c r="F261" t="s">
        <v>1572</v>
      </c>
      <c r="G261" t="s">
        <v>197</v>
      </c>
      <c r="H261" s="38">
        <v>968</v>
      </c>
      <c r="I261" t="s">
        <v>1573</v>
      </c>
      <c r="J261" t="s">
        <v>1574</v>
      </c>
      <c r="K261" s="89" t="s">
        <v>838</v>
      </c>
      <c r="L261" s="89" t="s">
        <v>838</v>
      </c>
      <c r="M261" s="89" t="s">
        <v>838</v>
      </c>
      <c r="N261" s="89" t="s">
        <v>838</v>
      </c>
      <c r="O261" s="89" t="s">
        <v>838</v>
      </c>
      <c r="P261" s="89" t="s">
        <v>838</v>
      </c>
    </row>
    <row r="262" spans="1:16" x14ac:dyDescent="0.25">
      <c r="A262" s="79">
        <f t="shared" si="4"/>
        <v>261</v>
      </c>
      <c r="B262" s="7" t="s">
        <v>1496</v>
      </c>
      <c r="C262" s="40">
        <v>45118</v>
      </c>
      <c r="D262" t="s">
        <v>1575</v>
      </c>
      <c r="E262" t="s">
        <v>1576</v>
      </c>
      <c r="F262" t="s">
        <v>1577</v>
      </c>
      <c r="G262" t="s">
        <v>197</v>
      </c>
      <c r="H262" s="38">
        <v>1425</v>
      </c>
      <c r="I262" t="s">
        <v>1578</v>
      </c>
      <c r="J262" t="s">
        <v>1574</v>
      </c>
      <c r="K262" s="89" t="s">
        <v>838</v>
      </c>
      <c r="L262" s="89" t="s">
        <v>838</v>
      </c>
      <c r="M262" s="89" t="s">
        <v>838</v>
      </c>
      <c r="N262" s="89" t="s">
        <v>838</v>
      </c>
      <c r="O262" s="89" t="s">
        <v>838</v>
      </c>
      <c r="P262" s="89" t="s">
        <v>838</v>
      </c>
    </row>
    <row r="263" spans="1:16" x14ac:dyDescent="0.25">
      <c r="A263" s="79">
        <f t="shared" si="4"/>
        <v>262</v>
      </c>
      <c r="B263" s="7" t="s">
        <v>1497</v>
      </c>
      <c r="C263" s="40">
        <v>45118</v>
      </c>
      <c r="D263" t="s">
        <v>1579</v>
      </c>
      <c r="E263" t="s">
        <v>1580</v>
      </c>
      <c r="F263" t="s">
        <v>1581</v>
      </c>
      <c r="G263" t="s">
        <v>197</v>
      </c>
      <c r="H263" s="38">
        <v>1183</v>
      </c>
      <c r="I263" t="s">
        <v>1582</v>
      </c>
      <c r="J263" t="s">
        <v>1574</v>
      </c>
      <c r="K263" s="89" t="s">
        <v>838</v>
      </c>
      <c r="L263" s="89" t="s">
        <v>838</v>
      </c>
      <c r="M263" s="89" t="s">
        <v>838</v>
      </c>
      <c r="N263" s="89" t="s">
        <v>838</v>
      </c>
      <c r="O263" s="89" t="s">
        <v>838</v>
      </c>
      <c r="P263" s="89" t="s">
        <v>838</v>
      </c>
    </row>
    <row r="264" spans="1:16" x14ac:dyDescent="0.25">
      <c r="A264">
        <f t="shared" si="4"/>
        <v>263</v>
      </c>
      <c r="B264" s="7" t="s">
        <v>1498</v>
      </c>
      <c r="C264" s="40">
        <v>45119</v>
      </c>
      <c r="D264" t="s">
        <v>1583</v>
      </c>
      <c r="E264" t="s">
        <v>1584</v>
      </c>
      <c r="F264" t="s">
        <v>1585</v>
      </c>
      <c r="G264" t="s">
        <v>197</v>
      </c>
      <c r="H264" s="38">
        <v>1186</v>
      </c>
      <c r="I264" t="s">
        <v>1586</v>
      </c>
      <c r="J264" t="s">
        <v>994</v>
      </c>
      <c r="K264" s="89" t="s">
        <v>838</v>
      </c>
      <c r="L264" s="89" t="s">
        <v>838</v>
      </c>
      <c r="M264" s="89" t="s">
        <v>838</v>
      </c>
      <c r="N264" s="89" t="s">
        <v>838</v>
      </c>
      <c r="O264" s="89" t="s">
        <v>838</v>
      </c>
      <c r="P264" s="89" t="s">
        <v>838</v>
      </c>
    </row>
    <row r="265" spans="1:16" x14ac:dyDescent="0.25">
      <c r="A265">
        <f t="shared" si="4"/>
        <v>264</v>
      </c>
      <c r="B265" s="7" t="s">
        <v>1587</v>
      </c>
      <c r="C265" s="40">
        <v>45120</v>
      </c>
      <c r="D265" t="s">
        <v>1602</v>
      </c>
      <c r="E265" t="s">
        <v>1603</v>
      </c>
      <c r="F265" s="89" t="s">
        <v>1604</v>
      </c>
      <c r="G265" t="s">
        <v>197</v>
      </c>
      <c r="H265" s="38">
        <v>3925.4</v>
      </c>
      <c r="I265" t="s">
        <v>1605</v>
      </c>
      <c r="J265" t="s">
        <v>219</v>
      </c>
      <c r="K265" s="89" t="s">
        <v>838</v>
      </c>
      <c r="L265" s="89" t="s">
        <v>838</v>
      </c>
      <c r="M265" s="89" t="s">
        <v>838</v>
      </c>
      <c r="N265" s="89" t="s">
        <v>838</v>
      </c>
      <c r="O265" s="89" t="s">
        <v>838</v>
      </c>
      <c r="P265" s="89" t="s">
        <v>838</v>
      </c>
    </row>
    <row r="266" spans="1:16" x14ac:dyDescent="0.25">
      <c r="A266" s="81">
        <f t="shared" si="4"/>
        <v>265</v>
      </c>
      <c r="B266" s="7" t="s">
        <v>1588</v>
      </c>
      <c r="C266" s="40">
        <v>45121</v>
      </c>
      <c r="D266" t="s">
        <v>1606</v>
      </c>
      <c r="E266" t="s">
        <v>1607</v>
      </c>
      <c r="F266" t="s">
        <v>1608</v>
      </c>
      <c r="G266" t="s">
        <v>197</v>
      </c>
      <c r="H266" s="38">
        <v>3215.52</v>
      </c>
      <c r="I266" t="s">
        <v>1609</v>
      </c>
      <c r="J266" t="s">
        <v>305</v>
      </c>
      <c r="K266" s="89" t="s">
        <v>838</v>
      </c>
      <c r="L266" s="89" t="s">
        <v>838</v>
      </c>
      <c r="M266" s="89" t="s">
        <v>838</v>
      </c>
      <c r="N266" s="89" t="s">
        <v>838</v>
      </c>
      <c r="O266" s="89" t="s">
        <v>838</v>
      </c>
      <c r="P266" s="89" t="s">
        <v>838</v>
      </c>
    </row>
    <row r="267" spans="1:16" x14ac:dyDescent="0.25">
      <c r="A267" s="82">
        <f t="shared" si="4"/>
        <v>266</v>
      </c>
      <c r="B267" s="7" t="s">
        <v>1589</v>
      </c>
      <c r="C267" s="40">
        <v>45122</v>
      </c>
      <c r="D267" t="s">
        <v>2174</v>
      </c>
      <c r="E267" t="s">
        <v>1611</v>
      </c>
      <c r="F267" t="s">
        <v>1612</v>
      </c>
      <c r="G267" t="s">
        <v>197</v>
      </c>
      <c r="H267" s="38">
        <v>2867.52</v>
      </c>
      <c r="I267" t="s">
        <v>1613</v>
      </c>
      <c r="J267" t="s">
        <v>1568</v>
      </c>
      <c r="K267" s="89" t="s">
        <v>838</v>
      </c>
      <c r="L267" s="89" t="s">
        <v>838</v>
      </c>
      <c r="M267" s="89" t="s">
        <v>838</v>
      </c>
      <c r="N267" s="89" t="s">
        <v>838</v>
      </c>
      <c r="O267" s="89" t="s">
        <v>838</v>
      </c>
      <c r="P267" s="89" t="s">
        <v>838</v>
      </c>
    </row>
    <row r="268" spans="1:16" x14ac:dyDescent="0.25">
      <c r="A268" s="83">
        <f t="shared" si="4"/>
        <v>267</v>
      </c>
      <c r="B268" s="7" t="s">
        <v>1590</v>
      </c>
      <c r="C268" s="40">
        <v>45117</v>
      </c>
      <c r="D268" t="s">
        <v>1614</v>
      </c>
      <c r="E268" t="s">
        <v>1615</v>
      </c>
      <c r="F268" t="s">
        <v>1616</v>
      </c>
      <c r="G268" t="s">
        <v>192</v>
      </c>
      <c r="H268" s="38">
        <v>1476.16</v>
      </c>
      <c r="I268" t="s">
        <v>1617</v>
      </c>
      <c r="J268" t="s">
        <v>1568</v>
      </c>
      <c r="K268" s="89" t="s">
        <v>838</v>
      </c>
      <c r="L268" s="89" t="s">
        <v>838</v>
      </c>
      <c r="M268" s="89" t="s">
        <v>838</v>
      </c>
      <c r="N268" s="89" t="s">
        <v>838</v>
      </c>
      <c r="O268" s="89" t="s">
        <v>838</v>
      </c>
      <c r="P268" s="89" t="s">
        <v>838</v>
      </c>
    </row>
    <row r="269" spans="1:16" x14ac:dyDescent="0.25">
      <c r="A269" s="79">
        <f t="shared" si="4"/>
        <v>268</v>
      </c>
      <c r="B269" s="7" t="s">
        <v>1591</v>
      </c>
      <c r="C269" s="40">
        <v>45110</v>
      </c>
      <c r="D269" t="s">
        <v>1618</v>
      </c>
      <c r="E269" t="s">
        <v>1619</v>
      </c>
      <c r="F269" t="s">
        <v>764</v>
      </c>
      <c r="G269" t="s">
        <v>192</v>
      </c>
      <c r="H269" s="38">
        <v>3890</v>
      </c>
      <c r="I269" t="s">
        <v>1620</v>
      </c>
      <c r="J269" t="s">
        <v>1621</v>
      </c>
      <c r="K269" s="89" t="s">
        <v>838</v>
      </c>
      <c r="L269" s="89" t="s">
        <v>838</v>
      </c>
      <c r="M269" s="89" t="s">
        <v>838</v>
      </c>
      <c r="N269" s="89" t="s">
        <v>838</v>
      </c>
      <c r="O269" s="89" t="s">
        <v>838</v>
      </c>
      <c r="P269" s="89" t="s">
        <v>838</v>
      </c>
    </row>
    <row r="270" spans="1:16" x14ac:dyDescent="0.25">
      <c r="A270">
        <f t="shared" si="4"/>
        <v>269</v>
      </c>
      <c r="B270" s="7" t="s">
        <v>1592</v>
      </c>
      <c r="C270" s="40">
        <v>45112</v>
      </c>
      <c r="D270" t="s">
        <v>1622</v>
      </c>
      <c r="E270" t="s">
        <v>1623</v>
      </c>
      <c r="F270" t="s">
        <v>1624</v>
      </c>
      <c r="G270" t="s">
        <v>197</v>
      </c>
      <c r="H270" s="38">
        <v>1516.62</v>
      </c>
      <c r="I270" t="s">
        <v>1625</v>
      </c>
      <c r="J270" t="s">
        <v>1568</v>
      </c>
      <c r="K270" s="89" t="s">
        <v>838</v>
      </c>
      <c r="L270" s="89" t="s">
        <v>838</v>
      </c>
      <c r="M270" s="89" t="s">
        <v>838</v>
      </c>
      <c r="N270" s="89" t="s">
        <v>838</v>
      </c>
      <c r="O270" s="89" t="s">
        <v>838</v>
      </c>
      <c r="P270" s="89" t="s">
        <v>838</v>
      </c>
    </row>
    <row r="271" spans="1:16" x14ac:dyDescent="0.25">
      <c r="A271">
        <f t="shared" si="4"/>
        <v>270</v>
      </c>
      <c r="B271" s="7" t="s">
        <v>1593</v>
      </c>
      <c r="C271" s="40">
        <v>45124</v>
      </c>
      <c r="D271" t="s">
        <v>1626</v>
      </c>
      <c r="E271" t="s">
        <v>1627</v>
      </c>
      <c r="G271" t="s">
        <v>197</v>
      </c>
      <c r="H271" s="38">
        <v>1940</v>
      </c>
      <c r="I271" t="s">
        <v>252</v>
      </c>
      <c r="J271" t="s">
        <v>1628</v>
      </c>
      <c r="K271" s="89" t="s">
        <v>838</v>
      </c>
      <c r="L271" s="89" t="s">
        <v>838</v>
      </c>
      <c r="M271" s="89" t="s">
        <v>838</v>
      </c>
      <c r="N271" s="89" t="s">
        <v>838</v>
      </c>
      <c r="O271" s="89" t="s">
        <v>838</v>
      </c>
      <c r="P271" s="89" t="s">
        <v>838</v>
      </c>
    </row>
    <row r="272" spans="1:16" x14ac:dyDescent="0.25">
      <c r="A272" s="83">
        <f t="shared" si="4"/>
        <v>271</v>
      </c>
      <c r="B272" s="7" t="s">
        <v>1594</v>
      </c>
      <c r="C272" s="40">
        <v>45126</v>
      </c>
      <c r="D272" t="s">
        <v>1629</v>
      </c>
      <c r="E272" t="s">
        <v>1630</v>
      </c>
      <c r="F272" t="s">
        <v>1631</v>
      </c>
      <c r="G272" t="s">
        <v>192</v>
      </c>
      <c r="H272" s="38">
        <v>2128</v>
      </c>
      <c r="I272" t="s">
        <v>1632</v>
      </c>
      <c r="J272" t="s">
        <v>1633</v>
      </c>
      <c r="K272" s="89" t="s">
        <v>838</v>
      </c>
      <c r="L272" s="89" t="s">
        <v>838</v>
      </c>
      <c r="M272" s="89" t="s">
        <v>838</v>
      </c>
      <c r="N272" s="89" t="s">
        <v>838</v>
      </c>
      <c r="O272" s="89" t="s">
        <v>838</v>
      </c>
      <c r="P272" s="89" t="s">
        <v>838</v>
      </c>
    </row>
    <row r="273" spans="1:16" x14ac:dyDescent="0.25">
      <c r="A273" s="83">
        <f t="shared" si="4"/>
        <v>272</v>
      </c>
      <c r="B273" s="7" t="s">
        <v>1595</v>
      </c>
      <c r="C273" s="40">
        <v>45126</v>
      </c>
      <c r="D273" t="s">
        <v>1634</v>
      </c>
      <c r="E273" t="s">
        <v>1635</v>
      </c>
      <c r="F273" t="s">
        <v>1636</v>
      </c>
      <c r="G273" t="s">
        <v>192</v>
      </c>
      <c r="H273" s="38">
        <v>1716</v>
      </c>
      <c r="I273" t="s">
        <v>1645</v>
      </c>
      <c r="J273" t="s">
        <v>349</v>
      </c>
      <c r="K273" s="89" t="s">
        <v>838</v>
      </c>
      <c r="L273" s="89" t="s">
        <v>838</v>
      </c>
      <c r="M273" s="89" t="s">
        <v>838</v>
      </c>
      <c r="N273" s="89" t="s">
        <v>838</v>
      </c>
      <c r="O273" s="89" t="s">
        <v>838</v>
      </c>
      <c r="P273" s="89" t="s">
        <v>838</v>
      </c>
    </row>
    <row r="274" spans="1:16" x14ac:dyDescent="0.25">
      <c r="A274" s="79">
        <f t="shared" si="4"/>
        <v>273</v>
      </c>
      <c r="B274" s="7" t="s">
        <v>1596</v>
      </c>
      <c r="C274" s="40">
        <v>45120</v>
      </c>
      <c r="D274" t="s">
        <v>1637</v>
      </c>
      <c r="E274" t="s">
        <v>1638</v>
      </c>
      <c r="F274" t="s">
        <v>1639</v>
      </c>
      <c r="G274" t="s">
        <v>806</v>
      </c>
      <c r="H274" s="38">
        <v>589</v>
      </c>
      <c r="I274" t="s">
        <v>514</v>
      </c>
      <c r="J274" t="s">
        <v>1640</v>
      </c>
      <c r="K274" s="89" t="s">
        <v>838</v>
      </c>
      <c r="L274" s="89" t="s">
        <v>838</v>
      </c>
      <c r="M274" s="89" t="s">
        <v>838</v>
      </c>
      <c r="N274" s="89" t="s">
        <v>838</v>
      </c>
      <c r="O274" s="89" t="s">
        <v>838</v>
      </c>
      <c r="P274" s="89" t="s">
        <v>838</v>
      </c>
    </row>
    <row r="275" spans="1:16" x14ac:dyDescent="0.25">
      <c r="A275" s="82">
        <f t="shared" si="4"/>
        <v>274</v>
      </c>
      <c r="B275" s="7" t="s">
        <v>1597</v>
      </c>
      <c r="C275" s="40">
        <v>45127</v>
      </c>
      <c r="D275" t="s">
        <v>1641</v>
      </c>
      <c r="E275" t="s">
        <v>1642</v>
      </c>
      <c r="F275" t="s">
        <v>1643</v>
      </c>
      <c r="G275" t="s">
        <v>197</v>
      </c>
      <c r="H275" s="38">
        <v>1560</v>
      </c>
      <c r="I275" t="s">
        <v>1644</v>
      </c>
      <c r="J275" t="s">
        <v>1646</v>
      </c>
      <c r="K275" s="89" t="s">
        <v>838</v>
      </c>
      <c r="L275" s="89" t="s">
        <v>838</v>
      </c>
      <c r="M275" s="89" t="s">
        <v>838</v>
      </c>
      <c r="N275" s="89" t="s">
        <v>838</v>
      </c>
      <c r="O275" s="89" t="s">
        <v>838</v>
      </c>
      <c r="P275" s="89" t="s">
        <v>838</v>
      </c>
    </row>
    <row r="276" spans="1:16" x14ac:dyDescent="0.25">
      <c r="A276">
        <f t="shared" si="4"/>
        <v>275</v>
      </c>
      <c r="B276" s="7" t="s">
        <v>1598</v>
      </c>
      <c r="C276" s="40">
        <v>45128</v>
      </c>
      <c r="D276" t="s">
        <v>1647</v>
      </c>
      <c r="E276" t="s">
        <v>1648</v>
      </c>
      <c r="F276" t="s">
        <v>1649</v>
      </c>
      <c r="G276" t="s">
        <v>197</v>
      </c>
      <c r="H276" s="38">
        <v>2182</v>
      </c>
      <c r="I276" t="s">
        <v>1650</v>
      </c>
      <c r="J276" t="s">
        <v>219</v>
      </c>
      <c r="K276" s="89" t="s">
        <v>838</v>
      </c>
      <c r="L276" s="89" t="s">
        <v>838</v>
      </c>
      <c r="M276" s="89" t="s">
        <v>838</v>
      </c>
      <c r="N276" s="89" t="s">
        <v>838</v>
      </c>
      <c r="O276" s="89" t="s">
        <v>838</v>
      </c>
      <c r="P276" s="89" t="s">
        <v>838</v>
      </c>
    </row>
    <row r="277" spans="1:16" x14ac:dyDescent="0.25">
      <c r="A277" s="82">
        <f t="shared" si="4"/>
        <v>276</v>
      </c>
      <c r="B277" s="7" t="s">
        <v>1599</v>
      </c>
      <c r="C277" s="40">
        <v>45128</v>
      </c>
      <c r="D277" t="s">
        <v>1651</v>
      </c>
      <c r="E277" t="s">
        <v>1652</v>
      </c>
      <c r="F277" t="s">
        <v>1653</v>
      </c>
      <c r="G277" t="s">
        <v>197</v>
      </c>
      <c r="H277" s="38">
        <v>16356</v>
      </c>
      <c r="I277" t="s">
        <v>754</v>
      </c>
      <c r="J277" s="89" t="s">
        <v>219</v>
      </c>
      <c r="K277" s="89" t="s">
        <v>838</v>
      </c>
      <c r="L277" s="89" t="s">
        <v>838</v>
      </c>
      <c r="M277" s="89" t="s">
        <v>838</v>
      </c>
      <c r="N277" s="89" t="s">
        <v>838</v>
      </c>
      <c r="O277" s="89" t="s">
        <v>838</v>
      </c>
      <c r="P277" s="89" t="s">
        <v>838</v>
      </c>
    </row>
    <row r="278" spans="1:16" x14ac:dyDescent="0.25">
      <c r="A278">
        <f t="shared" si="4"/>
        <v>277</v>
      </c>
      <c r="B278" s="7" t="s">
        <v>1600</v>
      </c>
      <c r="C278" s="40">
        <v>45107</v>
      </c>
      <c r="D278" t="s">
        <v>1654</v>
      </c>
      <c r="E278" t="s">
        <v>1655</v>
      </c>
      <c r="F278" t="s">
        <v>1656</v>
      </c>
      <c r="G278" t="s">
        <v>193</v>
      </c>
      <c r="H278" s="38">
        <v>7286</v>
      </c>
      <c r="I278" t="s">
        <v>1657</v>
      </c>
      <c r="J278" t="s">
        <v>219</v>
      </c>
      <c r="K278" s="89" t="s">
        <v>838</v>
      </c>
      <c r="L278" s="89" t="s">
        <v>838</v>
      </c>
      <c r="M278" s="89" t="s">
        <v>838</v>
      </c>
      <c r="N278" s="89" t="s">
        <v>838</v>
      </c>
      <c r="O278" s="89" t="s">
        <v>838</v>
      </c>
      <c r="P278" s="89" t="s">
        <v>838</v>
      </c>
    </row>
    <row r="279" spans="1:16" x14ac:dyDescent="0.25">
      <c r="A279">
        <f t="shared" si="4"/>
        <v>278</v>
      </c>
      <c r="B279" s="7" t="s">
        <v>1601</v>
      </c>
      <c r="C279" s="40">
        <v>45131</v>
      </c>
      <c r="D279" t="s">
        <v>1658</v>
      </c>
      <c r="E279" t="s">
        <v>1659</v>
      </c>
      <c r="F279" t="s">
        <v>1660</v>
      </c>
      <c r="G279" t="s">
        <v>197</v>
      </c>
      <c r="H279" s="38">
        <v>1453</v>
      </c>
      <c r="I279" t="s">
        <v>1661</v>
      </c>
      <c r="J279" t="s">
        <v>219</v>
      </c>
      <c r="K279" s="89" t="s">
        <v>838</v>
      </c>
      <c r="L279" s="89" t="s">
        <v>838</v>
      </c>
      <c r="M279" s="89" t="s">
        <v>838</v>
      </c>
      <c r="N279" s="89" t="s">
        <v>838</v>
      </c>
      <c r="O279" s="89" t="s">
        <v>838</v>
      </c>
      <c r="P279" s="89" t="s">
        <v>838</v>
      </c>
    </row>
    <row r="280" spans="1:16" x14ac:dyDescent="0.25">
      <c r="A280" s="79">
        <f t="shared" si="4"/>
        <v>279</v>
      </c>
      <c r="B280" s="7" t="s">
        <v>1663</v>
      </c>
      <c r="C280" s="40">
        <v>45122</v>
      </c>
      <c r="D280" t="s">
        <v>1670</v>
      </c>
      <c r="E280" t="s">
        <v>1671</v>
      </c>
      <c r="F280" t="s">
        <v>1672</v>
      </c>
      <c r="G280" t="s">
        <v>197</v>
      </c>
      <c r="H280" s="38">
        <v>2348</v>
      </c>
      <c r="I280" t="s">
        <v>1673</v>
      </c>
      <c r="J280" t="s">
        <v>1680</v>
      </c>
      <c r="K280" s="89" t="s">
        <v>838</v>
      </c>
      <c r="L280" s="89" t="s">
        <v>838</v>
      </c>
      <c r="M280" s="89" t="s">
        <v>838</v>
      </c>
      <c r="N280" s="89" t="s">
        <v>838</v>
      </c>
      <c r="O280" s="89" t="s">
        <v>838</v>
      </c>
      <c r="P280" s="89" t="s">
        <v>838</v>
      </c>
    </row>
    <row r="281" spans="1:16" x14ac:dyDescent="0.25">
      <c r="A281" s="81">
        <f t="shared" si="4"/>
        <v>280</v>
      </c>
      <c r="B281" s="7" t="s">
        <v>1664</v>
      </c>
      <c r="C281" s="40">
        <v>45124</v>
      </c>
      <c r="D281" t="s">
        <v>913</v>
      </c>
      <c r="E281" t="s">
        <v>1674</v>
      </c>
      <c r="F281" t="s">
        <v>915</v>
      </c>
      <c r="G281" t="s">
        <v>192</v>
      </c>
      <c r="H281" s="38">
        <v>1345.22</v>
      </c>
      <c r="I281" t="s">
        <v>514</v>
      </c>
      <c r="J281" t="s">
        <v>219</v>
      </c>
      <c r="K281" s="89" t="s">
        <v>838</v>
      </c>
      <c r="L281" s="89" t="s">
        <v>838</v>
      </c>
      <c r="M281" s="89" t="s">
        <v>838</v>
      </c>
      <c r="N281" s="89" t="s">
        <v>838</v>
      </c>
      <c r="O281" s="89" t="s">
        <v>838</v>
      </c>
      <c r="P281" s="89" t="s">
        <v>838</v>
      </c>
    </row>
    <row r="282" spans="1:16" x14ac:dyDescent="0.25">
      <c r="A282">
        <f t="shared" si="4"/>
        <v>281</v>
      </c>
      <c r="B282" s="7" t="s">
        <v>1665</v>
      </c>
      <c r="C282" s="40">
        <v>45132</v>
      </c>
      <c r="D282" t="s">
        <v>1675</v>
      </c>
      <c r="E282" t="s">
        <v>1676</v>
      </c>
      <c r="F282" t="s">
        <v>1677</v>
      </c>
      <c r="G282" t="s">
        <v>197</v>
      </c>
      <c r="H282" s="38">
        <v>1960</v>
      </c>
      <c r="I282" t="s">
        <v>1678</v>
      </c>
      <c r="J282" t="s">
        <v>1679</v>
      </c>
      <c r="K282" s="89" t="s">
        <v>838</v>
      </c>
      <c r="L282" s="89" t="s">
        <v>838</v>
      </c>
      <c r="M282" s="89" t="s">
        <v>838</v>
      </c>
      <c r="N282" s="89" t="s">
        <v>838</v>
      </c>
      <c r="O282" s="89" t="s">
        <v>838</v>
      </c>
      <c r="P282" s="89" t="s">
        <v>838</v>
      </c>
    </row>
    <row r="283" spans="1:16" x14ac:dyDescent="0.25">
      <c r="A283">
        <f t="shared" si="4"/>
        <v>282</v>
      </c>
      <c r="B283" s="7" t="s">
        <v>1666</v>
      </c>
      <c r="C283" s="40">
        <v>45132</v>
      </c>
      <c r="D283" t="s">
        <v>1681</v>
      </c>
      <c r="E283" t="s">
        <v>1682</v>
      </c>
      <c r="F283" t="s">
        <v>1683</v>
      </c>
      <c r="G283" t="s">
        <v>197</v>
      </c>
      <c r="H283" s="38">
        <v>975</v>
      </c>
      <c r="I283" t="s">
        <v>406</v>
      </c>
      <c r="J283" t="s">
        <v>349</v>
      </c>
      <c r="K283" s="89" t="s">
        <v>838</v>
      </c>
      <c r="L283" s="89" t="s">
        <v>838</v>
      </c>
      <c r="M283" s="89" t="s">
        <v>838</v>
      </c>
      <c r="N283" s="89" t="s">
        <v>838</v>
      </c>
      <c r="O283" s="89" t="s">
        <v>838</v>
      </c>
      <c r="P283" s="89" t="s">
        <v>838</v>
      </c>
    </row>
    <row r="284" spans="1:16" x14ac:dyDescent="0.25">
      <c r="A284" s="81">
        <f t="shared" si="4"/>
        <v>283</v>
      </c>
      <c r="B284" s="7" t="s">
        <v>1667</v>
      </c>
      <c r="C284" s="40">
        <v>45133</v>
      </c>
      <c r="D284" t="s">
        <v>1684</v>
      </c>
      <c r="E284" t="s">
        <v>1685</v>
      </c>
      <c r="F284" t="s">
        <v>1686</v>
      </c>
      <c r="G284" t="s">
        <v>192</v>
      </c>
      <c r="H284" s="38">
        <v>4268.8</v>
      </c>
      <c r="I284" t="s">
        <v>1687</v>
      </c>
      <c r="J284" t="s">
        <v>1688</v>
      </c>
      <c r="K284" s="89" t="s">
        <v>838</v>
      </c>
      <c r="L284" s="89" t="s">
        <v>838</v>
      </c>
      <c r="M284" s="89" t="s">
        <v>838</v>
      </c>
      <c r="N284" s="89" t="s">
        <v>838</v>
      </c>
      <c r="O284" s="89" t="s">
        <v>838</v>
      </c>
      <c r="P284" s="89" t="s">
        <v>838</v>
      </c>
    </row>
    <row r="285" spans="1:16" x14ac:dyDescent="0.25">
      <c r="A285">
        <f t="shared" si="4"/>
        <v>284</v>
      </c>
      <c r="B285" s="7" t="s">
        <v>1668</v>
      </c>
      <c r="C285" s="40">
        <v>45133</v>
      </c>
      <c r="D285" t="s">
        <v>1689</v>
      </c>
      <c r="E285" t="s">
        <v>1690</v>
      </c>
      <c r="F285" t="s">
        <v>1691</v>
      </c>
      <c r="G285" t="s">
        <v>197</v>
      </c>
      <c r="H285" s="38">
        <v>975</v>
      </c>
      <c r="I285" t="s">
        <v>406</v>
      </c>
      <c r="J285" t="s">
        <v>349</v>
      </c>
      <c r="K285" s="89" t="s">
        <v>838</v>
      </c>
      <c r="L285" s="89" t="s">
        <v>838</v>
      </c>
      <c r="M285" s="89" t="s">
        <v>838</v>
      </c>
      <c r="N285" s="89" t="s">
        <v>838</v>
      </c>
      <c r="O285" s="89" t="s">
        <v>838</v>
      </c>
      <c r="P285" s="89" t="s">
        <v>838</v>
      </c>
    </row>
    <row r="286" spans="1:16" x14ac:dyDescent="0.25">
      <c r="A286">
        <f t="shared" si="4"/>
        <v>285</v>
      </c>
      <c r="B286" s="7" t="s">
        <v>1669</v>
      </c>
      <c r="C286" s="40">
        <v>45126</v>
      </c>
      <c r="D286" t="s">
        <v>1706</v>
      </c>
      <c r="E286" t="s">
        <v>1707</v>
      </c>
      <c r="F286" t="s">
        <v>1708</v>
      </c>
      <c r="G286" t="s">
        <v>197</v>
      </c>
      <c r="H286" s="38">
        <v>1362</v>
      </c>
      <c r="I286" t="s">
        <v>1012</v>
      </c>
      <c r="J286" t="s">
        <v>1633</v>
      </c>
      <c r="K286" s="89" t="s">
        <v>838</v>
      </c>
      <c r="L286" s="89" t="s">
        <v>838</v>
      </c>
      <c r="M286" s="89" t="s">
        <v>838</v>
      </c>
      <c r="N286" s="89" t="s">
        <v>838</v>
      </c>
      <c r="O286" s="89" t="s">
        <v>838</v>
      </c>
      <c r="P286" s="89" t="s">
        <v>838</v>
      </c>
    </row>
    <row r="287" spans="1:16" x14ac:dyDescent="0.25">
      <c r="A287">
        <f t="shared" si="4"/>
        <v>286</v>
      </c>
      <c r="B287" s="7" t="s">
        <v>1692</v>
      </c>
      <c r="C287" s="40">
        <v>45135</v>
      </c>
      <c r="D287" t="s">
        <v>1714</v>
      </c>
      <c r="E287" t="s">
        <v>1715</v>
      </c>
      <c r="F287" t="s">
        <v>1716</v>
      </c>
      <c r="G287" t="s">
        <v>197</v>
      </c>
      <c r="H287" s="38">
        <v>1241</v>
      </c>
      <c r="I287" t="s">
        <v>1717</v>
      </c>
      <c r="J287" t="s">
        <v>1726</v>
      </c>
      <c r="K287" s="89" t="s">
        <v>838</v>
      </c>
      <c r="L287" s="89" t="s">
        <v>838</v>
      </c>
      <c r="M287" s="89" t="s">
        <v>838</v>
      </c>
      <c r="N287" s="89" t="s">
        <v>838</v>
      </c>
      <c r="O287" s="89" t="s">
        <v>838</v>
      </c>
      <c r="P287" s="89" t="s">
        <v>838</v>
      </c>
    </row>
    <row r="288" spans="1:16" x14ac:dyDescent="0.25">
      <c r="A288" s="82">
        <f t="shared" si="4"/>
        <v>287</v>
      </c>
      <c r="B288" s="7" t="s">
        <v>1693</v>
      </c>
      <c r="C288" s="40">
        <v>45135</v>
      </c>
      <c r="D288" t="s">
        <v>1718</v>
      </c>
      <c r="E288" t="s">
        <v>1719</v>
      </c>
      <c r="F288" t="s">
        <v>1720</v>
      </c>
      <c r="G288" t="s">
        <v>197</v>
      </c>
      <c r="H288" s="38">
        <v>5547.12</v>
      </c>
      <c r="I288" t="s">
        <v>1721</v>
      </c>
      <c r="J288" t="s">
        <v>1727</v>
      </c>
      <c r="K288" s="89" t="s">
        <v>838</v>
      </c>
      <c r="L288" s="89" t="s">
        <v>838</v>
      </c>
      <c r="M288" s="89" t="s">
        <v>838</v>
      </c>
      <c r="N288" s="89" t="s">
        <v>838</v>
      </c>
      <c r="O288" s="89" t="s">
        <v>838</v>
      </c>
      <c r="P288" s="89" t="s">
        <v>838</v>
      </c>
    </row>
    <row r="289" spans="1:16" x14ac:dyDescent="0.25">
      <c r="A289">
        <f t="shared" si="4"/>
        <v>288</v>
      </c>
      <c r="B289" s="7" t="s">
        <v>1694</v>
      </c>
      <c r="C289" s="40">
        <v>45122</v>
      </c>
      <c r="D289" t="s">
        <v>1723</v>
      </c>
      <c r="E289" t="s">
        <v>1724</v>
      </c>
      <c r="F289" t="s">
        <v>1725</v>
      </c>
      <c r="G289" t="s">
        <v>197</v>
      </c>
      <c r="H289" s="38">
        <v>1038</v>
      </c>
      <c r="I289" t="s">
        <v>898</v>
      </c>
      <c r="J289" t="s">
        <v>219</v>
      </c>
      <c r="K289" s="89" t="s">
        <v>838</v>
      </c>
      <c r="L289" s="89" t="s">
        <v>838</v>
      </c>
      <c r="M289" s="89" t="s">
        <v>838</v>
      </c>
      <c r="N289" s="89" t="s">
        <v>838</v>
      </c>
      <c r="O289" s="89" t="s">
        <v>838</v>
      </c>
      <c r="P289" s="89" t="s">
        <v>838</v>
      </c>
    </row>
    <row r="290" spans="1:16" x14ac:dyDescent="0.25">
      <c r="A290" s="83">
        <f t="shared" si="4"/>
        <v>289</v>
      </c>
      <c r="B290" s="7" t="s">
        <v>1695</v>
      </c>
      <c r="C290" s="40">
        <v>45136</v>
      </c>
      <c r="D290" t="s">
        <v>1728</v>
      </c>
      <c r="E290" t="s">
        <v>1729</v>
      </c>
      <c r="F290" t="s">
        <v>1730</v>
      </c>
      <c r="G290" t="s">
        <v>192</v>
      </c>
      <c r="H290" s="38">
        <v>1476</v>
      </c>
      <c r="I290" t="s">
        <v>1739</v>
      </c>
      <c r="J290" t="s">
        <v>582</v>
      </c>
      <c r="K290" s="89" t="s">
        <v>838</v>
      </c>
      <c r="L290" s="89" t="s">
        <v>838</v>
      </c>
      <c r="M290" s="89" t="s">
        <v>838</v>
      </c>
      <c r="N290" s="89" t="s">
        <v>838</v>
      </c>
      <c r="O290" s="89" t="s">
        <v>838</v>
      </c>
      <c r="P290" s="89" t="s">
        <v>838</v>
      </c>
    </row>
    <row r="291" spans="1:16" x14ac:dyDescent="0.25">
      <c r="A291">
        <f t="shared" si="4"/>
        <v>290</v>
      </c>
      <c r="B291" s="7" t="s">
        <v>1696</v>
      </c>
      <c r="C291" s="40">
        <v>45138</v>
      </c>
      <c r="D291" t="s">
        <v>1731</v>
      </c>
      <c r="E291" t="s">
        <v>1732</v>
      </c>
      <c r="F291" t="s">
        <v>1733</v>
      </c>
      <c r="G291" t="s">
        <v>197</v>
      </c>
      <c r="H291" s="38">
        <v>1472</v>
      </c>
      <c r="I291" t="s">
        <v>1734</v>
      </c>
      <c r="J291" t="s">
        <v>582</v>
      </c>
      <c r="K291" s="89" t="s">
        <v>838</v>
      </c>
      <c r="L291" s="89" t="s">
        <v>838</v>
      </c>
      <c r="M291" s="89" t="s">
        <v>838</v>
      </c>
      <c r="N291" s="89" t="s">
        <v>838</v>
      </c>
      <c r="O291" s="89" t="s">
        <v>838</v>
      </c>
      <c r="P291" s="89" t="s">
        <v>838</v>
      </c>
    </row>
    <row r="292" spans="1:16" x14ac:dyDescent="0.25">
      <c r="A292" s="81">
        <f t="shared" si="4"/>
        <v>291</v>
      </c>
      <c r="B292" s="98" t="s">
        <v>1697</v>
      </c>
      <c r="C292" s="40">
        <v>45138</v>
      </c>
      <c r="D292" t="s">
        <v>1333</v>
      </c>
      <c r="F292" t="s">
        <v>2770</v>
      </c>
      <c r="G292" t="s">
        <v>192</v>
      </c>
      <c r="H292" s="38">
        <v>6402.05</v>
      </c>
      <c r="I292" t="s">
        <v>1764</v>
      </c>
      <c r="J292" t="s">
        <v>125</v>
      </c>
      <c r="K292" s="89" t="s">
        <v>838</v>
      </c>
      <c r="L292" s="89" t="s">
        <v>838</v>
      </c>
      <c r="M292" s="89" t="s">
        <v>838</v>
      </c>
      <c r="N292" s="89" t="s">
        <v>838</v>
      </c>
      <c r="O292" s="89" t="s">
        <v>838</v>
      </c>
      <c r="P292" s="89" t="s">
        <v>838</v>
      </c>
    </row>
    <row r="293" spans="1:16" x14ac:dyDescent="0.25">
      <c r="A293">
        <f t="shared" si="4"/>
        <v>292</v>
      </c>
      <c r="B293" s="7" t="s">
        <v>1698</v>
      </c>
      <c r="C293" s="40">
        <v>45125</v>
      </c>
      <c r="D293" t="s">
        <v>1735</v>
      </c>
      <c r="E293" t="s">
        <v>1736</v>
      </c>
      <c r="F293" t="s">
        <v>1737</v>
      </c>
      <c r="G293" t="s">
        <v>197</v>
      </c>
      <c r="H293" s="38">
        <v>1950</v>
      </c>
      <c r="I293" t="s">
        <v>1738</v>
      </c>
      <c r="J293" t="s">
        <v>1754</v>
      </c>
      <c r="K293" s="89" t="s">
        <v>838</v>
      </c>
      <c r="L293" s="89" t="s">
        <v>838</v>
      </c>
      <c r="M293" s="89" t="s">
        <v>838</v>
      </c>
      <c r="N293" s="89" t="s">
        <v>838</v>
      </c>
      <c r="O293" s="89" t="s">
        <v>838</v>
      </c>
      <c r="P293" s="89" t="s">
        <v>838</v>
      </c>
    </row>
    <row r="294" spans="1:16" x14ac:dyDescent="0.25">
      <c r="A294">
        <f t="shared" si="4"/>
        <v>293</v>
      </c>
      <c r="B294" s="98" t="s">
        <v>1699</v>
      </c>
      <c r="C294" s="40">
        <v>45127</v>
      </c>
      <c r="D294" t="s">
        <v>1740</v>
      </c>
      <c r="E294" t="s">
        <v>1741</v>
      </c>
      <c r="F294" t="s">
        <v>1742</v>
      </c>
      <c r="G294" t="s">
        <v>197</v>
      </c>
      <c r="H294" s="38">
        <v>4541.95</v>
      </c>
      <c r="I294" t="s">
        <v>1743</v>
      </c>
      <c r="J294" t="s">
        <v>1753</v>
      </c>
      <c r="K294" t="s">
        <v>838</v>
      </c>
      <c r="L294" s="89" t="s">
        <v>838</v>
      </c>
      <c r="M294" s="89" t="s">
        <v>838</v>
      </c>
      <c r="N294" s="89" t="s">
        <v>838</v>
      </c>
      <c r="O294" s="89" t="s">
        <v>838</v>
      </c>
      <c r="P294" s="89" t="s">
        <v>838</v>
      </c>
    </row>
    <row r="295" spans="1:16" x14ac:dyDescent="0.25">
      <c r="A295" s="82">
        <f t="shared" si="4"/>
        <v>294</v>
      </c>
      <c r="B295" s="7" t="s">
        <v>1700</v>
      </c>
      <c r="C295" s="40">
        <v>45139</v>
      </c>
      <c r="D295" t="s">
        <v>1744</v>
      </c>
      <c r="E295" t="s">
        <v>1745</v>
      </c>
      <c r="F295" t="s">
        <v>1746</v>
      </c>
      <c r="G295" t="s">
        <v>1747</v>
      </c>
      <c r="H295" s="38">
        <v>2674.25</v>
      </c>
      <c r="I295" t="s">
        <v>1748</v>
      </c>
      <c r="J295" t="s">
        <v>219</v>
      </c>
      <c r="K295" s="89" t="s">
        <v>838</v>
      </c>
      <c r="L295" s="89" t="s">
        <v>838</v>
      </c>
      <c r="M295" s="89" t="s">
        <v>838</v>
      </c>
      <c r="N295" s="89" t="s">
        <v>838</v>
      </c>
      <c r="O295" s="89" t="s">
        <v>838</v>
      </c>
      <c r="P295" s="89" t="s">
        <v>838</v>
      </c>
    </row>
    <row r="296" spans="1:16" x14ac:dyDescent="0.25">
      <c r="A296">
        <f t="shared" si="4"/>
        <v>295</v>
      </c>
      <c r="B296" s="7" t="s">
        <v>1701</v>
      </c>
      <c r="C296" s="40">
        <v>45140</v>
      </c>
      <c r="D296" t="s">
        <v>1749</v>
      </c>
      <c r="E296" t="s">
        <v>1750</v>
      </c>
      <c r="F296" t="s">
        <v>1751</v>
      </c>
      <c r="G296" t="s">
        <v>806</v>
      </c>
      <c r="H296" s="38">
        <v>1329</v>
      </c>
      <c r="I296" t="s">
        <v>1752</v>
      </c>
      <c r="J296" t="s">
        <v>582</v>
      </c>
      <c r="K296" s="89" t="s">
        <v>838</v>
      </c>
      <c r="L296" s="89" t="s">
        <v>838</v>
      </c>
      <c r="M296" s="89" t="s">
        <v>838</v>
      </c>
      <c r="N296" s="89" t="s">
        <v>838</v>
      </c>
      <c r="O296" s="89" t="s">
        <v>838</v>
      </c>
      <c r="P296" s="89" t="s">
        <v>838</v>
      </c>
    </row>
    <row r="297" spans="1:16" x14ac:dyDescent="0.25">
      <c r="A297">
        <f t="shared" si="4"/>
        <v>296</v>
      </c>
      <c r="B297" s="7" t="s">
        <v>1702</v>
      </c>
      <c r="C297" s="40">
        <v>45140</v>
      </c>
      <c r="D297" t="s">
        <v>1755</v>
      </c>
      <c r="E297" t="s">
        <v>1756</v>
      </c>
      <c r="F297" t="s">
        <v>1757</v>
      </c>
      <c r="G297" t="s">
        <v>192</v>
      </c>
      <c r="H297" s="38">
        <v>7323.36</v>
      </c>
      <c r="I297" t="s">
        <v>1758</v>
      </c>
      <c r="J297" t="s">
        <v>1633</v>
      </c>
      <c r="K297" s="89" t="s">
        <v>838</v>
      </c>
      <c r="L297" s="89" t="s">
        <v>838</v>
      </c>
      <c r="M297" s="89" t="s">
        <v>838</v>
      </c>
      <c r="N297" s="89" t="s">
        <v>838</v>
      </c>
      <c r="O297" s="89" t="s">
        <v>838</v>
      </c>
      <c r="P297" s="89" t="s">
        <v>838</v>
      </c>
    </row>
    <row r="298" spans="1:16" x14ac:dyDescent="0.25">
      <c r="A298" s="79">
        <f t="shared" si="4"/>
        <v>297</v>
      </c>
      <c r="B298" s="7" t="s">
        <v>1703</v>
      </c>
      <c r="C298" s="40">
        <v>45131</v>
      </c>
      <c r="D298" t="s">
        <v>1759</v>
      </c>
      <c r="E298" t="s">
        <v>1760</v>
      </c>
      <c r="F298" t="s">
        <v>1761</v>
      </c>
      <c r="G298" t="s">
        <v>197</v>
      </c>
      <c r="H298" s="38">
        <v>1666</v>
      </c>
      <c r="I298" t="s">
        <v>1762</v>
      </c>
      <c r="J298" t="s">
        <v>1763</v>
      </c>
      <c r="K298" s="89" t="s">
        <v>838</v>
      </c>
      <c r="L298" s="89" t="s">
        <v>838</v>
      </c>
      <c r="M298" s="89" t="s">
        <v>838</v>
      </c>
      <c r="N298" s="89" t="s">
        <v>838</v>
      </c>
      <c r="O298" s="89" t="s">
        <v>838</v>
      </c>
      <c r="P298" s="89" t="s">
        <v>838</v>
      </c>
    </row>
    <row r="299" spans="1:16" x14ac:dyDescent="0.25">
      <c r="A299">
        <f t="shared" si="4"/>
        <v>298</v>
      </c>
      <c r="B299" s="98" t="s">
        <v>1704</v>
      </c>
      <c r="C299" s="40">
        <v>45139</v>
      </c>
      <c r="D299" t="s">
        <v>1765</v>
      </c>
      <c r="E299" t="s">
        <v>1766</v>
      </c>
      <c r="F299" t="s">
        <v>1767</v>
      </c>
      <c r="G299" t="s">
        <v>380</v>
      </c>
      <c r="H299" s="38">
        <v>2148.9</v>
      </c>
      <c r="I299" t="s">
        <v>1768</v>
      </c>
      <c r="J299" t="s">
        <v>1769</v>
      </c>
      <c r="K299" s="89" t="s">
        <v>838</v>
      </c>
      <c r="L299" s="89" t="s">
        <v>838</v>
      </c>
      <c r="M299" s="89" t="s">
        <v>838</v>
      </c>
      <c r="N299" s="89" t="s">
        <v>838</v>
      </c>
      <c r="O299" s="89" t="s">
        <v>838</v>
      </c>
      <c r="P299" s="89" t="s">
        <v>838</v>
      </c>
    </row>
    <row r="300" spans="1:16" x14ac:dyDescent="0.25">
      <c r="A300">
        <f t="shared" si="4"/>
        <v>299</v>
      </c>
      <c r="B300" s="98" t="s">
        <v>1705</v>
      </c>
      <c r="C300" s="40">
        <v>45141</v>
      </c>
      <c r="D300" t="s">
        <v>1770</v>
      </c>
      <c r="F300" t="s">
        <v>1771</v>
      </c>
      <c r="G300" t="s">
        <v>380</v>
      </c>
      <c r="H300" s="38">
        <v>896</v>
      </c>
      <c r="I300" t="s">
        <v>1772</v>
      </c>
      <c r="J300" t="s">
        <v>1769</v>
      </c>
      <c r="K300" s="89" t="s">
        <v>838</v>
      </c>
      <c r="L300" s="89" t="s">
        <v>838</v>
      </c>
      <c r="M300" s="89" t="s">
        <v>838</v>
      </c>
      <c r="N300" s="89" t="s">
        <v>838</v>
      </c>
      <c r="O300" s="89" t="s">
        <v>838</v>
      </c>
      <c r="P300" s="89" t="s">
        <v>838</v>
      </c>
    </row>
    <row r="301" spans="1:16" x14ac:dyDescent="0.25">
      <c r="A301">
        <f t="shared" si="4"/>
        <v>300</v>
      </c>
      <c r="B301" s="98" t="s">
        <v>1709</v>
      </c>
      <c r="C301" s="40">
        <v>45141</v>
      </c>
      <c r="D301" t="s">
        <v>1773</v>
      </c>
      <c r="F301" t="s">
        <v>1774</v>
      </c>
      <c r="G301" t="s">
        <v>1775</v>
      </c>
      <c r="H301" s="38">
        <v>840</v>
      </c>
      <c r="I301" t="s">
        <v>1776</v>
      </c>
      <c r="J301" t="s">
        <v>1777</v>
      </c>
      <c r="K301" s="89" t="s">
        <v>838</v>
      </c>
      <c r="L301" s="89" t="s">
        <v>838</v>
      </c>
      <c r="M301" s="89" t="s">
        <v>838</v>
      </c>
      <c r="N301" s="89" t="s">
        <v>838</v>
      </c>
      <c r="O301" s="89" t="s">
        <v>838</v>
      </c>
      <c r="P301" s="89" t="s">
        <v>838</v>
      </c>
    </row>
    <row r="302" spans="1:16" x14ac:dyDescent="0.25">
      <c r="A302" s="82">
        <f t="shared" si="4"/>
        <v>301</v>
      </c>
      <c r="B302" s="94" t="s">
        <v>1710</v>
      </c>
      <c r="C302" s="40">
        <v>45141</v>
      </c>
      <c r="D302" t="s">
        <v>1778</v>
      </c>
      <c r="E302" t="s">
        <v>2774</v>
      </c>
      <c r="F302" t="s">
        <v>1779</v>
      </c>
      <c r="G302" t="s">
        <v>197</v>
      </c>
      <c r="H302" s="38">
        <v>1153.8499999999999</v>
      </c>
      <c r="I302" t="s">
        <v>227</v>
      </c>
      <c r="J302" t="s">
        <v>1780</v>
      </c>
      <c r="K302" s="89" t="s">
        <v>838</v>
      </c>
      <c r="L302" s="89" t="s">
        <v>838</v>
      </c>
      <c r="M302" s="89" t="s">
        <v>838</v>
      </c>
      <c r="N302" s="89" t="s">
        <v>838</v>
      </c>
      <c r="O302" s="89" t="s">
        <v>838</v>
      </c>
      <c r="P302" s="89" t="s">
        <v>838</v>
      </c>
    </row>
    <row r="303" spans="1:16" x14ac:dyDescent="0.25">
      <c r="A303" s="83">
        <f t="shared" si="4"/>
        <v>302</v>
      </c>
      <c r="B303" s="7" t="s">
        <v>1711</v>
      </c>
      <c r="C303" s="40">
        <v>45121</v>
      </c>
      <c r="D303" t="s">
        <v>1781</v>
      </c>
      <c r="E303" t="s">
        <v>1782</v>
      </c>
      <c r="F303" t="s">
        <v>1783</v>
      </c>
      <c r="G303" t="s">
        <v>192</v>
      </c>
      <c r="H303" s="38">
        <v>555</v>
      </c>
      <c r="I303" t="s">
        <v>1784</v>
      </c>
      <c r="J303" t="s">
        <v>337</v>
      </c>
      <c r="K303" s="89" t="s">
        <v>838</v>
      </c>
      <c r="L303" s="89" t="s">
        <v>838</v>
      </c>
      <c r="M303" s="89" t="s">
        <v>838</v>
      </c>
      <c r="N303" s="89" t="s">
        <v>838</v>
      </c>
      <c r="O303" s="89" t="s">
        <v>838</v>
      </c>
      <c r="P303" s="89" t="s">
        <v>838</v>
      </c>
    </row>
    <row r="304" spans="1:16" x14ac:dyDescent="0.25">
      <c r="A304" s="83">
        <f t="shared" si="4"/>
        <v>303</v>
      </c>
      <c r="B304" s="7" t="s">
        <v>1712</v>
      </c>
      <c r="C304" s="40">
        <v>45134</v>
      </c>
      <c r="D304" t="s">
        <v>1785</v>
      </c>
      <c r="E304" t="s">
        <v>1786</v>
      </c>
      <c r="F304" t="s">
        <v>1787</v>
      </c>
      <c r="G304" t="s">
        <v>192</v>
      </c>
      <c r="H304" s="38">
        <v>1419.56</v>
      </c>
      <c r="I304" t="s">
        <v>1788</v>
      </c>
      <c r="J304" t="s">
        <v>337</v>
      </c>
      <c r="K304" s="89" t="s">
        <v>838</v>
      </c>
      <c r="L304" s="89" t="s">
        <v>838</v>
      </c>
      <c r="M304" s="89" t="s">
        <v>838</v>
      </c>
      <c r="N304" s="89" t="s">
        <v>838</v>
      </c>
      <c r="O304" s="89" t="s">
        <v>838</v>
      </c>
      <c r="P304" s="89" t="s">
        <v>838</v>
      </c>
    </row>
    <row r="305" spans="1:16" x14ac:dyDescent="0.25">
      <c r="A305" s="79">
        <f t="shared" si="4"/>
        <v>304</v>
      </c>
      <c r="B305" s="7" t="s">
        <v>1713</v>
      </c>
      <c r="C305" s="40">
        <v>45142</v>
      </c>
      <c r="D305" t="s">
        <v>1789</v>
      </c>
      <c r="E305" t="s">
        <v>1790</v>
      </c>
      <c r="F305" t="s">
        <v>1791</v>
      </c>
      <c r="G305" t="s">
        <v>192</v>
      </c>
      <c r="H305" s="38">
        <v>1866</v>
      </c>
      <c r="I305" t="s">
        <v>1792</v>
      </c>
      <c r="J305" t="s">
        <v>1793</v>
      </c>
      <c r="K305" s="89" t="s">
        <v>838</v>
      </c>
      <c r="L305" s="89" t="s">
        <v>838</v>
      </c>
      <c r="M305" s="89" t="s">
        <v>838</v>
      </c>
      <c r="N305" s="89" t="s">
        <v>838</v>
      </c>
      <c r="O305" s="89" t="s">
        <v>838</v>
      </c>
      <c r="P305" s="89" t="s">
        <v>838</v>
      </c>
    </row>
    <row r="306" spans="1:16" x14ac:dyDescent="0.25">
      <c r="A306" s="79">
        <f t="shared" si="4"/>
        <v>305</v>
      </c>
      <c r="B306" s="7" t="s">
        <v>1794</v>
      </c>
      <c r="C306" s="40">
        <v>45043</v>
      </c>
      <c r="D306" t="s">
        <v>1221</v>
      </c>
      <c r="E306" t="s">
        <v>1797</v>
      </c>
      <c r="F306" t="s">
        <v>1798</v>
      </c>
      <c r="G306" t="s">
        <v>197</v>
      </c>
      <c r="H306" s="38">
        <v>2865</v>
      </c>
      <c r="I306" t="s">
        <v>1222</v>
      </c>
      <c r="J306" t="s">
        <v>1799</v>
      </c>
      <c r="K306" s="89" t="s">
        <v>838</v>
      </c>
      <c r="L306" s="89" t="s">
        <v>838</v>
      </c>
      <c r="M306" s="89" t="s">
        <v>838</v>
      </c>
      <c r="N306" s="89" t="s">
        <v>838</v>
      </c>
      <c r="O306" s="89" t="s">
        <v>838</v>
      </c>
      <c r="P306" s="89" t="s">
        <v>838</v>
      </c>
    </row>
    <row r="307" spans="1:16" x14ac:dyDescent="0.25">
      <c r="A307" s="81">
        <f t="shared" si="4"/>
        <v>306</v>
      </c>
      <c r="B307" s="7" t="s">
        <v>1795</v>
      </c>
      <c r="C307" s="40">
        <v>45133</v>
      </c>
      <c r="D307" t="s">
        <v>533</v>
      </c>
      <c r="E307" t="s">
        <v>534</v>
      </c>
      <c r="F307" t="s">
        <v>1800</v>
      </c>
      <c r="G307" t="s">
        <v>192</v>
      </c>
      <c r="H307" s="38">
        <v>1318.68</v>
      </c>
      <c r="I307" t="s">
        <v>1801</v>
      </c>
      <c r="J307" t="s">
        <v>733</v>
      </c>
      <c r="K307" s="89" t="s">
        <v>838</v>
      </c>
      <c r="L307" s="89" t="s">
        <v>838</v>
      </c>
      <c r="M307" s="89" t="s">
        <v>838</v>
      </c>
      <c r="N307" s="89" t="s">
        <v>838</v>
      </c>
      <c r="O307" s="89" t="s">
        <v>838</v>
      </c>
      <c r="P307" s="89" t="s">
        <v>838</v>
      </c>
    </row>
    <row r="308" spans="1:16" x14ac:dyDescent="0.25">
      <c r="A308" s="83">
        <f t="shared" si="4"/>
        <v>307</v>
      </c>
      <c r="B308" s="7" t="s">
        <v>1796</v>
      </c>
      <c r="C308" s="40">
        <v>45145</v>
      </c>
      <c r="D308" t="s">
        <v>268</v>
      </c>
      <c r="E308" t="s">
        <v>269</v>
      </c>
      <c r="F308" t="s">
        <v>1806</v>
      </c>
      <c r="G308" t="s">
        <v>192</v>
      </c>
      <c r="H308" s="38">
        <v>2338</v>
      </c>
      <c r="I308" t="s">
        <v>1807</v>
      </c>
      <c r="J308" t="s">
        <v>1808</v>
      </c>
      <c r="K308" s="89" t="s">
        <v>838</v>
      </c>
      <c r="L308" s="89" t="s">
        <v>838</v>
      </c>
      <c r="M308" s="89" t="s">
        <v>838</v>
      </c>
      <c r="N308" s="89" t="s">
        <v>838</v>
      </c>
      <c r="O308" s="89" t="s">
        <v>838</v>
      </c>
      <c r="P308" s="89" t="s">
        <v>838</v>
      </c>
    </row>
    <row r="309" spans="1:16" x14ac:dyDescent="0.25">
      <c r="A309">
        <f t="shared" si="4"/>
        <v>308</v>
      </c>
      <c r="B309" s="7" t="s">
        <v>1803</v>
      </c>
      <c r="C309" s="40">
        <v>45146</v>
      </c>
      <c r="D309" t="s">
        <v>1809</v>
      </c>
      <c r="E309" t="s">
        <v>1810</v>
      </c>
      <c r="F309" t="s">
        <v>1811</v>
      </c>
      <c r="G309" t="s">
        <v>197</v>
      </c>
      <c r="H309" s="38">
        <v>1678</v>
      </c>
      <c r="I309" t="s">
        <v>1812</v>
      </c>
      <c r="J309" t="s">
        <v>219</v>
      </c>
      <c r="K309" s="89" t="s">
        <v>838</v>
      </c>
      <c r="L309" s="89" t="s">
        <v>838</v>
      </c>
      <c r="M309" s="89" t="s">
        <v>838</v>
      </c>
      <c r="N309" s="89" t="s">
        <v>838</v>
      </c>
      <c r="O309" s="89" t="s">
        <v>838</v>
      </c>
      <c r="P309" s="89" t="s">
        <v>838</v>
      </c>
    </row>
    <row r="310" spans="1:16" x14ac:dyDescent="0.25">
      <c r="A310" s="81">
        <f t="shared" si="4"/>
        <v>309</v>
      </c>
      <c r="B310" s="7" t="s">
        <v>1804</v>
      </c>
      <c r="C310" s="40">
        <v>45146</v>
      </c>
      <c r="D310" t="s">
        <v>1744</v>
      </c>
      <c r="E310" t="s">
        <v>1745</v>
      </c>
      <c r="F310" t="s">
        <v>1746</v>
      </c>
      <c r="G310" t="s">
        <v>192</v>
      </c>
      <c r="H310" s="38">
        <v>1607.76</v>
      </c>
      <c r="I310" t="s">
        <v>1813</v>
      </c>
      <c r="J310" t="s">
        <v>349</v>
      </c>
      <c r="K310" s="89" t="s">
        <v>838</v>
      </c>
      <c r="L310" s="89" t="s">
        <v>838</v>
      </c>
      <c r="M310" s="89" t="s">
        <v>838</v>
      </c>
      <c r="N310" s="89" t="s">
        <v>838</v>
      </c>
      <c r="O310" s="89" t="s">
        <v>838</v>
      </c>
      <c r="P310" s="89" t="s">
        <v>838</v>
      </c>
    </row>
    <row r="311" spans="1:16" x14ac:dyDescent="0.25">
      <c r="A311">
        <f t="shared" si="4"/>
        <v>310</v>
      </c>
      <c r="B311" s="7" t="s">
        <v>1805</v>
      </c>
      <c r="C311" s="40">
        <v>45147</v>
      </c>
      <c r="D311" t="s">
        <v>1814</v>
      </c>
      <c r="E311" t="s">
        <v>1815</v>
      </c>
      <c r="F311" t="s">
        <v>1816</v>
      </c>
      <c r="G311" t="s">
        <v>197</v>
      </c>
      <c r="H311" s="38">
        <v>1500</v>
      </c>
      <c r="I311" t="s">
        <v>1817</v>
      </c>
      <c r="J311" t="s">
        <v>1823</v>
      </c>
      <c r="K311" s="89" t="s">
        <v>838</v>
      </c>
      <c r="L311" s="89" t="s">
        <v>838</v>
      </c>
      <c r="M311" s="89" t="s">
        <v>838</v>
      </c>
      <c r="N311" s="89" t="s">
        <v>838</v>
      </c>
      <c r="O311" s="89" t="s">
        <v>838</v>
      </c>
      <c r="P311" s="89" t="s">
        <v>838</v>
      </c>
    </row>
    <row r="312" spans="1:16" x14ac:dyDescent="0.25">
      <c r="A312" s="83">
        <f t="shared" si="4"/>
        <v>311</v>
      </c>
      <c r="B312" s="7" t="s">
        <v>1818</v>
      </c>
      <c r="C312" s="40">
        <v>45148</v>
      </c>
      <c r="D312" t="s">
        <v>1820</v>
      </c>
      <c r="E312" t="s">
        <v>909</v>
      </c>
      <c r="F312" t="s">
        <v>1821</v>
      </c>
      <c r="G312" t="s">
        <v>192</v>
      </c>
      <c r="H312" s="38">
        <v>1171</v>
      </c>
      <c r="I312" t="s">
        <v>1822</v>
      </c>
      <c r="J312" t="s">
        <v>1835</v>
      </c>
      <c r="K312" s="89" t="s">
        <v>838</v>
      </c>
      <c r="L312" s="89" t="s">
        <v>838</v>
      </c>
      <c r="M312" s="89" t="s">
        <v>838</v>
      </c>
      <c r="N312" s="89" t="s">
        <v>838</v>
      </c>
      <c r="O312" s="89" t="s">
        <v>838</v>
      </c>
      <c r="P312" s="89" t="s">
        <v>838</v>
      </c>
    </row>
    <row r="313" spans="1:16" x14ac:dyDescent="0.25">
      <c r="A313" s="83">
        <f t="shared" si="4"/>
        <v>312</v>
      </c>
      <c r="B313" s="7" t="s">
        <v>1819</v>
      </c>
      <c r="C313" s="40">
        <v>45148</v>
      </c>
      <c r="D313" t="s">
        <v>1824</v>
      </c>
      <c r="E313" t="s">
        <v>1825</v>
      </c>
      <c r="F313" t="s">
        <v>1826</v>
      </c>
      <c r="G313" t="s">
        <v>192</v>
      </c>
      <c r="H313" s="38">
        <v>622</v>
      </c>
      <c r="I313" t="s">
        <v>1827</v>
      </c>
      <c r="J313" t="s">
        <v>219</v>
      </c>
      <c r="K313" s="89" t="s">
        <v>838</v>
      </c>
      <c r="L313" s="89" t="s">
        <v>838</v>
      </c>
      <c r="M313" s="89" t="s">
        <v>838</v>
      </c>
      <c r="N313" s="89" t="s">
        <v>838</v>
      </c>
      <c r="O313" s="89" t="s">
        <v>838</v>
      </c>
      <c r="P313" s="89" t="s">
        <v>838</v>
      </c>
    </row>
    <row r="314" spans="1:16" x14ac:dyDescent="0.25">
      <c r="A314" s="83">
        <f t="shared" si="4"/>
        <v>313</v>
      </c>
      <c r="B314" s="7" t="s">
        <v>1828</v>
      </c>
      <c r="C314" s="40">
        <v>45138</v>
      </c>
      <c r="D314" t="s">
        <v>1830</v>
      </c>
      <c r="E314" t="s">
        <v>1831</v>
      </c>
      <c r="F314" t="s">
        <v>1832</v>
      </c>
      <c r="G314" t="s">
        <v>192</v>
      </c>
      <c r="H314" s="38">
        <v>1662</v>
      </c>
      <c r="I314" t="s">
        <v>1833</v>
      </c>
      <c r="J314" t="s">
        <v>1834</v>
      </c>
      <c r="K314" s="89" t="s">
        <v>838</v>
      </c>
      <c r="L314" s="89" t="s">
        <v>838</v>
      </c>
      <c r="M314" s="89" t="s">
        <v>838</v>
      </c>
      <c r="N314" s="89" t="s">
        <v>838</v>
      </c>
      <c r="O314" s="89" t="s">
        <v>838</v>
      </c>
      <c r="P314" s="89" t="s">
        <v>838</v>
      </c>
    </row>
    <row r="315" spans="1:16" x14ac:dyDescent="0.25">
      <c r="A315" s="83">
        <f t="shared" si="4"/>
        <v>314</v>
      </c>
      <c r="B315" s="7" t="s">
        <v>1829</v>
      </c>
      <c r="C315" s="40">
        <v>45140</v>
      </c>
      <c r="D315" t="s">
        <v>724</v>
      </c>
      <c r="E315" t="s">
        <v>725</v>
      </c>
      <c r="F315" t="s">
        <v>1836</v>
      </c>
      <c r="G315" t="s">
        <v>192</v>
      </c>
      <c r="H315" s="38">
        <v>1260</v>
      </c>
      <c r="I315" t="s">
        <v>1837</v>
      </c>
      <c r="J315" t="s">
        <v>349</v>
      </c>
      <c r="K315" s="89" t="s">
        <v>838</v>
      </c>
      <c r="L315" s="89" t="s">
        <v>838</v>
      </c>
      <c r="M315" s="89" t="s">
        <v>838</v>
      </c>
      <c r="N315" s="89" t="s">
        <v>838</v>
      </c>
      <c r="O315" s="89" t="s">
        <v>838</v>
      </c>
      <c r="P315" s="89" t="s">
        <v>838</v>
      </c>
    </row>
    <row r="316" spans="1:16" x14ac:dyDescent="0.25">
      <c r="A316" s="79">
        <f t="shared" si="4"/>
        <v>315</v>
      </c>
      <c r="B316" s="7" t="s">
        <v>1838</v>
      </c>
      <c r="C316" s="40">
        <v>45131</v>
      </c>
      <c r="D316" t="s">
        <v>1841</v>
      </c>
      <c r="E316" t="s">
        <v>1842</v>
      </c>
      <c r="F316" t="s">
        <v>1843</v>
      </c>
      <c r="G316" t="s">
        <v>197</v>
      </c>
      <c r="H316" s="38">
        <v>1072</v>
      </c>
      <c r="I316" t="s">
        <v>1844</v>
      </c>
      <c r="J316" t="s">
        <v>1845</v>
      </c>
      <c r="K316" s="89" t="s">
        <v>838</v>
      </c>
      <c r="L316" s="89" t="s">
        <v>838</v>
      </c>
      <c r="M316" s="89" t="s">
        <v>838</v>
      </c>
      <c r="N316" s="89" t="s">
        <v>838</v>
      </c>
      <c r="O316" s="89" t="s">
        <v>838</v>
      </c>
      <c r="P316" s="89" t="s">
        <v>838</v>
      </c>
    </row>
    <row r="317" spans="1:16" x14ac:dyDescent="0.25">
      <c r="A317" s="83">
        <f t="shared" si="4"/>
        <v>316</v>
      </c>
      <c r="B317" s="7" t="s">
        <v>1839</v>
      </c>
      <c r="C317" s="40">
        <v>45145</v>
      </c>
      <c r="D317" t="s">
        <v>1846</v>
      </c>
      <c r="E317" t="s">
        <v>1847</v>
      </c>
      <c r="F317" t="s">
        <v>981</v>
      </c>
      <c r="G317" t="s">
        <v>192</v>
      </c>
      <c r="H317" s="38">
        <v>1947</v>
      </c>
      <c r="I317" t="s">
        <v>1848</v>
      </c>
      <c r="J317" t="s">
        <v>348</v>
      </c>
      <c r="K317" s="89" t="s">
        <v>838</v>
      </c>
      <c r="L317" s="89" t="s">
        <v>838</v>
      </c>
      <c r="M317" s="89" t="s">
        <v>838</v>
      </c>
      <c r="N317" s="89" t="s">
        <v>838</v>
      </c>
      <c r="O317" s="89" t="s">
        <v>838</v>
      </c>
      <c r="P317" s="89" t="s">
        <v>838</v>
      </c>
    </row>
    <row r="318" spans="1:16" x14ac:dyDescent="0.25">
      <c r="A318">
        <f t="shared" si="4"/>
        <v>317</v>
      </c>
      <c r="B318" s="7" t="s">
        <v>1840</v>
      </c>
      <c r="C318" s="40">
        <v>45153</v>
      </c>
      <c r="D318" t="s">
        <v>1849</v>
      </c>
      <c r="E318" t="s">
        <v>1850</v>
      </c>
      <c r="F318" t="s">
        <v>1851</v>
      </c>
      <c r="G318" t="s">
        <v>197</v>
      </c>
      <c r="H318" s="38">
        <v>3446</v>
      </c>
      <c r="I318" t="s">
        <v>1852</v>
      </c>
      <c r="J318" t="s">
        <v>337</v>
      </c>
      <c r="K318" s="89" t="s">
        <v>838</v>
      </c>
      <c r="L318" s="89" t="s">
        <v>838</v>
      </c>
      <c r="M318" s="89" t="s">
        <v>838</v>
      </c>
      <c r="N318" s="89" t="s">
        <v>838</v>
      </c>
      <c r="O318" s="89" t="s">
        <v>838</v>
      </c>
      <c r="P318" s="89" t="s">
        <v>838</v>
      </c>
    </row>
    <row r="319" spans="1:16" x14ac:dyDescent="0.25">
      <c r="A319">
        <f t="shared" si="4"/>
        <v>318</v>
      </c>
      <c r="B319" s="7" t="s">
        <v>1853</v>
      </c>
      <c r="C319" s="40">
        <v>45154</v>
      </c>
      <c r="D319" t="s">
        <v>1861</v>
      </c>
      <c r="E319" t="s">
        <v>1862</v>
      </c>
      <c r="F319" t="s">
        <v>1863</v>
      </c>
      <c r="G319" t="s">
        <v>197</v>
      </c>
      <c r="H319" s="38">
        <v>2200</v>
      </c>
      <c r="I319" t="s">
        <v>1864</v>
      </c>
      <c r="J319" t="s">
        <v>1865</v>
      </c>
      <c r="K319" s="89" t="s">
        <v>838</v>
      </c>
      <c r="L319" s="89" t="s">
        <v>838</v>
      </c>
      <c r="M319" s="89" t="s">
        <v>838</v>
      </c>
      <c r="N319" s="89" t="s">
        <v>838</v>
      </c>
      <c r="O319" s="89" t="s">
        <v>838</v>
      </c>
      <c r="P319" s="89" t="s">
        <v>838</v>
      </c>
    </row>
    <row r="320" spans="1:16" x14ac:dyDescent="0.25">
      <c r="A320" s="83">
        <f t="shared" si="4"/>
        <v>319</v>
      </c>
      <c r="B320" s="7" t="s">
        <v>1854</v>
      </c>
      <c r="C320" s="40">
        <v>45050</v>
      </c>
      <c r="D320" t="s">
        <v>200</v>
      </c>
      <c r="E320" t="s">
        <v>201</v>
      </c>
      <c r="F320" t="s">
        <v>1874</v>
      </c>
      <c r="G320" t="s">
        <v>192</v>
      </c>
      <c r="H320" s="38">
        <v>1498</v>
      </c>
      <c r="I320" t="s">
        <v>1875</v>
      </c>
      <c r="J320" t="s">
        <v>1876</v>
      </c>
      <c r="K320" s="89" t="s">
        <v>838</v>
      </c>
      <c r="L320" s="89" t="s">
        <v>838</v>
      </c>
      <c r="M320" s="89" t="s">
        <v>838</v>
      </c>
      <c r="N320" s="89" t="s">
        <v>838</v>
      </c>
      <c r="O320" s="89" t="s">
        <v>838</v>
      </c>
      <c r="P320" s="89" t="s">
        <v>838</v>
      </c>
    </row>
    <row r="321" spans="1:16" x14ac:dyDescent="0.25">
      <c r="A321">
        <f t="shared" si="4"/>
        <v>320</v>
      </c>
      <c r="B321" s="7" t="s">
        <v>1855</v>
      </c>
      <c r="C321" s="40">
        <v>45139</v>
      </c>
      <c r="D321" t="s">
        <v>1877</v>
      </c>
      <c r="E321" t="s">
        <v>1878</v>
      </c>
      <c r="F321" t="s">
        <v>1879</v>
      </c>
      <c r="G321" t="s">
        <v>197</v>
      </c>
      <c r="H321" s="38">
        <v>1540</v>
      </c>
      <c r="I321" t="s">
        <v>1880</v>
      </c>
      <c r="J321" t="s">
        <v>348</v>
      </c>
      <c r="K321" s="89" t="s">
        <v>838</v>
      </c>
      <c r="L321" s="89" t="s">
        <v>838</v>
      </c>
      <c r="M321" s="89" t="s">
        <v>838</v>
      </c>
      <c r="N321" s="89" t="s">
        <v>838</v>
      </c>
      <c r="O321" s="89" t="s">
        <v>838</v>
      </c>
      <c r="P321" s="89" t="s">
        <v>838</v>
      </c>
    </row>
    <row r="322" spans="1:16" x14ac:dyDescent="0.25">
      <c r="A322" s="83">
        <f t="shared" si="4"/>
        <v>321</v>
      </c>
      <c r="B322" s="7" t="s">
        <v>1856</v>
      </c>
      <c r="C322" s="40">
        <v>45143</v>
      </c>
      <c r="D322" t="s">
        <v>1881</v>
      </c>
      <c r="E322" t="s">
        <v>1882</v>
      </c>
      <c r="F322" t="s">
        <v>1883</v>
      </c>
      <c r="G322" t="s">
        <v>192</v>
      </c>
      <c r="H322" s="38">
        <v>2790</v>
      </c>
      <c r="I322" t="s">
        <v>1884</v>
      </c>
      <c r="J322" t="s">
        <v>219</v>
      </c>
      <c r="K322" s="89" t="s">
        <v>838</v>
      </c>
      <c r="L322" s="89" t="s">
        <v>838</v>
      </c>
      <c r="M322" s="89" t="s">
        <v>838</v>
      </c>
      <c r="N322" s="89" t="s">
        <v>838</v>
      </c>
      <c r="O322" s="89" t="s">
        <v>838</v>
      </c>
      <c r="P322" s="89" t="s">
        <v>838</v>
      </c>
    </row>
    <row r="323" spans="1:16" x14ac:dyDescent="0.25">
      <c r="A323">
        <f t="shared" si="4"/>
        <v>322</v>
      </c>
      <c r="B323" s="7" t="s">
        <v>1857</v>
      </c>
      <c r="C323" s="40">
        <v>45149</v>
      </c>
      <c r="D323" t="s">
        <v>1885</v>
      </c>
      <c r="E323" t="s">
        <v>1886</v>
      </c>
      <c r="F323" t="s">
        <v>1887</v>
      </c>
      <c r="G323" t="s">
        <v>197</v>
      </c>
      <c r="H323" s="38">
        <v>2808</v>
      </c>
      <c r="I323" t="s">
        <v>1888</v>
      </c>
      <c r="J323" t="s">
        <v>1933</v>
      </c>
      <c r="K323" s="89" t="s">
        <v>838</v>
      </c>
      <c r="L323" s="89" t="s">
        <v>838</v>
      </c>
      <c r="M323" s="89" t="s">
        <v>838</v>
      </c>
      <c r="N323" s="89" t="s">
        <v>838</v>
      </c>
      <c r="O323" s="89" t="s">
        <v>838</v>
      </c>
      <c r="P323" s="89" t="s">
        <v>838</v>
      </c>
    </row>
    <row r="324" spans="1:16" x14ac:dyDescent="0.25">
      <c r="A324">
        <f t="shared" ref="A324:A387" si="5">A323+1</f>
        <v>323</v>
      </c>
      <c r="B324" s="7" t="s">
        <v>1858</v>
      </c>
      <c r="C324" s="40">
        <v>45155</v>
      </c>
      <c r="D324" t="s">
        <v>1889</v>
      </c>
      <c r="E324" t="s">
        <v>1890</v>
      </c>
      <c r="F324" t="s">
        <v>1891</v>
      </c>
      <c r="G324" t="s">
        <v>197</v>
      </c>
      <c r="H324" s="38">
        <v>1392</v>
      </c>
      <c r="I324" t="s">
        <v>1892</v>
      </c>
      <c r="J324" t="s">
        <v>733</v>
      </c>
      <c r="K324" s="89" t="s">
        <v>838</v>
      </c>
      <c r="L324" s="89" t="s">
        <v>838</v>
      </c>
      <c r="M324" s="89" t="s">
        <v>838</v>
      </c>
      <c r="N324" s="89" t="s">
        <v>838</v>
      </c>
      <c r="O324" s="89" t="s">
        <v>838</v>
      </c>
      <c r="P324" s="89" t="s">
        <v>838</v>
      </c>
    </row>
    <row r="325" spans="1:16" x14ac:dyDescent="0.25">
      <c r="A325" s="79">
        <f t="shared" si="5"/>
        <v>324</v>
      </c>
      <c r="B325" s="7" t="s">
        <v>1859</v>
      </c>
      <c r="C325" s="40">
        <v>45155</v>
      </c>
      <c r="D325" t="s">
        <v>1893</v>
      </c>
      <c r="E325" t="s">
        <v>784</v>
      </c>
      <c r="F325" t="s">
        <v>1894</v>
      </c>
      <c r="G325" t="s">
        <v>192</v>
      </c>
      <c r="H325" s="38">
        <v>1098</v>
      </c>
      <c r="I325" t="s">
        <v>1895</v>
      </c>
      <c r="J325" t="s">
        <v>1904</v>
      </c>
      <c r="K325" s="89" t="s">
        <v>838</v>
      </c>
      <c r="L325" s="89" t="s">
        <v>838</v>
      </c>
      <c r="M325" s="89" t="s">
        <v>838</v>
      </c>
      <c r="N325" s="89" t="s">
        <v>838</v>
      </c>
      <c r="O325" s="89" t="s">
        <v>838</v>
      </c>
      <c r="P325" s="89" t="s">
        <v>838</v>
      </c>
    </row>
    <row r="326" spans="1:16" x14ac:dyDescent="0.25">
      <c r="A326" s="83">
        <f t="shared" si="5"/>
        <v>325</v>
      </c>
      <c r="B326" s="7" t="s">
        <v>1860</v>
      </c>
      <c r="C326" s="40">
        <v>45143</v>
      </c>
      <c r="D326" t="s">
        <v>740</v>
      </c>
      <c r="E326" t="s">
        <v>741</v>
      </c>
      <c r="F326" t="s">
        <v>1902</v>
      </c>
      <c r="G326" t="s">
        <v>192</v>
      </c>
      <c r="H326" s="38">
        <v>1180.3</v>
      </c>
      <c r="I326" t="s">
        <v>1903</v>
      </c>
      <c r="J326" t="s">
        <v>349</v>
      </c>
      <c r="K326" s="89" t="s">
        <v>838</v>
      </c>
      <c r="L326" s="89" t="s">
        <v>838</v>
      </c>
      <c r="M326" s="89" t="s">
        <v>838</v>
      </c>
      <c r="N326" s="89" t="s">
        <v>838</v>
      </c>
      <c r="O326" s="89" t="s">
        <v>838</v>
      </c>
      <c r="P326" s="89" t="s">
        <v>838</v>
      </c>
    </row>
    <row r="327" spans="1:16" x14ac:dyDescent="0.25">
      <c r="A327" s="82">
        <f t="shared" si="5"/>
        <v>326</v>
      </c>
      <c r="B327" s="7" t="s">
        <v>1896</v>
      </c>
      <c r="C327" s="40">
        <v>45156</v>
      </c>
      <c r="D327" t="s">
        <v>1905</v>
      </c>
      <c r="E327" t="s">
        <v>1906</v>
      </c>
      <c r="F327" t="s">
        <v>1907</v>
      </c>
      <c r="G327" t="s">
        <v>197</v>
      </c>
      <c r="H327" s="38">
        <v>4419.6000000000004</v>
      </c>
      <c r="I327" t="s">
        <v>1908</v>
      </c>
      <c r="J327" t="s">
        <v>1633</v>
      </c>
      <c r="K327" s="89" t="s">
        <v>838</v>
      </c>
      <c r="L327" s="89" t="s">
        <v>838</v>
      </c>
      <c r="M327" s="89" t="s">
        <v>838</v>
      </c>
      <c r="N327" s="89" t="s">
        <v>838</v>
      </c>
      <c r="O327" s="89" t="s">
        <v>838</v>
      </c>
      <c r="P327" s="89" t="s">
        <v>838</v>
      </c>
    </row>
    <row r="328" spans="1:16" x14ac:dyDescent="0.25">
      <c r="A328">
        <f t="shared" si="5"/>
        <v>327</v>
      </c>
      <c r="B328" s="7" t="s">
        <v>1897</v>
      </c>
      <c r="C328" s="40">
        <v>45156</v>
      </c>
      <c r="D328" t="s">
        <v>1909</v>
      </c>
      <c r="E328" t="s">
        <v>1910</v>
      </c>
      <c r="F328" t="s">
        <v>1911</v>
      </c>
      <c r="G328" t="s">
        <v>197</v>
      </c>
      <c r="H328" s="38">
        <v>3516</v>
      </c>
      <c r="I328" t="s">
        <v>1912</v>
      </c>
      <c r="J328" t="s">
        <v>1923</v>
      </c>
      <c r="K328" s="89" t="s">
        <v>838</v>
      </c>
      <c r="L328" s="89" t="s">
        <v>838</v>
      </c>
      <c r="M328" s="89" t="s">
        <v>838</v>
      </c>
      <c r="N328" s="89" t="s">
        <v>838</v>
      </c>
      <c r="O328" s="89" t="s">
        <v>838</v>
      </c>
      <c r="P328" s="89" t="s">
        <v>838</v>
      </c>
    </row>
    <row r="329" spans="1:16" x14ac:dyDescent="0.25">
      <c r="A329" s="83">
        <f t="shared" si="5"/>
        <v>328</v>
      </c>
      <c r="B329" s="7" t="s">
        <v>1898</v>
      </c>
      <c r="C329" s="40">
        <v>45156</v>
      </c>
      <c r="D329" t="s">
        <v>740</v>
      </c>
      <c r="E329" t="s">
        <v>741</v>
      </c>
      <c r="F329" t="s">
        <v>1902</v>
      </c>
      <c r="G329" t="s">
        <v>192</v>
      </c>
      <c r="H329" s="38">
        <v>2184.3000000000002</v>
      </c>
      <c r="I329" t="s">
        <v>1913</v>
      </c>
      <c r="J329" t="s">
        <v>349</v>
      </c>
      <c r="K329" s="89" t="s">
        <v>838</v>
      </c>
      <c r="L329" s="89" t="s">
        <v>838</v>
      </c>
      <c r="M329" s="89" t="s">
        <v>838</v>
      </c>
      <c r="N329" s="89" t="s">
        <v>838</v>
      </c>
      <c r="O329" s="89" t="s">
        <v>838</v>
      </c>
      <c r="P329" s="89" t="s">
        <v>838</v>
      </c>
    </row>
    <row r="330" spans="1:16" x14ac:dyDescent="0.25">
      <c r="A330" s="83">
        <f t="shared" si="5"/>
        <v>329</v>
      </c>
      <c r="B330" s="7" t="s">
        <v>1899</v>
      </c>
      <c r="C330" s="40">
        <v>45139</v>
      </c>
      <c r="D330" t="s">
        <v>1919</v>
      </c>
      <c r="E330" t="s">
        <v>1920</v>
      </c>
      <c r="F330" t="s">
        <v>1921</v>
      </c>
      <c r="G330" t="s">
        <v>192</v>
      </c>
      <c r="H330" s="38">
        <v>1113</v>
      </c>
      <c r="I330" t="s">
        <v>1922</v>
      </c>
      <c r="J330" t="s">
        <v>219</v>
      </c>
      <c r="K330" s="89" t="s">
        <v>838</v>
      </c>
      <c r="L330" s="89" t="s">
        <v>838</v>
      </c>
      <c r="M330" s="89" t="s">
        <v>838</v>
      </c>
      <c r="N330" s="89" t="s">
        <v>838</v>
      </c>
      <c r="O330" s="89" t="s">
        <v>838</v>
      </c>
      <c r="P330" s="89" t="s">
        <v>838</v>
      </c>
    </row>
    <row r="331" spans="1:16" x14ac:dyDescent="0.25">
      <c r="A331" s="79">
        <f t="shared" si="5"/>
        <v>330</v>
      </c>
      <c r="B331" s="7" t="s">
        <v>1900</v>
      </c>
      <c r="C331" s="40">
        <v>45142</v>
      </c>
      <c r="D331" t="s">
        <v>1924</v>
      </c>
      <c r="E331" t="s">
        <v>1925</v>
      </c>
      <c r="F331" t="s">
        <v>1926</v>
      </c>
      <c r="G331" t="s">
        <v>192</v>
      </c>
      <c r="H331" s="38">
        <v>1294.17</v>
      </c>
      <c r="I331" t="s">
        <v>1927</v>
      </c>
      <c r="J331" t="s">
        <v>219</v>
      </c>
      <c r="K331" s="89" t="s">
        <v>838</v>
      </c>
      <c r="L331" s="89" t="s">
        <v>838</v>
      </c>
      <c r="M331" s="89" t="s">
        <v>838</v>
      </c>
      <c r="N331" s="89" t="s">
        <v>838</v>
      </c>
      <c r="O331" s="89" t="s">
        <v>838</v>
      </c>
      <c r="P331" s="89" t="s">
        <v>838</v>
      </c>
    </row>
    <row r="332" spans="1:16" x14ac:dyDescent="0.25">
      <c r="A332">
        <f t="shared" si="5"/>
        <v>331</v>
      </c>
      <c r="B332" s="7" t="s">
        <v>1901</v>
      </c>
      <c r="C332" s="40">
        <v>45160</v>
      </c>
      <c r="D332" t="s">
        <v>1928</v>
      </c>
      <c r="E332" t="s">
        <v>1929</v>
      </c>
      <c r="F332" t="s">
        <v>1930</v>
      </c>
      <c r="G332" t="s">
        <v>197</v>
      </c>
      <c r="H332" s="38">
        <v>1842</v>
      </c>
      <c r="I332" t="s">
        <v>1931</v>
      </c>
      <c r="J332" t="s">
        <v>1932</v>
      </c>
      <c r="K332" s="89" t="s">
        <v>838</v>
      </c>
      <c r="L332" s="89" t="s">
        <v>838</v>
      </c>
      <c r="M332" s="89" t="s">
        <v>838</v>
      </c>
      <c r="N332" s="89" t="s">
        <v>838</v>
      </c>
      <c r="O332" s="89" t="s">
        <v>838</v>
      </c>
      <c r="P332" s="89" t="s">
        <v>838</v>
      </c>
    </row>
    <row r="333" spans="1:16" x14ac:dyDescent="0.25">
      <c r="A333" s="82">
        <f t="shared" si="5"/>
        <v>332</v>
      </c>
      <c r="B333" s="7" t="s">
        <v>1914</v>
      </c>
      <c r="C333" s="40">
        <v>45152</v>
      </c>
      <c r="D333" t="s">
        <v>1934</v>
      </c>
      <c r="E333" t="s">
        <v>1935</v>
      </c>
      <c r="F333" t="s">
        <v>1936</v>
      </c>
      <c r="G333" t="s">
        <v>197</v>
      </c>
      <c r="H333" s="38">
        <v>2824.6</v>
      </c>
      <c r="I333" t="s">
        <v>1937</v>
      </c>
      <c r="J333" t="s">
        <v>219</v>
      </c>
      <c r="K333" s="89" t="s">
        <v>838</v>
      </c>
      <c r="L333" s="89" t="s">
        <v>838</v>
      </c>
      <c r="M333" s="89" t="s">
        <v>838</v>
      </c>
      <c r="N333" s="89" t="s">
        <v>838</v>
      </c>
      <c r="O333" s="89" t="s">
        <v>838</v>
      </c>
      <c r="P333" s="89" t="s">
        <v>838</v>
      </c>
    </row>
    <row r="334" spans="1:16" x14ac:dyDescent="0.25">
      <c r="A334">
        <f t="shared" si="5"/>
        <v>333</v>
      </c>
      <c r="B334" s="7" t="s">
        <v>1915</v>
      </c>
      <c r="C334" s="40">
        <v>45162</v>
      </c>
      <c r="D334" t="s">
        <v>1938</v>
      </c>
      <c r="E334" t="s">
        <v>1939</v>
      </c>
      <c r="F334" t="s">
        <v>1940</v>
      </c>
      <c r="G334" t="s">
        <v>197</v>
      </c>
      <c r="H334" s="38">
        <v>1160</v>
      </c>
      <c r="I334" t="s">
        <v>1563</v>
      </c>
      <c r="J334" t="s">
        <v>545</v>
      </c>
      <c r="K334" s="89" t="s">
        <v>838</v>
      </c>
      <c r="L334" s="89" t="s">
        <v>838</v>
      </c>
      <c r="M334" s="89" t="s">
        <v>838</v>
      </c>
      <c r="N334" s="89" t="s">
        <v>838</v>
      </c>
      <c r="O334" s="89" t="s">
        <v>838</v>
      </c>
      <c r="P334" s="89" t="s">
        <v>838</v>
      </c>
    </row>
    <row r="335" spans="1:16" x14ac:dyDescent="0.25">
      <c r="A335" s="83">
        <f t="shared" si="5"/>
        <v>334</v>
      </c>
      <c r="B335" s="94" t="s">
        <v>1916</v>
      </c>
      <c r="C335" s="40">
        <v>45152</v>
      </c>
      <c r="D335" t="s">
        <v>1830</v>
      </c>
      <c r="E335" t="s">
        <v>1831</v>
      </c>
      <c r="F335" t="s">
        <v>1953</v>
      </c>
      <c r="G335" t="s">
        <v>192</v>
      </c>
      <c r="H335" s="38">
        <v>2493</v>
      </c>
      <c r="I335" t="s">
        <v>1833</v>
      </c>
      <c r="J335" t="s">
        <v>1633</v>
      </c>
      <c r="K335" s="89" t="s">
        <v>838</v>
      </c>
      <c r="L335" s="89" t="s">
        <v>838</v>
      </c>
      <c r="M335" s="89" t="s">
        <v>838</v>
      </c>
      <c r="N335" s="89" t="s">
        <v>838</v>
      </c>
      <c r="O335" s="89" t="s">
        <v>838</v>
      </c>
      <c r="P335" s="89" t="s">
        <v>838</v>
      </c>
    </row>
    <row r="336" spans="1:16" x14ac:dyDescent="0.25">
      <c r="A336" s="83">
        <f t="shared" si="5"/>
        <v>335</v>
      </c>
      <c r="B336" s="94" t="s">
        <v>1917</v>
      </c>
      <c r="C336" s="40">
        <v>45152</v>
      </c>
      <c r="D336" t="s">
        <v>1954</v>
      </c>
      <c r="E336" t="s">
        <v>1955</v>
      </c>
      <c r="F336" t="s">
        <v>1956</v>
      </c>
      <c r="G336" t="s">
        <v>192</v>
      </c>
      <c r="H336" s="38">
        <v>805.5</v>
      </c>
      <c r="I336" t="s">
        <v>1957</v>
      </c>
      <c r="J336" t="s">
        <v>1973</v>
      </c>
      <c r="K336" s="89" t="s">
        <v>838</v>
      </c>
      <c r="L336" s="89" t="s">
        <v>838</v>
      </c>
      <c r="M336" s="89" t="s">
        <v>838</v>
      </c>
      <c r="N336" s="89" t="s">
        <v>838</v>
      </c>
      <c r="O336" s="89" t="s">
        <v>838</v>
      </c>
      <c r="P336" s="89" t="s">
        <v>838</v>
      </c>
    </row>
    <row r="337" spans="1:16" x14ac:dyDescent="0.25">
      <c r="A337">
        <f t="shared" si="5"/>
        <v>336</v>
      </c>
      <c r="B337" s="94" t="s">
        <v>1918</v>
      </c>
      <c r="C337" s="40">
        <v>45159</v>
      </c>
      <c r="D337" t="s">
        <v>1958</v>
      </c>
      <c r="E337" t="s">
        <v>1959</v>
      </c>
      <c r="F337" t="s">
        <v>1960</v>
      </c>
      <c r="G337" t="s">
        <v>197</v>
      </c>
      <c r="H337" s="38">
        <v>2246.5</v>
      </c>
      <c r="I337" t="s">
        <v>898</v>
      </c>
      <c r="J337" t="s">
        <v>219</v>
      </c>
      <c r="K337" s="89" t="s">
        <v>838</v>
      </c>
      <c r="L337" s="89" t="s">
        <v>838</v>
      </c>
      <c r="M337" s="89" t="s">
        <v>838</v>
      </c>
      <c r="N337" s="89" t="s">
        <v>838</v>
      </c>
      <c r="O337" s="89" t="s">
        <v>838</v>
      </c>
      <c r="P337" s="89" t="s">
        <v>838</v>
      </c>
    </row>
    <row r="338" spans="1:16" x14ac:dyDescent="0.25">
      <c r="A338" s="83">
        <f t="shared" si="5"/>
        <v>337</v>
      </c>
      <c r="B338" s="94" t="s">
        <v>1941</v>
      </c>
      <c r="C338" s="40">
        <v>45164</v>
      </c>
      <c r="D338" t="s">
        <v>1961</v>
      </c>
      <c r="E338" t="s">
        <v>1962</v>
      </c>
      <c r="F338" t="s">
        <v>1963</v>
      </c>
      <c r="G338" t="s">
        <v>192</v>
      </c>
      <c r="H338" s="38">
        <v>1146</v>
      </c>
      <c r="I338" t="s">
        <v>1964</v>
      </c>
      <c r="J338" t="s">
        <v>661</v>
      </c>
      <c r="K338" s="89" t="s">
        <v>838</v>
      </c>
      <c r="L338" s="89" t="s">
        <v>838</v>
      </c>
      <c r="M338" s="89" t="s">
        <v>838</v>
      </c>
      <c r="N338" s="89" t="s">
        <v>838</v>
      </c>
      <c r="O338" s="89" t="s">
        <v>838</v>
      </c>
      <c r="P338" s="89" t="s">
        <v>838</v>
      </c>
    </row>
    <row r="339" spans="1:16" x14ac:dyDescent="0.25">
      <c r="A339">
        <f t="shared" si="5"/>
        <v>338</v>
      </c>
      <c r="B339" s="7" t="s">
        <v>1942</v>
      </c>
      <c r="C339" s="40">
        <v>45164</v>
      </c>
      <c r="D339" t="s">
        <v>1965</v>
      </c>
      <c r="E339" t="s">
        <v>1966</v>
      </c>
      <c r="F339" t="s">
        <v>1967</v>
      </c>
      <c r="G339" t="s">
        <v>197</v>
      </c>
      <c r="H339" s="38">
        <v>1944</v>
      </c>
      <c r="I339" t="s">
        <v>1968</v>
      </c>
      <c r="J339" t="s">
        <v>582</v>
      </c>
      <c r="K339" s="89" t="s">
        <v>838</v>
      </c>
      <c r="L339" s="89" t="s">
        <v>838</v>
      </c>
      <c r="M339" s="89" t="s">
        <v>838</v>
      </c>
      <c r="N339" s="89" t="s">
        <v>838</v>
      </c>
      <c r="O339" s="89" t="s">
        <v>838</v>
      </c>
      <c r="P339" s="89" t="s">
        <v>838</v>
      </c>
    </row>
    <row r="340" spans="1:16" x14ac:dyDescent="0.25">
      <c r="A340">
        <f t="shared" si="5"/>
        <v>339</v>
      </c>
      <c r="B340" s="7" t="s">
        <v>1943</v>
      </c>
      <c r="C340" s="40">
        <v>45159</v>
      </c>
      <c r="D340" t="s">
        <v>1969</v>
      </c>
      <c r="E340" t="s">
        <v>1970</v>
      </c>
      <c r="F340" t="s">
        <v>1971</v>
      </c>
      <c r="G340" t="s">
        <v>197</v>
      </c>
      <c r="H340" s="38">
        <v>4566.55</v>
      </c>
      <c r="I340" t="s">
        <v>1972</v>
      </c>
      <c r="J340" t="s">
        <v>1996</v>
      </c>
      <c r="K340" s="89" t="s">
        <v>838</v>
      </c>
      <c r="L340" s="89" t="s">
        <v>838</v>
      </c>
      <c r="M340" s="89" t="s">
        <v>838</v>
      </c>
      <c r="N340" s="89" t="s">
        <v>838</v>
      </c>
      <c r="O340" s="89" t="s">
        <v>838</v>
      </c>
      <c r="P340" s="89" t="s">
        <v>838</v>
      </c>
    </row>
    <row r="341" spans="1:16" x14ac:dyDescent="0.25">
      <c r="A341" s="83">
        <f t="shared" si="5"/>
        <v>340</v>
      </c>
      <c r="B341" s="98" t="s">
        <v>1944</v>
      </c>
      <c r="C341" s="40">
        <v>45161</v>
      </c>
      <c r="D341" t="s">
        <v>1333</v>
      </c>
      <c r="F341" t="s">
        <v>1974</v>
      </c>
      <c r="G341" t="s">
        <v>192</v>
      </c>
      <c r="H341" s="38">
        <v>5369.4</v>
      </c>
      <c r="I341" t="s">
        <v>1975</v>
      </c>
      <c r="J341" t="s">
        <v>178</v>
      </c>
      <c r="K341" s="89" t="s">
        <v>838</v>
      </c>
      <c r="L341" s="89" t="s">
        <v>838</v>
      </c>
      <c r="M341" s="89" t="s">
        <v>838</v>
      </c>
      <c r="N341" s="89" t="s">
        <v>838</v>
      </c>
      <c r="O341" s="89" t="s">
        <v>838</v>
      </c>
      <c r="P341" s="89" t="s">
        <v>838</v>
      </c>
    </row>
    <row r="342" spans="1:16" x14ac:dyDescent="0.25">
      <c r="A342" s="81">
        <f t="shared" si="5"/>
        <v>341</v>
      </c>
      <c r="B342" s="7" t="s">
        <v>1945</v>
      </c>
      <c r="C342" s="40">
        <v>45167</v>
      </c>
      <c r="D342" t="s">
        <v>533</v>
      </c>
      <c r="E342" t="s">
        <v>534</v>
      </c>
      <c r="F342" t="s">
        <v>1976</v>
      </c>
      <c r="G342" t="s">
        <v>192</v>
      </c>
      <c r="H342" s="38">
        <v>2628.56</v>
      </c>
      <c r="I342" t="s">
        <v>1977</v>
      </c>
      <c r="J342" t="s">
        <v>1982</v>
      </c>
      <c r="K342" s="89" t="s">
        <v>838</v>
      </c>
      <c r="L342" s="89" t="s">
        <v>838</v>
      </c>
      <c r="M342" s="89" t="s">
        <v>838</v>
      </c>
      <c r="N342" s="89" t="s">
        <v>838</v>
      </c>
      <c r="O342" s="89" t="s">
        <v>838</v>
      </c>
      <c r="P342" s="89" t="s">
        <v>838</v>
      </c>
    </row>
    <row r="343" spans="1:16" x14ac:dyDescent="0.25">
      <c r="A343" s="83">
        <f t="shared" si="5"/>
        <v>342</v>
      </c>
      <c r="B343" s="7" t="s">
        <v>1946</v>
      </c>
      <c r="C343" s="40">
        <v>45168</v>
      </c>
      <c r="D343" t="s">
        <v>1978</v>
      </c>
      <c r="E343" t="s">
        <v>1979</v>
      </c>
      <c r="F343" t="s">
        <v>1980</v>
      </c>
      <c r="G343" t="s">
        <v>192</v>
      </c>
      <c r="H343" s="38">
        <v>910</v>
      </c>
      <c r="I343" t="s">
        <v>1981</v>
      </c>
      <c r="J343" t="s">
        <v>1144</v>
      </c>
      <c r="K343" s="89" t="s">
        <v>838</v>
      </c>
      <c r="L343" s="89" t="s">
        <v>838</v>
      </c>
      <c r="M343" s="89" t="s">
        <v>838</v>
      </c>
      <c r="N343" s="89" t="s">
        <v>838</v>
      </c>
      <c r="O343" s="89" t="s">
        <v>838</v>
      </c>
      <c r="P343" s="89" t="s">
        <v>838</v>
      </c>
    </row>
    <row r="344" spans="1:16" x14ac:dyDescent="0.25">
      <c r="A344" s="83">
        <f t="shared" si="5"/>
        <v>343</v>
      </c>
      <c r="B344" s="7" t="s">
        <v>1947</v>
      </c>
      <c r="C344" s="40">
        <v>45161</v>
      </c>
      <c r="D344" t="s">
        <v>1992</v>
      </c>
      <c r="E344" t="s">
        <v>1993</v>
      </c>
      <c r="F344" t="s">
        <v>1994</v>
      </c>
      <c r="G344" t="s">
        <v>192</v>
      </c>
      <c r="H344" s="38">
        <v>2391.65</v>
      </c>
      <c r="I344" t="s">
        <v>1995</v>
      </c>
      <c r="J344" t="s">
        <v>315</v>
      </c>
      <c r="K344" s="89" t="s">
        <v>838</v>
      </c>
      <c r="L344" s="89" t="s">
        <v>838</v>
      </c>
      <c r="M344" s="89" t="s">
        <v>838</v>
      </c>
      <c r="N344" s="89" t="s">
        <v>838</v>
      </c>
      <c r="O344" s="89" t="s">
        <v>838</v>
      </c>
      <c r="P344" s="89" t="s">
        <v>838</v>
      </c>
    </row>
    <row r="345" spans="1:16" x14ac:dyDescent="0.25">
      <c r="A345" s="83">
        <f t="shared" si="5"/>
        <v>344</v>
      </c>
      <c r="B345" s="7" t="s">
        <v>1948</v>
      </c>
      <c r="C345" s="40">
        <v>45166</v>
      </c>
      <c r="D345" t="s">
        <v>1997</v>
      </c>
      <c r="E345" t="s">
        <v>1998</v>
      </c>
      <c r="F345" t="s">
        <v>1999</v>
      </c>
      <c r="G345" t="s">
        <v>192</v>
      </c>
      <c r="H345" s="38">
        <v>2703</v>
      </c>
      <c r="I345" t="s">
        <v>2000</v>
      </c>
      <c r="J345" t="s">
        <v>219</v>
      </c>
      <c r="K345" s="89" t="s">
        <v>838</v>
      </c>
      <c r="L345" s="89" t="s">
        <v>838</v>
      </c>
      <c r="M345" s="89" t="s">
        <v>838</v>
      </c>
      <c r="N345" s="89" t="s">
        <v>838</v>
      </c>
      <c r="O345" s="89" t="s">
        <v>838</v>
      </c>
      <c r="P345" s="89" t="s">
        <v>838</v>
      </c>
    </row>
    <row r="346" spans="1:16" x14ac:dyDescent="0.25">
      <c r="A346">
        <f t="shared" si="5"/>
        <v>345</v>
      </c>
      <c r="B346" s="7" t="s">
        <v>1949</v>
      </c>
      <c r="C346" s="40">
        <v>45169</v>
      </c>
      <c r="D346" t="s">
        <v>2001</v>
      </c>
      <c r="E346" t="s">
        <v>2002</v>
      </c>
      <c r="F346" t="s">
        <v>2003</v>
      </c>
      <c r="G346" t="s">
        <v>197</v>
      </c>
      <c r="H346" s="38">
        <v>1755</v>
      </c>
      <c r="I346" t="s">
        <v>2004</v>
      </c>
      <c r="J346" t="s">
        <v>1554</v>
      </c>
      <c r="K346" t="s">
        <v>838</v>
      </c>
      <c r="L346" s="89" t="s">
        <v>838</v>
      </c>
      <c r="M346" s="89" t="s">
        <v>838</v>
      </c>
      <c r="N346" s="89" t="s">
        <v>838</v>
      </c>
      <c r="O346" s="89" t="s">
        <v>838</v>
      </c>
      <c r="P346" s="89" t="s">
        <v>838</v>
      </c>
    </row>
    <row r="347" spans="1:16" x14ac:dyDescent="0.25">
      <c r="A347">
        <f t="shared" si="5"/>
        <v>346</v>
      </c>
      <c r="B347" s="7" t="s">
        <v>1950</v>
      </c>
      <c r="C347" s="40">
        <v>45171</v>
      </c>
      <c r="D347" t="s">
        <v>2015</v>
      </c>
      <c r="E347" t="s">
        <v>2016</v>
      </c>
      <c r="F347" t="s">
        <v>2017</v>
      </c>
      <c r="G347" t="s">
        <v>197</v>
      </c>
      <c r="H347" s="38">
        <v>1774</v>
      </c>
      <c r="I347" t="s">
        <v>2018</v>
      </c>
      <c r="J347" t="s">
        <v>463</v>
      </c>
      <c r="K347" s="89" t="s">
        <v>838</v>
      </c>
      <c r="L347" t="s">
        <v>2767</v>
      </c>
      <c r="M347" s="89" t="s">
        <v>838</v>
      </c>
      <c r="N347" s="89" t="s">
        <v>838</v>
      </c>
      <c r="O347" s="89" t="s">
        <v>838</v>
      </c>
      <c r="P347" s="89" t="s">
        <v>838</v>
      </c>
    </row>
    <row r="348" spans="1:16" x14ac:dyDescent="0.25">
      <c r="A348">
        <f t="shared" si="5"/>
        <v>347</v>
      </c>
      <c r="B348" s="7" t="s">
        <v>1951</v>
      </c>
      <c r="C348" s="40">
        <v>45170</v>
      </c>
      <c r="D348" t="s">
        <v>2019</v>
      </c>
      <c r="E348" t="s">
        <v>2020</v>
      </c>
      <c r="F348" t="s">
        <v>2021</v>
      </c>
      <c r="G348" t="s">
        <v>197</v>
      </c>
      <c r="H348" s="38">
        <v>1440</v>
      </c>
      <c r="I348" t="s">
        <v>2022</v>
      </c>
      <c r="J348" t="s">
        <v>219</v>
      </c>
      <c r="K348" s="89" t="s">
        <v>838</v>
      </c>
      <c r="L348" t="s">
        <v>2767</v>
      </c>
      <c r="M348" s="89" t="s">
        <v>838</v>
      </c>
      <c r="N348" s="89" t="s">
        <v>838</v>
      </c>
      <c r="O348" s="89" t="s">
        <v>838</v>
      </c>
      <c r="P348" s="89" t="s">
        <v>838</v>
      </c>
    </row>
    <row r="349" spans="1:16" x14ac:dyDescent="0.25">
      <c r="A349">
        <f t="shared" si="5"/>
        <v>348</v>
      </c>
      <c r="B349" s="7" t="s">
        <v>1952</v>
      </c>
      <c r="C349" s="40">
        <v>45173</v>
      </c>
      <c r="D349" t="s">
        <v>2023</v>
      </c>
      <c r="E349" t="s">
        <v>2024</v>
      </c>
      <c r="F349" t="s">
        <v>2025</v>
      </c>
      <c r="G349" t="s">
        <v>197</v>
      </c>
      <c r="H349" s="38">
        <v>2784</v>
      </c>
      <c r="I349" t="s">
        <v>2026</v>
      </c>
      <c r="J349" t="s">
        <v>2031</v>
      </c>
      <c r="K349" s="89" t="s">
        <v>838</v>
      </c>
      <c r="L349" t="s">
        <v>2767</v>
      </c>
      <c r="M349" s="89" t="s">
        <v>838</v>
      </c>
      <c r="N349" s="89" t="s">
        <v>838</v>
      </c>
      <c r="O349" s="89" t="s">
        <v>838</v>
      </c>
      <c r="P349" s="89" t="s">
        <v>838</v>
      </c>
    </row>
    <row r="350" spans="1:16" x14ac:dyDescent="0.25">
      <c r="A350">
        <f t="shared" si="5"/>
        <v>349</v>
      </c>
      <c r="B350" s="7" t="s">
        <v>1983</v>
      </c>
      <c r="C350" s="40">
        <v>45161</v>
      </c>
      <c r="D350" t="s">
        <v>2027</v>
      </c>
      <c r="E350" t="s">
        <v>2028</v>
      </c>
      <c r="F350" t="s">
        <v>2029</v>
      </c>
      <c r="G350" t="s">
        <v>197</v>
      </c>
      <c r="H350" s="38">
        <v>1497.6</v>
      </c>
      <c r="I350" t="s">
        <v>2030</v>
      </c>
      <c r="J350" t="s">
        <v>348</v>
      </c>
      <c r="K350" s="89" t="s">
        <v>838</v>
      </c>
      <c r="L350" t="s">
        <v>2767</v>
      </c>
      <c r="M350" s="89" t="s">
        <v>838</v>
      </c>
      <c r="N350" s="89" t="s">
        <v>838</v>
      </c>
      <c r="O350" s="89" t="s">
        <v>838</v>
      </c>
      <c r="P350" s="89" t="s">
        <v>838</v>
      </c>
    </row>
    <row r="351" spans="1:16" x14ac:dyDescent="0.25">
      <c r="A351" s="83">
        <f t="shared" si="5"/>
        <v>350</v>
      </c>
      <c r="B351" s="7" t="s">
        <v>1984</v>
      </c>
      <c r="C351" s="40">
        <v>45163</v>
      </c>
      <c r="D351" t="s">
        <v>1830</v>
      </c>
      <c r="E351" t="s">
        <v>1831</v>
      </c>
      <c r="F351" t="s">
        <v>1832</v>
      </c>
      <c r="G351" t="s">
        <v>192</v>
      </c>
      <c r="H351" s="38">
        <v>3813.6</v>
      </c>
      <c r="I351" t="s">
        <v>2032</v>
      </c>
      <c r="J351" t="s">
        <v>2033</v>
      </c>
      <c r="K351" s="89" t="s">
        <v>838</v>
      </c>
      <c r="L351" t="s">
        <v>2767</v>
      </c>
      <c r="M351" s="89" t="s">
        <v>838</v>
      </c>
      <c r="N351" s="89" t="s">
        <v>838</v>
      </c>
      <c r="O351" s="89" t="s">
        <v>838</v>
      </c>
      <c r="P351" s="89" t="s">
        <v>838</v>
      </c>
    </row>
    <row r="352" spans="1:16" x14ac:dyDescent="0.25">
      <c r="A352" s="83">
        <f t="shared" si="5"/>
        <v>351</v>
      </c>
      <c r="B352" s="7" t="s">
        <v>1985</v>
      </c>
      <c r="C352" s="40">
        <v>45175</v>
      </c>
      <c r="D352" t="s">
        <v>687</v>
      </c>
      <c r="E352" t="s">
        <v>688</v>
      </c>
      <c r="F352" t="s">
        <v>2036</v>
      </c>
      <c r="G352" t="s">
        <v>192</v>
      </c>
      <c r="H352" s="38">
        <v>1171</v>
      </c>
      <c r="I352" t="s">
        <v>2037</v>
      </c>
      <c r="J352" t="s">
        <v>219</v>
      </c>
      <c r="K352" s="89" t="s">
        <v>838</v>
      </c>
      <c r="L352" t="s">
        <v>2767</v>
      </c>
      <c r="M352" s="89" t="s">
        <v>838</v>
      </c>
      <c r="N352" s="89" t="s">
        <v>838</v>
      </c>
      <c r="O352" s="89" t="s">
        <v>838</v>
      </c>
      <c r="P352" s="89" t="s">
        <v>838</v>
      </c>
    </row>
    <row r="353" spans="1:16" x14ac:dyDescent="0.25">
      <c r="A353" s="83">
        <f t="shared" si="5"/>
        <v>352</v>
      </c>
      <c r="B353" s="87" t="s">
        <v>1986</v>
      </c>
      <c r="C353" s="40">
        <v>45176</v>
      </c>
      <c r="D353" t="s">
        <v>318</v>
      </c>
      <c r="E353" t="s">
        <v>317</v>
      </c>
      <c r="F353" t="s">
        <v>918</v>
      </c>
      <c r="G353" t="s">
        <v>192</v>
      </c>
      <c r="H353" s="38">
        <v>4384.25</v>
      </c>
      <c r="I353" t="s">
        <v>2038</v>
      </c>
      <c r="J353" t="s">
        <v>2039</v>
      </c>
      <c r="K353" s="89" t="s">
        <v>838</v>
      </c>
      <c r="L353" t="s">
        <v>2767</v>
      </c>
      <c r="M353" s="89" t="s">
        <v>838</v>
      </c>
      <c r="N353" s="89" t="s">
        <v>838</v>
      </c>
      <c r="O353" s="89" t="s">
        <v>838</v>
      </c>
      <c r="P353" s="89" t="s">
        <v>838</v>
      </c>
    </row>
    <row r="354" spans="1:16" x14ac:dyDescent="0.25">
      <c r="A354" s="79">
        <f t="shared" si="5"/>
        <v>353</v>
      </c>
      <c r="B354" s="7" t="s">
        <v>1987</v>
      </c>
      <c r="C354" s="40">
        <v>45177</v>
      </c>
      <c r="D354" t="s">
        <v>2040</v>
      </c>
      <c r="E354" t="s">
        <v>2045</v>
      </c>
      <c r="F354" t="s">
        <v>2041</v>
      </c>
      <c r="G354" t="s">
        <v>197</v>
      </c>
      <c r="H354" s="38">
        <v>1234.24</v>
      </c>
      <c r="I354" t="s">
        <v>2042</v>
      </c>
      <c r="J354" t="s">
        <v>2043</v>
      </c>
      <c r="K354" s="89" t="s">
        <v>838</v>
      </c>
      <c r="L354" t="s">
        <v>2767</v>
      </c>
      <c r="M354" s="89" t="s">
        <v>838</v>
      </c>
      <c r="N354" s="89" t="s">
        <v>838</v>
      </c>
      <c r="O354" s="89" t="s">
        <v>838</v>
      </c>
      <c r="P354" s="89" t="s">
        <v>838</v>
      </c>
    </row>
    <row r="355" spans="1:16" x14ac:dyDescent="0.25">
      <c r="A355">
        <f t="shared" si="5"/>
        <v>354</v>
      </c>
      <c r="B355" s="7" t="s">
        <v>1988</v>
      </c>
      <c r="C355" s="40">
        <v>45180</v>
      </c>
      <c r="D355" t="s">
        <v>2044</v>
      </c>
      <c r="E355" t="s">
        <v>2046</v>
      </c>
      <c r="F355" t="s">
        <v>2047</v>
      </c>
      <c r="G355" t="s">
        <v>197</v>
      </c>
      <c r="H355" s="38">
        <v>960</v>
      </c>
      <c r="I355" t="s">
        <v>526</v>
      </c>
      <c r="J355" t="s">
        <v>733</v>
      </c>
      <c r="K355" s="89" t="s">
        <v>838</v>
      </c>
      <c r="L355" t="s">
        <v>2767</v>
      </c>
      <c r="M355" s="89" t="s">
        <v>838</v>
      </c>
      <c r="N355" s="89" t="s">
        <v>838</v>
      </c>
      <c r="O355" s="89" t="s">
        <v>838</v>
      </c>
      <c r="P355" s="89" t="s">
        <v>838</v>
      </c>
    </row>
    <row r="356" spans="1:16" x14ac:dyDescent="0.25">
      <c r="A356" s="83">
        <f t="shared" si="5"/>
        <v>355</v>
      </c>
      <c r="B356" s="7" t="s">
        <v>1989</v>
      </c>
      <c r="C356" s="40">
        <v>45180</v>
      </c>
      <c r="D356" t="s">
        <v>674</v>
      </c>
      <c r="E356" t="s">
        <v>675</v>
      </c>
      <c r="F356" t="s">
        <v>2049</v>
      </c>
      <c r="G356" t="s">
        <v>192</v>
      </c>
      <c r="H356" s="38">
        <v>960</v>
      </c>
      <c r="I356" t="s">
        <v>526</v>
      </c>
      <c r="J356" t="s">
        <v>733</v>
      </c>
      <c r="K356" s="89" t="s">
        <v>838</v>
      </c>
      <c r="L356" t="s">
        <v>2767</v>
      </c>
      <c r="M356" s="89" t="s">
        <v>838</v>
      </c>
      <c r="N356" s="89" t="s">
        <v>838</v>
      </c>
      <c r="O356" s="89" t="s">
        <v>838</v>
      </c>
      <c r="P356" s="89" t="s">
        <v>838</v>
      </c>
    </row>
    <row r="357" spans="1:16" x14ac:dyDescent="0.25">
      <c r="A357">
        <f t="shared" si="5"/>
        <v>356</v>
      </c>
      <c r="B357" s="7" t="s">
        <v>1990</v>
      </c>
      <c r="C357" s="40">
        <v>45180</v>
      </c>
      <c r="D357" t="s">
        <v>2578</v>
      </c>
      <c r="E357" t="s">
        <v>2051</v>
      </c>
      <c r="F357" t="s">
        <v>2052</v>
      </c>
      <c r="G357" t="s">
        <v>197</v>
      </c>
      <c r="H357" s="38">
        <v>1037</v>
      </c>
      <c r="I357" t="s">
        <v>2053</v>
      </c>
      <c r="J357" t="s">
        <v>348</v>
      </c>
      <c r="K357" s="89" t="s">
        <v>838</v>
      </c>
      <c r="L357" t="s">
        <v>2767</v>
      </c>
      <c r="M357" s="89" t="s">
        <v>838</v>
      </c>
      <c r="N357" s="89" t="s">
        <v>838</v>
      </c>
      <c r="O357" s="89" t="s">
        <v>838</v>
      </c>
      <c r="P357" s="89" t="s">
        <v>838</v>
      </c>
    </row>
    <row r="358" spans="1:16" x14ac:dyDescent="0.25">
      <c r="A358">
        <f t="shared" si="5"/>
        <v>357</v>
      </c>
      <c r="B358" s="7" t="s">
        <v>1991</v>
      </c>
      <c r="C358" s="40">
        <v>45170</v>
      </c>
      <c r="D358" t="s">
        <v>2054</v>
      </c>
      <c r="E358" t="s">
        <v>2055</v>
      </c>
      <c r="F358" t="s">
        <v>2056</v>
      </c>
      <c r="G358" t="s">
        <v>197</v>
      </c>
      <c r="H358" s="38">
        <v>895</v>
      </c>
      <c r="I358" t="s">
        <v>371</v>
      </c>
      <c r="J358" t="s">
        <v>2057</v>
      </c>
      <c r="K358" s="89" t="s">
        <v>838</v>
      </c>
      <c r="L358" t="s">
        <v>2767</v>
      </c>
      <c r="M358" s="89" t="s">
        <v>838</v>
      </c>
      <c r="N358" s="89" t="s">
        <v>838</v>
      </c>
      <c r="O358" s="89" t="s">
        <v>838</v>
      </c>
      <c r="P358" s="89" t="s">
        <v>838</v>
      </c>
    </row>
    <row r="359" spans="1:16" x14ac:dyDescent="0.25">
      <c r="A359" s="83">
        <f t="shared" si="5"/>
        <v>358</v>
      </c>
      <c r="B359" s="7" t="s">
        <v>2005</v>
      </c>
      <c r="C359" s="40">
        <v>45171</v>
      </c>
      <c r="D359" t="s">
        <v>583</v>
      </c>
      <c r="E359" t="s">
        <v>584</v>
      </c>
      <c r="F359" t="s">
        <v>2058</v>
      </c>
      <c r="G359" t="s">
        <v>192</v>
      </c>
      <c r="H359" s="38">
        <v>1524</v>
      </c>
      <c r="I359" t="s">
        <v>437</v>
      </c>
      <c r="J359" t="s">
        <v>1633</v>
      </c>
      <c r="K359" s="89" t="s">
        <v>838</v>
      </c>
      <c r="L359" t="s">
        <v>2767</v>
      </c>
      <c r="M359" s="89" t="s">
        <v>838</v>
      </c>
      <c r="N359" s="89" t="s">
        <v>838</v>
      </c>
      <c r="O359" s="89" t="s">
        <v>838</v>
      </c>
      <c r="P359" s="89" t="s">
        <v>838</v>
      </c>
    </row>
    <row r="360" spans="1:16" x14ac:dyDescent="0.25">
      <c r="A360" s="83">
        <f t="shared" si="5"/>
        <v>359</v>
      </c>
      <c r="B360" s="7" t="s">
        <v>2006</v>
      </c>
      <c r="C360" s="40">
        <v>45173</v>
      </c>
      <c r="D360" t="s">
        <v>2059</v>
      </c>
      <c r="E360" t="s">
        <v>2060</v>
      </c>
      <c r="F360" t="s">
        <v>2061</v>
      </c>
      <c r="G360" t="s">
        <v>192</v>
      </c>
      <c r="H360" s="38">
        <v>652.32000000000005</v>
      </c>
      <c r="I360" t="s">
        <v>2062</v>
      </c>
      <c r="J360" t="s">
        <v>2063</v>
      </c>
      <c r="K360" s="89" t="s">
        <v>838</v>
      </c>
      <c r="L360" t="s">
        <v>2767</v>
      </c>
      <c r="M360" s="89" t="s">
        <v>838</v>
      </c>
      <c r="N360" s="89" t="s">
        <v>838</v>
      </c>
      <c r="O360" s="89" t="s">
        <v>838</v>
      </c>
      <c r="P360" s="89" t="s">
        <v>838</v>
      </c>
    </row>
    <row r="361" spans="1:16" x14ac:dyDescent="0.25">
      <c r="A361">
        <f t="shared" si="5"/>
        <v>360</v>
      </c>
      <c r="B361" s="7" t="s">
        <v>2007</v>
      </c>
      <c r="C361" s="40">
        <v>45177</v>
      </c>
      <c r="D361" t="s">
        <v>2064</v>
      </c>
      <c r="E361" t="s">
        <v>2065</v>
      </c>
      <c r="F361" t="s">
        <v>2066</v>
      </c>
      <c r="G361" t="s">
        <v>197</v>
      </c>
      <c r="H361" s="38">
        <v>974</v>
      </c>
      <c r="I361" t="s">
        <v>2067</v>
      </c>
      <c r="J361" t="s">
        <v>349</v>
      </c>
      <c r="K361" s="89" t="s">
        <v>838</v>
      </c>
      <c r="L361" t="s">
        <v>2767</v>
      </c>
      <c r="M361" s="89" t="s">
        <v>838</v>
      </c>
      <c r="N361" s="89" t="s">
        <v>838</v>
      </c>
      <c r="O361" s="89" t="s">
        <v>838</v>
      </c>
      <c r="P361" s="89" t="s">
        <v>838</v>
      </c>
    </row>
    <row r="362" spans="1:16" x14ac:dyDescent="0.25">
      <c r="A362">
        <f t="shared" si="5"/>
        <v>361</v>
      </c>
      <c r="B362" s="7" t="s">
        <v>2008</v>
      </c>
      <c r="C362" s="40">
        <v>45181</v>
      </c>
      <c r="D362" t="s">
        <v>2068</v>
      </c>
      <c r="E362" t="s">
        <v>2069</v>
      </c>
      <c r="F362" t="s">
        <v>2070</v>
      </c>
      <c r="G362" t="s">
        <v>197</v>
      </c>
      <c r="H362" s="38">
        <v>1300</v>
      </c>
      <c r="I362" t="s">
        <v>2071</v>
      </c>
      <c r="J362" t="s">
        <v>219</v>
      </c>
      <c r="K362" s="89" t="s">
        <v>838</v>
      </c>
      <c r="L362" t="s">
        <v>2767</v>
      </c>
      <c r="M362" s="89" t="s">
        <v>838</v>
      </c>
      <c r="N362" s="89" t="s">
        <v>838</v>
      </c>
      <c r="O362" s="89" t="s">
        <v>838</v>
      </c>
      <c r="P362" s="89" t="s">
        <v>838</v>
      </c>
    </row>
    <row r="363" spans="1:16" x14ac:dyDescent="0.25">
      <c r="A363" s="83">
        <f t="shared" si="5"/>
        <v>362</v>
      </c>
      <c r="B363" s="7" t="s">
        <v>2009</v>
      </c>
      <c r="C363" s="40">
        <v>45170</v>
      </c>
      <c r="D363" t="s">
        <v>2072</v>
      </c>
      <c r="E363" t="s">
        <v>2073</v>
      </c>
      <c r="F363" t="s">
        <v>2074</v>
      </c>
      <c r="G363" t="s">
        <v>192</v>
      </c>
      <c r="H363" s="38">
        <v>2260.9899999999998</v>
      </c>
      <c r="I363" t="s">
        <v>2075</v>
      </c>
      <c r="J363" t="s">
        <v>219</v>
      </c>
      <c r="K363" s="89" t="s">
        <v>838</v>
      </c>
      <c r="L363" t="s">
        <v>2767</v>
      </c>
      <c r="M363" s="89" t="s">
        <v>838</v>
      </c>
      <c r="N363" s="89" t="s">
        <v>838</v>
      </c>
      <c r="O363" s="89" t="s">
        <v>838</v>
      </c>
      <c r="P363" s="89" t="s">
        <v>838</v>
      </c>
    </row>
    <row r="364" spans="1:16" x14ac:dyDescent="0.25">
      <c r="A364">
        <f t="shared" si="5"/>
        <v>363</v>
      </c>
      <c r="B364" s="7" t="s">
        <v>2010</v>
      </c>
      <c r="C364" s="40">
        <v>45170</v>
      </c>
      <c r="D364" t="s">
        <v>2076</v>
      </c>
      <c r="E364" t="s">
        <v>2077</v>
      </c>
      <c r="F364" t="s">
        <v>2078</v>
      </c>
      <c r="G364" t="s">
        <v>197</v>
      </c>
      <c r="H364" s="38">
        <v>2072</v>
      </c>
      <c r="I364" t="s">
        <v>2079</v>
      </c>
      <c r="J364" t="s">
        <v>348</v>
      </c>
      <c r="K364" s="89" t="s">
        <v>838</v>
      </c>
      <c r="L364" t="s">
        <v>2767</v>
      </c>
      <c r="M364" s="89" t="s">
        <v>838</v>
      </c>
      <c r="N364" s="89" t="s">
        <v>838</v>
      </c>
      <c r="O364" s="89" t="s">
        <v>838</v>
      </c>
      <c r="P364" s="89" t="s">
        <v>838</v>
      </c>
    </row>
    <row r="365" spans="1:16" x14ac:dyDescent="0.25">
      <c r="A365">
        <f t="shared" si="5"/>
        <v>364</v>
      </c>
      <c r="B365" s="7" t="s">
        <v>2011</v>
      </c>
      <c r="C365" s="40">
        <v>45182</v>
      </c>
      <c r="D365" t="s">
        <v>2080</v>
      </c>
      <c r="E365" t="s">
        <v>2081</v>
      </c>
      <c r="F365" t="s">
        <v>2082</v>
      </c>
      <c r="G365" t="s">
        <v>193</v>
      </c>
      <c r="H365" s="38">
        <v>5689</v>
      </c>
      <c r="I365" t="s">
        <v>2083</v>
      </c>
      <c r="J365" t="s">
        <v>219</v>
      </c>
      <c r="K365" s="89" t="s">
        <v>838</v>
      </c>
      <c r="L365" t="s">
        <v>2767</v>
      </c>
      <c r="M365" s="89" t="s">
        <v>838</v>
      </c>
      <c r="N365" s="89" t="s">
        <v>838</v>
      </c>
      <c r="O365" s="89" t="s">
        <v>838</v>
      </c>
      <c r="P365" s="89" t="s">
        <v>838</v>
      </c>
    </row>
    <row r="366" spans="1:16" x14ac:dyDescent="0.25">
      <c r="A366">
        <f t="shared" si="5"/>
        <v>365</v>
      </c>
      <c r="B366" s="98" t="s">
        <v>2012</v>
      </c>
      <c r="C366" s="40">
        <v>45184</v>
      </c>
      <c r="D366" t="s">
        <v>2101</v>
      </c>
      <c r="E366" t="s">
        <v>2102</v>
      </c>
      <c r="F366" t="s">
        <v>2103</v>
      </c>
      <c r="G366" t="s">
        <v>197</v>
      </c>
      <c r="H366" s="38">
        <v>1169</v>
      </c>
      <c r="I366" t="s">
        <v>2104</v>
      </c>
      <c r="J366" t="s">
        <v>348</v>
      </c>
      <c r="K366" s="89" t="s">
        <v>838</v>
      </c>
      <c r="L366" t="s">
        <v>2767</v>
      </c>
      <c r="M366" s="89" t="s">
        <v>838</v>
      </c>
      <c r="N366" s="89" t="s">
        <v>838</v>
      </c>
      <c r="O366" s="89" t="s">
        <v>838</v>
      </c>
      <c r="P366" s="89" t="s">
        <v>838</v>
      </c>
    </row>
    <row r="367" spans="1:16" x14ac:dyDescent="0.25">
      <c r="A367" s="82">
        <f t="shared" si="5"/>
        <v>366</v>
      </c>
      <c r="B367" s="7" t="s">
        <v>2013</v>
      </c>
      <c r="C367" s="40">
        <v>45178</v>
      </c>
      <c r="D367" t="s">
        <v>2105</v>
      </c>
      <c r="E367" t="s">
        <v>2106</v>
      </c>
      <c r="F367" t="s">
        <v>2107</v>
      </c>
      <c r="G367" t="s">
        <v>197</v>
      </c>
      <c r="H367" s="38">
        <v>17350.2</v>
      </c>
      <c r="I367" t="s">
        <v>2108</v>
      </c>
      <c r="J367" t="s">
        <v>2109</v>
      </c>
      <c r="K367" s="89" t="s">
        <v>838</v>
      </c>
      <c r="L367" t="s">
        <v>2767</v>
      </c>
      <c r="M367" s="89" t="s">
        <v>838</v>
      </c>
      <c r="N367" s="89" t="s">
        <v>838</v>
      </c>
      <c r="O367" s="89" t="s">
        <v>838</v>
      </c>
      <c r="P367" s="89" t="s">
        <v>838</v>
      </c>
    </row>
    <row r="368" spans="1:16" x14ac:dyDescent="0.25">
      <c r="A368">
        <f t="shared" si="5"/>
        <v>367</v>
      </c>
      <c r="B368" s="7" t="s">
        <v>2014</v>
      </c>
      <c r="C368" s="40">
        <v>45189</v>
      </c>
      <c r="D368" t="s">
        <v>2110</v>
      </c>
      <c r="E368" t="s">
        <v>2111</v>
      </c>
      <c r="F368" t="s">
        <v>2112</v>
      </c>
      <c r="G368" t="s">
        <v>197</v>
      </c>
      <c r="H368" s="38">
        <v>975</v>
      </c>
      <c r="I368" t="s">
        <v>2113</v>
      </c>
      <c r="J368" t="s">
        <v>545</v>
      </c>
      <c r="K368" s="89" t="s">
        <v>838</v>
      </c>
      <c r="L368" t="s">
        <v>2767</v>
      </c>
      <c r="M368" s="89" t="s">
        <v>838</v>
      </c>
      <c r="N368" s="89" t="s">
        <v>838</v>
      </c>
      <c r="O368" s="89" t="s">
        <v>838</v>
      </c>
      <c r="P368" s="89" t="s">
        <v>838</v>
      </c>
    </row>
    <row r="369" spans="1:16" x14ac:dyDescent="0.25">
      <c r="A369">
        <f t="shared" si="5"/>
        <v>368</v>
      </c>
      <c r="B369" s="7" t="s">
        <v>2084</v>
      </c>
      <c r="C369" s="40">
        <v>45189</v>
      </c>
      <c r="D369" t="s">
        <v>2114</v>
      </c>
      <c r="E369" t="s">
        <v>2115</v>
      </c>
      <c r="F369" t="s">
        <v>2116</v>
      </c>
      <c r="G369" t="s">
        <v>197</v>
      </c>
      <c r="H369" s="38">
        <v>1583</v>
      </c>
      <c r="I369" t="s">
        <v>2117</v>
      </c>
      <c r="J369" t="s">
        <v>219</v>
      </c>
      <c r="K369" s="89" t="s">
        <v>838</v>
      </c>
      <c r="L369" t="s">
        <v>2767</v>
      </c>
      <c r="M369" s="89" t="s">
        <v>838</v>
      </c>
      <c r="N369" s="89" t="s">
        <v>838</v>
      </c>
      <c r="O369" s="89" t="s">
        <v>838</v>
      </c>
      <c r="P369" s="89" t="s">
        <v>838</v>
      </c>
    </row>
    <row r="370" spans="1:16" x14ac:dyDescent="0.25">
      <c r="A370">
        <f t="shared" si="5"/>
        <v>369</v>
      </c>
      <c r="B370" s="7" t="s">
        <v>2085</v>
      </c>
      <c r="C370" s="40">
        <v>45191</v>
      </c>
      <c r="D370" t="s">
        <v>2118</v>
      </c>
      <c r="E370" t="s">
        <v>2119</v>
      </c>
      <c r="F370" t="s">
        <v>2120</v>
      </c>
      <c r="G370" t="s">
        <v>197</v>
      </c>
      <c r="H370" s="38">
        <v>1150</v>
      </c>
      <c r="I370" t="s">
        <v>2121</v>
      </c>
      <c r="J370" t="s">
        <v>733</v>
      </c>
      <c r="K370" s="89" t="s">
        <v>838</v>
      </c>
      <c r="L370" t="s">
        <v>2767</v>
      </c>
      <c r="M370" s="89" t="s">
        <v>838</v>
      </c>
      <c r="N370" s="89" t="s">
        <v>838</v>
      </c>
      <c r="O370" s="89" t="s">
        <v>838</v>
      </c>
      <c r="P370" s="89" t="s">
        <v>838</v>
      </c>
    </row>
    <row r="371" spans="1:16" x14ac:dyDescent="0.25">
      <c r="A371">
        <f t="shared" si="5"/>
        <v>370</v>
      </c>
      <c r="B371" s="7" t="s">
        <v>2086</v>
      </c>
      <c r="C371" s="40">
        <v>45191</v>
      </c>
      <c r="D371" t="s">
        <v>2126</v>
      </c>
      <c r="E371" t="s">
        <v>2127</v>
      </c>
      <c r="F371" t="s">
        <v>2128</v>
      </c>
      <c r="G371" t="s">
        <v>197</v>
      </c>
      <c r="H371" s="38">
        <v>2238</v>
      </c>
      <c r="I371" t="s">
        <v>2129</v>
      </c>
      <c r="J371" t="s">
        <v>2131</v>
      </c>
      <c r="K371" s="89" t="s">
        <v>838</v>
      </c>
      <c r="L371" t="s">
        <v>2767</v>
      </c>
      <c r="M371" s="89" t="s">
        <v>838</v>
      </c>
      <c r="N371" s="89" t="s">
        <v>838</v>
      </c>
      <c r="O371" s="89" t="s">
        <v>838</v>
      </c>
      <c r="P371" s="89" t="s">
        <v>838</v>
      </c>
    </row>
    <row r="372" spans="1:16" x14ac:dyDescent="0.25">
      <c r="A372" s="79">
        <f t="shared" si="5"/>
        <v>371</v>
      </c>
      <c r="B372" s="7" t="s">
        <v>2087</v>
      </c>
      <c r="C372" s="40">
        <v>45195</v>
      </c>
      <c r="D372" t="s">
        <v>1924</v>
      </c>
      <c r="E372" t="s">
        <v>1925</v>
      </c>
      <c r="F372" t="s">
        <v>2130</v>
      </c>
      <c r="G372" t="s">
        <v>192</v>
      </c>
      <c r="H372" s="38">
        <v>1836</v>
      </c>
      <c r="I372" t="s">
        <v>615</v>
      </c>
      <c r="J372" t="s">
        <v>2135</v>
      </c>
      <c r="K372" s="89" t="s">
        <v>838</v>
      </c>
      <c r="L372" t="s">
        <v>2767</v>
      </c>
      <c r="M372" s="89" t="s">
        <v>838</v>
      </c>
      <c r="N372" s="89" t="s">
        <v>838</v>
      </c>
      <c r="O372" s="89" t="s">
        <v>838</v>
      </c>
      <c r="P372" s="89" t="s">
        <v>838</v>
      </c>
    </row>
    <row r="373" spans="1:16" x14ac:dyDescent="0.25">
      <c r="A373" s="81">
        <f t="shared" si="5"/>
        <v>372</v>
      </c>
      <c r="B373" s="7" t="s">
        <v>2088</v>
      </c>
      <c r="C373" s="40">
        <v>45196</v>
      </c>
      <c r="D373" t="s">
        <v>2132</v>
      </c>
      <c r="E373" t="s">
        <v>1745</v>
      </c>
      <c r="F373" t="s">
        <v>2133</v>
      </c>
      <c r="G373" t="s">
        <v>192</v>
      </c>
      <c r="H373" s="38">
        <v>16676.8</v>
      </c>
      <c r="I373" t="s">
        <v>2134</v>
      </c>
      <c r="J373" t="s">
        <v>2149</v>
      </c>
      <c r="K373" s="89" t="s">
        <v>838</v>
      </c>
      <c r="L373" t="s">
        <v>2767</v>
      </c>
      <c r="M373" s="89" t="s">
        <v>838</v>
      </c>
      <c r="N373" s="89" t="s">
        <v>838</v>
      </c>
      <c r="O373" s="89" t="s">
        <v>838</v>
      </c>
      <c r="P373" s="89" t="s">
        <v>838</v>
      </c>
    </row>
    <row r="374" spans="1:16" x14ac:dyDescent="0.25">
      <c r="A374" s="79">
        <f t="shared" si="5"/>
        <v>373</v>
      </c>
      <c r="B374" s="7" t="s">
        <v>2089</v>
      </c>
      <c r="C374" s="40">
        <v>45173</v>
      </c>
      <c r="D374" t="s">
        <v>2144</v>
      </c>
      <c r="E374" t="s">
        <v>2145</v>
      </c>
      <c r="F374" t="s">
        <v>2146</v>
      </c>
      <c r="G374" t="s">
        <v>197</v>
      </c>
      <c r="H374" s="38">
        <v>1175</v>
      </c>
      <c r="I374" t="s">
        <v>2147</v>
      </c>
      <c r="J374" t="s">
        <v>2148</v>
      </c>
      <c r="K374" s="89" t="s">
        <v>838</v>
      </c>
      <c r="L374" t="s">
        <v>2767</v>
      </c>
      <c r="M374" s="89" t="s">
        <v>838</v>
      </c>
      <c r="N374" s="89" t="s">
        <v>838</v>
      </c>
      <c r="O374" s="89" t="s">
        <v>838</v>
      </c>
      <c r="P374" s="89" t="s">
        <v>838</v>
      </c>
    </row>
    <row r="375" spans="1:16" x14ac:dyDescent="0.25">
      <c r="A375">
        <f t="shared" si="5"/>
        <v>374</v>
      </c>
      <c r="B375" s="7" t="s">
        <v>2090</v>
      </c>
      <c r="C375" s="40">
        <v>45174</v>
      </c>
      <c r="D375" t="s">
        <v>2150</v>
      </c>
      <c r="E375" t="s">
        <v>2151</v>
      </c>
      <c r="F375" t="s">
        <v>2152</v>
      </c>
      <c r="G375" t="s">
        <v>197</v>
      </c>
      <c r="H375" s="38">
        <v>1016</v>
      </c>
      <c r="I375" t="s">
        <v>2062</v>
      </c>
      <c r="J375" t="s">
        <v>337</v>
      </c>
      <c r="K375" s="89" t="s">
        <v>838</v>
      </c>
      <c r="L375" t="s">
        <v>2767</v>
      </c>
      <c r="M375" s="89" t="s">
        <v>838</v>
      </c>
      <c r="N375" s="89" t="s">
        <v>838</v>
      </c>
      <c r="O375" s="89" t="s">
        <v>838</v>
      </c>
      <c r="P375" s="89" t="s">
        <v>838</v>
      </c>
    </row>
    <row r="376" spans="1:16" x14ac:dyDescent="0.25">
      <c r="A376" s="81">
        <f t="shared" si="5"/>
        <v>375</v>
      </c>
      <c r="B376" s="7" t="s">
        <v>2091</v>
      </c>
      <c r="C376" s="40">
        <v>45183</v>
      </c>
      <c r="D376" t="s">
        <v>2153</v>
      </c>
      <c r="E376" t="s">
        <v>230</v>
      </c>
      <c r="F376" t="s">
        <v>2154</v>
      </c>
      <c r="G376" t="s">
        <v>192</v>
      </c>
      <c r="H376" s="38">
        <v>7602.13</v>
      </c>
      <c r="I376" t="s">
        <v>2155</v>
      </c>
      <c r="J376" t="s">
        <v>337</v>
      </c>
      <c r="K376" s="89" t="s">
        <v>838</v>
      </c>
      <c r="L376" t="s">
        <v>2767</v>
      </c>
      <c r="M376" s="89" t="s">
        <v>838</v>
      </c>
      <c r="N376" s="89" t="s">
        <v>838</v>
      </c>
      <c r="O376" s="89" t="s">
        <v>838</v>
      </c>
      <c r="P376" s="89" t="s">
        <v>838</v>
      </c>
    </row>
    <row r="377" spans="1:16" x14ac:dyDescent="0.25">
      <c r="A377" s="82">
        <f t="shared" si="5"/>
        <v>376</v>
      </c>
      <c r="B377" s="7" t="s">
        <v>2092</v>
      </c>
      <c r="C377" s="40">
        <v>45190</v>
      </c>
      <c r="D377" t="s">
        <v>2156</v>
      </c>
      <c r="E377" t="s">
        <v>2157</v>
      </c>
      <c r="F377" t="s">
        <v>2158</v>
      </c>
      <c r="G377" t="s">
        <v>197</v>
      </c>
      <c r="H377" s="38">
        <v>3409.34</v>
      </c>
      <c r="I377" t="s">
        <v>2159</v>
      </c>
      <c r="J377" t="s">
        <v>337</v>
      </c>
      <c r="K377" s="89" t="s">
        <v>838</v>
      </c>
      <c r="L377" t="s">
        <v>2767</v>
      </c>
      <c r="M377" s="89" t="s">
        <v>838</v>
      </c>
      <c r="N377" s="89" t="s">
        <v>838</v>
      </c>
      <c r="O377" s="89" t="s">
        <v>838</v>
      </c>
      <c r="P377" s="89" t="s">
        <v>838</v>
      </c>
    </row>
    <row r="378" spans="1:16" x14ac:dyDescent="0.25">
      <c r="A378">
        <f t="shared" si="5"/>
        <v>377</v>
      </c>
      <c r="B378" s="7" t="s">
        <v>2093</v>
      </c>
      <c r="C378" s="40">
        <v>45190</v>
      </c>
      <c r="D378" t="s">
        <v>2160</v>
      </c>
      <c r="E378" t="s">
        <v>2161</v>
      </c>
      <c r="F378" t="s">
        <v>2162</v>
      </c>
      <c r="G378" t="s">
        <v>193</v>
      </c>
      <c r="H378" s="38">
        <v>333.04</v>
      </c>
      <c r="I378" t="s">
        <v>2163</v>
      </c>
      <c r="J378" t="s">
        <v>337</v>
      </c>
      <c r="K378" s="89" t="s">
        <v>838</v>
      </c>
      <c r="L378" t="s">
        <v>2767</v>
      </c>
      <c r="M378" s="89" t="s">
        <v>838</v>
      </c>
      <c r="N378" s="89" t="s">
        <v>838</v>
      </c>
      <c r="O378" s="89" t="s">
        <v>838</v>
      </c>
      <c r="P378" s="89" t="s">
        <v>838</v>
      </c>
    </row>
    <row r="379" spans="1:16" ht="14.25" customHeight="1" x14ac:dyDescent="0.25">
      <c r="A379">
        <f t="shared" si="5"/>
        <v>378</v>
      </c>
      <c r="B379" s="7" t="s">
        <v>2094</v>
      </c>
      <c r="C379" s="40">
        <v>45198</v>
      </c>
      <c r="D379" t="s">
        <v>2164</v>
      </c>
      <c r="E379" t="s">
        <v>2165</v>
      </c>
      <c r="F379" t="s">
        <v>2166</v>
      </c>
      <c r="G379" t="s">
        <v>197</v>
      </c>
      <c r="H379" s="38">
        <v>1656</v>
      </c>
      <c r="I379" t="s">
        <v>2167</v>
      </c>
      <c r="J379" t="s">
        <v>2168</v>
      </c>
      <c r="K379" s="89" t="s">
        <v>838</v>
      </c>
      <c r="L379" t="s">
        <v>2767</v>
      </c>
      <c r="M379" s="89" t="s">
        <v>838</v>
      </c>
      <c r="N379" s="89" t="s">
        <v>838</v>
      </c>
      <c r="O379" s="89" t="s">
        <v>838</v>
      </c>
      <c r="P379" s="89" t="s">
        <v>838</v>
      </c>
    </row>
    <row r="380" spans="1:16" x14ac:dyDescent="0.25">
      <c r="A380" s="81">
        <f t="shared" si="5"/>
        <v>379</v>
      </c>
      <c r="B380" s="7" t="s">
        <v>2095</v>
      </c>
      <c r="C380" s="40">
        <v>45192</v>
      </c>
      <c r="D380" t="s">
        <v>2153</v>
      </c>
      <c r="E380" t="s">
        <v>230</v>
      </c>
      <c r="F380" t="s">
        <v>2154</v>
      </c>
      <c r="G380" t="s">
        <v>192</v>
      </c>
      <c r="H380" s="38">
        <v>10994.05</v>
      </c>
      <c r="I380" t="s">
        <v>309</v>
      </c>
      <c r="J380" t="s">
        <v>582</v>
      </c>
      <c r="K380" s="89" t="s">
        <v>838</v>
      </c>
      <c r="L380" t="s">
        <v>2767</v>
      </c>
      <c r="M380" s="89" t="s">
        <v>838</v>
      </c>
      <c r="N380" s="89" t="s">
        <v>838</v>
      </c>
      <c r="O380" s="89" t="s">
        <v>838</v>
      </c>
      <c r="P380" s="89" t="s">
        <v>838</v>
      </c>
    </row>
    <row r="381" spans="1:16" x14ac:dyDescent="0.25">
      <c r="A381" s="81">
        <f t="shared" si="5"/>
        <v>380</v>
      </c>
      <c r="B381" s="7" t="s">
        <v>2096</v>
      </c>
      <c r="C381" s="40">
        <v>45201</v>
      </c>
      <c r="D381" t="s">
        <v>2132</v>
      </c>
      <c r="E381" t="s">
        <v>1745</v>
      </c>
      <c r="F381" t="s">
        <v>2133</v>
      </c>
      <c r="G381" t="s">
        <v>192</v>
      </c>
      <c r="H381" s="38">
        <v>9065.7199999999993</v>
      </c>
      <c r="I381" t="s">
        <v>2169</v>
      </c>
      <c r="J381" t="s">
        <v>733</v>
      </c>
      <c r="K381" s="89" t="s">
        <v>838</v>
      </c>
      <c r="L381" s="89" t="s">
        <v>838</v>
      </c>
      <c r="M381" s="89" t="s">
        <v>838</v>
      </c>
      <c r="N381" s="89" t="s">
        <v>838</v>
      </c>
      <c r="O381" s="89" t="s">
        <v>2767</v>
      </c>
    </row>
    <row r="382" spans="1:16" x14ac:dyDescent="0.25">
      <c r="A382" s="79">
        <f t="shared" si="5"/>
        <v>381</v>
      </c>
      <c r="B382" s="7" t="s">
        <v>2097</v>
      </c>
      <c r="C382" s="40">
        <v>45202</v>
      </c>
      <c r="D382" t="s">
        <v>2170</v>
      </c>
      <c r="E382" t="s">
        <v>2171</v>
      </c>
      <c r="F382" t="s">
        <v>2172</v>
      </c>
      <c r="G382" t="s">
        <v>192</v>
      </c>
      <c r="H382" s="38">
        <v>3040.95</v>
      </c>
      <c r="I382" t="s">
        <v>2173</v>
      </c>
      <c r="J382" t="s">
        <v>1249</v>
      </c>
      <c r="K382" s="89" t="s">
        <v>838</v>
      </c>
      <c r="L382" s="89" t="s">
        <v>838</v>
      </c>
      <c r="M382" s="89" t="s">
        <v>838</v>
      </c>
      <c r="N382" s="89" t="s">
        <v>838</v>
      </c>
      <c r="O382" s="89" t="s">
        <v>2767</v>
      </c>
    </row>
    <row r="383" spans="1:16" x14ac:dyDescent="0.25">
      <c r="A383" s="83">
        <f t="shared" si="5"/>
        <v>382</v>
      </c>
      <c r="B383" s="7" t="s">
        <v>2098</v>
      </c>
      <c r="C383" s="40">
        <v>45188</v>
      </c>
      <c r="D383" t="s">
        <v>2182</v>
      </c>
      <c r="E383" t="s">
        <v>2183</v>
      </c>
      <c r="F383" t="s">
        <v>2184</v>
      </c>
      <c r="G383" t="s">
        <v>192</v>
      </c>
      <c r="H383" s="38">
        <v>13621.06</v>
      </c>
      <c r="I383" t="s">
        <v>2185</v>
      </c>
      <c r="J383" t="s">
        <v>349</v>
      </c>
      <c r="K383" s="89" t="s">
        <v>838</v>
      </c>
      <c r="L383" s="89" t="s">
        <v>838</v>
      </c>
      <c r="M383" s="89" t="s">
        <v>838</v>
      </c>
      <c r="N383" s="89" t="s">
        <v>838</v>
      </c>
      <c r="O383" s="89" t="s">
        <v>2767</v>
      </c>
    </row>
    <row r="384" spans="1:16" x14ac:dyDescent="0.25">
      <c r="A384">
        <f t="shared" si="5"/>
        <v>383</v>
      </c>
      <c r="B384" s="7" t="s">
        <v>2099</v>
      </c>
      <c r="C384" s="40">
        <v>45202</v>
      </c>
      <c r="D384" t="s">
        <v>2186</v>
      </c>
      <c r="E384" t="s">
        <v>2187</v>
      </c>
      <c r="F384" t="s">
        <v>2188</v>
      </c>
      <c r="G384" t="s">
        <v>197</v>
      </c>
      <c r="H384" s="38">
        <v>1357</v>
      </c>
      <c r="I384" t="s">
        <v>2189</v>
      </c>
      <c r="J384" t="s">
        <v>2212</v>
      </c>
      <c r="K384" s="89" t="s">
        <v>838</v>
      </c>
      <c r="L384" s="89" t="s">
        <v>838</v>
      </c>
      <c r="M384" s="89" t="s">
        <v>838</v>
      </c>
      <c r="N384" s="89" t="s">
        <v>2767</v>
      </c>
      <c r="O384" s="89" t="s">
        <v>2767</v>
      </c>
    </row>
    <row r="385" spans="1:15" x14ac:dyDescent="0.25">
      <c r="A385">
        <f t="shared" si="5"/>
        <v>384</v>
      </c>
      <c r="B385" s="7" t="s">
        <v>2100</v>
      </c>
      <c r="C385" s="40">
        <v>45203</v>
      </c>
      <c r="D385" t="s">
        <v>2190</v>
      </c>
      <c r="E385" t="s">
        <v>2191</v>
      </c>
      <c r="F385" t="s">
        <v>2192</v>
      </c>
      <c r="G385" t="s">
        <v>197</v>
      </c>
      <c r="H385" s="38">
        <v>1531</v>
      </c>
      <c r="I385" t="s">
        <v>2193</v>
      </c>
      <c r="J385" t="s">
        <v>2194</v>
      </c>
      <c r="K385" s="89" t="s">
        <v>838</v>
      </c>
      <c r="L385" s="89" t="s">
        <v>838</v>
      </c>
      <c r="M385" s="89" t="s">
        <v>838</v>
      </c>
      <c r="N385" s="89" t="s">
        <v>2767</v>
      </c>
      <c r="O385" s="89" t="s">
        <v>2767</v>
      </c>
    </row>
    <row r="386" spans="1:15" x14ac:dyDescent="0.25">
      <c r="A386" s="81">
        <f t="shared" si="5"/>
        <v>385</v>
      </c>
      <c r="B386" s="98" t="s">
        <v>2122</v>
      </c>
      <c r="C386" s="40">
        <v>45203</v>
      </c>
      <c r="D386" t="s">
        <v>1333</v>
      </c>
      <c r="F386" t="s">
        <v>2195</v>
      </c>
      <c r="G386" t="s">
        <v>192</v>
      </c>
      <c r="H386" s="38">
        <v>4977.05</v>
      </c>
      <c r="I386" t="s">
        <v>2196</v>
      </c>
      <c r="J386" t="s">
        <v>178</v>
      </c>
      <c r="K386" s="89" t="s">
        <v>838</v>
      </c>
      <c r="L386" s="89" t="s">
        <v>838</v>
      </c>
      <c r="M386" s="89" t="s">
        <v>838</v>
      </c>
      <c r="N386" s="89" t="s">
        <v>2767</v>
      </c>
      <c r="O386" s="89" t="s">
        <v>2767</v>
      </c>
    </row>
    <row r="387" spans="1:15" x14ac:dyDescent="0.25">
      <c r="A387">
        <f t="shared" si="5"/>
        <v>386</v>
      </c>
      <c r="B387" s="7" t="s">
        <v>2123</v>
      </c>
      <c r="C387" s="40">
        <v>45204</v>
      </c>
      <c r="D387" t="s">
        <v>2197</v>
      </c>
      <c r="E387" t="s">
        <v>2198</v>
      </c>
      <c r="G387" t="s">
        <v>197</v>
      </c>
      <c r="H387" s="38">
        <v>5291.46</v>
      </c>
      <c r="I387" t="s">
        <v>2199</v>
      </c>
      <c r="K387" s="89" t="s">
        <v>838</v>
      </c>
      <c r="L387" s="89" t="s">
        <v>838</v>
      </c>
      <c r="M387" s="89" t="s">
        <v>838</v>
      </c>
      <c r="N387" s="89" t="s">
        <v>2767</v>
      </c>
      <c r="O387" s="89" t="s">
        <v>2767</v>
      </c>
    </row>
    <row r="388" spans="1:15" x14ac:dyDescent="0.25">
      <c r="A388" s="83">
        <f t="shared" ref="A388:A451" si="6">A387+1</f>
        <v>387</v>
      </c>
      <c r="B388" s="7" t="s">
        <v>2124</v>
      </c>
      <c r="C388" s="40">
        <v>45204</v>
      </c>
      <c r="D388" t="s">
        <v>2200</v>
      </c>
      <c r="E388" t="s">
        <v>2201</v>
      </c>
      <c r="F388" t="s">
        <v>2202</v>
      </c>
      <c r="G388" t="s">
        <v>192</v>
      </c>
      <c r="H388" s="38">
        <v>960</v>
      </c>
      <c r="I388" t="s">
        <v>2203</v>
      </c>
      <c r="J388" t="s">
        <v>2213</v>
      </c>
      <c r="K388" s="89" t="s">
        <v>838</v>
      </c>
      <c r="L388" s="89" t="s">
        <v>838</v>
      </c>
      <c r="M388" s="89" t="s">
        <v>838</v>
      </c>
      <c r="N388" s="89" t="s">
        <v>2767</v>
      </c>
      <c r="O388" s="89" t="s">
        <v>2767</v>
      </c>
    </row>
    <row r="389" spans="1:15" x14ac:dyDescent="0.25">
      <c r="A389">
        <f t="shared" si="6"/>
        <v>388</v>
      </c>
      <c r="B389" s="7" t="s">
        <v>2125</v>
      </c>
      <c r="C389" s="40">
        <v>45190</v>
      </c>
      <c r="D389" t="s">
        <v>2204</v>
      </c>
      <c r="E389" t="s">
        <v>2205</v>
      </c>
      <c r="F389" t="s">
        <v>2206</v>
      </c>
      <c r="G389" t="s">
        <v>197</v>
      </c>
      <c r="H389" s="38">
        <v>3022</v>
      </c>
      <c r="I389" t="s">
        <v>2207</v>
      </c>
      <c r="J389" t="s">
        <v>1754</v>
      </c>
      <c r="K389" s="89" t="s">
        <v>838</v>
      </c>
      <c r="L389" s="89" t="s">
        <v>838</v>
      </c>
      <c r="M389" s="89" t="s">
        <v>838</v>
      </c>
      <c r="N389" s="89" t="s">
        <v>2767</v>
      </c>
      <c r="O389" s="89" t="s">
        <v>2767</v>
      </c>
    </row>
    <row r="390" spans="1:15" x14ac:dyDescent="0.25">
      <c r="A390">
        <f t="shared" si="6"/>
        <v>389</v>
      </c>
      <c r="B390" s="7" t="s">
        <v>2136</v>
      </c>
      <c r="C390" s="40">
        <v>45195</v>
      </c>
      <c r="D390" t="s">
        <v>2209</v>
      </c>
      <c r="E390" t="s">
        <v>2210</v>
      </c>
      <c r="F390" t="s">
        <v>2211</v>
      </c>
      <c r="G390" t="s">
        <v>197</v>
      </c>
      <c r="H390" s="38">
        <v>1230</v>
      </c>
      <c r="I390" t="s">
        <v>371</v>
      </c>
      <c r="J390" t="s">
        <v>661</v>
      </c>
      <c r="K390" s="89" t="s">
        <v>838</v>
      </c>
      <c r="L390" s="89" t="s">
        <v>838</v>
      </c>
      <c r="M390" s="89" t="s">
        <v>838</v>
      </c>
      <c r="N390" s="89" t="s">
        <v>2767</v>
      </c>
      <c r="O390" s="89" t="s">
        <v>2767</v>
      </c>
    </row>
    <row r="391" spans="1:15" x14ac:dyDescent="0.25">
      <c r="A391">
        <f t="shared" si="6"/>
        <v>390</v>
      </c>
      <c r="B391" s="7" t="s">
        <v>2137</v>
      </c>
      <c r="C391" s="40">
        <v>45195</v>
      </c>
      <c r="D391" t="s">
        <v>2214</v>
      </c>
      <c r="E391" t="s">
        <v>2215</v>
      </c>
      <c r="F391" t="s">
        <v>2216</v>
      </c>
      <c r="G391" t="s">
        <v>197</v>
      </c>
      <c r="H391" s="38">
        <v>1640</v>
      </c>
      <c r="I391" t="s">
        <v>2217</v>
      </c>
      <c r="J391" t="s">
        <v>2208</v>
      </c>
      <c r="K391" s="89" t="s">
        <v>838</v>
      </c>
      <c r="L391" s="89" t="s">
        <v>838</v>
      </c>
      <c r="M391" s="89" t="s">
        <v>838</v>
      </c>
      <c r="N391" s="89" t="s">
        <v>2767</v>
      </c>
      <c r="O391" s="89" t="s">
        <v>2767</v>
      </c>
    </row>
    <row r="392" spans="1:15" x14ac:dyDescent="0.25">
      <c r="A392">
        <f t="shared" si="6"/>
        <v>391</v>
      </c>
      <c r="B392" s="7" t="s">
        <v>2138</v>
      </c>
      <c r="C392" s="40">
        <v>45197</v>
      </c>
      <c r="D392" t="s">
        <v>2218</v>
      </c>
      <c r="E392" t="s">
        <v>2219</v>
      </c>
      <c r="F392" t="s">
        <v>2220</v>
      </c>
      <c r="G392" t="s">
        <v>197</v>
      </c>
      <c r="H392" s="38">
        <v>2519.9</v>
      </c>
      <c r="I392" t="s">
        <v>2221</v>
      </c>
      <c r="J392" t="s">
        <v>2228</v>
      </c>
      <c r="K392" s="89" t="s">
        <v>838</v>
      </c>
      <c r="L392" s="89" t="s">
        <v>838</v>
      </c>
      <c r="M392" s="89" t="s">
        <v>838</v>
      </c>
      <c r="N392" s="89" t="s">
        <v>2767</v>
      </c>
      <c r="O392" s="89" t="s">
        <v>2767</v>
      </c>
    </row>
    <row r="393" spans="1:15" x14ac:dyDescent="0.25">
      <c r="A393">
        <f t="shared" si="6"/>
        <v>392</v>
      </c>
      <c r="B393" s="7" t="s">
        <v>2139</v>
      </c>
      <c r="C393" s="40">
        <v>45205</v>
      </c>
      <c r="D393" t="s">
        <v>2222</v>
      </c>
      <c r="E393" t="s">
        <v>2223</v>
      </c>
      <c r="F393" t="s">
        <v>2224</v>
      </c>
      <c r="G393" t="s">
        <v>197</v>
      </c>
      <c r="H393" s="38">
        <v>1490</v>
      </c>
      <c r="I393" t="s">
        <v>2225</v>
      </c>
      <c r="J393" t="s">
        <v>2229</v>
      </c>
      <c r="K393" s="89" t="s">
        <v>838</v>
      </c>
      <c r="L393" s="89" t="s">
        <v>838</v>
      </c>
      <c r="M393" s="89" t="s">
        <v>838</v>
      </c>
      <c r="N393" s="89" t="s">
        <v>2767</v>
      </c>
      <c r="O393" s="89" t="s">
        <v>2767</v>
      </c>
    </row>
    <row r="394" spans="1:15" x14ac:dyDescent="0.25">
      <c r="A394" s="83">
        <f t="shared" si="6"/>
        <v>393</v>
      </c>
      <c r="B394" s="7" t="s">
        <v>2140</v>
      </c>
      <c r="C394" s="40">
        <v>45181</v>
      </c>
      <c r="D394" t="s">
        <v>1877</v>
      </c>
      <c r="E394" t="s">
        <v>1878</v>
      </c>
      <c r="F394" t="s">
        <v>2226</v>
      </c>
      <c r="G394" t="s">
        <v>192</v>
      </c>
      <c r="H394" s="38">
        <v>1932</v>
      </c>
      <c r="I394" t="s">
        <v>2227</v>
      </c>
      <c r="J394" t="s">
        <v>348</v>
      </c>
      <c r="K394" s="89" t="s">
        <v>838</v>
      </c>
      <c r="L394" s="89" t="s">
        <v>838</v>
      </c>
      <c r="M394" s="89" t="s">
        <v>838</v>
      </c>
      <c r="N394" s="89" t="s">
        <v>2767</v>
      </c>
      <c r="O394" s="89" t="s">
        <v>2767</v>
      </c>
    </row>
    <row r="395" spans="1:15" x14ac:dyDescent="0.25">
      <c r="A395">
        <f t="shared" si="6"/>
        <v>394</v>
      </c>
      <c r="B395" s="7" t="s">
        <v>2141</v>
      </c>
      <c r="C395" s="40">
        <v>45199</v>
      </c>
      <c r="D395" t="s">
        <v>2230</v>
      </c>
      <c r="E395" t="s">
        <v>2231</v>
      </c>
      <c r="F395" t="s">
        <v>2232</v>
      </c>
      <c r="G395" t="s">
        <v>193</v>
      </c>
      <c r="H395" s="38">
        <v>1781.86</v>
      </c>
      <c r="I395" t="s">
        <v>2233</v>
      </c>
      <c r="J395" t="s">
        <v>733</v>
      </c>
      <c r="K395" s="89" t="s">
        <v>838</v>
      </c>
      <c r="L395" s="89" t="s">
        <v>838</v>
      </c>
      <c r="M395" s="89" t="s">
        <v>838</v>
      </c>
      <c r="N395" s="89" t="s">
        <v>2767</v>
      </c>
      <c r="O395" s="89" t="s">
        <v>2767</v>
      </c>
    </row>
    <row r="396" spans="1:15" x14ac:dyDescent="0.25">
      <c r="A396" s="83">
        <f t="shared" si="6"/>
        <v>395</v>
      </c>
      <c r="B396" s="7" t="s">
        <v>2142</v>
      </c>
      <c r="C396" s="40">
        <v>45205</v>
      </c>
      <c r="D396" t="s">
        <v>1934</v>
      </c>
      <c r="E396" t="s">
        <v>1935</v>
      </c>
      <c r="F396" t="s">
        <v>1936</v>
      </c>
      <c r="G396" t="s">
        <v>192</v>
      </c>
      <c r="H396" s="38">
        <v>1315.6</v>
      </c>
      <c r="I396" t="s">
        <v>2234</v>
      </c>
      <c r="J396" t="s">
        <v>582</v>
      </c>
      <c r="K396" s="89" t="s">
        <v>838</v>
      </c>
      <c r="L396" s="89" t="s">
        <v>838</v>
      </c>
      <c r="M396" s="89" t="s">
        <v>838</v>
      </c>
      <c r="N396" s="89" t="s">
        <v>2767</v>
      </c>
      <c r="O396" s="89" t="s">
        <v>2767</v>
      </c>
    </row>
    <row r="397" spans="1:15" x14ac:dyDescent="0.25">
      <c r="A397" s="79">
        <f t="shared" si="6"/>
        <v>396</v>
      </c>
      <c r="B397" s="7" t="s">
        <v>2143</v>
      </c>
      <c r="C397" s="40">
        <v>45206</v>
      </c>
      <c r="D397" t="s">
        <v>2235</v>
      </c>
      <c r="E397" t="s">
        <v>2236</v>
      </c>
      <c r="F397" t="s">
        <v>2237</v>
      </c>
      <c r="G397" t="s">
        <v>197</v>
      </c>
      <c r="H397" s="38">
        <v>1199</v>
      </c>
      <c r="I397" t="s">
        <v>2238</v>
      </c>
      <c r="J397" t="s">
        <v>2245</v>
      </c>
      <c r="K397" s="89" t="s">
        <v>838</v>
      </c>
      <c r="L397" s="89" t="s">
        <v>838</v>
      </c>
      <c r="M397" s="89" t="s">
        <v>838</v>
      </c>
      <c r="N397" s="89" t="s">
        <v>2767</v>
      </c>
      <c r="O397" s="89" t="s">
        <v>2767</v>
      </c>
    </row>
    <row r="398" spans="1:15" x14ac:dyDescent="0.25">
      <c r="A398" s="83">
        <f t="shared" si="6"/>
        <v>397</v>
      </c>
      <c r="B398" s="7" t="s">
        <v>2175</v>
      </c>
      <c r="C398" s="40">
        <v>45208</v>
      </c>
      <c r="D398" t="s">
        <v>669</v>
      </c>
      <c r="E398" t="s">
        <v>670</v>
      </c>
      <c r="F398" t="s">
        <v>671</v>
      </c>
      <c r="G398" t="s">
        <v>192</v>
      </c>
      <c r="H398" s="38">
        <v>1594</v>
      </c>
      <c r="I398" t="s">
        <v>2239</v>
      </c>
      <c r="J398" t="s">
        <v>219</v>
      </c>
      <c r="K398" s="89" t="s">
        <v>838</v>
      </c>
      <c r="L398" s="89" t="s">
        <v>838</v>
      </c>
      <c r="M398" s="89" t="s">
        <v>838</v>
      </c>
      <c r="N398" s="89" t="s">
        <v>2767</v>
      </c>
      <c r="O398" s="89" t="s">
        <v>2767</v>
      </c>
    </row>
    <row r="399" spans="1:15" x14ac:dyDescent="0.25">
      <c r="A399">
        <f t="shared" si="6"/>
        <v>398</v>
      </c>
      <c r="B399" s="7" t="s">
        <v>2176</v>
      </c>
      <c r="C399" s="40">
        <v>45208</v>
      </c>
      <c r="D399" t="s">
        <v>2240</v>
      </c>
      <c r="E399" t="s">
        <v>2241</v>
      </c>
      <c r="F399" t="s">
        <v>2242</v>
      </c>
      <c r="G399" t="s">
        <v>197</v>
      </c>
      <c r="H399" s="38">
        <v>1691</v>
      </c>
      <c r="I399" t="s">
        <v>2243</v>
      </c>
      <c r="J399" t="s">
        <v>348</v>
      </c>
      <c r="K399" s="89" t="s">
        <v>838</v>
      </c>
      <c r="L399" s="89" t="s">
        <v>838</v>
      </c>
      <c r="M399" s="89" t="s">
        <v>838</v>
      </c>
      <c r="N399" s="89" t="s">
        <v>2767</v>
      </c>
      <c r="O399" s="89" t="s">
        <v>2767</v>
      </c>
    </row>
    <row r="400" spans="1:15" x14ac:dyDescent="0.25">
      <c r="A400" s="83">
        <f t="shared" si="6"/>
        <v>399</v>
      </c>
      <c r="B400" s="7" t="s">
        <v>2177</v>
      </c>
      <c r="C400" s="40">
        <v>45209</v>
      </c>
      <c r="D400" t="s">
        <v>551</v>
      </c>
      <c r="E400" t="s">
        <v>552</v>
      </c>
      <c r="F400" t="s">
        <v>1402</v>
      </c>
      <c r="G400" t="s">
        <v>192</v>
      </c>
      <c r="H400" s="38">
        <v>1472</v>
      </c>
      <c r="I400" t="s">
        <v>2244</v>
      </c>
      <c r="J400" t="s">
        <v>349</v>
      </c>
      <c r="K400" s="89" t="s">
        <v>838</v>
      </c>
      <c r="L400" s="89" t="s">
        <v>838</v>
      </c>
      <c r="M400" s="89" t="s">
        <v>838</v>
      </c>
      <c r="N400" s="89" t="s">
        <v>2767</v>
      </c>
      <c r="O400" s="89" t="s">
        <v>2767</v>
      </c>
    </row>
    <row r="401" spans="1:15" x14ac:dyDescent="0.25">
      <c r="A401" s="83">
        <f t="shared" si="6"/>
        <v>400</v>
      </c>
      <c r="B401" s="7" t="s">
        <v>2178</v>
      </c>
      <c r="C401" s="40">
        <v>45209</v>
      </c>
      <c r="D401" t="s">
        <v>2246</v>
      </c>
      <c r="E401" t="s">
        <v>2247</v>
      </c>
      <c r="F401" t="s">
        <v>2248</v>
      </c>
      <c r="G401" t="s">
        <v>192</v>
      </c>
      <c r="H401" s="38">
        <v>1425</v>
      </c>
      <c r="I401" t="s">
        <v>1578</v>
      </c>
      <c r="J401" t="s">
        <v>348</v>
      </c>
      <c r="K401" s="89" t="s">
        <v>838</v>
      </c>
      <c r="L401" s="89" t="s">
        <v>838</v>
      </c>
      <c r="M401" s="89" t="s">
        <v>838</v>
      </c>
      <c r="N401" s="89" t="s">
        <v>2767</v>
      </c>
      <c r="O401" s="89" t="s">
        <v>2767</v>
      </c>
    </row>
    <row r="402" spans="1:15" x14ac:dyDescent="0.25">
      <c r="A402">
        <f t="shared" si="6"/>
        <v>401</v>
      </c>
      <c r="B402" s="7" t="s">
        <v>2179</v>
      </c>
      <c r="C402" s="40">
        <v>45187</v>
      </c>
      <c r="D402" t="s">
        <v>2249</v>
      </c>
      <c r="E402" t="s">
        <v>2250</v>
      </c>
      <c r="F402" t="s">
        <v>2251</v>
      </c>
      <c r="G402" t="s">
        <v>193</v>
      </c>
      <c r="H402" s="38">
        <v>2648</v>
      </c>
      <c r="I402" t="s">
        <v>2252</v>
      </c>
      <c r="J402" t="s">
        <v>662</v>
      </c>
      <c r="K402" s="89" t="s">
        <v>838</v>
      </c>
      <c r="L402" s="89" t="s">
        <v>838</v>
      </c>
      <c r="M402" s="89" t="s">
        <v>838</v>
      </c>
      <c r="N402" s="89" t="s">
        <v>2767</v>
      </c>
      <c r="O402" s="89" t="s">
        <v>2767</v>
      </c>
    </row>
    <row r="403" spans="1:15" x14ac:dyDescent="0.25">
      <c r="A403" s="83">
        <f t="shared" si="6"/>
        <v>402</v>
      </c>
      <c r="B403" s="7" t="s">
        <v>2180</v>
      </c>
      <c r="C403" s="40">
        <v>45189</v>
      </c>
      <c r="D403" t="s">
        <v>2253</v>
      </c>
      <c r="E403" t="s">
        <v>2254</v>
      </c>
      <c r="F403" t="s">
        <v>2255</v>
      </c>
      <c r="G403" t="s">
        <v>192</v>
      </c>
      <c r="H403" s="38">
        <v>1728.52</v>
      </c>
      <c r="I403" t="s">
        <v>2256</v>
      </c>
      <c r="J403" t="s">
        <v>219</v>
      </c>
      <c r="K403" s="89" t="s">
        <v>838</v>
      </c>
      <c r="L403" s="89" t="s">
        <v>838</v>
      </c>
      <c r="M403" s="89" t="s">
        <v>838</v>
      </c>
      <c r="N403" s="89" t="s">
        <v>2767</v>
      </c>
      <c r="O403" s="89" t="s">
        <v>2767</v>
      </c>
    </row>
    <row r="404" spans="1:15" x14ac:dyDescent="0.25">
      <c r="A404">
        <f t="shared" si="6"/>
        <v>403</v>
      </c>
      <c r="B404" s="7" t="s">
        <v>2181</v>
      </c>
      <c r="C404" s="40">
        <v>45210</v>
      </c>
      <c r="D404" t="s">
        <v>2257</v>
      </c>
      <c r="E404" t="s">
        <v>2258</v>
      </c>
      <c r="F404" t="s">
        <v>2259</v>
      </c>
      <c r="G404" t="s">
        <v>197</v>
      </c>
      <c r="H404" s="38">
        <v>1776</v>
      </c>
      <c r="I404" t="s">
        <v>2260</v>
      </c>
      <c r="J404" t="s">
        <v>219</v>
      </c>
      <c r="K404" s="89" t="s">
        <v>838</v>
      </c>
      <c r="L404" s="89" t="s">
        <v>838</v>
      </c>
      <c r="M404" s="89" t="s">
        <v>838</v>
      </c>
      <c r="N404" s="89" t="s">
        <v>2767</v>
      </c>
      <c r="O404" s="89" t="s">
        <v>2767</v>
      </c>
    </row>
    <row r="405" spans="1:15" x14ac:dyDescent="0.25">
      <c r="A405" s="83">
        <f t="shared" si="6"/>
        <v>404</v>
      </c>
      <c r="B405" s="7" t="s">
        <v>2269</v>
      </c>
      <c r="C405" s="40">
        <v>45204</v>
      </c>
      <c r="D405" t="s">
        <v>1992</v>
      </c>
      <c r="E405" t="s">
        <v>1993</v>
      </c>
      <c r="F405" t="s">
        <v>2274</v>
      </c>
      <c r="G405" t="s">
        <v>192</v>
      </c>
      <c r="H405" s="38">
        <v>1450</v>
      </c>
      <c r="I405" t="s">
        <v>2275</v>
      </c>
      <c r="J405" t="s">
        <v>2276</v>
      </c>
      <c r="K405" s="89" t="s">
        <v>838</v>
      </c>
      <c r="L405" s="89" t="s">
        <v>838</v>
      </c>
      <c r="M405" s="89" t="s">
        <v>838</v>
      </c>
      <c r="N405" s="89" t="s">
        <v>2767</v>
      </c>
      <c r="O405" s="89" t="s">
        <v>2767</v>
      </c>
    </row>
    <row r="406" spans="1:15" x14ac:dyDescent="0.25">
      <c r="A406" s="83">
        <f t="shared" si="6"/>
        <v>405</v>
      </c>
      <c r="B406" s="7" t="s">
        <v>2270</v>
      </c>
      <c r="C406" s="40">
        <v>45211</v>
      </c>
      <c r="D406" t="s">
        <v>2277</v>
      </c>
      <c r="E406" t="s">
        <v>2278</v>
      </c>
      <c r="F406" t="s">
        <v>2279</v>
      </c>
      <c r="G406" t="s">
        <v>806</v>
      </c>
      <c r="H406" s="38">
        <v>1161.8499999999999</v>
      </c>
      <c r="I406" t="s">
        <v>1582</v>
      </c>
      <c r="J406" t="s">
        <v>582</v>
      </c>
      <c r="K406" s="89" t="s">
        <v>838</v>
      </c>
      <c r="L406" s="89" t="s">
        <v>838</v>
      </c>
      <c r="M406" s="89" t="s">
        <v>838</v>
      </c>
      <c r="N406" s="89" t="s">
        <v>2767</v>
      </c>
      <c r="O406" s="89" t="s">
        <v>2767</v>
      </c>
    </row>
    <row r="407" spans="1:15" x14ac:dyDescent="0.25">
      <c r="A407" s="83">
        <f t="shared" si="6"/>
        <v>406</v>
      </c>
      <c r="B407" s="7" t="s">
        <v>2271</v>
      </c>
      <c r="C407" s="40">
        <v>45212</v>
      </c>
      <c r="D407" t="s">
        <v>2280</v>
      </c>
      <c r="E407" t="s">
        <v>2281</v>
      </c>
      <c r="F407" t="s">
        <v>2282</v>
      </c>
      <c r="G407" t="s">
        <v>192</v>
      </c>
      <c r="H407" s="38">
        <v>1743</v>
      </c>
      <c r="I407" t="s">
        <v>2283</v>
      </c>
      <c r="J407" t="s">
        <v>582</v>
      </c>
      <c r="K407" s="89" t="s">
        <v>838</v>
      </c>
      <c r="L407" s="89" t="s">
        <v>838</v>
      </c>
      <c r="M407" s="89" t="s">
        <v>838</v>
      </c>
      <c r="N407" s="89" t="s">
        <v>2767</v>
      </c>
      <c r="O407" s="89" t="s">
        <v>2767</v>
      </c>
    </row>
    <row r="408" spans="1:15" x14ac:dyDescent="0.25">
      <c r="A408" s="83">
        <f t="shared" si="6"/>
        <v>407</v>
      </c>
      <c r="B408" s="7" t="s">
        <v>2272</v>
      </c>
      <c r="C408" s="40">
        <v>45212</v>
      </c>
      <c r="D408" t="s">
        <v>2768</v>
      </c>
      <c r="E408" t="s">
        <v>2285</v>
      </c>
      <c r="F408" t="s">
        <v>2286</v>
      </c>
      <c r="G408" t="s">
        <v>192</v>
      </c>
      <c r="H408" s="38">
        <v>1215.05</v>
      </c>
      <c r="I408" t="s">
        <v>2287</v>
      </c>
      <c r="J408" t="s">
        <v>219</v>
      </c>
      <c r="K408" s="89" t="s">
        <v>838</v>
      </c>
      <c r="L408" s="89" t="s">
        <v>838</v>
      </c>
      <c r="M408" s="89" t="s">
        <v>838</v>
      </c>
      <c r="N408" s="89" t="s">
        <v>2767</v>
      </c>
      <c r="O408" s="89" t="s">
        <v>2767</v>
      </c>
    </row>
    <row r="409" spans="1:15" x14ac:dyDescent="0.25">
      <c r="A409">
        <f t="shared" si="6"/>
        <v>408</v>
      </c>
      <c r="B409" s="98" t="s">
        <v>2273</v>
      </c>
      <c r="C409" s="40">
        <v>45213</v>
      </c>
      <c r="D409" t="s">
        <v>2288</v>
      </c>
      <c r="F409" t="s">
        <v>2289</v>
      </c>
      <c r="G409" t="s">
        <v>197</v>
      </c>
      <c r="H409" s="38">
        <v>998</v>
      </c>
      <c r="I409" t="s">
        <v>2290</v>
      </c>
      <c r="J409" t="s">
        <v>2291</v>
      </c>
      <c r="K409" s="89" t="s">
        <v>838</v>
      </c>
      <c r="L409" s="89" t="s">
        <v>838</v>
      </c>
      <c r="M409" s="89" t="s">
        <v>838</v>
      </c>
      <c r="N409" s="89" t="s">
        <v>2767</v>
      </c>
      <c r="O409" s="89" t="s">
        <v>2767</v>
      </c>
    </row>
    <row r="410" spans="1:15" x14ac:dyDescent="0.25">
      <c r="A410">
        <f t="shared" si="6"/>
        <v>409</v>
      </c>
      <c r="B410" s="7" t="s">
        <v>2292</v>
      </c>
      <c r="C410" s="40">
        <v>45210</v>
      </c>
      <c r="D410" t="s">
        <v>2297</v>
      </c>
      <c r="E410" t="s">
        <v>2298</v>
      </c>
      <c r="F410" t="s">
        <v>2299</v>
      </c>
      <c r="G410" t="s">
        <v>197</v>
      </c>
      <c r="H410" s="38">
        <v>1173.92</v>
      </c>
      <c r="I410" t="s">
        <v>2300</v>
      </c>
      <c r="J410" t="s">
        <v>2301</v>
      </c>
      <c r="K410" s="89" t="s">
        <v>838</v>
      </c>
      <c r="L410" s="89" t="s">
        <v>838</v>
      </c>
      <c r="M410" s="89" t="s">
        <v>838</v>
      </c>
      <c r="N410" s="89" t="s">
        <v>2767</v>
      </c>
      <c r="O410" s="89" t="s">
        <v>2767</v>
      </c>
    </row>
    <row r="411" spans="1:15" x14ac:dyDescent="0.25">
      <c r="A411" s="83">
        <f t="shared" si="6"/>
        <v>410</v>
      </c>
      <c r="B411" s="7" t="s">
        <v>2293</v>
      </c>
      <c r="C411" s="40">
        <v>45211</v>
      </c>
      <c r="D411" t="s">
        <v>2222</v>
      </c>
      <c r="E411" t="s">
        <v>2223</v>
      </c>
      <c r="F411" t="s">
        <v>2224</v>
      </c>
      <c r="G411" t="s">
        <v>192</v>
      </c>
      <c r="H411" s="38">
        <v>5183</v>
      </c>
      <c r="I411" t="s">
        <v>2302</v>
      </c>
      <c r="J411" t="s">
        <v>582</v>
      </c>
      <c r="K411" s="89" t="s">
        <v>838</v>
      </c>
      <c r="L411" s="89" t="s">
        <v>838</v>
      </c>
      <c r="M411" s="89" t="s">
        <v>838</v>
      </c>
      <c r="N411" s="89" t="s">
        <v>2767</v>
      </c>
      <c r="O411" s="89" t="s">
        <v>2767</v>
      </c>
    </row>
    <row r="412" spans="1:15" x14ac:dyDescent="0.25">
      <c r="A412">
        <f t="shared" si="6"/>
        <v>411</v>
      </c>
      <c r="B412" s="7" t="s">
        <v>2294</v>
      </c>
      <c r="C412" s="40">
        <v>45216</v>
      </c>
      <c r="D412" t="s">
        <v>2303</v>
      </c>
      <c r="E412" t="s">
        <v>2304</v>
      </c>
      <c r="F412" t="s">
        <v>2305</v>
      </c>
      <c r="G412" t="s">
        <v>197</v>
      </c>
      <c r="H412" s="38">
        <v>2834</v>
      </c>
      <c r="I412" t="s">
        <v>2306</v>
      </c>
      <c r="J412" t="s">
        <v>2320</v>
      </c>
      <c r="K412" s="89" t="s">
        <v>838</v>
      </c>
      <c r="L412" s="89" t="s">
        <v>838</v>
      </c>
      <c r="M412" s="89" t="s">
        <v>838</v>
      </c>
      <c r="N412" s="89" t="s">
        <v>2767</v>
      </c>
      <c r="O412" s="89" t="s">
        <v>2767</v>
      </c>
    </row>
    <row r="413" spans="1:15" x14ac:dyDescent="0.25">
      <c r="A413">
        <f t="shared" si="6"/>
        <v>412</v>
      </c>
      <c r="B413" s="7" t="s">
        <v>2295</v>
      </c>
      <c r="C413" s="40">
        <v>45217</v>
      </c>
      <c r="D413" t="s">
        <v>2307</v>
      </c>
      <c r="E413" t="s">
        <v>2308</v>
      </c>
      <c r="F413" t="s">
        <v>2309</v>
      </c>
      <c r="G413" t="s">
        <v>197</v>
      </c>
      <c r="H413" s="38">
        <v>4922.1000000000004</v>
      </c>
      <c r="I413" t="s">
        <v>2310</v>
      </c>
      <c r="J413" t="s">
        <v>999</v>
      </c>
      <c r="K413" s="89" t="s">
        <v>838</v>
      </c>
      <c r="L413" s="89" t="s">
        <v>838</v>
      </c>
      <c r="M413" s="89" t="s">
        <v>838</v>
      </c>
      <c r="N413" s="89" t="s">
        <v>2767</v>
      </c>
      <c r="O413" s="89" t="s">
        <v>2767</v>
      </c>
    </row>
    <row r="414" spans="1:15" x14ac:dyDescent="0.25">
      <c r="A414">
        <f t="shared" si="6"/>
        <v>413</v>
      </c>
      <c r="B414" s="7" t="s">
        <v>2296</v>
      </c>
      <c r="C414" s="40">
        <v>45217</v>
      </c>
      <c r="D414" t="s">
        <v>2311</v>
      </c>
      <c r="E414" t="s">
        <v>2312</v>
      </c>
      <c r="F414" t="s">
        <v>2313</v>
      </c>
      <c r="G414" t="s">
        <v>197</v>
      </c>
      <c r="H414" s="38">
        <v>1150</v>
      </c>
      <c r="I414" t="s">
        <v>2121</v>
      </c>
      <c r="J414" t="s">
        <v>2321</v>
      </c>
      <c r="K414" s="89" t="s">
        <v>838</v>
      </c>
      <c r="L414" s="89" t="s">
        <v>838</v>
      </c>
      <c r="M414" s="89" t="s">
        <v>838</v>
      </c>
      <c r="N414" s="89" t="s">
        <v>2767</v>
      </c>
      <c r="O414" s="89" t="s">
        <v>2767</v>
      </c>
    </row>
    <row r="415" spans="1:15" x14ac:dyDescent="0.25">
      <c r="A415" s="83">
        <f t="shared" si="6"/>
        <v>414</v>
      </c>
      <c r="B415" s="7" t="s">
        <v>2314</v>
      </c>
      <c r="C415" s="40">
        <v>45210</v>
      </c>
      <c r="D415" t="s">
        <v>2253</v>
      </c>
      <c r="E415" t="s">
        <v>2317</v>
      </c>
      <c r="F415" t="s">
        <v>2318</v>
      </c>
      <c r="G415" t="s">
        <v>192</v>
      </c>
      <c r="H415" s="38">
        <v>1074</v>
      </c>
      <c r="I415" t="s">
        <v>2319</v>
      </c>
      <c r="J415" t="s">
        <v>2331</v>
      </c>
      <c r="K415" s="89" t="s">
        <v>838</v>
      </c>
      <c r="L415" s="89" t="s">
        <v>838</v>
      </c>
      <c r="M415" s="89" t="s">
        <v>838</v>
      </c>
      <c r="N415" s="89" t="s">
        <v>2767</v>
      </c>
      <c r="O415" s="89" t="s">
        <v>2767</v>
      </c>
    </row>
    <row r="416" spans="1:15" x14ac:dyDescent="0.25">
      <c r="A416" s="83">
        <f t="shared" si="6"/>
        <v>415</v>
      </c>
      <c r="B416" s="7" t="s">
        <v>2315</v>
      </c>
      <c r="C416" s="40">
        <v>45218</v>
      </c>
      <c r="D416" t="s">
        <v>2322</v>
      </c>
      <c r="E416" t="s">
        <v>2323</v>
      </c>
      <c r="F416" t="s">
        <v>2324</v>
      </c>
      <c r="G416" t="s">
        <v>192</v>
      </c>
      <c r="H416" s="38">
        <v>1575</v>
      </c>
      <c r="I416" t="s">
        <v>2325</v>
      </c>
      <c r="J416" t="s">
        <v>2330</v>
      </c>
      <c r="K416" s="89" t="s">
        <v>838</v>
      </c>
      <c r="L416" s="89" t="s">
        <v>838</v>
      </c>
      <c r="M416" s="89" t="s">
        <v>838</v>
      </c>
      <c r="N416" s="89" t="s">
        <v>2767</v>
      </c>
      <c r="O416" s="89" t="s">
        <v>2767</v>
      </c>
    </row>
    <row r="417" spans="1:15" x14ac:dyDescent="0.25">
      <c r="A417">
        <f t="shared" si="6"/>
        <v>416</v>
      </c>
      <c r="B417" s="7" t="s">
        <v>2316</v>
      </c>
      <c r="C417" s="40">
        <v>45218</v>
      </c>
      <c r="D417" t="s">
        <v>2326</v>
      </c>
      <c r="E417" t="s">
        <v>2327</v>
      </c>
      <c r="F417" t="s">
        <v>2328</v>
      </c>
      <c r="G417" t="s">
        <v>197</v>
      </c>
      <c r="H417" s="38">
        <v>1717</v>
      </c>
      <c r="I417" t="s">
        <v>2329</v>
      </c>
      <c r="J417" t="s">
        <v>219</v>
      </c>
      <c r="K417" s="89" t="s">
        <v>838</v>
      </c>
      <c r="L417" s="89" t="s">
        <v>838</v>
      </c>
      <c r="M417" s="89" t="s">
        <v>838</v>
      </c>
      <c r="N417" s="89" t="s">
        <v>2767</v>
      </c>
      <c r="O417" s="89" t="s">
        <v>2767</v>
      </c>
    </row>
    <row r="418" spans="1:15" x14ac:dyDescent="0.25">
      <c r="A418">
        <f t="shared" si="6"/>
        <v>417</v>
      </c>
      <c r="B418" s="7" t="s">
        <v>2332</v>
      </c>
      <c r="C418" s="40">
        <v>45220</v>
      </c>
      <c r="D418" t="s">
        <v>2334</v>
      </c>
      <c r="E418" t="s">
        <v>2335</v>
      </c>
      <c r="F418" t="s">
        <v>2336</v>
      </c>
      <c r="G418" t="s">
        <v>197</v>
      </c>
      <c r="H418" s="38">
        <v>1425</v>
      </c>
      <c r="I418" t="s">
        <v>2337</v>
      </c>
      <c r="J418" t="s">
        <v>2343</v>
      </c>
      <c r="K418" s="89" t="s">
        <v>838</v>
      </c>
      <c r="L418" s="89" t="s">
        <v>838</v>
      </c>
      <c r="M418" s="89" t="s">
        <v>838</v>
      </c>
      <c r="N418" s="89" t="s">
        <v>2767</v>
      </c>
      <c r="O418" s="89" t="s">
        <v>2767</v>
      </c>
    </row>
    <row r="419" spans="1:15" x14ac:dyDescent="0.25">
      <c r="A419" s="83">
        <f t="shared" si="6"/>
        <v>418</v>
      </c>
      <c r="B419" s="7" t="s">
        <v>2333</v>
      </c>
      <c r="C419" s="40">
        <v>45220</v>
      </c>
      <c r="D419" t="s">
        <v>2311</v>
      </c>
      <c r="E419" t="s">
        <v>2312</v>
      </c>
      <c r="F419" t="s">
        <v>2338</v>
      </c>
      <c r="G419" t="s">
        <v>192</v>
      </c>
      <c r="H419" s="38">
        <v>956</v>
      </c>
      <c r="I419" t="s">
        <v>769</v>
      </c>
      <c r="J419" t="s">
        <v>582</v>
      </c>
      <c r="K419" s="89" t="s">
        <v>838</v>
      </c>
      <c r="L419" s="89" t="s">
        <v>838</v>
      </c>
      <c r="M419" s="89" t="s">
        <v>838</v>
      </c>
      <c r="N419" s="89" t="s">
        <v>2767</v>
      </c>
      <c r="O419" s="89" t="s">
        <v>2767</v>
      </c>
    </row>
    <row r="420" spans="1:15" x14ac:dyDescent="0.25">
      <c r="A420" s="81">
        <f t="shared" si="6"/>
        <v>419</v>
      </c>
      <c r="B420" s="7" t="s">
        <v>2339</v>
      </c>
      <c r="C420" s="40">
        <v>45201</v>
      </c>
      <c r="D420" t="s">
        <v>2132</v>
      </c>
      <c r="E420" t="s">
        <v>1745</v>
      </c>
      <c r="F420" t="s">
        <v>2133</v>
      </c>
      <c r="G420" t="s">
        <v>192</v>
      </c>
      <c r="H420" s="38">
        <v>7522.58</v>
      </c>
      <c r="I420" t="s">
        <v>2342</v>
      </c>
      <c r="J420" t="s">
        <v>219</v>
      </c>
      <c r="K420" s="89" t="s">
        <v>838</v>
      </c>
      <c r="L420" s="89" t="s">
        <v>838</v>
      </c>
      <c r="M420" s="89" t="s">
        <v>838</v>
      </c>
      <c r="N420" s="89" t="s">
        <v>2767</v>
      </c>
      <c r="O420" s="89" t="s">
        <v>2767</v>
      </c>
    </row>
    <row r="421" spans="1:15" x14ac:dyDescent="0.25">
      <c r="A421">
        <f t="shared" si="6"/>
        <v>420</v>
      </c>
      <c r="B421" s="7" t="s">
        <v>2340</v>
      </c>
      <c r="C421" s="40">
        <v>45222</v>
      </c>
      <c r="D421" t="s">
        <v>2344</v>
      </c>
      <c r="E421" t="s">
        <v>2345</v>
      </c>
      <c r="F421" t="s">
        <v>2346</v>
      </c>
      <c r="G421" t="s">
        <v>197</v>
      </c>
      <c r="H421" s="38">
        <v>1857</v>
      </c>
      <c r="I421" t="s">
        <v>2347</v>
      </c>
      <c r="J421" t="s">
        <v>2363</v>
      </c>
      <c r="K421" s="89" t="s">
        <v>838</v>
      </c>
      <c r="L421" s="89" t="s">
        <v>838</v>
      </c>
      <c r="M421" s="89" t="s">
        <v>838</v>
      </c>
      <c r="N421" s="89" t="s">
        <v>2767</v>
      </c>
      <c r="O421" s="89" t="s">
        <v>2767</v>
      </c>
    </row>
    <row r="422" spans="1:15" x14ac:dyDescent="0.25">
      <c r="A422">
        <f t="shared" si="6"/>
        <v>421</v>
      </c>
      <c r="B422" s="7" t="s">
        <v>2341</v>
      </c>
      <c r="C422" s="40">
        <v>45222</v>
      </c>
      <c r="D422" t="s">
        <v>2348</v>
      </c>
      <c r="E422" t="s">
        <v>2349</v>
      </c>
      <c r="F422" t="s">
        <v>2350</v>
      </c>
      <c r="G422" t="s">
        <v>197</v>
      </c>
      <c r="H422" s="38">
        <v>2079</v>
      </c>
      <c r="I422" t="s">
        <v>2351</v>
      </c>
      <c r="J422" t="s">
        <v>310</v>
      </c>
      <c r="K422" s="89" t="s">
        <v>838</v>
      </c>
      <c r="L422" s="89" t="s">
        <v>838</v>
      </c>
      <c r="M422" s="89" t="s">
        <v>838</v>
      </c>
      <c r="N422" s="89" t="s">
        <v>2767</v>
      </c>
      <c r="O422" s="89" t="s">
        <v>2767</v>
      </c>
    </row>
    <row r="423" spans="1:15" x14ac:dyDescent="0.25">
      <c r="A423">
        <f t="shared" si="6"/>
        <v>422</v>
      </c>
      <c r="B423" s="7" t="s">
        <v>2352</v>
      </c>
      <c r="C423" s="40">
        <v>45197</v>
      </c>
      <c r="D423" t="s">
        <v>2353</v>
      </c>
      <c r="E423" t="s">
        <v>2354</v>
      </c>
      <c r="F423" t="s">
        <v>2355</v>
      </c>
      <c r="G423" t="s">
        <v>197</v>
      </c>
      <c r="H423" s="38">
        <v>2257</v>
      </c>
      <c r="I423" t="s">
        <v>2356</v>
      </c>
      <c r="J423" t="s">
        <v>2364</v>
      </c>
      <c r="K423" s="89" t="s">
        <v>838</v>
      </c>
      <c r="L423" s="89" t="s">
        <v>838</v>
      </c>
      <c r="M423" s="89" t="s">
        <v>838</v>
      </c>
      <c r="N423" s="89" t="s">
        <v>2767</v>
      </c>
      <c r="O423" s="89" t="s">
        <v>2767</v>
      </c>
    </row>
    <row r="424" spans="1:15" x14ac:dyDescent="0.25">
      <c r="A424" s="81">
        <f t="shared" si="6"/>
        <v>423</v>
      </c>
      <c r="B424" s="7" t="s">
        <v>2357</v>
      </c>
      <c r="C424" s="40">
        <v>45223</v>
      </c>
      <c r="D424" t="s">
        <v>2132</v>
      </c>
      <c r="E424" t="s">
        <v>1745</v>
      </c>
      <c r="F424" t="s">
        <v>2133</v>
      </c>
      <c r="G424" t="s">
        <v>192</v>
      </c>
      <c r="H424" s="38">
        <v>5724.64</v>
      </c>
      <c r="I424" t="s">
        <v>2360</v>
      </c>
      <c r="J424" t="s">
        <v>219</v>
      </c>
      <c r="K424" s="89" t="s">
        <v>838</v>
      </c>
      <c r="L424" s="89" t="s">
        <v>838</v>
      </c>
      <c r="M424" s="89" t="s">
        <v>838</v>
      </c>
      <c r="N424" s="89" t="s">
        <v>2767</v>
      </c>
      <c r="O424" s="89" t="s">
        <v>2767</v>
      </c>
    </row>
    <row r="425" spans="1:15" x14ac:dyDescent="0.25">
      <c r="A425" s="83">
        <f t="shared" si="6"/>
        <v>424</v>
      </c>
      <c r="B425" s="7" t="s">
        <v>2358</v>
      </c>
      <c r="C425" s="40">
        <v>45224</v>
      </c>
      <c r="D425" t="s">
        <v>778</v>
      </c>
      <c r="E425" t="s">
        <v>2361</v>
      </c>
      <c r="F425" t="s">
        <v>780</v>
      </c>
      <c r="G425" t="s">
        <v>192</v>
      </c>
      <c r="H425" s="38">
        <v>1170</v>
      </c>
      <c r="I425" t="s">
        <v>1163</v>
      </c>
      <c r="J425" t="s">
        <v>2365</v>
      </c>
      <c r="K425" s="89" t="s">
        <v>838</v>
      </c>
      <c r="L425" s="89" t="s">
        <v>838</v>
      </c>
      <c r="M425" s="89" t="s">
        <v>838</v>
      </c>
      <c r="N425" s="89" t="s">
        <v>2767</v>
      </c>
      <c r="O425" s="89" t="s">
        <v>2767</v>
      </c>
    </row>
    <row r="426" spans="1:15" x14ac:dyDescent="0.25">
      <c r="A426" s="83">
        <f t="shared" si="6"/>
        <v>425</v>
      </c>
      <c r="B426" s="7" t="s">
        <v>2359</v>
      </c>
      <c r="C426" s="40">
        <v>45224</v>
      </c>
      <c r="D426" t="s">
        <v>1285</v>
      </c>
      <c r="E426" t="s">
        <v>682</v>
      </c>
      <c r="F426" t="s">
        <v>1286</v>
      </c>
      <c r="G426" t="s">
        <v>192</v>
      </c>
      <c r="H426" s="38">
        <v>1652</v>
      </c>
      <c r="I426" t="s">
        <v>2362</v>
      </c>
      <c r="J426" t="s">
        <v>219</v>
      </c>
      <c r="K426" s="89" t="s">
        <v>838</v>
      </c>
      <c r="L426" s="89" t="s">
        <v>838</v>
      </c>
      <c r="M426" s="89" t="s">
        <v>838</v>
      </c>
      <c r="N426" s="89" t="s">
        <v>2767</v>
      </c>
      <c r="O426" s="89" t="s">
        <v>2767</v>
      </c>
    </row>
    <row r="427" spans="1:15" x14ac:dyDescent="0.25">
      <c r="A427" s="81">
        <f t="shared" si="6"/>
        <v>426</v>
      </c>
      <c r="B427" s="7" t="s">
        <v>2366</v>
      </c>
      <c r="C427" s="40">
        <v>45225</v>
      </c>
      <c r="D427" t="s">
        <v>2367</v>
      </c>
      <c r="E427" t="s">
        <v>2368</v>
      </c>
      <c r="F427" t="s">
        <v>2369</v>
      </c>
      <c r="G427" t="s">
        <v>192</v>
      </c>
      <c r="H427" s="38">
        <v>1781.76</v>
      </c>
      <c r="I427" t="s">
        <v>2370</v>
      </c>
      <c r="J427" t="s">
        <v>2378</v>
      </c>
      <c r="K427" s="89" t="s">
        <v>838</v>
      </c>
      <c r="L427" s="89" t="s">
        <v>838</v>
      </c>
      <c r="M427" s="89" t="s">
        <v>838</v>
      </c>
      <c r="N427" s="89" t="s">
        <v>2767</v>
      </c>
      <c r="O427" s="89" t="s">
        <v>2767</v>
      </c>
    </row>
    <row r="428" spans="1:15" x14ac:dyDescent="0.25">
      <c r="A428">
        <f t="shared" si="6"/>
        <v>427</v>
      </c>
      <c r="B428" s="7" t="s">
        <v>2371</v>
      </c>
      <c r="C428" s="40">
        <v>45222</v>
      </c>
      <c r="D428" t="s">
        <v>2374</v>
      </c>
      <c r="E428" t="s">
        <v>2375</v>
      </c>
      <c r="F428" t="s">
        <v>2376</v>
      </c>
      <c r="G428" t="s">
        <v>197</v>
      </c>
      <c r="H428" s="38">
        <v>1039</v>
      </c>
      <c r="I428" t="s">
        <v>2377</v>
      </c>
      <c r="J428" t="s">
        <v>2229</v>
      </c>
      <c r="K428" s="89" t="s">
        <v>838</v>
      </c>
      <c r="L428" s="89" t="s">
        <v>838</v>
      </c>
      <c r="M428" s="89" t="s">
        <v>838</v>
      </c>
      <c r="N428" s="89" t="s">
        <v>2767</v>
      </c>
      <c r="O428" s="89" t="s">
        <v>2767</v>
      </c>
    </row>
    <row r="429" spans="1:15" x14ac:dyDescent="0.25">
      <c r="A429">
        <f t="shared" si="6"/>
        <v>428</v>
      </c>
      <c r="B429" s="7" t="s">
        <v>2372</v>
      </c>
      <c r="C429" s="40">
        <v>45226</v>
      </c>
      <c r="D429" t="s">
        <v>2379</v>
      </c>
      <c r="E429" t="s">
        <v>2380</v>
      </c>
      <c r="F429" t="s">
        <v>2381</v>
      </c>
      <c r="G429" t="s">
        <v>197</v>
      </c>
      <c r="H429" s="38">
        <v>960</v>
      </c>
      <c r="I429" t="s">
        <v>526</v>
      </c>
      <c r="J429" s="89" t="s">
        <v>2229</v>
      </c>
      <c r="K429" s="89" t="s">
        <v>838</v>
      </c>
      <c r="L429" s="89" t="s">
        <v>838</v>
      </c>
      <c r="M429" s="89" t="s">
        <v>838</v>
      </c>
      <c r="N429" s="89" t="s">
        <v>2767</v>
      </c>
      <c r="O429" s="89" t="s">
        <v>2767</v>
      </c>
    </row>
    <row r="430" spans="1:15" x14ac:dyDescent="0.25">
      <c r="A430">
        <f t="shared" si="6"/>
        <v>429</v>
      </c>
      <c r="B430" s="7" t="s">
        <v>2373</v>
      </c>
      <c r="C430" s="40">
        <v>45227</v>
      </c>
      <c r="D430" t="s">
        <v>2382</v>
      </c>
      <c r="E430" t="s">
        <v>2383</v>
      </c>
      <c r="F430" t="s">
        <v>2384</v>
      </c>
      <c r="G430" t="s">
        <v>197</v>
      </c>
      <c r="H430" s="38">
        <v>1640</v>
      </c>
      <c r="I430" t="s">
        <v>2385</v>
      </c>
      <c r="J430" t="s">
        <v>2395</v>
      </c>
      <c r="K430" s="89" t="s">
        <v>838</v>
      </c>
      <c r="L430" s="89" t="s">
        <v>838</v>
      </c>
      <c r="M430" s="89" t="s">
        <v>838</v>
      </c>
      <c r="N430" s="89" t="s">
        <v>2767</v>
      </c>
      <c r="O430" s="89" t="s">
        <v>2767</v>
      </c>
    </row>
    <row r="431" spans="1:15" x14ac:dyDescent="0.25">
      <c r="A431" s="79">
        <f t="shared" si="6"/>
        <v>430</v>
      </c>
      <c r="B431" s="7" t="s">
        <v>2386</v>
      </c>
      <c r="C431" s="40">
        <v>45181</v>
      </c>
      <c r="D431" t="s">
        <v>2391</v>
      </c>
      <c r="E431" t="s">
        <v>2392</v>
      </c>
      <c r="F431" t="s">
        <v>2393</v>
      </c>
      <c r="G431" t="s">
        <v>197</v>
      </c>
      <c r="H431" s="38">
        <v>1091.4000000000001</v>
      </c>
      <c r="I431" t="s">
        <v>2394</v>
      </c>
      <c r="J431" t="s">
        <v>2415</v>
      </c>
      <c r="K431" s="89" t="s">
        <v>838</v>
      </c>
      <c r="L431" s="89" t="s">
        <v>838</v>
      </c>
      <c r="M431" s="89" t="s">
        <v>838</v>
      </c>
      <c r="N431" s="89" t="s">
        <v>2767</v>
      </c>
      <c r="O431" s="89" t="s">
        <v>2767</v>
      </c>
    </row>
    <row r="432" spans="1:15" x14ac:dyDescent="0.25">
      <c r="A432" s="83">
        <f t="shared" si="6"/>
        <v>431</v>
      </c>
      <c r="B432" s="7" t="s">
        <v>2387</v>
      </c>
      <c r="C432" s="40">
        <v>45215</v>
      </c>
      <c r="D432" t="s">
        <v>272</v>
      </c>
      <c r="E432" t="s">
        <v>2396</v>
      </c>
      <c r="F432" t="s">
        <v>2397</v>
      </c>
      <c r="G432" t="s">
        <v>192</v>
      </c>
      <c r="H432" s="38">
        <v>3450.4</v>
      </c>
      <c r="I432" t="s">
        <v>2398</v>
      </c>
      <c r="J432" t="s">
        <v>219</v>
      </c>
      <c r="K432" s="89" t="s">
        <v>838</v>
      </c>
      <c r="L432" s="89" t="s">
        <v>838</v>
      </c>
      <c r="M432" s="89" t="s">
        <v>838</v>
      </c>
      <c r="N432" s="89" t="s">
        <v>2767</v>
      </c>
      <c r="O432" s="89" t="s">
        <v>2767</v>
      </c>
    </row>
    <row r="433" spans="1:15" x14ac:dyDescent="0.25">
      <c r="A433">
        <f t="shared" si="6"/>
        <v>432</v>
      </c>
      <c r="B433" s="7" t="s">
        <v>2388</v>
      </c>
      <c r="C433" s="40">
        <v>45219</v>
      </c>
      <c r="D433" t="s">
        <v>2399</v>
      </c>
      <c r="E433" t="s">
        <v>2400</v>
      </c>
      <c r="F433" t="s">
        <v>2401</v>
      </c>
      <c r="G433" t="s">
        <v>197</v>
      </c>
      <c r="H433" s="38">
        <v>974</v>
      </c>
      <c r="I433" t="s">
        <v>2402</v>
      </c>
      <c r="J433" t="s">
        <v>2430</v>
      </c>
      <c r="K433" s="89" t="s">
        <v>838</v>
      </c>
      <c r="L433" s="89" t="s">
        <v>838</v>
      </c>
      <c r="M433" s="89" t="s">
        <v>838</v>
      </c>
      <c r="N433" s="89" t="s">
        <v>2767</v>
      </c>
      <c r="O433" s="89" t="s">
        <v>2767</v>
      </c>
    </row>
    <row r="434" spans="1:15" x14ac:dyDescent="0.25">
      <c r="A434" s="83">
        <f t="shared" si="6"/>
        <v>433</v>
      </c>
      <c r="B434" s="7" t="s">
        <v>2389</v>
      </c>
      <c r="C434" s="40">
        <v>45223</v>
      </c>
      <c r="D434" t="s">
        <v>2230</v>
      </c>
      <c r="E434" t="s">
        <v>2231</v>
      </c>
      <c r="F434" t="s">
        <v>2403</v>
      </c>
      <c r="G434" t="s">
        <v>192</v>
      </c>
      <c r="H434" s="38">
        <v>1090</v>
      </c>
      <c r="I434" t="s">
        <v>2319</v>
      </c>
      <c r="J434" t="s">
        <v>2416</v>
      </c>
      <c r="K434" s="89" t="s">
        <v>838</v>
      </c>
      <c r="L434" s="89" t="s">
        <v>838</v>
      </c>
      <c r="M434" s="89" t="s">
        <v>838</v>
      </c>
      <c r="N434" s="89" t="s">
        <v>2767</v>
      </c>
      <c r="O434" s="89" t="s">
        <v>2767</v>
      </c>
    </row>
    <row r="435" spans="1:15" x14ac:dyDescent="0.25">
      <c r="A435">
        <f t="shared" si="6"/>
        <v>434</v>
      </c>
      <c r="B435" s="7" t="s">
        <v>2390</v>
      </c>
      <c r="C435" s="40">
        <v>45230</v>
      </c>
      <c r="D435" t="s">
        <v>2404</v>
      </c>
      <c r="E435" t="s">
        <v>2405</v>
      </c>
      <c r="F435" t="s">
        <v>2406</v>
      </c>
      <c r="G435" t="s">
        <v>197</v>
      </c>
      <c r="H435" s="38">
        <v>2689</v>
      </c>
      <c r="I435" t="s">
        <v>2407</v>
      </c>
      <c r="J435" t="s">
        <v>219</v>
      </c>
      <c r="K435" s="89" t="s">
        <v>838</v>
      </c>
      <c r="L435" s="89" t="s">
        <v>838</v>
      </c>
      <c r="M435" s="89" t="s">
        <v>838</v>
      </c>
      <c r="N435" s="89" t="s">
        <v>2767</v>
      </c>
      <c r="O435" s="89" t="s">
        <v>2767</v>
      </c>
    </row>
    <row r="436" spans="1:15" x14ac:dyDescent="0.25">
      <c r="A436" s="83">
        <f t="shared" si="6"/>
        <v>435</v>
      </c>
      <c r="B436" s="7" t="s">
        <v>2408</v>
      </c>
      <c r="C436" s="40">
        <v>45216</v>
      </c>
      <c r="D436" t="s">
        <v>628</v>
      </c>
      <c r="E436" t="s">
        <v>629</v>
      </c>
      <c r="F436" t="s">
        <v>2413</v>
      </c>
      <c r="G436" t="s">
        <v>192</v>
      </c>
      <c r="H436" s="38">
        <v>3410</v>
      </c>
      <c r="I436" t="s">
        <v>2414</v>
      </c>
      <c r="J436" t="s">
        <v>219</v>
      </c>
      <c r="K436" t="s">
        <v>838</v>
      </c>
      <c r="L436" s="89" t="s">
        <v>838</v>
      </c>
      <c r="M436" s="89" t="s">
        <v>2767</v>
      </c>
      <c r="N436" s="89" t="s">
        <v>2767</v>
      </c>
      <c r="O436" s="89" t="s">
        <v>2767</v>
      </c>
    </row>
    <row r="437" spans="1:15" x14ac:dyDescent="0.25">
      <c r="A437">
        <f t="shared" si="6"/>
        <v>436</v>
      </c>
      <c r="B437" s="7" t="s">
        <v>2409</v>
      </c>
      <c r="C437" s="40">
        <v>45231</v>
      </c>
      <c r="D437" t="s">
        <v>2417</v>
      </c>
      <c r="E437" t="s">
        <v>2418</v>
      </c>
      <c r="F437" t="s">
        <v>2419</v>
      </c>
      <c r="G437" t="s">
        <v>197</v>
      </c>
      <c r="H437" s="38">
        <v>1196</v>
      </c>
      <c r="I437" t="s">
        <v>2420</v>
      </c>
      <c r="J437" t="s">
        <v>219</v>
      </c>
      <c r="K437" t="s">
        <v>2767</v>
      </c>
      <c r="L437" s="89" t="s">
        <v>2767</v>
      </c>
      <c r="M437" s="89" t="s">
        <v>2767</v>
      </c>
      <c r="N437" s="89" t="s">
        <v>838</v>
      </c>
      <c r="O437" s="89" t="s">
        <v>838</v>
      </c>
    </row>
    <row r="438" spans="1:15" x14ac:dyDescent="0.25">
      <c r="A438" s="83">
        <f t="shared" si="6"/>
        <v>437</v>
      </c>
      <c r="B438" s="7" t="s">
        <v>2410</v>
      </c>
      <c r="C438" s="40">
        <v>45231</v>
      </c>
      <c r="D438" t="s">
        <v>268</v>
      </c>
      <c r="E438" t="s">
        <v>269</v>
      </c>
      <c r="F438" s="89" t="s">
        <v>2421</v>
      </c>
      <c r="G438" t="s">
        <v>192</v>
      </c>
      <c r="H438" s="38">
        <v>1490</v>
      </c>
      <c r="I438" t="s">
        <v>2422</v>
      </c>
      <c r="J438" t="s">
        <v>2431</v>
      </c>
      <c r="K438" t="s">
        <v>2767</v>
      </c>
      <c r="L438" s="89" t="s">
        <v>2767</v>
      </c>
      <c r="M438" s="89" t="s">
        <v>2767</v>
      </c>
      <c r="N438" s="89" t="s">
        <v>838</v>
      </c>
      <c r="O438" s="89" t="s">
        <v>838</v>
      </c>
    </row>
    <row r="439" spans="1:15" x14ac:dyDescent="0.25">
      <c r="A439">
        <f t="shared" si="6"/>
        <v>438</v>
      </c>
      <c r="B439" s="7" t="s">
        <v>2411</v>
      </c>
      <c r="C439" s="40">
        <v>45229</v>
      </c>
      <c r="D439" t="s">
        <v>2423</v>
      </c>
      <c r="E439" t="s">
        <v>2424</v>
      </c>
      <c r="F439" t="s">
        <v>2425</v>
      </c>
      <c r="G439" t="s">
        <v>197</v>
      </c>
      <c r="H439" s="38">
        <v>956</v>
      </c>
      <c r="I439" t="s">
        <v>2426</v>
      </c>
      <c r="J439" t="s">
        <v>2432</v>
      </c>
      <c r="K439" t="s">
        <v>2767</v>
      </c>
      <c r="L439" s="89" t="s">
        <v>2767</v>
      </c>
      <c r="M439" s="89" t="s">
        <v>2767</v>
      </c>
      <c r="N439" s="89" t="s">
        <v>838</v>
      </c>
      <c r="O439" s="89" t="s">
        <v>838</v>
      </c>
    </row>
    <row r="440" spans="1:15" x14ac:dyDescent="0.25">
      <c r="A440">
        <f t="shared" si="6"/>
        <v>439</v>
      </c>
      <c r="B440" s="98" t="s">
        <v>2412</v>
      </c>
      <c r="C440" s="40">
        <v>45233</v>
      </c>
      <c r="D440" t="s">
        <v>2427</v>
      </c>
      <c r="E440" t="s">
        <v>2428</v>
      </c>
      <c r="F440" t="s">
        <v>2429</v>
      </c>
      <c r="G440" t="s">
        <v>197</v>
      </c>
      <c r="H440" s="38">
        <v>960</v>
      </c>
      <c r="I440" t="s">
        <v>526</v>
      </c>
      <c r="J440" t="s">
        <v>300</v>
      </c>
      <c r="K440" t="s">
        <v>2767</v>
      </c>
      <c r="L440" s="89" t="s">
        <v>2767</v>
      </c>
      <c r="M440" s="89" t="s">
        <v>2767</v>
      </c>
      <c r="N440" s="89" t="s">
        <v>838</v>
      </c>
      <c r="O440" s="89" t="s">
        <v>838</v>
      </c>
    </row>
    <row r="441" spans="1:15" x14ac:dyDescent="0.25">
      <c r="A441" s="83">
        <f t="shared" si="6"/>
        <v>440</v>
      </c>
      <c r="B441" s="7" t="s">
        <v>2433</v>
      </c>
      <c r="C441" s="40">
        <v>45236</v>
      </c>
      <c r="D441" t="s">
        <v>1809</v>
      </c>
      <c r="E441" t="s">
        <v>1810</v>
      </c>
      <c r="F441" t="s">
        <v>2436</v>
      </c>
      <c r="G441" t="s">
        <v>192</v>
      </c>
      <c r="H441" s="38">
        <v>2872</v>
      </c>
      <c r="I441" t="s">
        <v>2437</v>
      </c>
      <c r="J441" t="s">
        <v>2446</v>
      </c>
      <c r="K441" t="s">
        <v>2767</v>
      </c>
      <c r="L441" s="89" t="s">
        <v>2767</v>
      </c>
      <c r="M441" s="89" t="s">
        <v>2767</v>
      </c>
      <c r="N441" s="89" t="s">
        <v>838</v>
      </c>
      <c r="O441" s="89" t="s">
        <v>838</v>
      </c>
    </row>
    <row r="442" spans="1:15" x14ac:dyDescent="0.25">
      <c r="A442" s="83">
        <f t="shared" si="6"/>
        <v>441</v>
      </c>
      <c r="B442" s="7" t="s">
        <v>2434</v>
      </c>
      <c r="C442" s="40">
        <v>45236</v>
      </c>
      <c r="D442" t="s">
        <v>2438</v>
      </c>
      <c r="E442" t="s">
        <v>2439</v>
      </c>
      <c r="F442" t="s">
        <v>2440</v>
      </c>
      <c r="G442" t="s">
        <v>197</v>
      </c>
      <c r="H442" s="38">
        <v>1026</v>
      </c>
      <c r="I442" t="s">
        <v>2441</v>
      </c>
      <c r="J442" t="s">
        <v>879</v>
      </c>
      <c r="K442" t="s">
        <v>2767</v>
      </c>
      <c r="L442" s="89" t="s">
        <v>2767</v>
      </c>
      <c r="M442" s="89" t="s">
        <v>2767</v>
      </c>
      <c r="N442" s="89" t="s">
        <v>838</v>
      </c>
      <c r="O442" s="89" t="s">
        <v>838</v>
      </c>
    </row>
    <row r="443" spans="1:15" x14ac:dyDescent="0.25">
      <c r="A443">
        <f t="shared" si="6"/>
        <v>442</v>
      </c>
      <c r="B443" s="7" t="s">
        <v>2435</v>
      </c>
      <c r="C443" s="40">
        <v>45236</v>
      </c>
      <c r="D443" t="s">
        <v>2442</v>
      </c>
      <c r="E443" t="s">
        <v>2443</v>
      </c>
      <c r="F443" t="s">
        <v>2444</v>
      </c>
      <c r="G443" t="s">
        <v>197</v>
      </c>
      <c r="H443" s="38">
        <v>3564</v>
      </c>
      <c r="I443" t="s">
        <v>2445</v>
      </c>
      <c r="J443" t="s">
        <v>204</v>
      </c>
      <c r="K443" t="s">
        <v>2767</v>
      </c>
      <c r="L443" s="89" t="s">
        <v>2767</v>
      </c>
      <c r="M443" s="89" t="s">
        <v>2767</v>
      </c>
      <c r="N443" s="89" t="s">
        <v>838</v>
      </c>
      <c r="O443" s="89" t="s">
        <v>838</v>
      </c>
    </row>
    <row r="444" spans="1:15" x14ac:dyDescent="0.25">
      <c r="A444">
        <f t="shared" si="6"/>
        <v>443</v>
      </c>
      <c r="B444" s="7" t="s">
        <v>2447</v>
      </c>
      <c r="C444" s="40">
        <v>45237</v>
      </c>
      <c r="D444" t="s">
        <v>2448</v>
      </c>
      <c r="E444" t="s">
        <v>2449</v>
      </c>
      <c r="F444" t="s">
        <v>2450</v>
      </c>
      <c r="G444" t="s">
        <v>197</v>
      </c>
      <c r="H444" s="38">
        <v>1610</v>
      </c>
      <c r="I444" t="s">
        <v>2451</v>
      </c>
      <c r="J444" t="s">
        <v>300</v>
      </c>
      <c r="K444" t="s">
        <v>2767</v>
      </c>
      <c r="L444" s="89" t="s">
        <v>2767</v>
      </c>
      <c r="M444" s="89" t="s">
        <v>2767</v>
      </c>
      <c r="N444" s="89" t="s">
        <v>838</v>
      </c>
      <c r="O444" s="89" t="s">
        <v>838</v>
      </c>
    </row>
    <row r="445" spans="1:15" x14ac:dyDescent="0.25">
      <c r="A445">
        <f t="shared" si="6"/>
        <v>444</v>
      </c>
      <c r="B445" s="7" t="s">
        <v>2454</v>
      </c>
      <c r="C445" s="40">
        <v>45238</v>
      </c>
      <c r="D445" t="s">
        <v>2456</v>
      </c>
      <c r="E445" t="s">
        <v>2457</v>
      </c>
      <c r="F445" t="s">
        <v>2458</v>
      </c>
      <c r="G445" t="s">
        <v>197</v>
      </c>
      <c r="H445" s="38">
        <v>1610</v>
      </c>
      <c r="I445" t="s">
        <v>2459</v>
      </c>
      <c r="J445" t="s">
        <v>337</v>
      </c>
      <c r="K445" t="s">
        <v>2767</v>
      </c>
      <c r="L445" s="89" t="s">
        <v>2767</v>
      </c>
      <c r="M445" s="89" t="s">
        <v>2767</v>
      </c>
      <c r="N445" s="89" t="s">
        <v>838</v>
      </c>
      <c r="O445" s="89" t="s">
        <v>838</v>
      </c>
    </row>
    <row r="446" spans="1:15" x14ac:dyDescent="0.25">
      <c r="A446">
        <f>A445+1</f>
        <v>445</v>
      </c>
      <c r="B446" s="98" t="s">
        <v>2455</v>
      </c>
      <c r="C446" s="40">
        <v>45238</v>
      </c>
      <c r="D446" t="s">
        <v>2460</v>
      </c>
      <c r="E446" t="s">
        <v>2461</v>
      </c>
      <c r="F446" t="s">
        <v>2462</v>
      </c>
      <c r="G446" t="s">
        <v>197</v>
      </c>
      <c r="H446" s="38">
        <v>1160</v>
      </c>
      <c r="I446" t="s">
        <v>1563</v>
      </c>
      <c r="J446" t="s">
        <v>2494</v>
      </c>
      <c r="K446" s="89" t="s">
        <v>2767</v>
      </c>
      <c r="L446" s="89" t="s">
        <v>2767</v>
      </c>
      <c r="M446" s="89" t="s">
        <v>2767</v>
      </c>
      <c r="N446" s="89" t="s">
        <v>838</v>
      </c>
      <c r="O446" s="89" t="s">
        <v>838</v>
      </c>
    </row>
    <row r="447" spans="1:15" x14ac:dyDescent="0.25">
      <c r="A447" s="81">
        <f t="shared" si="6"/>
        <v>446</v>
      </c>
      <c r="B447" s="7" t="s">
        <v>2463</v>
      </c>
      <c r="C447" s="40">
        <v>45239</v>
      </c>
      <c r="D447" t="s">
        <v>1333</v>
      </c>
      <c r="F447" t="s">
        <v>2464</v>
      </c>
      <c r="G447" t="s">
        <v>192</v>
      </c>
      <c r="H447" s="38">
        <v>13985.9</v>
      </c>
      <c r="I447" t="s">
        <v>2465</v>
      </c>
      <c r="J447" t="s">
        <v>2466</v>
      </c>
      <c r="K447" t="s">
        <v>2767</v>
      </c>
      <c r="L447" s="89" t="s">
        <v>2767</v>
      </c>
      <c r="M447" s="89" t="s">
        <v>2767</v>
      </c>
      <c r="N447" s="89" t="s">
        <v>838</v>
      </c>
      <c r="O447" s="89" t="s">
        <v>838</v>
      </c>
    </row>
    <row r="448" spans="1:15" x14ac:dyDescent="0.25">
      <c r="A448" s="83">
        <f t="shared" si="6"/>
        <v>447</v>
      </c>
      <c r="B448" s="7" t="s">
        <v>2467</v>
      </c>
      <c r="C448" s="40">
        <v>45224</v>
      </c>
      <c r="D448" t="s">
        <v>2472</v>
      </c>
      <c r="E448" t="s">
        <v>2473</v>
      </c>
      <c r="F448" t="s">
        <v>2474</v>
      </c>
      <c r="G448" t="s">
        <v>192</v>
      </c>
      <c r="H448" s="38">
        <v>4781.7</v>
      </c>
      <c r="I448" t="s">
        <v>2475</v>
      </c>
      <c r="J448" t="s">
        <v>219</v>
      </c>
      <c r="K448" t="s">
        <v>2767</v>
      </c>
      <c r="L448" s="89" t="s">
        <v>2767</v>
      </c>
      <c r="M448" s="89" t="s">
        <v>2767</v>
      </c>
      <c r="N448" s="89" t="s">
        <v>838</v>
      </c>
      <c r="O448" s="89" t="s">
        <v>838</v>
      </c>
    </row>
    <row r="449" spans="1:15" x14ac:dyDescent="0.25">
      <c r="A449" s="83">
        <f t="shared" si="6"/>
        <v>448</v>
      </c>
      <c r="B449" s="7" t="s">
        <v>2468</v>
      </c>
      <c r="C449" s="40">
        <v>45226</v>
      </c>
      <c r="D449" t="s">
        <v>1306</v>
      </c>
      <c r="E449" t="s">
        <v>1307</v>
      </c>
      <c r="F449" t="s">
        <v>1308</v>
      </c>
      <c r="G449" t="s">
        <v>192</v>
      </c>
      <c r="H449" s="38">
        <v>1780</v>
      </c>
      <c r="I449" t="s">
        <v>2476</v>
      </c>
      <c r="J449" t="s">
        <v>348</v>
      </c>
      <c r="K449" t="s">
        <v>2767</v>
      </c>
      <c r="L449" s="89" t="s">
        <v>2767</v>
      </c>
      <c r="M449" s="89" t="s">
        <v>2767</v>
      </c>
      <c r="N449" s="89" t="s">
        <v>838</v>
      </c>
      <c r="O449" s="89" t="s">
        <v>838</v>
      </c>
    </row>
    <row r="450" spans="1:15" x14ac:dyDescent="0.25">
      <c r="A450">
        <f t="shared" si="6"/>
        <v>449</v>
      </c>
      <c r="B450" s="7" t="s">
        <v>2469</v>
      </c>
      <c r="C450" s="40">
        <v>45240</v>
      </c>
      <c r="D450" t="s">
        <v>2477</v>
      </c>
      <c r="E450" t="s">
        <v>2478</v>
      </c>
      <c r="F450" t="s">
        <v>2482</v>
      </c>
      <c r="G450" t="s">
        <v>197</v>
      </c>
      <c r="H450" s="38">
        <v>960</v>
      </c>
      <c r="I450" t="s">
        <v>526</v>
      </c>
      <c r="J450" t="s">
        <v>219</v>
      </c>
      <c r="K450" t="s">
        <v>2767</v>
      </c>
      <c r="L450" s="89" t="s">
        <v>2767</v>
      </c>
      <c r="M450" s="89" t="s">
        <v>2767</v>
      </c>
      <c r="N450" s="89" t="s">
        <v>838</v>
      </c>
      <c r="O450" s="89" t="s">
        <v>838</v>
      </c>
    </row>
    <row r="451" spans="1:15" x14ac:dyDescent="0.25">
      <c r="A451" s="83">
        <f t="shared" si="6"/>
        <v>450</v>
      </c>
      <c r="B451" s="7" t="s">
        <v>2470</v>
      </c>
      <c r="C451" s="40">
        <v>45240</v>
      </c>
      <c r="D451" t="s">
        <v>2479</v>
      </c>
      <c r="E451" t="s">
        <v>2480</v>
      </c>
      <c r="F451" t="s">
        <v>2481</v>
      </c>
      <c r="G451" t="s">
        <v>197</v>
      </c>
      <c r="H451" s="38">
        <v>2565</v>
      </c>
      <c r="I451" t="s">
        <v>2483</v>
      </c>
      <c r="J451" t="s">
        <v>545</v>
      </c>
      <c r="K451" t="s">
        <v>2767</v>
      </c>
      <c r="L451" s="89" t="s">
        <v>2767</v>
      </c>
      <c r="M451" s="89" t="s">
        <v>2767</v>
      </c>
      <c r="N451" s="89" t="s">
        <v>838</v>
      </c>
      <c r="O451" s="89" t="s">
        <v>838</v>
      </c>
    </row>
    <row r="452" spans="1:15" x14ac:dyDescent="0.25">
      <c r="A452" s="83">
        <f t="shared" ref="A452:A515" si="7">A451+1</f>
        <v>451</v>
      </c>
      <c r="B452" s="7" t="s">
        <v>2471</v>
      </c>
      <c r="C452" s="40">
        <v>45241</v>
      </c>
      <c r="D452" t="s">
        <v>2484</v>
      </c>
      <c r="E452" t="s">
        <v>2485</v>
      </c>
      <c r="F452" t="s">
        <v>2486</v>
      </c>
      <c r="G452" t="s">
        <v>192</v>
      </c>
      <c r="H452" s="38">
        <v>1410</v>
      </c>
      <c r="I452" t="s">
        <v>2487</v>
      </c>
      <c r="J452" t="s">
        <v>219</v>
      </c>
      <c r="K452" t="s">
        <v>2767</v>
      </c>
      <c r="L452" s="89" t="s">
        <v>2767</v>
      </c>
      <c r="M452" s="89" t="s">
        <v>2767</v>
      </c>
      <c r="N452" s="89" t="s">
        <v>838</v>
      </c>
      <c r="O452" s="89" t="s">
        <v>838</v>
      </c>
    </row>
    <row r="453" spans="1:15" x14ac:dyDescent="0.25">
      <c r="A453">
        <f t="shared" si="7"/>
        <v>452</v>
      </c>
      <c r="B453" s="7" t="s">
        <v>2488</v>
      </c>
      <c r="C453" s="40">
        <v>45243</v>
      </c>
      <c r="D453" t="s">
        <v>2775</v>
      </c>
      <c r="E453" t="s">
        <v>2491</v>
      </c>
      <c r="F453" t="s">
        <v>2492</v>
      </c>
      <c r="G453" t="s">
        <v>197</v>
      </c>
      <c r="H453" s="38">
        <v>1480</v>
      </c>
      <c r="I453" t="s">
        <v>2493</v>
      </c>
      <c r="J453" t="s">
        <v>2501</v>
      </c>
      <c r="K453" t="s">
        <v>2767</v>
      </c>
      <c r="L453" s="89" t="s">
        <v>2767</v>
      </c>
      <c r="M453" s="89" t="s">
        <v>2767</v>
      </c>
      <c r="N453" s="89" t="s">
        <v>838</v>
      </c>
      <c r="O453" s="89" t="s">
        <v>838</v>
      </c>
    </row>
    <row r="454" spans="1:15" x14ac:dyDescent="0.25">
      <c r="A454">
        <f t="shared" si="7"/>
        <v>453</v>
      </c>
      <c r="B454" s="7" t="s">
        <v>2489</v>
      </c>
      <c r="C454" s="40">
        <v>45243</v>
      </c>
      <c r="D454" t="s">
        <v>2495</v>
      </c>
      <c r="E454" t="s">
        <v>2496</v>
      </c>
      <c r="F454" t="s">
        <v>2497</v>
      </c>
      <c r="G454" t="s">
        <v>197</v>
      </c>
      <c r="H454" s="38">
        <v>1170</v>
      </c>
      <c r="I454" t="s">
        <v>1163</v>
      </c>
      <c r="J454" t="s">
        <v>219</v>
      </c>
      <c r="K454" t="s">
        <v>2767</v>
      </c>
      <c r="L454" s="89" t="s">
        <v>2767</v>
      </c>
      <c r="M454" s="89" t="s">
        <v>2767</v>
      </c>
      <c r="N454" s="89" t="s">
        <v>838</v>
      </c>
      <c r="O454" s="89" t="s">
        <v>838</v>
      </c>
    </row>
    <row r="455" spans="1:15" x14ac:dyDescent="0.25">
      <c r="A455" s="83">
        <f t="shared" si="7"/>
        <v>454</v>
      </c>
      <c r="B455" s="7" t="s">
        <v>2498</v>
      </c>
      <c r="C455" s="40">
        <v>45244</v>
      </c>
      <c r="D455" t="s">
        <v>939</v>
      </c>
      <c r="E455" t="s">
        <v>940</v>
      </c>
      <c r="F455" t="s">
        <v>2499</v>
      </c>
      <c r="G455" t="s">
        <v>192</v>
      </c>
      <c r="H455" s="38">
        <v>1290</v>
      </c>
      <c r="I455" t="s">
        <v>2500</v>
      </c>
      <c r="J455" t="s">
        <v>1633</v>
      </c>
      <c r="K455" t="s">
        <v>2767</v>
      </c>
      <c r="L455" s="89" t="s">
        <v>2767</v>
      </c>
      <c r="M455" s="89" t="s">
        <v>2767</v>
      </c>
      <c r="N455" s="89" t="s">
        <v>838</v>
      </c>
      <c r="O455" s="89" t="s">
        <v>838</v>
      </c>
    </row>
    <row r="456" spans="1:15" x14ac:dyDescent="0.25">
      <c r="A456" s="83">
        <f t="shared" si="7"/>
        <v>455</v>
      </c>
      <c r="B456" s="7" t="s">
        <v>2502</v>
      </c>
      <c r="C456" s="40">
        <v>45245</v>
      </c>
      <c r="D456" t="s">
        <v>2503</v>
      </c>
      <c r="E456" t="s">
        <v>2504</v>
      </c>
      <c r="F456" t="s">
        <v>2505</v>
      </c>
      <c r="G456" t="s">
        <v>192</v>
      </c>
      <c r="H456" s="38">
        <v>1818</v>
      </c>
      <c r="I456" t="s">
        <v>2506</v>
      </c>
      <c r="J456" t="s">
        <v>2507</v>
      </c>
      <c r="K456" t="s">
        <v>2767</v>
      </c>
      <c r="L456" s="89" t="s">
        <v>2767</v>
      </c>
      <c r="M456" s="89" t="s">
        <v>2767</v>
      </c>
      <c r="N456" s="89" t="s">
        <v>838</v>
      </c>
      <c r="O456" s="89" t="s">
        <v>838</v>
      </c>
    </row>
    <row r="457" spans="1:15" x14ac:dyDescent="0.25">
      <c r="A457">
        <f t="shared" si="7"/>
        <v>456</v>
      </c>
      <c r="B457" s="7" t="s">
        <v>2508</v>
      </c>
      <c r="C457" s="40">
        <v>45246</v>
      </c>
      <c r="D457" t="s">
        <v>2509</v>
      </c>
      <c r="E457" t="s">
        <v>2510</v>
      </c>
      <c r="F457" t="s">
        <v>2511</v>
      </c>
      <c r="G457" t="s">
        <v>197</v>
      </c>
      <c r="H457" s="38">
        <v>960</v>
      </c>
      <c r="I457" t="s">
        <v>526</v>
      </c>
      <c r="J457" t="s">
        <v>2520</v>
      </c>
      <c r="K457" t="s">
        <v>2767</v>
      </c>
      <c r="L457" s="89" t="s">
        <v>2767</v>
      </c>
      <c r="M457" s="89" t="s">
        <v>2767</v>
      </c>
      <c r="N457" s="89" t="s">
        <v>838</v>
      </c>
      <c r="O457" s="89" t="s">
        <v>838</v>
      </c>
    </row>
    <row r="458" spans="1:15" x14ac:dyDescent="0.25">
      <c r="A458">
        <f t="shared" si="7"/>
        <v>457</v>
      </c>
      <c r="B458" s="7" t="s">
        <v>2513</v>
      </c>
      <c r="C458" s="40">
        <v>45241</v>
      </c>
      <c r="D458" t="s">
        <v>2516</v>
      </c>
      <c r="E458" t="s">
        <v>2517</v>
      </c>
      <c r="F458" t="s">
        <v>2518</v>
      </c>
      <c r="G458" t="s">
        <v>197</v>
      </c>
      <c r="H458" s="38">
        <v>1548</v>
      </c>
      <c r="I458" t="s">
        <v>2519</v>
      </c>
      <c r="J458" t="s">
        <v>1754</v>
      </c>
      <c r="K458" t="s">
        <v>2767</v>
      </c>
      <c r="L458" s="89" t="s">
        <v>2767</v>
      </c>
      <c r="M458" s="89" t="s">
        <v>2767</v>
      </c>
      <c r="N458" s="89" t="s">
        <v>838</v>
      </c>
      <c r="O458" s="89" t="s">
        <v>838</v>
      </c>
    </row>
    <row r="459" spans="1:15" x14ac:dyDescent="0.25">
      <c r="A459" s="82">
        <f t="shared" si="7"/>
        <v>458</v>
      </c>
      <c r="B459" s="7" t="s">
        <v>2514</v>
      </c>
      <c r="C459" s="40">
        <v>45247</v>
      </c>
      <c r="D459" t="s">
        <v>2521</v>
      </c>
      <c r="E459" t="s">
        <v>2522</v>
      </c>
      <c r="F459" t="s">
        <v>2523</v>
      </c>
      <c r="G459" t="s">
        <v>197</v>
      </c>
      <c r="H459" s="38">
        <v>2470</v>
      </c>
      <c r="I459" t="s">
        <v>2524</v>
      </c>
      <c r="J459" t="s">
        <v>219</v>
      </c>
      <c r="K459" t="s">
        <v>2767</v>
      </c>
      <c r="L459" s="89" t="s">
        <v>2767</v>
      </c>
      <c r="M459" s="89" t="s">
        <v>2767</v>
      </c>
      <c r="N459" s="89" t="s">
        <v>838</v>
      </c>
      <c r="O459" s="89" t="s">
        <v>838</v>
      </c>
    </row>
    <row r="460" spans="1:15" x14ac:dyDescent="0.25">
      <c r="A460" s="82">
        <f t="shared" si="7"/>
        <v>459</v>
      </c>
      <c r="B460" s="7" t="s">
        <v>2515</v>
      </c>
      <c r="C460" s="40">
        <v>45248</v>
      </c>
      <c r="D460" t="s">
        <v>2525</v>
      </c>
      <c r="E460" t="s">
        <v>2526</v>
      </c>
      <c r="F460" t="s">
        <v>2527</v>
      </c>
      <c r="G460" t="s">
        <v>197</v>
      </c>
      <c r="H460" s="38">
        <v>2895.36</v>
      </c>
      <c r="I460" t="s">
        <v>2528</v>
      </c>
      <c r="J460" t="s">
        <v>1933</v>
      </c>
      <c r="K460" t="s">
        <v>2767</v>
      </c>
      <c r="L460" s="89" t="s">
        <v>2767</v>
      </c>
      <c r="M460" s="89" t="s">
        <v>2767</v>
      </c>
      <c r="N460" s="89" t="s">
        <v>838</v>
      </c>
      <c r="O460" s="89" t="s">
        <v>838</v>
      </c>
    </row>
    <row r="461" spans="1:15" x14ac:dyDescent="0.25">
      <c r="A461" s="83">
        <f t="shared" si="7"/>
        <v>460</v>
      </c>
      <c r="B461" s="7" t="s">
        <v>2529</v>
      </c>
      <c r="C461" s="40">
        <v>45246</v>
      </c>
      <c r="D461" t="s">
        <v>440</v>
      </c>
      <c r="E461" t="s">
        <v>441</v>
      </c>
      <c r="F461" t="s">
        <v>2530</v>
      </c>
      <c r="G461" t="s">
        <v>192</v>
      </c>
      <c r="H461" s="38">
        <v>1834</v>
      </c>
      <c r="I461" t="s">
        <v>299</v>
      </c>
      <c r="J461" t="s">
        <v>2531</v>
      </c>
      <c r="K461" t="s">
        <v>2767</v>
      </c>
      <c r="L461" s="89" t="s">
        <v>2767</v>
      </c>
      <c r="M461" s="89" t="s">
        <v>2767</v>
      </c>
      <c r="N461" s="89" t="s">
        <v>838</v>
      </c>
      <c r="O461" s="89" t="s">
        <v>838</v>
      </c>
    </row>
    <row r="462" spans="1:15" x14ac:dyDescent="0.25">
      <c r="A462" s="81">
        <f t="shared" si="7"/>
        <v>461</v>
      </c>
      <c r="B462" s="7" t="s">
        <v>2532</v>
      </c>
      <c r="C462" s="40">
        <v>45247</v>
      </c>
      <c r="D462" t="s">
        <v>2521</v>
      </c>
      <c r="E462" t="s">
        <v>2522</v>
      </c>
      <c r="F462" t="s">
        <v>2534</v>
      </c>
      <c r="G462" t="s">
        <v>192</v>
      </c>
      <c r="H462" s="38">
        <v>8751.5</v>
      </c>
      <c r="I462" t="s">
        <v>2535</v>
      </c>
      <c r="J462" t="s">
        <v>2536</v>
      </c>
      <c r="K462" t="s">
        <v>2767</v>
      </c>
      <c r="L462" s="89" t="s">
        <v>2767</v>
      </c>
      <c r="M462" s="89" t="s">
        <v>2767</v>
      </c>
      <c r="N462" s="89" t="s">
        <v>838</v>
      </c>
      <c r="O462" s="89" t="s">
        <v>838</v>
      </c>
    </row>
    <row r="463" spans="1:15" x14ac:dyDescent="0.25">
      <c r="A463" s="83">
        <f t="shared" si="7"/>
        <v>462</v>
      </c>
      <c r="B463" s="7" t="s">
        <v>2533</v>
      </c>
      <c r="C463" s="40">
        <v>45251</v>
      </c>
      <c r="D463" t="s">
        <v>2537</v>
      </c>
      <c r="E463" t="s">
        <v>2538</v>
      </c>
      <c r="F463" t="s">
        <v>2539</v>
      </c>
      <c r="G463" t="s">
        <v>192</v>
      </c>
      <c r="H463" s="38">
        <v>1405</v>
      </c>
      <c r="I463" t="s">
        <v>295</v>
      </c>
      <c r="J463" t="s">
        <v>2536</v>
      </c>
      <c r="K463" t="s">
        <v>2767</v>
      </c>
      <c r="L463" s="89" t="s">
        <v>2767</v>
      </c>
      <c r="M463" s="89" t="s">
        <v>2767</v>
      </c>
      <c r="N463" s="89" t="s">
        <v>838</v>
      </c>
      <c r="O463" s="89" t="s">
        <v>838</v>
      </c>
    </row>
    <row r="464" spans="1:15" x14ac:dyDescent="0.25">
      <c r="A464">
        <f t="shared" si="7"/>
        <v>463</v>
      </c>
      <c r="B464" s="98" t="s">
        <v>2540</v>
      </c>
      <c r="C464" s="40">
        <v>45252</v>
      </c>
      <c r="D464" t="s">
        <v>2541</v>
      </c>
      <c r="E464" t="s">
        <v>2542</v>
      </c>
      <c r="F464" t="s">
        <v>2543</v>
      </c>
      <c r="G464" t="s">
        <v>197</v>
      </c>
      <c r="H464" s="38">
        <v>2226</v>
      </c>
      <c r="I464" t="s">
        <v>2544</v>
      </c>
      <c r="J464" t="s">
        <v>2262</v>
      </c>
      <c r="K464" t="s">
        <v>2767</v>
      </c>
      <c r="L464" s="89" t="s">
        <v>2767</v>
      </c>
      <c r="M464" s="89" t="s">
        <v>2767</v>
      </c>
      <c r="N464" s="89" t="s">
        <v>838</v>
      </c>
      <c r="O464" s="89" t="s">
        <v>838</v>
      </c>
    </row>
    <row r="465" spans="1:15" x14ac:dyDescent="0.25">
      <c r="A465">
        <f t="shared" si="7"/>
        <v>464</v>
      </c>
      <c r="B465" s="7" t="s">
        <v>2545</v>
      </c>
      <c r="C465" s="40">
        <v>45237</v>
      </c>
      <c r="D465" t="s">
        <v>2547</v>
      </c>
      <c r="E465" t="s">
        <v>2548</v>
      </c>
      <c r="F465" t="s">
        <v>2549</v>
      </c>
      <c r="G465" t="s">
        <v>197</v>
      </c>
      <c r="H465" s="38">
        <v>1533.64</v>
      </c>
      <c r="I465" t="s">
        <v>2030</v>
      </c>
      <c r="J465" t="s">
        <v>2558</v>
      </c>
      <c r="K465" t="s">
        <v>2767</v>
      </c>
      <c r="L465" s="89" t="s">
        <v>2767</v>
      </c>
      <c r="M465" s="89" t="s">
        <v>2767</v>
      </c>
      <c r="N465" s="89" t="s">
        <v>838</v>
      </c>
      <c r="O465" s="89" t="s">
        <v>838</v>
      </c>
    </row>
    <row r="466" spans="1:15" x14ac:dyDescent="0.25">
      <c r="A466">
        <f t="shared" si="7"/>
        <v>465</v>
      </c>
      <c r="B466" s="7" t="s">
        <v>2546</v>
      </c>
      <c r="C466" s="40">
        <v>45244</v>
      </c>
      <c r="D466" t="s">
        <v>2550</v>
      </c>
      <c r="E466" t="s">
        <v>2551</v>
      </c>
      <c r="F466" t="s">
        <v>2552</v>
      </c>
      <c r="G466" t="s">
        <v>197</v>
      </c>
      <c r="H466" s="38">
        <v>2338</v>
      </c>
      <c r="I466" t="s">
        <v>2553</v>
      </c>
      <c r="J466" t="s">
        <v>1754</v>
      </c>
      <c r="K466" t="s">
        <v>2767</v>
      </c>
      <c r="L466" s="89" t="s">
        <v>2767</v>
      </c>
      <c r="M466" s="89" t="s">
        <v>2767</v>
      </c>
      <c r="N466" s="89" t="s">
        <v>838</v>
      </c>
      <c r="O466" s="89" t="s">
        <v>838</v>
      </c>
    </row>
    <row r="467" spans="1:15" x14ac:dyDescent="0.25">
      <c r="A467" s="83">
        <f t="shared" si="7"/>
        <v>466</v>
      </c>
      <c r="B467" s="7" t="s">
        <v>2554</v>
      </c>
      <c r="C467" s="40">
        <v>45255</v>
      </c>
      <c r="D467" t="s">
        <v>2555</v>
      </c>
      <c r="E467" t="s">
        <v>2556</v>
      </c>
      <c r="F467" t="s">
        <v>2557</v>
      </c>
      <c r="G467" t="s">
        <v>192</v>
      </c>
      <c r="H467" s="38">
        <v>1160</v>
      </c>
      <c r="I467" t="s">
        <v>1563</v>
      </c>
      <c r="J467" t="s">
        <v>219</v>
      </c>
      <c r="K467" t="s">
        <v>2767</v>
      </c>
      <c r="L467" s="89" t="s">
        <v>2767</v>
      </c>
      <c r="M467" s="89" t="s">
        <v>2767</v>
      </c>
      <c r="N467" s="89" t="s">
        <v>838</v>
      </c>
      <c r="O467" s="89" t="s">
        <v>838</v>
      </c>
    </row>
    <row r="468" spans="1:15" x14ac:dyDescent="0.25">
      <c r="A468" s="81">
        <f t="shared" si="7"/>
        <v>467</v>
      </c>
      <c r="B468" s="7" t="s">
        <v>2559</v>
      </c>
      <c r="C468" s="40">
        <v>45253</v>
      </c>
      <c r="D468" t="s">
        <v>2561</v>
      </c>
      <c r="E468" t="s">
        <v>2562</v>
      </c>
      <c r="F468" t="s">
        <v>2563</v>
      </c>
      <c r="G468" t="s">
        <v>192</v>
      </c>
      <c r="H468" s="38">
        <v>21982.46</v>
      </c>
      <c r="I468" t="s">
        <v>2564</v>
      </c>
      <c r="J468" t="s">
        <v>2228</v>
      </c>
      <c r="K468" t="s">
        <v>2767</v>
      </c>
      <c r="L468" s="89" t="s">
        <v>2767</v>
      </c>
      <c r="M468" s="89" t="s">
        <v>2767</v>
      </c>
      <c r="N468" s="89" t="s">
        <v>838</v>
      </c>
      <c r="O468" s="89" t="s">
        <v>838</v>
      </c>
    </row>
    <row r="469" spans="1:15" x14ac:dyDescent="0.25">
      <c r="A469">
        <f t="shared" si="7"/>
        <v>468</v>
      </c>
      <c r="B469" s="7" t="s">
        <v>2560</v>
      </c>
      <c r="C469" s="40">
        <v>45258</v>
      </c>
      <c r="D469" t="s">
        <v>2565</v>
      </c>
      <c r="E469" t="s">
        <v>2566</v>
      </c>
      <c r="F469" t="s">
        <v>2567</v>
      </c>
      <c r="G469" t="s">
        <v>197</v>
      </c>
      <c r="H469" s="38">
        <v>1051</v>
      </c>
      <c r="I469" t="s">
        <v>1458</v>
      </c>
      <c r="J469" t="s">
        <v>349</v>
      </c>
      <c r="K469" t="s">
        <v>2767</v>
      </c>
      <c r="L469" s="89" t="s">
        <v>2767</v>
      </c>
      <c r="M469" s="89" t="s">
        <v>2767</v>
      </c>
      <c r="N469" s="89" t="s">
        <v>838</v>
      </c>
      <c r="O469" s="89" t="s">
        <v>838</v>
      </c>
    </row>
    <row r="470" spans="1:15" x14ac:dyDescent="0.25">
      <c r="A470">
        <f t="shared" si="7"/>
        <v>469</v>
      </c>
      <c r="B470" s="7" t="s">
        <v>2568</v>
      </c>
      <c r="C470" s="40">
        <v>45259</v>
      </c>
      <c r="D470" t="s">
        <v>2569</v>
      </c>
      <c r="E470" t="s">
        <v>2111</v>
      </c>
      <c r="F470" t="s">
        <v>2570</v>
      </c>
      <c r="G470" t="s">
        <v>197</v>
      </c>
      <c r="H470" s="38">
        <v>1973</v>
      </c>
      <c r="I470" t="s">
        <v>2571</v>
      </c>
      <c r="J470" t="s">
        <v>545</v>
      </c>
      <c r="K470" t="s">
        <v>2767</v>
      </c>
      <c r="L470" s="89" t="s">
        <v>2767</v>
      </c>
      <c r="M470" s="89" t="s">
        <v>2767</v>
      </c>
      <c r="N470" s="89" t="s">
        <v>838</v>
      </c>
      <c r="O470" s="89" t="s">
        <v>838</v>
      </c>
    </row>
    <row r="471" spans="1:15" x14ac:dyDescent="0.25">
      <c r="A471" s="83">
        <f t="shared" si="7"/>
        <v>470</v>
      </c>
      <c r="B471" s="7" t="s">
        <v>2572</v>
      </c>
      <c r="C471" s="40">
        <v>45243</v>
      </c>
      <c r="D471" t="s">
        <v>2297</v>
      </c>
      <c r="E471" t="s">
        <v>2298</v>
      </c>
      <c r="F471" t="s">
        <v>2299</v>
      </c>
      <c r="G471" t="s">
        <v>192</v>
      </c>
      <c r="H471" s="38">
        <v>343.68</v>
      </c>
      <c r="I471" t="s">
        <v>2575</v>
      </c>
      <c r="J471" t="s">
        <v>2586</v>
      </c>
      <c r="K471" t="s">
        <v>2767</v>
      </c>
      <c r="L471" s="89" t="s">
        <v>2767</v>
      </c>
      <c r="M471" s="89" t="s">
        <v>838</v>
      </c>
      <c r="N471" s="89" t="s">
        <v>838</v>
      </c>
      <c r="O471" s="89" t="s">
        <v>838</v>
      </c>
    </row>
    <row r="472" spans="1:15" x14ac:dyDescent="0.25">
      <c r="A472" s="83">
        <f t="shared" si="7"/>
        <v>471</v>
      </c>
      <c r="B472" s="7" t="s">
        <v>2573</v>
      </c>
      <c r="C472" s="40">
        <v>45251</v>
      </c>
      <c r="D472" t="s">
        <v>2561</v>
      </c>
      <c r="E472" t="s">
        <v>2562</v>
      </c>
      <c r="F472" t="s">
        <v>2563</v>
      </c>
      <c r="G472" t="s">
        <v>192</v>
      </c>
      <c r="H472" s="38">
        <v>4349</v>
      </c>
      <c r="I472" t="s">
        <v>2576</v>
      </c>
      <c r="J472" t="s">
        <v>582</v>
      </c>
      <c r="K472" t="s">
        <v>2767</v>
      </c>
      <c r="L472" s="89" t="s">
        <v>2767</v>
      </c>
      <c r="M472" s="89" t="s">
        <v>838</v>
      </c>
      <c r="N472" s="89" t="s">
        <v>838</v>
      </c>
      <c r="O472" s="89" t="s">
        <v>838</v>
      </c>
    </row>
    <row r="473" spans="1:15" x14ac:dyDescent="0.25">
      <c r="A473" s="83">
        <f t="shared" si="7"/>
        <v>472</v>
      </c>
      <c r="B473" s="7" t="s">
        <v>2574</v>
      </c>
      <c r="C473" s="40">
        <v>45260</v>
      </c>
      <c r="D473" t="s">
        <v>200</v>
      </c>
      <c r="E473" t="s">
        <v>201</v>
      </c>
      <c r="F473" t="s">
        <v>2577</v>
      </c>
      <c r="G473" t="s">
        <v>192</v>
      </c>
      <c r="H473" s="38">
        <v>1566</v>
      </c>
      <c r="I473" t="s">
        <v>1875</v>
      </c>
      <c r="J473" t="s">
        <v>219</v>
      </c>
      <c r="K473" t="s">
        <v>2767</v>
      </c>
      <c r="L473" s="89" t="s">
        <v>2767</v>
      </c>
      <c r="M473" s="89" t="s">
        <v>838</v>
      </c>
      <c r="N473" s="89" t="s">
        <v>838</v>
      </c>
      <c r="O473" s="89" t="s">
        <v>838</v>
      </c>
    </row>
    <row r="474" spans="1:15" x14ac:dyDescent="0.25">
      <c r="A474" s="83">
        <f t="shared" si="7"/>
        <v>473</v>
      </c>
      <c r="B474" s="7" t="s">
        <v>2579</v>
      </c>
      <c r="C474" s="40">
        <v>45252</v>
      </c>
      <c r="D474" t="s">
        <v>2582</v>
      </c>
      <c r="E474" t="s">
        <v>2583</v>
      </c>
      <c r="F474" t="s">
        <v>2584</v>
      </c>
      <c r="G474" t="s">
        <v>192</v>
      </c>
      <c r="H474" s="38">
        <v>1463</v>
      </c>
      <c r="I474" t="s">
        <v>2585</v>
      </c>
      <c r="J474" t="s">
        <v>348</v>
      </c>
      <c r="K474" t="s">
        <v>2767</v>
      </c>
      <c r="L474" s="89" t="s">
        <v>2767</v>
      </c>
      <c r="M474" s="89" t="s">
        <v>838</v>
      </c>
      <c r="N474" s="89" t="s">
        <v>838</v>
      </c>
      <c r="O474" s="89" t="s">
        <v>838</v>
      </c>
    </row>
    <row r="475" spans="1:15" x14ac:dyDescent="0.25">
      <c r="A475" s="82">
        <f t="shared" si="7"/>
        <v>474</v>
      </c>
      <c r="B475" s="7" t="s">
        <v>2580</v>
      </c>
      <c r="C475" s="40">
        <v>45261</v>
      </c>
      <c r="D475" t="s">
        <v>2587</v>
      </c>
      <c r="E475" t="s">
        <v>2588</v>
      </c>
      <c r="F475" t="s">
        <v>2589</v>
      </c>
      <c r="G475" t="s">
        <v>197</v>
      </c>
      <c r="H475" s="38">
        <v>19541.36</v>
      </c>
      <c r="I475" t="s">
        <v>2590</v>
      </c>
      <c r="J475" t="s">
        <v>348</v>
      </c>
      <c r="K475" s="89" t="s">
        <v>838</v>
      </c>
      <c r="L475" s="89" t="s">
        <v>838</v>
      </c>
      <c r="M475" s="89" t="s">
        <v>838</v>
      </c>
      <c r="N475" s="89" t="s">
        <v>838</v>
      </c>
      <c r="O475" s="89" t="s">
        <v>838</v>
      </c>
    </row>
    <row r="476" spans="1:15" x14ac:dyDescent="0.25">
      <c r="A476">
        <f t="shared" si="7"/>
        <v>475</v>
      </c>
      <c r="B476" s="7" t="s">
        <v>2581</v>
      </c>
      <c r="C476" s="40">
        <v>45262</v>
      </c>
      <c r="D476" t="s">
        <v>2591</v>
      </c>
      <c r="E476" t="s">
        <v>2592</v>
      </c>
      <c r="F476" t="s">
        <v>2593</v>
      </c>
      <c r="G476" t="s">
        <v>197</v>
      </c>
      <c r="H476" s="38">
        <v>2495</v>
      </c>
      <c r="I476" t="s">
        <v>2594</v>
      </c>
      <c r="J476" t="s">
        <v>582</v>
      </c>
      <c r="K476" s="89" t="s">
        <v>838</v>
      </c>
      <c r="L476" s="89" t="s">
        <v>838</v>
      </c>
      <c r="M476" s="89" t="s">
        <v>838</v>
      </c>
      <c r="N476" s="89" t="s">
        <v>838</v>
      </c>
      <c r="O476" s="89" t="s">
        <v>838</v>
      </c>
    </row>
    <row r="477" spans="1:15" x14ac:dyDescent="0.25">
      <c r="A477" s="83">
        <f t="shared" si="7"/>
        <v>476</v>
      </c>
      <c r="B477" s="7" t="s">
        <v>2595</v>
      </c>
      <c r="C477" s="40">
        <v>45264</v>
      </c>
      <c r="D477" t="s">
        <v>2596</v>
      </c>
      <c r="E477" t="s">
        <v>2597</v>
      </c>
      <c r="F477" t="s">
        <v>2598</v>
      </c>
      <c r="G477" t="s">
        <v>192</v>
      </c>
      <c r="H477" s="38">
        <v>2000</v>
      </c>
      <c r="I477" t="s">
        <v>2599</v>
      </c>
      <c r="J477" t="s">
        <v>2605</v>
      </c>
      <c r="K477" s="89" t="s">
        <v>838</v>
      </c>
      <c r="L477" s="89" t="s">
        <v>838</v>
      </c>
      <c r="M477" s="89" t="s">
        <v>838</v>
      </c>
      <c r="N477" s="89" t="s">
        <v>838</v>
      </c>
      <c r="O477" s="89" t="s">
        <v>838</v>
      </c>
    </row>
    <row r="478" spans="1:15" x14ac:dyDescent="0.25">
      <c r="A478" s="83">
        <f t="shared" si="7"/>
        <v>477</v>
      </c>
      <c r="B478" s="7" t="s">
        <v>2600</v>
      </c>
      <c r="C478" s="40">
        <v>45265</v>
      </c>
      <c r="D478" t="s">
        <v>1294</v>
      </c>
      <c r="E478" t="s">
        <v>682</v>
      </c>
      <c r="F478" t="s">
        <v>1295</v>
      </c>
      <c r="G478" t="s">
        <v>192</v>
      </c>
      <c r="H478" s="38">
        <v>2368</v>
      </c>
      <c r="I478" t="s">
        <v>2604</v>
      </c>
      <c r="J478" t="s">
        <v>219</v>
      </c>
      <c r="K478" s="89" t="s">
        <v>838</v>
      </c>
      <c r="L478" s="89" t="s">
        <v>838</v>
      </c>
      <c r="M478" s="89" t="s">
        <v>838</v>
      </c>
      <c r="N478" s="89" t="s">
        <v>838</v>
      </c>
      <c r="O478" s="89" t="s">
        <v>838</v>
      </c>
    </row>
    <row r="479" spans="1:15" x14ac:dyDescent="0.25">
      <c r="A479" s="83">
        <f t="shared" si="7"/>
        <v>478</v>
      </c>
      <c r="B479" s="7" t="s">
        <v>2601</v>
      </c>
      <c r="C479" s="40">
        <v>45265</v>
      </c>
      <c r="D479" t="s">
        <v>318</v>
      </c>
      <c r="E479" t="s">
        <v>317</v>
      </c>
      <c r="F479" t="s">
        <v>918</v>
      </c>
      <c r="G479" t="s">
        <v>192</v>
      </c>
      <c r="H479" s="38">
        <v>2306.6</v>
      </c>
      <c r="I479" t="s">
        <v>2606</v>
      </c>
      <c r="J479" t="s">
        <v>2613</v>
      </c>
      <c r="K479" s="89" t="s">
        <v>838</v>
      </c>
      <c r="L479" s="89" t="s">
        <v>838</v>
      </c>
      <c r="M479" s="89" t="s">
        <v>838</v>
      </c>
      <c r="N479" s="89" t="s">
        <v>838</v>
      </c>
      <c r="O479" s="89" t="s">
        <v>838</v>
      </c>
    </row>
    <row r="480" spans="1:15" x14ac:dyDescent="0.25">
      <c r="A480" s="83">
        <f t="shared" si="7"/>
        <v>479</v>
      </c>
      <c r="B480" s="98" t="s">
        <v>2602</v>
      </c>
      <c r="C480" s="40">
        <v>45266</v>
      </c>
      <c r="D480" t="s">
        <v>2607</v>
      </c>
      <c r="F480" t="s">
        <v>2608</v>
      </c>
      <c r="G480" t="s">
        <v>192</v>
      </c>
      <c r="H480" s="38">
        <v>4233</v>
      </c>
      <c r="I480" t="s">
        <v>2609</v>
      </c>
      <c r="J480" t="s">
        <v>550</v>
      </c>
      <c r="K480" s="89" t="s">
        <v>838</v>
      </c>
      <c r="L480" s="89" t="s">
        <v>838</v>
      </c>
      <c r="M480" s="89" t="s">
        <v>838</v>
      </c>
      <c r="N480" s="89" t="s">
        <v>838</v>
      </c>
      <c r="O480" s="89" t="s">
        <v>838</v>
      </c>
    </row>
    <row r="481" spans="1:15" x14ac:dyDescent="0.25">
      <c r="A481" s="83">
        <f t="shared" si="7"/>
        <v>480</v>
      </c>
      <c r="B481" s="7" t="s">
        <v>2603</v>
      </c>
      <c r="C481" s="40">
        <v>45267</v>
      </c>
      <c r="D481" t="s">
        <v>1997</v>
      </c>
      <c r="E481" t="s">
        <v>2610</v>
      </c>
      <c r="F481" t="s">
        <v>2611</v>
      </c>
      <c r="G481" t="s">
        <v>192</v>
      </c>
      <c r="H481" s="38">
        <v>1402.08</v>
      </c>
      <c r="I481" t="s">
        <v>2612</v>
      </c>
      <c r="J481" t="s">
        <v>219</v>
      </c>
      <c r="K481" s="89" t="s">
        <v>838</v>
      </c>
      <c r="L481" s="89" t="s">
        <v>838</v>
      </c>
      <c r="M481" s="89" t="s">
        <v>838</v>
      </c>
      <c r="N481" s="89" t="s">
        <v>838</v>
      </c>
      <c r="O481" s="89" t="s">
        <v>838</v>
      </c>
    </row>
    <row r="482" spans="1:15" x14ac:dyDescent="0.25">
      <c r="A482">
        <f t="shared" si="7"/>
        <v>481</v>
      </c>
      <c r="B482" s="7" t="s">
        <v>2614</v>
      </c>
      <c r="C482" s="40">
        <v>45237</v>
      </c>
      <c r="D482" t="s">
        <v>2618</v>
      </c>
      <c r="E482" t="s">
        <v>2619</v>
      </c>
      <c r="F482" t="s">
        <v>2620</v>
      </c>
      <c r="G482" t="s">
        <v>193</v>
      </c>
      <c r="H482" s="38">
        <v>1917.36</v>
      </c>
      <c r="I482" t="s">
        <v>2079</v>
      </c>
      <c r="J482" t="s">
        <v>219</v>
      </c>
      <c r="K482" s="89" t="s">
        <v>838</v>
      </c>
      <c r="L482" s="89" t="s">
        <v>838</v>
      </c>
      <c r="M482" s="89" t="s">
        <v>838</v>
      </c>
      <c r="N482" s="89" t="s">
        <v>838</v>
      </c>
      <c r="O482" s="89" t="s">
        <v>838</v>
      </c>
    </row>
    <row r="483" spans="1:15" x14ac:dyDescent="0.25">
      <c r="A483" s="83">
        <f t="shared" si="7"/>
        <v>482</v>
      </c>
      <c r="B483" s="7" t="s">
        <v>2615</v>
      </c>
      <c r="C483" s="40">
        <v>45240</v>
      </c>
      <c r="D483" t="s">
        <v>2153</v>
      </c>
      <c r="E483" t="s">
        <v>230</v>
      </c>
      <c r="F483" t="s">
        <v>2621</v>
      </c>
      <c r="G483" t="s">
        <v>192</v>
      </c>
      <c r="H483" s="38">
        <v>343.68</v>
      </c>
      <c r="I483" t="s">
        <v>898</v>
      </c>
      <c r="J483" t="s">
        <v>2622</v>
      </c>
      <c r="K483" s="89" t="s">
        <v>838</v>
      </c>
      <c r="L483" s="89" t="s">
        <v>838</v>
      </c>
      <c r="M483" s="89" t="s">
        <v>838</v>
      </c>
      <c r="N483" s="89" t="s">
        <v>838</v>
      </c>
      <c r="O483" s="89" t="s">
        <v>838</v>
      </c>
    </row>
    <row r="484" spans="1:15" x14ac:dyDescent="0.25">
      <c r="A484" s="83">
        <f t="shared" si="7"/>
        <v>483</v>
      </c>
      <c r="B484" s="7" t="s">
        <v>2616</v>
      </c>
      <c r="C484" s="40">
        <v>45267</v>
      </c>
      <c r="D484" t="s">
        <v>2623</v>
      </c>
      <c r="E484" t="s">
        <v>1556</v>
      </c>
      <c r="F484" t="s">
        <v>2624</v>
      </c>
      <c r="G484" t="s">
        <v>192</v>
      </c>
      <c r="H484" s="38">
        <v>1635.6</v>
      </c>
      <c r="I484" t="s">
        <v>2487</v>
      </c>
      <c r="J484" t="s">
        <v>1679</v>
      </c>
      <c r="K484" s="89" t="s">
        <v>838</v>
      </c>
      <c r="L484" s="89" t="s">
        <v>838</v>
      </c>
      <c r="M484" s="89" t="s">
        <v>838</v>
      </c>
      <c r="N484" s="89" t="s">
        <v>838</v>
      </c>
      <c r="O484" s="89" t="s">
        <v>838</v>
      </c>
    </row>
    <row r="485" spans="1:15" x14ac:dyDescent="0.25">
      <c r="A485">
        <f t="shared" si="7"/>
        <v>484</v>
      </c>
      <c r="B485" s="7" t="s">
        <v>2617</v>
      </c>
      <c r="C485" s="40">
        <v>45267</v>
      </c>
      <c r="D485" t="s">
        <v>2625</v>
      </c>
      <c r="E485" t="s">
        <v>2626</v>
      </c>
      <c r="F485" t="s">
        <v>2627</v>
      </c>
      <c r="G485" t="s">
        <v>193</v>
      </c>
      <c r="H485" s="38">
        <v>1098</v>
      </c>
      <c r="I485" t="s">
        <v>2628</v>
      </c>
      <c r="J485" t="s">
        <v>2634</v>
      </c>
      <c r="K485" s="89" t="s">
        <v>838</v>
      </c>
      <c r="L485" s="89" t="s">
        <v>838</v>
      </c>
      <c r="M485" s="89" t="s">
        <v>838</v>
      </c>
      <c r="N485" s="89" t="s">
        <v>838</v>
      </c>
      <c r="O485" s="89" t="s">
        <v>838</v>
      </c>
    </row>
    <row r="486" spans="1:15" x14ac:dyDescent="0.25">
      <c r="A486" s="83">
        <f t="shared" si="7"/>
        <v>485</v>
      </c>
      <c r="B486" s="7" t="s">
        <v>2629</v>
      </c>
      <c r="C486" s="40">
        <v>45268</v>
      </c>
      <c r="D486" t="s">
        <v>2630</v>
      </c>
      <c r="E486" t="s">
        <v>2631</v>
      </c>
      <c r="F486" t="s">
        <v>2632</v>
      </c>
      <c r="G486" t="s">
        <v>192</v>
      </c>
      <c r="H486" s="38">
        <v>2790</v>
      </c>
      <c r="I486" t="s">
        <v>2633</v>
      </c>
      <c r="J486" t="s">
        <v>901</v>
      </c>
      <c r="K486" s="89" t="s">
        <v>838</v>
      </c>
      <c r="L486" s="89" t="s">
        <v>838</v>
      </c>
      <c r="M486" s="89" t="s">
        <v>838</v>
      </c>
      <c r="N486" s="89" t="s">
        <v>838</v>
      </c>
      <c r="O486" s="89" t="s">
        <v>838</v>
      </c>
    </row>
    <row r="487" spans="1:15" x14ac:dyDescent="0.25">
      <c r="A487">
        <f t="shared" si="7"/>
        <v>486</v>
      </c>
      <c r="B487" s="7" t="s">
        <v>2635</v>
      </c>
      <c r="C487" s="40">
        <v>45271</v>
      </c>
      <c r="D487" t="s">
        <v>2638</v>
      </c>
      <c r="E487" t="s">
        <v>2639</v>
      </c>
      <c r="F487" t="s">
        <v>2640</v>
      </c>
      <c r="G487" t="s">
        <v>197</v>
      </c>
      <c r="H487" s="38">
        <v>1382</v>
      </c>
      <c r="I487" t="s">
        <v>754</v>
      </c>
      <c r="J487" t="s">
        <v>219</v>
      </c>
      <c r="K487" s="89" t="s">
        <v>838</v>
      </c>
      <c r="L487" s="89" t="s">
        <v>838</v>
      </c>
      <c r="M487" s="89" t="s">
        <v>838</v>
      </c>
      <c r="N487" s="89" t="s">
        <v>838</v>
      </c>
      <c r="O487" s="89" t="s">
        <v>838</v>
      </c>
    </row>
    <row r="488" spans="1:15" x14ac:dyDescent="0.25">
      <c r="A488" s="83">
        <f t="shared" si="7"/>
        <v>487</v>
      </c>
      <c r="B488" s="7" t="s">
        <v>2636</v>
      </c>
      <c r="C488" s="40">
        <v>45271</v>
      </c>
      <c r="D488" t="s">
        <v>2641</v>
      </c>
      <c r="E488" t="s">
        <v>2642</v>
      </c>
      <c r="F488" t="s">
        <v>2643</v>
      </c>
      <c r="G488" t="s">
        <v>192</v>
      </c>
      <c r="H488" s="38">
        <v>960</v>
      </c>
      <c r="I488" t="s">
        <v>526</v>
      </c>
      <c r="J488" t="s">
        <v>219</v>
      </c>
      <c r="K488" s="89" t="s">
        <v>838</v>
      </c>
      <c r="L488" s="89" t="s">
        <v>838</v>
      </c>
      <c r="M488" s="89" t="s">
        <v>838</v>
      </c>
      <c r="N488" s="89" t="s">
        <v>838</v>
      </c>
      <c r="O488" s="89" t="s">
        <v>838</v>
      </c>
    </row>
    <row r="489" spans="1:15" x14ac:dyDescent="0.25">
      <c r="A489" s="83">
        <f t="shared" si="7"/>
        <v>488</v>
      </c>
      <c r="B489" s="7" t="s">
        <v>2637</v>
      </c>
      <c r="C489" s="40">
        <v>45271</v>
      </c>
      <c r="D489" t="s">
        <v>2644</v>
      </c>
      <c r="E489" t="s">
        <v>2645</v>
      </c>
      <c r="F489" t="s">
        <v>2646</v>
      </c>
      <c r="G489" t="s">
        <v>192</v>
      </c>
      <c r="H489" s="38">
        <v>960</v>
      </c>
      <c r="I489" t="s">
        <v>526</v>
      </c>
      <c r="J489" t="s">
        <v>2320</v>
      </c>
      <c r="K489" s="89" t="s">
        <v>838</v>
      </c>
      <c r="L489" s="89" t="s">
        <v>838</v>
      </c>
      <c r="M489" s="89" t="s">
        <v>838</v>
      </c>
      <c r="N489" s="89" t="s">
        <v>838</v>
      </c>
      <c r="O489" s="89" t="s">
        <v>838</v>
      </c>
    </row>
    <row r="490" spans="1:15" x14ac:dyDescent="0.25">
      <c r="A490" s="82">
        <f t="shared" si="7"/>
        <v>489</v>
      </c>
      <c r="B490" s="7" t="s">
        <v>2647</v>
      </c>
      <c r="C490" s="40">
        <v>45266</v>
      </c>
      <c r="D490" t="s">
        <v>2649</v>
      </c>
      <c r="E490" t="s">
        <v>2650</v>
      </c>
      <c r="F490" t="s">
        <v>2651</v>
      </c>
      <c r="G490" t="s">
        <v>197</v>
      </c>
      <c r="H490" s="38">
        <v>1432.71</v>
      </c>
      <c r="I490" t="s">
        <v>898</v>
      </c>
      <c r="J490" t="s">
        <v>1633</v>
      </c>
      <c r="K490" s="89" t="s">
        <v>838</v>
      </c>
      <c r="L490" s="89" t="s">
        <v>838</v>
      </c>
      <c r="M490" s="89" t="s">
        <v>838</v>
      </c>
      <c r="N490" s="89" t="s">
        <v>838</v>
      </c>
      <c r="O490" s="89" t="s">
        <v>838</v>
      </c>
    </row>
    <row r="491" spans="1:15" x14ac:dyDescent="0.25">
      <c r="A491" s="83">
        <f t="shared" si="7"/>
        <v>490</v>
      </c>
      <c r="B491" s="7" t="s">
        <v>2648</v>
      </c>
      <c r="C491" s="40">
        <v>45272</v>
      </c>
      <c r="D491" t="s">
        <v>2048</v>
      </c>
      <c r="E491" t="s">
        <v>675</v>
      </c>
      <c r="F491" t="s">
        <v>2652</v>
      </c>
      <c r="G491" t="s">
        <v>192</v>
      </c>
      <c r="H491" s="38">
        <v>960</v>
      </c>
      <c r="I491" t="s">
        <v>526</v>
      </c>
      <c r="J491" t="s">
        <v>582</v>
      </c>
      <c r="K491" s="89" t="s">
        <v>838</v>
      </c>
      <c r="L491" s="89" t="s">
        <v>838</v>
      </c>
      <c r="M491" s="89" t="s">
        <v>838</v>
      </c>
      <c r="N491" s="89" t="s">
        <v>838</v>
      </c>
      <c r="O491" s="89" t="s">
        <v>838</v>
      </c>
    </row>
    <row r="492" spans="1:15" x14ac:dyDescent="0.25">
      <c r="A492">
        <f t="shared" si="7"/>
        <v>491</v>
      </c>
      <c r="B492" s="7" t="s">
        <v>2653</v>
      </c>
      <c r="C492" s="40">
        <v>45259</v>
      </c>
      <c r="D492" t="s">
        <v>2656</v>
      </c>
      <c r="E492" t="s">
        <v>2657</v>
      </c>
      <c r="F492" t="s">
        <v>2658</v>
      </c>
      <c r="G492" t="s">
        <v>197</v>
      </c>
      <c r="H492" s="38">
        <v>1132</v>
      </c>
      <c r="I492" t="s">
        <v>514</v>
      </c>
      <c r="J492" t="s">
        <v>545</v>
      </c>
      <c r="K492" s="89" t="s">
        <v>838</v>
      </c>
      <c r="L492" s="89" t="s">
        <v>838</v>
      </c>
      <c r="M492" s="89" t="s">
        <v>838</v>
      </c>
      <c r="N492" s="89" t="s">
        <v>838</v>
      </c>
      <c r="O492" s="89" t="s">
        <v>838</v>
      </c>
    </row>
    <row r="493" spans="1:15" x14ac:dyDescent="0.25">
      <c r="A493" s="83">
        <f t="shared" si="7"/>
        <v>492</v>
      </c>
      <c r="B493" s="7" t="s">
        <v>2654</v>
      </c>
      <c r="C493" s="40">
        <v>45262</v>
      </c>
      <c r="D493" t="s">
        <v>622</v>
      </c>
      <c r="E493" t="s">
        <v>623</v>
      </c>
      <c r="F493" t="s">
        <v>624</v>
      </c>
      <c r="G493" t="s">
        <v>192</v>
      </c>
      <c r="H493" s="38">
        <v>849.15</v>
      </c>
      <c r="I493" t="s">
        <v>898</v>
      </c>
      <c r="J493" t="s">
        <v>348</v>
      </c>
      <c r="K493" s="89" t="s">
        <v>838</v>
      </c>
      <c r="L493" s="89" t="s">
        <v>838</v>
      </c>
      <c r="M493" s="89" t="s">
        <v>838</v>
      </c>
      <c r="N493" s="89" t="s">
        <v>838</v>
      </c>
      <c r="O493" s="89" t="s">
        <v>838</v>
      </c>
    </row>
    <row r="494" spans="1:15" x14ac:dyDescent="0.25">
      <c r="A494" s="83">
        <f t="shared" si="7"/>
        <v>493</v>
      </c>
      <c r="B494" s="7" t="s">
        <v>2655</v>
      </c>
      <c r="C494" s="40">
        <v>45267</v>
      </c>
      <c r="D494" t="s">
        <v>2659</v>
      </c>
      <c r="E494" t="s">
        <v>2660</v>
      </c>
      <c r="F494" t="s">
        <v>2661</v>
      </c>
      <c r="G494" t="s">
        <v>192</v>
      </c>
      <c r="H494" s="38">
        <v>3992</v>
      </c>
      <c r="I494" t="s">
        <v>2662</v>
      </c>
      <c r="J494" t="s">
        <v>2666</v>
      </c>
      <c r="K494" s="89" t="s">
        <v>838</v>
      </c>
      <c r="L494" s="89" t="s">
        <v>838</v>
      </c>
      <c r="M494" s="89" t="s">
        <v>838</v>
      </c>
      <c r="N494" s="89" t="s">
        <v>838</v>
      </c>
      <c r="O494" s="89" t="s">
        <v>838</v>
      </c>
    </row>
    <row r="495" spans="1:15" x14ac:dyDescent="0.25">
      <c r="A495" s="83">
        <f t="shared" si="7"/>
        <v>494</v>
      </c>
      <c r="B495" s="7" t="s">
        <v>2663</v>
      </c>
      <c r="C495" s="40">
        <v>45236</v>
      </c>
      <c r="D495" t="s">
        <v>1809</v>
      </c>
      <c r="E495" t="s">
        <v>1810</v>
      </c>
      <c r="F495" t="s">
        <v>2436</v>
      </c>
      <c r="G495" t="s">
        <v>192</v>
      </c>
      <c r="H495" s="38">
        <v>2152</v>
      </c>
      <c r="I495" t="s">
        <v>2665</v>
      </c>
      <c r="J495" t="s">
        <v>2677</v>
      </c>
      <c r="K495" s="89" t="s">
        <v>838</v>
      </c>
      <c r="L495" s="89" t="s">
        <v>838</v>
      </c>
      <c r="M495" s="89" t="s">
        <v>838</v>
      </c>
      <c r="N495" s="89" t="s">
        <v>838</v>
      </c>
      <c r="O495" s="89" t="s">
        <v>838</v>
      </c>
    </row>
    <row r="496" spans="1:15" x14ac:dyDescent="0.25">
      <c r="A496">
        <f t="shared" si="7"/>
        <v>495</v>
      </c>
      <c r="B496" s="7" t="s">
        <v>2664</v>
      </c>
      <c r="C496" s="40">
        <v>45274</v>
      </c>
      <c r="D496" t="s">
        <v>2667</v>
      </c>
      <c r="E496" t="s">
        <v>2668</v>
      </c>
      <c r="F496" t="s">
        <v>2669</v>
      </c>
      <c r="G496" t="s">
        <v>197</v>
      </c>
      <c r="H496" s="38">
        <v>2589</v>
      </c>
      <c r="I496" t="s">
        <v>2670</v>
      </c>
      <c r="J496" t="s">
        <v>582</v>
      </c>
      <c r="K496" s="89" t="s">
        <v>838</v>
      </c>
      <c r="L496" s="89" t="s">
        <v>838</v>
      </c>
      <c r="M496" s="89" t="s">
        <v>838</v>
      </c>
      <c r="N496" s="89" t="s">
        <v>838</v>
      </c>
      <c r="O496" s="89" t="s">
        <v>838</v>
      </c>
    </row>
    <row r="497" spans="1:15" x14ac:dyDescent="0.25">
      <c r="A497" s="83">
        <f t="shared" si="7"/>
        <v>496</v>
      </c>
      <c r="B497" s="7" t="s">
        <v>2671</v>
      </c>
      <c r="C497" s="40">
        <v>45257</v>
      </c>
      <c r="D497" t="s">
        <v>2674</v>
      </c>
      <c r="E497" t="s">
        <v>2675</v>
      </c>
      <c r="F497" t="s">
        <v>2676</v>
      </c>
      <c r="G497" t="s">
        <v>192</v>
      </c>
      <c r="H497" s="38">
        <v>1232.1600000000001</v>
      </c>
      <c r="I497" t="s">
        <v>2319</v>
      </c>
      <c r="J497" s="89" t="s">
        <v>2677</v>
      </c>
      <c r="K497" s="89" t="s">
        <v>838</v>
      </c>
      <c r="L497" s="89" t="s">
        <v>838</v>
      </c>
      <c r="M497" s="89" t="s">
        <v>838</v>
      </c>
      <c r="N497" s="89" t="s">
        <v>838</v>
      </c>
      <c r="O497" s="89" t="s">
        <v>838</v>
      </c>
    </row>
    <row r="498" spans="1:15" x14ac:dyDescent="0.25">
      <c r="A498">
        <f t="shared" si="7"/>
        <v>497</v>
      </c>
      <c r="B498" s="7" t="s">
        <v>2672</v>
      </c>
      <c r="C498" s="40">
        <v>45268</v>
      </c>
      <c r="D498" t="s">
        <v>2678</v>
      </c>
      <c r="E498" t="s">
        <v>2679</v>
      </c>
      <c r="F498" t="s">
        <v>2680</v>
      </c>
      <c r="G498" t="s">
        <v>1292</v>
      </c>
      <c r="H498" s="38">
        <v>1764</v>
      </c>
      <c r="I498" t="s">
        <v>2681</v>
      </c>
      <c r="J498" t="s">
        <v>1633</v>
      </c>
      <c r="K498" s="89" t="s">
        <v>838</v>
      </c>
      <c r="L498" s="89" t="s">
        <v>838</v>
      </c>
      <c r="M498" s="89" t="s">
        <v>838</v>
      </c>
      <c r="N498" s="89" t="s">
        <v>838</v>
      </c>
      <c r="O498" s="89" t="s">
        <v>838</v>
      </c>
    </row>
    <row r="499" spans="1:15" x14ac:dyDescent="0.25">
      <c r="A499" s="81">
        <f t="shared" si="7"/>
        <v>498</v>
      </c>
      <c r="B499" s="7" t="s">
        <v>2673</v>
      </c>
      <c r="C499" s="40">
        <v>45276</v>
      </c>
      <c r="D499" t="s">
        <v>1606</v>
      </c>
      <c r="E499" t="s">
        <v>1607</v>
      </c>
      <c r="F499" t="s">
        <v>2682</v>
      </c>
      <c r="G499" t="s">
        <v>192</v>
      </c>
      <c r="H499" s="38">
        <v>3215.52</v>
      </c>
      <c r="I499" t="s">
        <v>2683</v>
      </c>
      <c r="J499" t="s">
        <v>2262</v>
      </c>
      <c r="K499" s="89" t="s">
        <v>838</v>
      </c>
      <c r="L499" s="89" t="s">
        <v>838</v>
      </c>
      <c r="M499" s="89" t="s">
        <v>838</v>
      </c>
      <c r="N499" s="89" t="s">
        <v>838</v>
      </c>
      <c r="O499" s="89" t="s">
        <v>838</v>
      </c>
    </row>
    <row r="500" spans="1:15" x14ac:dyDescent="0.25">
      <c r="A500">
        <f t="shared" si="7"/>
        <v>499</v>
      </c>
      <c r="B500" s="7" t="s">
        <v>2684</v>
      </c>
      <c r="C500" s="40">
        <v>45278</v>
      </c>
      <c r="D500" t="s">
        <v>2686</v>
      </c>
      <c r="E500" t="s">
        <v>2687</v>
      </c>
      <c r="F500" t="s">
        <v>2688</v>
      </c>
      <c r="G500" t="s">
        <v>193</v>
      </c>
      <c r="H500" s="38">
        <v>960</v>
      </c>
      <c r="I500" t="s">
        <v>2689</v>
      </c>
      <c r="J500" t="s">
        <v>2501</v>
      </c>
      <c r="K500" s="89" t="s">
        <v>838</v>
      </c>
      <c r="L500" s="89" t="s">
        <v>838</v>
      </c>
      <c r="M500" s="89" t="s">
        <v>838</v>
      </c>
      <c r="N500" s="89" t="s">
        <v>838</v>
      </c>
      <c r="O500" s="89" t="s">
        <v>838</v>
      </c>
    </row>
    <row r="501" spans="1:15" x14ac:dyDescent="0.25">
      <c r="A501" s="79">
        <f t="shared" si="7"/>
        <v>500</v>
      </c>
      <c r="B501" s="7" t="s">
        <v>2685</v>
      </c>
      <c r="C501" s="40">
        <v>45278</v>
      </c>
      <c r="D501" t="s">
        <v>939</v>
      </c>
      <c r="E501" t="s">
        <v>940</v>
      </c>
      <c r="F501" s="89" t="s">
        <v>941</v>
      </c>
      <c r="G501" t="s">
        <v>192</v>
      </c>
      <c r="H501" s="38">
        <v>1290</v>
      </c>
      <c r="I501" t="s">
        <v>2690</v>
      </c>
      <c r="J501" t="s">
        <v>2691</v>
      </c>
      <c r="K501" s="89" t="s">
        <v>838</v>
      </c>
      <c r="L501" s="89" t="s">
        <v>838</v>
      </c>
      <c r="M501" s="89" t="s">
        <v>838</v>
      </c>
      <c r="N501" s="89" t="s">
        <v>838</v>
      </c>
      <c r="O501" s="89" t="s">
        <v>838</v>
      </c>
    </row>
    <row r="502" spans="1:15" x14ac:dyDescent="0.25">
      <c r="A502" s="83">
        <f t="shared" si="7"/>
        <v>501</v>
      </c>
      <c r="B502" s="7" t="s">
        <v>2692</v>
      </c>
      <c r="C502" s="40">
        <v>45273</v>
      </c>
      <c r="D502" t="s">
        <v>2695</v>
      </c>
      <c r="E502" t="s">
        <v>2696</v>
      </c>
      <c r="F502" t="s">
        <v>2697</v>
      </c>
      <c r="G502" t="s">
        <v>192</v>
      </c>
      <c r="H502" s="38">
        <v>1449</v>
      </c>
      <c r="I502" t="s">
        <v>2698</v>
      </c>
      <c r="J502" t="s">
        <v>2699</v>
      </c>
      <c r="K502" s="89" t="s">
        <v>838</v>
      </c>
      <c r="L502" s="89" t="s">
        <v>838</v>
      </c>
      <c r="M502" s="89" t="s">
        <v>838</v>
      </c>
      <c r="N502" s="89" t="s">
        <v>838</v>
      </c>
      <c r="O502" s="89" t="s">
        <v>838</v>
      </c>
    </row>
    <row r="503" spans="1:15" x14ac:dyDescent="0.25">
      <c r="A503" s="83">
        <f t="shared" si="7"/>
        <v>502</v>
      </c>
      <c r="B503" s="7" t="s">
        <v>2693</v>
      </c>
      <c r="C503" s="40">
        <v>45275</v>
      </c>
      <c r="D503" t="s">
        <v>724</v>
      </c>
      <c r="E503" t="s">
        <v>725</v>
      </c>
      <c r="F503" t="s">
        <v>2700</v>
      </c>
      <c r="G503" t="s">
        <v>192</v>
      </c>
      <c r="H503" s="38">
        <v>3565.6</v>
      </c>
      <c r="I503" t="s">
        <v>2701</v>
      </c>
      <c r="J503" t="s">
        <v>2702</v>
      </c>
      <c r="K503" s="89" t="s">
        <v>838</v>
      </c>
      <c r="L503" s="89" t="s">
        <v>838</v>
      </c>
      <c r="M503" s="89" t="s">
        <v>838</v>
      </c>
      <c r="N503" s="89" t="s">
        <v>838</v>
      </c>
      <c r="O503" s="89" t="s">
        <v>838</v>
      </c>
    </row>
    <row r="504" spans="1:15" x14ac:dyDescent="0.25">
      <c r="A504" s="83">
        <f t="shared" si="7"/>
        <v>503</v>
      </c>
      <c r="B504" s="7" t="s">
        <v>2694</v>
      </c>
      <c r="C504" s="40">
        <v>45279</v>
      </c>
      <c r="D504" t="s">
        <v>2703</v>
      </c>
      <c r="E504" t="s">
        <v>2704</v>
      </c>
      <c r="F504" t="s">
        <v>2705</v>
      </c>
      <c r="G504" t="s">
        <v>192</v>
      </c>
      <c r="H504" s="38">
        <v>1170</v>
      </c>
      <c r="I504" t="s">
        <v>1163</v>
      </c>
      <c r="J504" t="s">
        <v>2706</v>
      </c>
      <c r="K504" s="89" t="s">
        <v>838</v>
      </c>
      <c r="L504" s="89" t="s">
        <v>838</v>
      </c>
      <c r="M504" s="89" t="s">
        <v>838</v>
      </c>
      <c r="N504" s="89" t="s">
        <v>838</v>
      </c>
      <c r="O504" s="89" t="s">
        <v>838</v>
      </c>
    </row>
    <row r="505" spans="1:15" x14ac:dyDescent="0.25">
      <c r="A505" s="83">
        <f t="shared" si="7"/>
        <v>504</v>
      </c>
      <c r="B505" s="7" t="s">
        <v>2707</v>
      </c>
      <c r="C505" s="40">
        <v>45260</v>
      </c>
      <c r="D505" t="s">
        <v>2708</v>
      </c>
      <c r="E505" t="s">
        <v>2709</v>
      </c>
      <c r="F505" t="s">
        <v>2710</v>
      </c>
      <c r="G505" t="s">
        <v>192</v>
      </c>
      <c r="H505" s="38">
        <v>1965</v>
      </c>
      <c r="I505" t="s">
        <v>2711</v>
      </c>
      <c r="J505" t="s">
        <v>2719</v>
      </c>
      <c r="K505" s="89" t="s">
        <v>838</v>
      </c>
      <c r="L505" s="89" t="s">
        <v>838</v>
      </c>
      <c r="M505" s="89" t="s">
        <v>838</v>
      </c>
      <c r="N505" s="89" t="s">
        <v>838</v>
      </c>
      <c r="O505" s="89" t="s">
        <v>838</v>
      </c>
    </row>
    <row r="506" spans="1:15" x14ac:dyDescent="0.25">
      <c r="A506" s="83">
        <f t="shared" si="7"/>
        <v>505</v>
      </c>
      <c r="B506" s="7" t="s">
        <v>2712</v>
      </c>
      <c r="C506" s="40">
        <v>44904</v>
      </c>
      <c r="D506" t="s">
        <v>2716</v>
      </c>
      <c r="E506" t="s">
        <v>2717</v>
      </c>
      <c r="F506" t="s">
        <v>2718</v>
      </c>
      <c r="G506" t="s">
        <v>192</v>
      </c>
      <c r="H506" s="38">
        <v>1535</v>
      </c>
      <c r="I506" t="s">
        <v>346</v>
      </c>
      <c r="J506" t="s">
        <v>300</v>
      </c>
      <c r="K506" s="89" t="s">
        <v>838</v>
      </c>
      <c r="L506" s="89" t="s">
        <v>838</v>
      </c>
      <c r="M506" s="89" t="s">
        <v>838</v>
      </c>
      <c r="N506" s="89" t="s">
        <v>838</v>
      </c>
      <c r="O506" s="89" t="s">
        <v>838</v>
      </c>
    </row>
    <row r="507" spans="1:15" x14ac:dyDescent="0.25">
      <c r="A507" s="83">
        <f t="shared" si="7"/>
        <v>506</v>
      </c>
      <c r="B507" s="7" t="s">
        <v>2713</v>
      </c>
      <c r="C507" s="40">
        <v>45280</v>
      </c>
      <c r="D507" t="s">
        <v>2720</v>
      </c>
      <c r="E507" t="s">
        <v>2721</v>
      </c>
      <c r="F507" t="s">
        <v>2722</v>
      </c>
      <c r="G507" t="s">
        <v>192</v>
      </c>
      <c r="H507" s="38">
        <v>1353</v>
      </c>
      <c r="I507" t="s">
        <v>2723</v>
      </c>
      <c r="J507" t="s">
        <v>300</v>
      </c>
      <c r="K507" s="89" t="s">
        <v>838</v>
      </c>
      <c r="L507" s="89" t="s">
        <v>838</v>
      </c>
      <c r="M507" s="89" t="s">
        <v>838</v>
      </c>
      <c r="N507" s="89" t="s">
        <v>838</v>
      </c>
      <c r="O507" s="89" t="s">
        <v>838</v>
      </c>
    </row>
    <row r="508" spans="1:15" x14ac:dyDescent="0.25">
      <c r="A508" s="96">
        <f t="shared" si="7"/>
        <v>507</v>
      </c>
      <c r="B508" s="7" t="s">
        <v>2714</v>
      </c>
      <c r="C508" s="40">
        <v>45281</v>
      </c>
      <c r="D508" t="s">
        <v>2724</v>
      </c>
      <c r="E508" t="s">
        <v>2725</v>
      </c>
      <c r="F508" t="s">
        <v>2726</v>
      </c>
      <c r="G508" t="s">
        <v>197</v>
      </c>
      <c r="H508" s="38">
        <v>1425</v>
      </c>
      <c r="I508" t="s">
        <v>2727</v>
      </c>
      <c r="J508" t="s">
        <v>2734</v>
      </c>
      <c r="K508" s="89" t="s">
        <v>838</v>
      </c>
      <c r="L508" s="89" t="s">
        <v>838</v>
      </c>
      <c r="M508" s="89" t="s">
        <v>838</v>
      </c>
      <c r="N508" s="89" t="s">
        <v>838</v>
      </c>
      <c r="O508" s="89" t="s">
        <v>838</v>
      </c>
    </row>
    <row r="509" spans="1:15" x14ac:dyDescent="0.25">
      <c r="A509" s="83">
        <f t="shared" si="7"/>
        <v>508</v>
      </c>
      <c r="B509" s="7" t="s">
        <v>2715</v>
      </c>
      <c r="C509" s="40">
        <v>45281</v>
      </c>
      <c r="D509" t="s">
        <v>669</v>
      </c>
      <c r="E509" t="s">
        <v>670</v>
      </c>
      <c r="F509" t="s">
        <v>2728</v>
      </c>
      <c r="G509" t="s">
        <v>192</v>
      </c>
      <c r="H509" s="38">
        <v>930</v>
      </c>
      <c r="I509" t="s">
        <v>2729</v>
      </c>
      <c r="J509" t="s">
        <v>2735</v>
      </c>
      <c r="K509" s="89" t="s">
        <v>838</v>
      </c>
      <c r="L509" s="89" t="s">
        <v>838</v>
      </c>
      <c r="M509" s="89" t="s">
        <v>838</v>
      </c>
      <c r="N509" s="89" t="s">
        <v>838</v>
      </c>
      <c r="O509" s="89" t="s">
        <v>838</v>
      </c>
    </row>
    <row r="510" spans="1:15" x14ac:dyDescent="0.25">
      <c r="A510" s="83">
        <f t="shared" si="7"/>
        <v>509</v>
      </c>
      <c r="B510" s="7" t="s">
        <v>2730</v>
      </c>
      <c r="C510" s="40">
        <v>45274</v>
      </c>
      <c r="D510" t="s">
        <v>2472</v>
      </c>
      <c r="E510" t="s">
        <v>2473</v>
      </c>
      <c r="F510" t="s">
        <v>2733</v>
      </c>
      <c r="G510" t="s">
        <v>192</v>
      </c>
      <c r="H510" s="38">
        <v>1351</v>
      </c>
      <c r="I510" t="s">
        <v>1844</v>
      </c>
      <c r="J510" t="s">
        <v>219</v>
      </c>
      <c r="K510" s="89" t="s">
        <v>838</v>
      </c>
      <c r="L510" s="89" t="s">
        <v>838</v>
      </c>
      <c r="M510" s="89" t="s">
        <v>838</v>
      </c>
      <c r="N510" s="89" t="s">
        <v>838</v>
      </c>
      <c r="O510" s="89" t="s">
        <v>838</v>
      </c>
    </row>
    <row r="511" spans="1:15" x14ac:dyDescent="0.25">
      <c r="A511" s="83">
        <f t="shared" si="7"/>
        <v>510</v>
      </c>
      <c r="B511" s="7" t="s">
        <v>2731</v>
      </c>
      <c r="C511" s="40">
        <v>45282</v>
      </c>
      <c r="D511" t="s">
        <v>523</v>
      </c>
      <c r="E511" t="s">
        <v>524</v>
      </c>
      <c r="F511" t="s">
        <v>525</v>
      </c>
      <c r="G511" t="s">
        <v>192</v>
      </c>
      <c r="H511" s="38">
        <v>960</v>
      </c>
      <c r="I511" t="s">
        <v>526</v>
      </c>
      <c r="J511" t="s">
        <v>305</v>
      </c>
      <c r="K511" s="89" t="s">
        <v>838</v>
      </c>
      <c r="L511" s="89" t="s">
        <v>838</v>
      </c>
      <c r="M511" s="89" t="s">
        <v>838</v>
      </c>
      <c r="N511" s="89" t="s">
        <v>838</v>
      </c>
      <c r="O511" s="89" t="s">
        <v>838</v>
      </c>
    </row>
    <row r="512" spans="1:15" x14ac:dyDescent="0.25">
      <c r="A512" s="83">
        <f t="shared" si="7"/>
        <v>511</v>
      </c>
      <c r="B512" s="7" t="s">
        <v>2732</v>
      </c>
      <c r="C512" s="40">
        <v>45282</v>
      </c>
      <c r="D512" t="s">
        <v>2736</v>
      </c>
      <c r="E512" t="s">
        <v>2737</v>
      </c>
      <c r="F512" t="s">
        <v>2738</v>
      </c>
      <c r="G512" t="s">
        <v>192</v>
      </c>
      <c r="H512" s="38">
        <v>2238</v>
      </c>
      <c r="I512" t="s">
        <v>2739</v>
      </c>
      <c r="J512" t="s">
        <v>2734</v>
      </c>
      <c r="K512" s="89" t="s">
        <v>838</v>
      </c>
      <c r="L512" s="89" t="s">
        <v>838</v>
      </c>
      <c r="M512" s="89" t="s">
        <v>838</v>
      </c>
      <c r="N512" s="89" t="s">
        <v>838</v>
      </c>
      <c r="O512" s="89" t="s">
        <v>838</v>
      </c>
    </row>
    <row r="513" spans="1:15" x14ac:dyDescent="0.25">
      <c r="A513">
        <f t="shared" si="7"/>
        <v>512</v>
      </c>
      <c r="B513" s="98" t="s">
        <v>2741</v>
      </c>
      <c r="C513" s="40">
        <v>45288</v>
      </c>
      <c r="D513" t="s">
        <v>2742</v>
      </c>
      <c r="F513" t="s">
        <v>2743</v>
      </c>
      <c r="G513" t="s">
        <v>1775</v>
      </c>
      <c r="H513" s="38">
        <v>3000</v>
      </c>
      <c r="I513" t="s">
        <v>2744</v>
      </c>
      <c r="J513" t="s">
        <v>733</v>
      </c>
      <c r="K513" s="89" t="s">
        <v>838</v>
      </c>
      <c r="L513" s="89" t="s">
        <v>838</v>
      </c>
      <c r="M513" s="89" t="s">
        <v>838</v>
      </c>
      <c r="N513" s="89" t="s">
        <v>838</v>
      </c>
      <c r="O513" s="89" t="s">
        <v>838</v>
      </c>
    </row>
    <row r="514" spans="1:15" x14ac:dyDescent="0.25">
      <c r="A514">
        <f t="shared" si="7"/>
        <v>513</v>
      </c>
      <c r="B514" s="7" t="s">
        <v>2745</v>
      </c>
      <c r="C514" s="40">
        <v>45279</v>
      </c>
      <c r="D514" t="s">
        <v>2751</v>
      </c>
      <c r="E514" t="s">
        <v>2748</v>
      </c>
      <c r="F514" t="s">
        <v>2749</v>
      </c>
      <c r="G514" t="s">
        <v>197</v>
      </c>
      <c r="H514" s="38">
        <v>2774</v>
      </c>
      <c r="I514" t="s">
        <v>2750</v>
      </c>
      <c r="J514" t="s">
        <v>582</v>
      </c>
      <c r="K514" s="89" t="s">
        <v>838</v>
      </c>
      <c r="L514" s="89" t="s">
        <v>838</v>
      </c>
      <c r="M514" s="89" t="s">
        <v>838</v>
      </c>
      <c r="N514" s="89" t="s">
        <v>838</v>
      </c>
      <c r="O514" s="89" t="s">
        <v>838</v>
      </c>
    </row>
    <row r="515" spans="1:15" x14ac:dyDescent="0.25">
      <c r="A515">
        <f t="shared" si="7"/>
        <v>514</v>
      </c>
      <c r="B515" s="7" t="s">
        <v>2746</v>
      </c>
      <c r="C515" s="40">
        <v>45289</v>
      </c>
      <c r="D515" t="s">
        <v>2752</v>
      </c>
      <c r="E515" t="s">
        <v>2753</v>
      </c>
      <c r="F515" t="s">
        <v>2754</v>
      </c>
      <c r="G515" t="s">
        <v>197</v>
      </c>
      <c r="H515" s="38">
        <v>2516.5500000000002</v>
      </c>
      <c r="I515" t="s">
        <v>2755</v>
      </c>
      <c r="J515" t="s">
        <v>2763</v>
      </c>
      <c r="K515" s="89" t="s">
        <v>838</v>
      </c>
      <c r="L515" s="89" t="s">
        <v>838</v>
      </c>
      <c r="M515" s="89" t="s">
        <v>838</v>
      </c>
      <c r="N515" s="89" t="s">
        <v>838</v>
      </c>
      <c r="O515" s="89" t="s">
        <v>838</v>
      </c>
    </row>
    <row r="516" spans="1:15" x14ac:dyDescent="0.25">
      <c r="A516">
        <f t="shared" ref="A516:A579" si="8">A515+1</f>
        <v>515</v>
      </c>
      <c r="B516" s="7" t="s">
        <v>2747</v>
      </c>
      <c r="C516" s="40">
        <v>45290</v>
      </c>
      <c r="D516" t="s">
        <v>2757</v>
      </c>
      <c r="E516" t="s">
        <v>2758</v>
      </c>
      <c r="F516" t="s">
        <v>2756</v>
      </c>
      <c r="G516" t="s">
        <v>197</v>
      </c>
      <c r="H516" s="38">
        <v>1456</v>
      </c>
      <c r="I516" t="s">
        <v>2759</v>
      </c>
      <c r="J516" t="s">
        <v>2760</v>
      </c>
      <c r="K516" s="89" t="s">
        <v>838</v>
      </c>
      <c r="L516" s="89" t="s">
        <v>838</v>
      </c>
      <c r="M516" s="89" t="s">
        <v>838</v>
      </c>
      <c r="N516" s="89" t="s">
        <v>838</v>
      </c>
      <c r="O516" s="89" t="s">
        <v>838</v>
      </c>
    </row>
    <row r="517" spans="1:15" x14ac:dyDescent="0.25">
      <c r="A517" s="83">
        <f t="shared" si="8"/>
        <v>516</v>
      </c>
      <c r="B517" s="7" t="s">
        <v>2761</v>
      </c>
      <c r="C517" s="40">
        <v>45282</v>
      </c>
      <c r="D517" t="s">
        <v>2472</v>
      </c>
      <c r="E517" t="s">
        <v>2473</v>
      </c>
      <c r="F517" t="s">
        <v>2733</v>
      </c>
      <c r="G517" t="s">
        <v>192</v>
      </c>
      <c r="H517" s="38">
        <v>800</v>
      </c>
      <c r="I517" t="s">
        <v>2762</v>
      </c>
      <c r="J517" t="s">
        <v>2764</v>
      </c>
      <c r="K517" t="s">
        <v>838</v>
      </c>
      <c r="L517" s="89" t="s">
        <v>838</v>
      </c>
      <c r="M517" s="89" t="s">
        <v>838</v>
      </c>
      <c r="N517" s="89" t="s">
        <v>838</v>
      </c>
      <c r="O517" s="89" t="s">
        <v>838</v>
      </c>
    </row>
    <row r="518" spans="1:15" x14ac:dyDescent="0.25">
      <c r="A518">
        <f t="shared" si="8"/>
        <v>517</v>
      </c>
    </row>
    <row r="519" spans="1:15" x14ac:dyDescent="0.25">
      <c r="A519">
        <f t="shared" si="8"/>
        <v>518</v>
      </c>
    </row>
    <row r="520" spans="1:15" x14ac:dyDescent="0.25">
      <c r="A520">
        <f t="shared" si="8"/>
        <v>519</v>
      </c>
    </row>
    <row r="521" spans="1:15" x14ac:dyDescent="0.25">
      <c r="A521">
        <f t="shared" si="8"/>
        <v>520</v>
      </c>
    </row>
    <row r="522" spans="1:15" x14ac:dyDescent="0.25">
      <c r="A522">
        <f t="shared" si="8"/>
        <v>521</v>
      </c>
    </row>
    <row r="523" spans="1:15" x14ac:dyDescent="0.25">
      <c r="A523">
        <f t="shared" si="8"/>
        <v>522</v>
      </c>
    </row>
    <row r="524" spans="1:15" x14ac:dyDescent="0.25">
      <c r="A524">
        <f t="shared" si="8"/>
        <v>523</v>
      </c>
    </row>
    <row r="525" spans="1:15" x14ac:dyDescent="0.25">
      <c r="A525">
        <f t="shared" si="8"/>
        <v>524</v>
      </c>
    </row>
    <row r="526" spans="1:15" x14ac:dyDescent="0.25">
      <c r="A526">
        <f t="shared" si="8"/>
        <v>525</v>
      </c>
    </row>
    <row r="527" spans="1:15" x14ac:dyDescent="0.25">
      <c r="A527">
        <f t="shared" si="8"/>
        <v>526</v>
      </c>
    </row>
    <row r="528" spans="1:15" x14ac:dyDescent="0.25">
      <c r="A528">
        <f t="shared" si="8"/>
        <v>527</v>
      </c>
    </row>
    <row r="529" spans="1:1" x14ac:dyDescent="0.25">
      <c r="A529">
        <f t="shared" si="8"/>
        <v>528</v>
      </c>
    </row>
    <row r="530" spans="1:1" x14ac:dyDescent="0.25">
      <c r="A530">
        <f t="shared" si="8"/>
        <v>529</v>
      </c>
    </row>
    <row r="531" spans="1:1" x14ac:dyDescent="0.25">
      <c r="A531">
        <f t="shared" si="8"/>
        <v>530</v>
      </c>
    </row>
    <row r="532" spans="1:1" x14ac:dyDescent="0.25">
      <c r="A532">
        <f t="shared" si="8"/>
        <v>531</v>
      </c>
    </row>
    <row r="533" spans="1:1" x14ac:dyDescent="0.25">
      <c r="A533">
        <f t="shared" si="8"/>
        <v>532</v>
      </c>
    </row>
    <row r="534" spans="1:1" x14ac:dyDescent="0.25">
      <c r="A534">
        <f t="shared" si="8"/>
        <v>533</v>
      </c>
    </row>
    <row r="535" spans="1:1" x14ac:dyDescent="0.25">
      <c r="A535">
        <f t="shared" si="8"/>
        <v>534</v>
      </c>
    </row>
    <row r="536" spans="1:1" x14ac:dyDescent="0.25">
      <c r="A536">
        <f t="shared" si="8"/>
        <v>535</v>
      </c>
    </row>
    <row r="537" spans="1:1" x14ac:dyDescent="0.25">
      <c r="A537">
        <f t="shared" si="8"/>
        <v>536</v>
      </c>
    </row>
    <row r="538" spans="1:1" x14ac:dyDescent="0.25">
      <c r="A538">
        <f t="shared" si="8"/>
        <v>537</v>
      </c>
    </row>
    <row r="539" spans="1:1" x14ac:dyDescent="0.25">
      <c r="A539">
        <f t="shared" si="8"/>
        <v>538</v>
      </c>
    </row>
    <row r="540" spans="1:1" x14ac:dyDescent="0.25">
      <c r="A540">
        <f t="shared" si="8"/>
        <v>539</v>
      </c>
    </row>
    <row r="541" spans="1:1" x14ac:dyDescent="0.25">
      <c r="A541">
        <f t="shared" si="8"/>
        <v>540</v>
      </c>
    </row>
    <row r="542" spans="1:1" x14ac:dyDescent="0.25">
      <c r="A542">
        <f t="shared" si="8"/>
        <v>541</v>
      </c>
    </row>
    <row r="543" spans="1:1" x14ac:dyDescent="0.25">
      <c r="A543">
        <f t="shared" si="8"/>
        <v>542</v>
      </c>
    </row>
    <row r="544" spans="1:1" x14ac:dyDescent="0.25">
      <c r="A544">
        <f t="shared" si="8"/>
        <v>543</v>
      </c>
    </row>
    <row r="545" spans="1:1" x14ac:dyDescent="0.25">
      <c r="A545">
        <f t="shared" si="8"/>
        <v>544</v>
      </c>
    </row>
    <row r="546" spans="1:1" x14ac:dyDescent="0.25">
      <c r="A546">
        <f t="shared" si="8"/>
        <v>545</v>
      </c>
    </row>
    <row r="547" spans="1:1" x14ac:dyDescent="0.25">
      <c r="A547">
        <f t="shared" si="8"/>
        <v>546</v>
      </c>
    </row>
    <row r="548" spans="1:1" x14ac:dyDescent="0.25">
      <c r="A548">
        <f t="shared" si="8"/>
        <v>547</v>
      </c>
    </row>
    <row r="549" spans="1:1" x14ac:dyDescent="0.25">
      <c r="A549">
        <f t="shared" si="8"/>
        <v>548</v>
      </c>
    </row>
    <row r="550" spans="1:1" x14ac:dyDescent="0.25">
      <c r="A550">
        <f t="shared" si="8"/>
        <v>549</v>
      </c>
    </row>
    <row r="551" spans="1:1" x14ac:dyDescent="0.25">
      <c r="A551">
        <f t="shared" si="8"/>
        <v>550</v>
      </c>
    </row>
    <row r="552" spans="1:1" x14ac:dyDescent="0.25">
      <c r="A552">
        <f t="shared" si="8"/>
        <v>551</v>
      </c>
    </row>
    <row r="553" spans="1:1" x14ac:dyDescent="0.25">
      <c r="A553">
        <f t="shared" si="8"/>
        <v>552</v>
      </c>
    </row>
    <row r="554" spans="1:1" x14ac:dyDescent="0.25">
      <c r="A554">
        <f t="shared" si="8"/>
        <v>553</v>
      </c>
    </row>
    <row r="555" spans="1:1" x14ac:dyDescent="0.25">
      <c r="A555">
        <f t="shared" si="8"/>
        <v>554</v>
      </c>
    </row>
    <row r="556" spans="1:1" x14ac:dyDescent="0.25">
      <c r="A556">
        <f t="shared" si="8"/>
        <v>555</v>
      </c>
    </row>
    <row r="557" spans="1:1" x14ac:dyDescent="0.25">
      <c r="A557">
        <f t="shared" si="8"/>
        <v>556</v>
      </c>
    </row>
    <row r="558" spans="1:1" x14ac:dyDescent="0.25">
      <c r="A558">
        <f t="shared" si="8"/>
        <v>557</v>
      </c>
    </row>
    <row r="559" spans="1:1" x14ac:dyDescent="0.25">
      <c r="A559">
        <f t="shared" si="8"/>
        <v>558</v>
      </c>
    </row>
    <row r="560" spans="1:1" x14ac:dyDescent="0.25">
      <c r="A560">
        <f t="shared" si="8"/>
        <v>559</v>
      </c>
    </row>
    <row r="561" spans="1:1" x14ac:dyDescent="0.25">
      <c r="A561">
        <f t="shared" si="8"/>
        <v>560</v>
      </c>
    </row>
    <row r="562" spans="1:1" x14ac:dyDescent="0.25">
      <c r="A562">
        <f t="shared" si="8"/>
        <v>561</v>
      </c>
    </row>
    <row r="563" spans="1:1" x14ac:dyDescent="0.25">
      <c r="A563">
        <f t="shared" si="8"/>
        <v>562</v>
      </c>
    </row>
    <row r="564" spans="1:1" x14ac:dyDescent="0.25">
      <c r="A564">
        <f t="shared" si="8"/>
        <v>563</v>
      </c>
    </row>
    <row r="565" spans="1:1" x14ac:dyDescent="0.25">
      <c r="A565">
        <f t="shared" si="8"/>
        <v>564</v>
      </c>
    </row>
    <row r="566" spans="1:1" x14ac:dyDescent="0.25">
      <c r="A566">
        <f t="shared" si="8"/>
        <v>565</v>
      </c>
    </row>
    <row r="567" spans="1:1" x14ac:dyDescent="0.25">
      <c r="A567">
        <f t="shared" si="8"/>
        <v>566</v>
      </c>
    </row>
    <row r="568" spans="1:1" x14ac:dyDescent="0.25">
      <c r="A568">
        <f t="shared" si="8"/>
        <v>567</v>
      </c>
    </row>
    <row r="569" spans="1:1" x14ac:dyDescent="0.25">
      <c r="A569">
        <f t="shared" si="8"/>
        <v>568</v>
      </c>
    </row>
    <row r="570" spans="1:1" x14ac:dyDescent="0.25">
      <c r="A570">
        <f t="shared" si="8"/>
        <v>569</v>
      </c>
    </row>
    <row r="571" spans="1:1" x14ac:dyDescent="0.25">
      <c r="A571">
        <f t="shared" si="8"/>
        <v>570</v>
      </c>
    </row>
    <row r="572" spans="1:1" x14ac:dyDescent="0.25">
      <c r="A572">
        <f t="shared" si="8"/>
        <v>571</v>
      </c>
    </row>
    <row r="573" spans="1:1" x14ac:dyDescent="0.25">
      <c r="A573">
        <f t="shared" si="8"/>
        <v>572</v>
      </c>
    </row>
    <row r="574" spans="1:1" x14ac:dyDescent="0.25">
      <c r="A574">
        <f t="shared" si="8"/>
        <v>573</v>
      </c>
    </row>
    <row r="575" spans="1:1" x14ac:dyDescent="0.25">
      <c r="A575">
        <f t="shared" si="8"/>
        <v>574</v>
      </c>
    </row>
    <row r="576" spans="1:1" x14ac:dyDescent="0.25">
      <c r="A576">
        <f t="shared" si="8"/>
        <v>575</v>
      </c>
    </row>
    <row r="577" spans="1:1" x14ac:dyDescent="0.25">
      <c r="A577">
        <f t="shared" si="8"/>
        <v>576</v>
      </c>
    </row>
    <row r="578" spans="1:1" x14ac:dyDescent="0.25">
      <c r="A578">
        <f t="shared" si="8"/>
        <v>577</v>
      </c>
    </row>
    <row r="579" spans="1:1" x14ac:dyDescent="0.25">
      <c r="A579">
        <f t="shared" si="8"/>
        <v>578</v>
      </c>
    </row>
    <row r="580" spans="1:1" x14ac:dyDescent="0.25">
      <c r="A580">
        <f t="shared" ref="A580:A643" si="9">A579+1</f>
        <v>579</v>
      </c>
    </row>
    <row r="581" spans="1:1" x14ac:dyDescent="0.25">
      <c r="A581">
        <f t="shared" si="9"/>
        <v>580</v>
      </c>
    </row>
    <row r="582" spans="1:1" x14ac:dyDescent="0.25">
      <c r="A582">
        <f t="shared" si="9"/>
        <v>581</v>
      </c>
    </row>
    <row r="583" spans="1:1" x14ac:dyDescent="0.25">
      <c r="A583">
        <f t="shared" si="9"/>
        <v>582</v>
      </c>
    </row>
    <row r="584" spans="1:1" x14ac:dyDescent="0.25">
      <c r="A584">
        <f t="shared" si="9"/>
        <v>583</v>
      </c>
    </row>
    <row r="585" spans="1:1" x14ac:dyDescent="0.25">
      <c r="A585">
        <f t="shared" si="9"/>
        <v>584</v>
      </c>
    </row>
    <row r="586" spans="1:1" x14ac:dyDescent="0.25">
      <c r="A586">
        <f t="shared" si="9"/>
        <v>585</v>
      </c>
    </row>
    <row r="587" spans="1:1" x14ac:dyDescent="0.25">
      <c r="A587">
        <f t="shared" si="9"/>
        <v>586</v>
      </c>
    </row>
    <row r="588" spans="1:1" x14ac:dyDescent="0.25">
      <c r="A588">
        <f t="shared" si="9"/>
        <v>587</v>
      </c>
    </row>
    <row r="589" spans="1:1" x14ac:dyDescent="0.25">
      <c r="A589">
        <f t="shared" si="9"/>
        <v>588</v>
      </c>
    </row>
    <row r="590" spans="1:1" x14ac:dyDescent="0.25">
      <c r="A590">
        <f t="shared" si="9"/>
        <v>589</v>
      </c>
    </row>
    <row r="591" spans="1:1" x14ac:dyDescent="0.25">
      <c r="A591">
        <f t="shared" si="9"/>
        <v>590</v>
      </c>
    </row>
    <row r="592" spans="1:1" x14ac:dyDescent="0.25">
      <c r="A592">
        <f t="shared" si="9"/>
        <v>591</v>
      </c>
    </row>
    <row r="593" spans="1:1" x14ac:dyDescent="0.25">
      <c r="A593">
        <f t="shared" si="9"/>
        <v>592</v>
      </c>
    </row>
    <row r="594" spans="1:1" x14ac:dyDescent="0.25">
      <c r="A594">
        <f t="shared" si="9"/>
        <v>593</v>
      </c>
    </row>
    <row r="595" spans="1:1" x14ac:dyDescent="0.25">
      <c r="A595">
        <f t="shared" si="9"/>
        <v>594</v>
      </c>
    </row>
    <row r="596" spans="1:1" x14ac:dyDescent="0.25">
      <c r="A596">
        <f t="shared" si="9"/>
        <v>595</v>
      </c>
    </row>
    <row r="597" spans="1:1" x14ac:dyDescent="0.25">
      <c r="A597">
        <f t="shared" si="9"/>
        <v>596</v>
      </c>
    </row>
    <row r="598" spans="1:1" x14ac:dyDescent="0.25">
      <c r="A598">
        <f t="shared" si="9"/>
        <v>597</v>
      </c>
    </row>
    <row r="599" spans="1:1" x14ac:dyDescent="0.25">
      <c r="A599">
        <f t="shared" si="9"/>
        <v>598</v>
      </c>
    </row>
    <row r="600" spans="1:1" x14ac:dyDescent="0.25">
      <c r="A600">
        <f t="shared" si="9"/>
        <v>599</v>
      </c>
    </row>
    <row r="601" spans="1:1" x14ac:dyDescent="0.25">
      <c r="A601">
        <f t="shared" si="9"/>
        <v>600</v>
      </c>
    </row>
    <row r="602" spans="1:1" x14ac:dyDescent="0.25">
      <c r="A602">
        <f t="shared" si="9"/>
        <v>601</v>
      </c>
    </row>
    <row r="603" spans="1:1" x14ac:dyDescent="0.25">
      <c r="A603">
        <f t="shared" si="9"/>
        <v>602</v>
      </c>
    </row>
    <row r="604" spans="1:1" x14ac:dyDescent="0.25">
      <c r="A604">
        <f t="shared" si="9"/>
        <v>603</v>
      </c>
    </row>
    <row r="605" spans="1:1" x14ac:dyDescent="0.25">
      <c r="A605">
        <f t="shared" si="9"/>
        <v>604</v>
      </c>
    </row>
    <row r="606" spans="1:1" x14ac:dyDescent="0.25">
      <c r="A606">
        <f t="shared" si="9"/>
        <v>605</v>
      </c>
    </row>
    <row r="607" spans="1:1" x14ac:dyDescent="0.25">
      <c r="A607">
        <f t="shared" si="9"/>
        <v>606</v>
      </c>
    </row>
    <row r="608" spans="1:1" x14ac:dyDescent="0.25">
      <c r="A608">
        <f t="shared" si="9"/>
        <v>607</v>
      </c>
    </row>
    <row r="609" spans="1:1" x14ac:dyDescent="0.25">
      <c r="A609">
        <f t="shared" si="9"/>
        <v>608</v>
      </c>
    </row>
    <row r="610" spans="1:1" x14ac:dyDescent="0.25">
      <c r="A610">
        <f t="shared" si="9"/>
        <v>609</v>
      </c>
    </row>
    <row r="611" spans="1:1" x14ac:dyDescent="0.25">
      <c r="A611">
        <f t="shared" si="9"/>
        <v>610</v>
      </c>
    </row>
    <row r="612" spans="1:1" x14ac:dyDescent="0.25">
      <c r="A612">
        <f t="shared" si="9"/>
        <v>611</v>
      </c>
    </row>
    <row r="613" spans="1:1" x14ac:dyDescent="0.25">
      <c r="A613">
        <f t="shared" si="9"/>
        <v>612</v>
      </c>
    </row>
    <row r="614" spans="1:1" x14ac:dyDescent="0.25">
      <c r="A614">
        <f t="shared" si="9"/>
        <v>613</v>
      </c>
    </row>
    <row r="615" spans="1:1" x14ac:dyDescent="0.25">
      <c r="A615">
        <f t="shared" si="9"/>
        <v>614</v>
      </c>
    </row>
    <row r="616" spans="1:1" x14ac:dyDescent="0.25">
      <c r="A616">
        <f t="shared" si="9"/>
        <v>615</v>
      </c>
    </row>
    <row r="617" spans="1:1" x14ac:dyDescent="0.25">
      <c r="A617">
        <f t="shared" si="9"/>
        <v>616</v>
      </c>
    </row>
    <row r="618" spans="1:1" x14ac:dyDescent="0.25">
      <c r="A618">
        <f t="shared" si="9"/>
        <v>617</v>
      </c>
    </row>
    <row r="619" spans="1:1" x14ac:dyDescent="0.25">
      <c r="A619">
        <f t="shared" si="9"/>
        <v>618</v>
      </c>
    </row>
    <row r="620" spans="1:1" x14ac:dyDescent="0.25">
      <c r="A620">
        <f t="shared" si="9"/>
        <v>619</v>
      </c>
    </row>
    <row r="621" spans="1:1" x14ac:dyDescent="0.25">
      <c r="A621">
        <f t="shared" si="9"/>
        <v>620</v>
      </c>
    </row>
    <row r="622" spans="1:1" x14ac:dyDescent="0.25">
      <c r="A622">
        <f t="shared" si="9"/>
        <v>621</v>
      </c>
    </row>
    <row r="623" spans="1:1" x14ac:dyDescent="0.25">
      <c r="A623">
        <f t="shared" si="9"/>
        <v>622</v>
      </c>
    </row>
    <row r="624" spans="1:1" x14ac:dyDescent="0.25">
      <c r="A624">
        <f t="shared" si="9"/>
        <v>623</v>
      </c>
    </row>
    <row r="625" spans="1:1" x14ac:dyDescent="0.25">
      <c r="A625">
        <f t="shared" si="9"/>
        <v>624</v>
      </c>
    </row>
    <row r="626" spans="1:1" x14ac:dyDescent="0.25">
      <c r="A626">
        <f t="shared" si="9"/>
        <v>625</v>
      </c>
    </row>
    <row r="627" spans="1:1" x14ac:dyDescent="0.25">
      <c r="A627">
        <f t="shared" si="9"/>
        <v>626</v>
      </c>
    </row>
    <row r="628" spans="1:1" x14ac:dyDescent="0.25">
      <c r="A628">
        <f t="shared" si="9"/>
        <v>627</v>
      </c>
    </row>
    <row r="629" spans="1:1" x14ac:dyDescent="0.25">
      <c r="A629">
        <f t="shared" si="9"/>
        <v>628</v>
      </c>
    </row>
    <row r="630" spans="1:1" x14ac:dyDescent="0.25">
      <c r="A630">
        <f t="shared" si="9"/>
        <v>629</v>
      </c>
    </row>
    <row r="631" spans="1:1" x14ac:dyDescent="0.25">
      <c r="A631">
        <f t="shared" si="9"/>
        <v>630</v>
      </c>
    </row>
    <row r="632" spans="1:1" x14ac:dyDescent="0.25">
      <c r="A632">
        <f t="shared" si="9"/>
        <v>631</v>
      </c>
    </row>
    <row r="633" spans="1:1" x14ac:dyDescent="0.25">
      <c r="A633">
        <f t="shared" si="9"/>
        <v>632</v>
      </c>
    </row>
    <row r="634" spans="1:1" x14ac:dyDescent="0.25">
      <c r="A634">
        <f t="shared" si="9"/>
        <v>633</v>
      </c>
    </row>
    <row r="635" spans="1:1" x14ac:dyDescent="0.25">
      <c r="A635">
        <f t="shared" si="9"/>
        <v>634</v>
      </c>
    </row>
    <row r="636" spans="1:1" x14ac:dyDescent="0.25">
      <c r="A636">
        <f t="shared" si="9"/>
        <v>635</v>
      </c>
    </row>
    <row r="637" spans="1:1" x14ac:dyDescent="0.25">
      <c r="A637">
        <f t="shared" si="9"/>
        <v>636</v>
      </c>
    </row>
    <row r="638" spans="1:1" x14ac:dyDescent="0.25">
      <c r="A638">
        <f t="shared" si="9"/>
        <v>637</v>
      </c>
    </row>
    <row r="639" spans="1:1" x14ac:dyDescent="0.25">
      <c r="A639">
        <f t="shared" si="9"/>
        <v>638</v>
      </c>
    </row>
    <row r="640" spans="1:1" x14ac:dyDescent="0.25">
      <c r="A640">
        <f t="shared" si="9"/>
        <v>639</v>
      </c>
    </row>
    <row r="641" spans="1:1" x14ac:dyDescent="0.25">
      <c r="A641">
        <f t="shared" si="9"/>
        <v>640</v>
      </c>
    </row>
    <row r="642" spans="1:1" x14ac:dyDescent="0.25">
      <c r="A642">
        <f t="shared" si="9"/>
        <v>641</v>
      </c>
    </row>
    <row r="643" spans="1:1" x14ac:dyDescent="0.25">
      <c r="A643">
        <f t="shared" si="9"/>
        <v>642</v>
      </c>
    </row>
    <row r="644" spans="1:1" x14ac:dyDescent="0.25">
      <c r="A644">
        <f t="shared" ref="A644:A707" si="10">A643+1</f>
        <v>643</v>
      </c>
    </row>
    <row r="645" spans="1:1" x14ac:dyDescent="0.25">
      <c r="A645">
        <f t="shared" si="10"/>
        <v>644</v>
      </c>
    </row>
    <row r="646" spans="1:1" x14ac:dyDescent="0.25">
      <c r="A646">
        <f t="shared" si="10"/>
        <v>645</v>
      </c>
    </row>
    <row r="647" spans="1:1" x14ac:dyDescent="0.25">
      <c r="A647">
        <f t="shared" si="10"/>
        <v>646</v>
      </c>
    </row>
    <row r="648" spans="1:1" x14ac:dyDescent="0.25">
      <c r="A648">
        <f t="shared" si="10"/>
        <v>647</v>
      </c>
    </row>
    <row r="649" spans="1:1" x14ac:dyDescent="0.25">
      <c r="A649">
        <f t="shared" si="10"/>
        <v>648</v>
      </c>
    </row>
    <row r="650" spans="1:1" x14ac:dyDescent="0.25">
      <c r="A650">
        <f t="shared" si="10"/>
        <v>649</v>
      </c>
    </row>
    <row r="651" spans="1:1" x14ac:dyDescent="0.25">
      <c r="A651">
        <f t="shared" si="10"/>
        <v>650</v>
      </c>
    </row>
    <row r="652" spans="1:1" x14ac:dyDescent="0.25">
      <c r="A652">
        <f t="shared" si="10"/>
        <v>651</v>
      </c>
    </row>
    <row r="653" spans="1:1" x14ac:dyDescent="0.25">
      <c r="A653">
        <f t="shared" si="10"/>
        <v>652</v>
      </c>
    </row>
    <row r="654" spans="1:1" x14ac:dyDescent="0.25">
      <c r="A654">
        <f t="shared" si="10"/>
        <v>653</v>
      </c>
    </row>
    <row r="655" spans="1:1" x14ac:dyDescent="0.25">
      <c r="A655">
        <f t="shared" si="10"/>
        <v>654</v>
      </c>
    </row>
    <row r="656" spans="1:1" x14ac:dyDescent="0.25">
      <c r="A656">
        <f t="shared" si="10"/>
        <v>655</v>
      </c>
    </row>
    <row r="657" spans="1:1" x14ac:dyDescent="0.25">
      <c r="A657">
        <f t="shared" si="10"/>
        <v>656</v>
      </c>
    </row>
    <row r="658" spans="1:1" x14ac:dyDescent="0.25">
      <c r="A658">
        <f t="shared" si="10"/>
        <v>657</v>
      </c>
    </row>
    <row r="659" spans="1:1" x14ac:dyDescent="0.25">
      <c r="A659">
        <f t="shared" si="10"/>
        <v>658</v>
      </c>
    </row>
    <row r="660" spans="1:1" x14ac:dyDescent="0.25">
      <c r="A660">
        <f t="shared" si="10"/>
        <v>659</v>
      </c>
    </row>
    <row r="661" spans="1:1" x14ac:dyDescent="0.25">
      <c r="A661">
        <f t="shared" si="10"/>
        <v>660</v>
      </c>
    </row>
    <row r="662" spans="1:1" x14ac:dyDescent="0.25">
      <c r="A662">
        <f t="shared" si="10"/>
        <v>661</v>
      </c>
    </row>
    <row r="663" spans="1:1" x14ac:dyDescent="0.25">
      <c r="A663">
        <f t="shared" si="10"/>
        <v>662</v>
      </c>
    </row>
    <row r="664" spans="1:1" x14ac:dyDescent="0.25">
      <c r="A664">
        <f t="shared" si="10"/>
        <v>663</v>
      </c>
    </row>
    <row r="665" spans="1:1" x14ac:dyDescent="0.25">
      <c r="A665">
        <f t="shared" si="10"/>
        <v>664</v>
      </c>
    </row>
    <row r="666" spans="1:1" x14ac:dyDescent="0.25">
      <c r="A666">
        <f t="shared" si="10"/>
        <v>665</v>
      </c>
    </row>
    <row r="667" spans="1:1" x14ac:dyDescent="0.25">
      <c r="A667">
        <f t="shared" si="10"/>
        <v>666</v>
      </c>
    </row>
    <row r="668" spans="1:1" x14ac:dyDescent="0.25">
      <c r="A668">
        <f t="shared" si="10"/>
        <v>667</v>
      </c>
    </row>
    <row r="669" spans="1:1" x14ac:dyDescent="0.25">
      <c r="A669">
        <f t="shared" si="10"/>
        <v>668</v>
      </c>
    </row>
    <row r="670" spans="1:1" x14ac:dyDescent="0.25">
      <c r="A670">
        <f t="shared" si="10"/>
        <v>669</v>
      </c>
    </row>
    <row r="671" spans="1:1" x14ac:dyDescent="0.25">
      <c r="A671">
        <f t="shared" si="10"/>
        <v>670</v>
      </c>
    </row>
    <row r="672" spans="1:1" x14ac:dyDescent="0.25">
      <c r="A672">
        <f t="shared" si="10"/>
        <v>671</v>
      </c>
    </row>
    <row r="673" spans="1:1" x14ac:dyDescent="0.25">
      <c r="A673">
        <f t="shared" si="10"/>
        <v>672</v>
      </c>
    </row>
    <row r="674" spans="1:1" x14ac:dyDescent="0.25">
      <c r="A674">
        <f t="shared" si="10"/>
        <v>673</v>
      </c>
    </row>
    <row r="675" spans="1:1" x14ac:dyDescent="0.25">
      <c r="A675">
        <f t="shared" si="10"/>
        <v>674</v>
      </c>
    </row>
    <row r="676" spans="1:1" x14ac:dyDescent="0.25">
      <c r="A676">
        <f t="shared" si="10"/>
        <v>675</v>
      </c>
    </row>
    <row r="677" spans="1:1" x14ac:dyDescent="0.25">
      <c r="A677">
        <f t="shared" si="10"/>
        <v>676</v>
      </c>
    </row>
    <row r="678" spans="1:1" x14ac:dyDescent="0.25">
      <c r="A678">
        <f t="shared" si="10"/>
        <v>677</v>
      </c>
    </row>
    <row r="679" spans="1:1" x14ac:dyDescent="0.25">
      <c r="A679">
        <f t="shared" si="10"/>
        <v>678</v>
      </c>
    </row>
    <row r="680" spans="1:1" x14ac:dyDescent="0.25">
      <c r="A680">
        <f t="shared" si="10"/>
        <v>679</v>
      </c>
    </row>
    <row r="681" spans="1:1" x14ac:dyDescent="0.25">
      <c r="A681">
        <f t="shared" si="10"/>
        <v>680</v>
      </c>
    </row>
    <row r="682" spans="1:1" x14ac:dyDescent="0.25">
      <c r="A682">
        <f t="shared" si="10"/>
        <v>681</v>
      </c>
    </row>
    <row r="683" spans="1:1" x14ac:dyDescent="0.25">
      <c r="A683">
        <f t="shared" si="10"/>
        <v>682</v>
      </c>
    </row>
    <row r="684" spans="1:1" x14ac:dyDescent="0.25">
      <c r="A684">
        <f t="shared" si="10"/>
        <v>683</v>
      </c>
    </row>
    <row r="685" spans="1:1" x14ac:dyDescent="0.25">
      <c r="A685">
        <f t="shared" si="10"/>
        <v>684</v>
      </c>
    </row>
    <row r="686" spans="1:1" x14ac:dyDescent="0.25">
      <c r="A686">
        <f t="shared" si="10"/>
        <v>685</v>
      </c>
    </row>
    <row r="687" spans="1:1" x14ac:dyDescent="0.25">
      <c r="A687">
        <f t="shared" si="10"/>
        <v>686</v>
      </c>
    </row>
    <row r="688" spans="1:1" x14ac:dyDescent="0.25">
      <c r="A688">
        <f t="shared" si="10"/>
        <v>687</v>
      </c>
    </row>
    <row r="689" spans="1:1" x14ac:dyDescent="0.25">
      <c r="A689">
        <f t="shared" si="10"/>
        <v>688</v>
      </c>
    </row>
    <row r="690" spans="1:1" x14ac:dyDescent="0.25">
      <c r="A690">
        <f t="shared" si="10"/>
        <v>689</v>
      </c>
    </row>
    <row r="691" spans="1:1" x14ac:dyDescent="0.25">
      <c r="A691">
        <f t="shared" si="10"/>
        <v>690</v>
      </c>
    </row>
    <row r="692" spans="1:1" x14ac:dyDescent="0.25">
      <c r="A692">
        <f t="shared" si="10"/>
        <v>691</v>
      </c>
    </row>
    <row r="693" spans="1:1" x14ac:dyDescent="0.25">
      <c r="A693">
        <f t="shared" si="10"/>
        <v>692</v>
      </c>
    </row>
    <row r="694" spans="1:1" x14ac:dyDescent="0.25">
      <c r="A694">
        <f t="shared" si="10"/>
        <v>693</v>
      </c>
    </row>
    <row r="695" spans="1:1" x14ac:dyDescent="0.25">
      <c r="A695">
        <f t="shared" si="10"/>
        <v>694</v>
      </c>
    </row>
    <row r="696" spans="1:1" x14ac:dyDescent="0.25">
      <c r="A696">
        <f t="shared" si="10"/>
        <v>695</v>
      </c>
    </row>
    <row r="697" spans="1:1" x14ac:dyDescent="0.25">
      <c r="A697">
        <f t="shared" si="10"/>
        <v>696</v>
      </c>
    </row>
    <row r="698" spans="1:1" x14ac:dyDescent="0.25">
      <c r="A698">
        <f t="shared" si="10"/>
        <v>697</v>
      </c>
    </row>
    <row r="699" spans="1:1" x14ac:dyDescent="0.25">
      <c r="A699">
        <f t="shared" si="10"/>
        <v>698</v>
      </c>
    </row>
    <row r="700" spans="1:1" x14ac:dyDescent="0.25">
      <c r="A700">
        <f t="shared" si="10"/>
        <v>699</v>
      </c>
    </row>
    <row r="701" spans="1:1" x14ac:dyDescent="0.25">
      <c r="A701">
        <f t="shared" si="10"/>
        <v>700</v>
      </c>
    </row>
    <row r="702" spans="1:1" x14ac:dyDescent="0.25">
      <c r="A702">
        <f t="shared" si="10"/>
        <v>701</v>
      </c>
    </row>
    <row r="703" spans="1:1" x14ac:dyDescent="0.25">
      <c r="A703">
        <f t="shared" si="10"/>
        <v>702</v>
      </c>
    </row>
    <row r="704" spans="1:1" x14ac:dyDescent="0.25">
      <c r="A704">
        <f t="shared" si="10"/>
        <v>703</v>
      </c>
    </row>
    <row r="705" spans="1:1" x14ac:dyDescent="0.25">
      <c r="A705">
        <f t="shared" si="10"/>
        <v>704</v>
      </c>
    </row>
    <row r="706" spans="1:1" x14ac:dyDescent="0.25">
      <c r="A706">
        <f t="shared" si="10"/>
        <v>705</v>
      </c>
    </row>
    <row r="707" spans="1:1" x14ac:dyDescent="0.25">
      <c r="A707">
        <f t="shared" si="10"/>
        <v>706</v>
      </c>
    </row>
    <row r="708" spans="1:1" x14ac:dyDescent="0.25">
      <c r="A708">
        <f t="shared" ref="A708:A771" si="11">A707+1</f>
        <v>707</v>
      </c>
    </row>
    <row r="709" spans="1:1" x14ac:dyDescent="0.25">
      <c r="A709">
        <f t="shared" si="11"/>
        <v>708</v>
      </c>
    </row>
    <row r="710" spans="1:1" x14ac:dyDescent="0.25">
      <c r="A710">
        <f t="shared" si="11"/>
        <v>709</v>
      </c>
    </row>
    <row r="711" spans="1:1" x14ac:dyDescent="0.25">
      <c r="A711">
        <f t="shared" si="11"/>
        <v>710</v>
      </c>
    </row>
    <row r="712" spans="1:1" x14ac:dyDescent="0.25">
      <c r="A712">
        <f t="shared" si="11"/>
        <v>711</v>
      </c>
    </row>
    <row r="713" spans="1:1" x14ac:dyDescent="0.25">
      <c r="A713">
        <f t="shared" si="11"/>
        <v>712</v>
      </c>
    </row>
    <row r="714" spans="1:1" x14ac:dyDescent="0.25">
      <c r="A714">
        <f t="shared" si="11"/>
        <v>713</v>
      </c>
    </row>
    <row r="715" spans="1:1" x14ac:dyDescent="0.25">
      <c r="A715">
        <f t="shared" si="11"/>
        <v>714</v>
      </c>
    </row>
    <row r="716" spans="1:1" x14ac:dyDescent="0.25">
      <c r="A716">
        <f t="shared" si="11"/>
        <v>715</v>
      </c>
    </row>
    <row r="717" spans="1:1" x14ac:dyDescent="0.25">
      <c r="A717">
        <f t="shared" si="11"/>
        <v>716</v>
      </c>
    </row>
    <row r="718" spans="1:1" x14ac:dyDescent="0.25">
      <c r="A718">
        <f t="shared" si="11"/>
        <v>717</v>
      </c>
    </row>
    <row r="719" spans="1:1" x14ac:dyDescent="0.25">
      <c r="A719">
        <f t="shared" si="11"/>
        <v>718</v>
      </c>
    </row>
    <row r="720" spans="1:1" x14ac:dyDescent="0.25">
      <c r="A720">
        <f t="shared" si="11"/>
        <v>719</v>
      </c>
    </row>
    <row r="721" spans="1:1" x14ac:dyDescent="0.25">
      <c r="A721">
        <f t="shared" si="11"/>
        <v>720</v>
      </c>
    </row>
    <row r="722" spans="1:1" x14ac:dyDescent="0.25">
      <c r="A722">
        <f t="shared" si="11"/>
        <v>721</v>
      </c>
    </row>
    <row r="723" spans="1:1" x14ac:dyDescent="0.25">
      <c r="A723">
        <f t="shared" si="11"/>
        <v>722</v>
      </c>
    </row>
    <row r="724" spans="1:1" x14ac:dyDescent="0.25">
      <c r="A724">
        <f t="shared" si="11"/>
        <v>723</v>
      </c>
    </row>
    <row r="725" spans="1:1" x14ac:dyDescent="0.25">
      <c r="A725">
        <f t="shared" si="11"/>
        <v>724</v>
      </c>
    </row>
    <row r="726" spans="1:1" x14ac:dyDescent="0.25">
      <c r="A726">
        <f t="shared" si="11"/>
        <v>725</v>
      </c>
    </row>
    <row r="727" spans="1:1" x14ac:dyDescent="0.25">
      <c r="A727">
        <f t="shared" si="11"/>
        <v>726</v>
      </c>
    </row>
    <row r="728" spans="1:1" x14ac:dyDescent="0.25">
      <c r="A728">
        <f t="shared" si="11"/>
        <v>727</v>
      </c>
    </row>
    <row r="729" spans="1:1" x14ac:dyDescent="0.25">
      <c r="A729">
        <f t="shared" si="11"/>
        <v>728</v>
      </c>
    </row>
    <row r="730" spans="1:1" x14ac:dyDescent="0.25">
      <c r="A730">
        <f t="shared" si="11"/>
        <v>729</v>
      </c>
    </row>
    <row r="731" spans="1:1" x14ac:dyDescent="0.25">
      <c r="A731">
        <f t="shared" si="11"/>
        <v>730</v>
      </c>
    </row>
    <row r="732" spans="1:1" x14ac:dyDescent="0.25">
      <c r="A732">
        <f t="shared" si="11"/>
        <v>731</v>
      </c>
    </row>
    <row r="733" spans="1:1" x14ac:dyDescent="0.25">
      <c r="A733">
        <f t="shared" si="11"/>
        <v>732</v>
      </c>
    </row>
    <row r="734" spans="1:1" x14ac:dyDescent="0.25">
      <c r="A734">
        <f t="shared" si="11"/>
        <v>733</v>
      </c>
    </row>
    <row r="735" spans="1:1" x14ac:dyDescent="0.25">
      <c r="A735">
        <f t="shared" si="11"/>
        <v>734</v>
      </c>
    </row>
    <row r="736" spans="1:1" x14ac:dyDescent="0.25">
      <c r="A736">
        <f t="shared" si="11"/>
        <v>735</v>
      </c>
    </row>
    <row r="737" spans="1:1" x14ac:dyDescent="0.25">
      <c r="A737">
        <f t="shared" si="11"/>
        <v>736</v>
      </c>
    </row>
    <row r="738" spans="1:1" x14ac:dyDescent="0.25">
      <c r="A738">
        <f t="shared" si="11"/>
        <v>737</v>
      </c>
    </row>
    <row r="739" spans="1:1" x14ac:dyDescent="0.25">
      <c r="A739">
        <f t="shared" si="11"/>
        <v>738</v>
      </c>
    </row>
    <row r="740" spans="1:1" x14ac:dyDescent="0.25">
      <c r="A740">
        <f t="shared" si="11"/>
        <v>739</v>
      </c>
    </row>
    <row r="741" spans="1:1" x14ac:dyDescent="0.25">
      <c r="A741">
        <f t="shared" si="11"/>
        <v>740</v>
      </c>
    </row>
    <row r="742" spans="1:1" x14ac:dyDescent="0.25">
      <c r="A742">
        <f t="shared" si="11"/>
        <v>741</v>
      </c>
    </row>
    <row r="743" spans="1:1" x14ac:dyDescent="0.25">
      <c r="A743">
        <f t="shared" si="11"/>
        <v>742</v>
      </c>
    </row>
    <row r="744" spans="1:1" x14ac:dyDescent="0.25">
      <c r="A744">
        <f t="shared" si="11"/>
        <v>743</v>
      </c>
    </row>
    <row r="745" spans="1:1" x14ac:dyDescent="0.25">
      <c r="A745">
        <f t="shared" si="11"/>
        <v>744</v>
      </c>
    </row>
    <row r="746" spans="1:1" x14ac:dyDescent="0.25">
      <c r="A746">
        <f t="shared" si="11"/>
        <v>745</v>
      </c>
    </row>
    <row r="747" spans="1:1" x14ac:dyDescent="0.25">
      <c r="A747">
        <f t="shared" si="11"/>
        <v>746</v>
      </c>
    </row>
    <row r="748" spans="1:1" x14ac:dyDescent="0.25">
      <c r="A748">
        <f t="shared" si="11"/>
        <v>747</v>
      </c>
    </row>
    <row r="749" spans="1:1" x14ac:dyDescent="0.25">
      <c r="A749">
        <f t="shared" si="11"/>
        <v>748</v>
      </c>
    </row>
    <row r="750" spans="1:1" x14ac:dyDescent="0.25">
      <c r="A750">
        <f t="shared" si="11"/>
        <v>749</v>
      </c>
    </row>
    <row r="751" spans="1:1" x14ac:dyDescent="0.25">
      <c r="A751">
        <f t="shared" si="11"/>
        <v>750</v>
      </c>
    </row>
    <row r="752" spans="1:1" x14ac:dyDescent="0.25">
      <c r="A752">
        <f t="shared" si="11"/>
        <v>751</v>
      </c>
    </row>
    <row r="753" spans="1:1" x14ac:dyDescent="0.25">
      <c r="A753">
        <f t="shared" si="11"/>
        <v>752</v>
      </c>
    </row>
    <row r="754" spans="1:1" x14ac:dyDescent="0.25">
      <c r="A754">
        <f t="shared" si="11"/>
        <v>753</v>
      </c>
    </row>
    <row r="755" spans="1:1" x14ac:dyDescent="0.25">
      <c r="A755">
        <f t="shared" si="11"/>
        <v>754</v>
      </c>
    </row>
    <row r="756" spans="1:1" x14ac:dyDescent="0.25">
      <c r="A756">
        <f t="shared" si="11"/>
        <v>755</v>
      </c>
    </row>
    <row r="757" spans="1:1" x14ac:dyDescent="0.25">
      <c r="A757">
        <f t="shared" si="11"/>
        <v>756</v>
      </c>
    </row>
    <row r="758" spans="1:1" x14ac:dyDescent="0.25">
      <c r="A758">
        <f t="shared" si="11"/>
        <v>757</v>
      </c>
    </row>
    <row r="759" spans="1:1" x14ac:dyDescent="0.25">
      <c r="A759">
        <f t="shared" si="11"/>
        <v>758</v>
      </c>
    </row>
    <row r="760" spans="1:1" x14ac:dyDescent="0.25">
      <c r="A760">
        <f t="shared" si="11"/>
        <v>759</v>
      </c>
    </row>
    <row r="761" spans="1:1" x14ac:dyDescent="0.25">
      <c r="A761">
        <f t="shared" si="11"/>
        <v>760</v>
      </c>
    </row>
    <row r="762" spans="1:1" x14ac:dyDescent="0.25">
      <c r="A762">
        <f t="shared" si="11"/>
        <v>761</v>
      </c>
    </row>
    <row r="763" spans="1:1" x14ac:dyDescent="0.25">
      <c r="A763">
        <f t="shared" si="11"/>
        <v>762</v>
      </c>
    </row>
    <row r="764" spans="1:1" x14ac:dyDescent="0.25">
      <c r="A764">
        <f t="shared" si="11"/>
        <v>763</v>
      </c>
    </row>
    <row r="765" spans="1:1" x14ac:dyDescent="0.25">
      <c r="A765">
        <f t="shared" si="11"/>
        <v>764</v>
      </c>
    </row>
    <row r="766" spans="1:1" x14ac:dyDescent="0.25">
      <c r="A766">
        <f t="shared" si="11"/>
        <v>765</v>
      </c>
    </row>
    <row r="767" spans="1:1" x14ac:dyDescent="0.25">
      <c r="A767">
        <f t="shared" si="11"/>
        <v>766</v>
      </c>
    </row>
    <row r="768" spans="1:1" x14ac:dyDescent="0.25">
      <c r="A768">
        <f t="shared" si="11"/>
        <v>767</v>
      </c>
    </row>
    <row r="769" spans="1:1" x14ac:dyDescent="0.25">
      <c r="A769">
        <f t="shared" si="11"/>
        <v>768</v>
      </c>
    </row>
    <row r="770" spans="1:1" x14ac:dyDescent="0.25">
      <c r="A770">
        <f t="shared" si="11"/>
        <v>769</v>
      </c>
    </row>
    <row r="771" spans="1:1" x14ac:dyDescent="0.25">
      <c r="A771">
        <f t="shared" si="11"/>
        <v>770</v>
      </c>
    </row>
    <row r="772" spans="1:1" x14ac:dyDescent="0.25">
      <c r="A772">
        <f t="shared" ref="A772:A835" si="12">A771+1</f>
        <v>771</v>
      </c>
    </row>
    <row r="773" spans="1:1" x14ac:dyDescent="0.25">
      <c r="A773">
        <f t="shared" si="12"/>
        <v>772</v>
      </c>
    </row>
    <row r="774" spans="1:1" x14ac:dyDescent="0.25">
      <c r="A774">
        <f t="shared" si="12"/>
        <v>773</v>
      </c>
    </row>
    <row r="775" spans="1:1" x14ac:dyDescent="0.25">
      <c r="A775">
        <f t="shared" si="12"/>
        <v>774</v>
      </c>
    </row>
    <row r="776" spans="1:1" x14ac:dyDescent="0.25">
      <c r="A776">
        <f t="shared" si="12"/>
        <v>775</v>
      </c>
    </row>
    <row r="777" spans="1:1" x14ac:dyDescent="0.25">
      <c r="A777">
        <f t="shared" si="12"/>
        <v>776</v>
      </c>
    </row>
    <row r="778" spans="1:1" x14ac:dyDescent="0.25">
      <c r="A778">
        <f t="shared" si="12"/>
        <v>777</v>
      </c>
    </row>
    <row r="779" spans="1:1" x14ac:dyDescent="0.25">
      <c r="A779">
        <f t="shared" si="12"/>
        <v>778</v>
      </c>
    </row>
    <row r="780" spans="1:1" x14ac:dyDescent="0.25">
      <c r="A780">
        <f t="shared" si="12"/>
        <v>779</v>
      </c>
    </row>
    <row r="781" spans="1:1" x14ac:dyDescent="0.25">
      <c r="A781">
        <f t="shared" si="12"/>
        <v>780</v>
      </c>
    </row>
    <row r="782" spans="1:1" x14ac:dyDescent="0.25">
      <c r="A782">
        <f t="shared" si="12"/>
        <v>781</v>
      </c>
    </row>
    <row r="783" spans="1:1" x14ac:dyDescent="0.25">
      <c r="A783">
        <f t="shared" si="12"/>
        <v>782</v>
      </c>
    </row>
    <row r="784" spans="1:1" x14ac:dyDescent="0.25">
      <c r="A784">
        <f t="shared" si="12"/>
        <v>783</v>
      </c>
    </row>
    <row r="785" spans="1:1" x14ac:dyDescent="0.25">
      <c r="A785">
        <f t="shared" si="12"/>
        <v>784</v>
      </c>
    </row>
    <row r="786" spans="1:1" x14ac:dyDescent="0.25">
      <c r="A786">
        <f t="shared" si="12"/>
        <v>785</v>
      </c>
    </row>
    <row r="787" spans="1:1" x14ac:dyDescent="0.25">
      <c r="A787">
        <f t="shared" si="12"/>
        <v>786</v>
      </c>
    </row>
    <row r="788" spans="1:1" x14ac:dyDescent="0.25">
      <c r="A788">
        <f t="shared" si="12"/>
        <v>787</v>
      </c>
    </row>
    <row r="789" spans="1:1" x14ac:dyDescent="0.25">
      <c r="A789">
        <f t="shared" si="12"/>
        <v>788</v>
      </c>
    </row>
    <row r="790" spans="1:1" x14ac:dyDescent="0.25">
      <c r="A790">
        <f t="shared" si="12"/>
        <v>789</v>
      </c>
    </row>
    <row r="791" spans="1:1" x14ac:dyDescent="0.25">
      <c r="A791">
        <f t="shared" si="12"/>
        <v>790</v>
      </c>
    </row>
    <row r="792" spans="1:1" x14ac:dyDescent="0.25">
      <c r="A792">
        <f t="shared" si="12"/>
        <v>791</v>
      </c>
    </row>
    <row r="793" spans="1:1" x14ac:dyDescent="0.25">
      <c r="A793">
        <f t="shared" si="12"/>
        <v>792</v>
      </c>
    </row>
    <row r="794" spans="1:1" x14ac:dyDescent="0.25">
      <c r="A794">
        <f t="shared" si="12"/>
        <v>793</v>
      </c>
    </row>
    <row r="795" spans="1:1" x14ac:dyDescent="0.25">
      <c r="A795">
        <f t="shared" si="12"/>
        <v>794</v>
      </c>
    </row>
    <row r="796" spans="1:1" x14ac:dyDescent="0.25">
      <c r="A796">
        <f t="shared" si="12"/>
        <v>795</v>
      </c>
    </row>
    <row r="797" spans="1:1" x14ac:dyDescent="0.25">
      <c r="A797">
        <f t="shared" si="12"/>
        <v>796</v>
      </c>
    </row>
    <row r="798" spans="1:1" x14ac:dyDescent="0.25">
      <c r="A798">
        <f t="shared" si="12"/>
        <v>797</v>
      </c>
    </row>
    <row r="799" spans="1:1" x14ac:dyDescent="0.25">
      <c r="A799">
        <f t="shared" si="12"/>
        <v>798</v>
      </c>
    </row>
    <row r="800" spans="1:1" x14ac:dyDescent="0.25">
      <c r="A800">
        <f t="shared" si="12"/>
        <v>799</v>
      </c>
    </row>
    <row r="801" spans="1:1" x14ac:dyDescent="0.25">
      <c r="A801">
        <f t="shared" si="12"/>
        <v>800</v>
      </c>
    </row>
    <row r="802" spans="1:1" x14ac:dyDescent="0.25">
      <c r="A802">
        <f t="shared" si="12"/>
        <v>801</v>
      </c>
    </row>
    <row r="803" spans="1:1" x14ac:dyDescent="0.25">
      <c r="A803">
        <f t="shared" si="12"/>
        <v>802</v>
      </c>
    </row>
    <row r="804" spans="1:1" x14ac:dyDescent="0.25">
      <c r="A804">
        <f t="shared" si="12"/>
        <v>803</v>
      </c>
    </row>
    <row r="805" spans="1:1" x14ac:dyDescent="0.25">
      <c r="A805">
        <f t="shared" si="12"/>
        <v>804</v>
      </c>
    </row>
    <row r="806" spans="1:1" x14ac:dyDescent="0.25">
      <c r="A806">
        <f t="shared" si="12"/>
        <v>805</v>
      </c>
    </row>
    <row r="807" spans="1:1" x14ac:dyDescent="0.25">
      <c r="A807">
        <f t="shared" si="12"/>
        <v>806</v>
      </c>
    </row>
    <row r="808" spans="1:1" x14ac:dyDescent="0.25">
      <c r="A808">
        <f t="shared" si="12"/>
        <v>807</v>
      </c>
    </row>
    <row r="809" spans="1:1" x14ac:dyDescent="0.25">
      <c r="A809">
        <f t="shared" si="12"/>
        <v>808</v>
      </c>
    </row>
    <row r="810" spans="1:1" x14ac:dyDescent="0.25">
      <c r="A810">
        <f t="shared" si="12"/>
        <v>809</v>
      </c>
    </row>
    <row r="811" spans="1:1" x14ac:dyDescent="0.25">
      <c r="A811">
        <f t="shared" si="12"/>
        <v>810</v>
      </c>
    </row>
    <row r="812" spans="1:1" x14ac:dyDescent="0.25">
      <c r="A812">
        <f t="shared" si="12"/>
        <v>811</v>
      </c>
    </row>
    <row r="813" spans="1:1" x14ac:dyDescent="0.25">
      <c r="A813">
        <f t="shared" si="12"/>
        <v>812</v>
      </c>
    </row>
    <row r="814" spans="1:1" x14ac:dyDescent="0.25">
      <c r="A814">
        <f t="shared" si="12"/>
        <v>813</v>
      </c>
    </row>
    <row r="815" spans="1:1" x14ac:dyDescent="0.25">
      <c r="A815">
        <f t="shared" si="12"/>
        <v>814</v>
      </c>
    </row>
    <row r="816" spans="1:1" x14ac:dyDescent="0.25">
      <c r="A816">
        <f t="shared" si="12"/>
        <v>815</v>
      </c>
    </row>
    <row r="817" spans="1:1" x14ac:dyDescent="0.25">
      <c r="A817">
        <f t="shared" si="12"/>
        <v>816</v>
      </c>
    </row>
    <row r="818" spans="1:1" x14ac:dyDescent="0.25">
      <c r="A818">
        <f t="shared" si="12"/>
        <v>817</v>
      </c>
    </row>
    <row r="819" spans="1:1" x14ac:dyDescent="0.25">
      <c r="A819">
        <f t="shared" si="12"/>
        <v>818</v>
      </c>
    </row>
    <row r="820" spans="1:1" x14ac:dyDescent="0.25">
      <c r="A820">
        <f t="shared" si="12"/>
        <v>819</v>
      </c>
    </row>
    <row r="821" spans="1:1" x14ac:dyDescent="0.25">
      <c r="A821">
        <f t="shared" si="12"/>
        <v>820</v>
      </c>
    </row>
    <row r="822" spans="1:1" x14ac:dyDescent="0.25">
      <c r="A822">
        <f t="shared" si="12"/>
        <v>821</v>
      </c>
    </row>
    <row r="823" spans="1:1" x14ac:dyDescent="0.25">
      <c r="A823">
        <f t="shared" si="12"/>
        <v>822</v>
      </c>
    </row>
    <row r="824" spans="1:1" x14ac:dyDescent="0.25">
      <c r="A824">
        <f t="shared" si="12"/>
        <v>823</v>
      </c>
    </row>
    <row r="825" spans="1:1" x14ac:dyDescent="0.25">
      <c r="A825">
        <f t="shared" si="12"/>
        <v>824</v>
      </c>
    </row>
    <row r="826" spans="1:1" x14ac:dyDescent="0.25">
      <c r="A826">
        <f t="shared" si="12"/>
        <v>825</v>
      </c>
    </row>
    <row r="827" spans="1:1" x14ac:dyDescent="0.25">
      <c r="A827">
        <f t="shared" si="12"/>
        <v>826</v>
      </c>
    </row>
    <row r="828" spans="1:1" x14ac:dyDescent="0.25">
      <c r="A828">
        <f t="shared" si="12"/>
        <v>827</v>
      </c>
    </row>
    <row r="829" spans="1:1" x14ac:dyDescent="0.25">
      <c r="A829">
        <f t="shared" si="12"/>
        <v>828</v>
      </c>
    </row>
    <row r="830" spans="1:1" x14ac:dyDescent="0.25">
      <c r="A830">
        <f t="shared" si="12"/>
        <v>829</v>
      </c>
    </row>
    <row r="831" spans="1:1" x14ac:dyDescent="0.25">
      <c r="A831">
        <f t="shared" si="12"/>
        <v>830</v>
      </c>
    </row>
    <row r="832" spans="1:1" x14ac:dyDescent="0.25">
      <c r="A832">
        <f t="shared" si="12"/>
        <v>831</v>
      </c>
    </row>
    <row r="833" spans="1:1" x14ac:dyDescent="0.25">
      <c r="A833">
        <f t="shared" si="12"/>
        <v>832</v>
      </c>
    </row>
    <row r="834" spans="1:1" x14ac:dyDescent="0.25">
      <c r="A834">
        <f t="shared" si="12"/>
        <v>833</v>
      </c>
    </row>
    <row r="835" spans="1:1" x14ac:dyDescent="0.25">
      <c r="A835">
        <f t="shared" si="12"/>
        <v>834</v>
      </c>
    </row>
    <row r="836" spans="1:1" x14ac:dyDescent="0.25">
      <c r="A836">
        <f t="shared" ref="A836:A899" si="13">A835+1</f>
        <v>835</v>
      </c>
    </row>
    <row r="837" spans="1:1" x14ac:dyDescent="0.25">
      <c r="A837">
        <f t="shared" si="13"/>
        <v>836</v>
      </c>
    </row>
    <row r="838" spans="1:1" x14ac:dyDescent="0.25">
      <c r="A838">
        <f t="shared" si="13"/>
        <v>837</v>
      </c>
    </row>
    <row r="839" spans="1:1" x14ac:dyDescent="0.25">
      <c r="A839">
        <f t="shared" si="13"/>
        <v>838</v>
      </c>
    </row>
    <row r="840" spans="1:1" x14ac:dyDescent="0.25">
      <c r="A840">
        <f t="shared" si="13"/>
        <v>839</v>
      </c>
    </row>
    <row r="841" spans="1:1" x14ac:dyDescent="0.25">
      <c r="A841">
        <f t="shared" si="13"/>
        <v>840</v>
      </c>
    </row>
    <row r="842" spans="1:1" x14ac:dyDescent="0.25">
      <c r="A842">
        <f t="shared" si="13"/>
        <v>841</v>
      </c>
    </row>
    <row r="843" spans="1:1" x14ac:dyDescent="0.25">
      <c r="A843">
        <f t="shared" si="13"/>
        <v>842</v>
      </c>
    </row>
    <row r="844" spans="1:1" x14ac:dyDescent="0.25">
      <c r="A844">
        <f t="shared" si="13"/>
        <v>843</v>
      </c>
    </row>
    <row r="845" spans="1:1" x14ac:dyDescent="0.25">
      <c r="A845">
        <f t="shared" si="13"/>
        <v>844</v>
      </c>
    </row>
    <row r="846" spans="1:1" x14ac:dyDescent="0.25">
      <c r="A846">
        <f t="shared" si="13"/>
        <v>845</v>
      </c>
    </row>
    <row r="847" spans="1:1" x14ac:dyDescent="0.25">
      <c r="A847">
        <f t="shared" si="13"/>
        <v>846</v>
      </c>
    </row>
    <row r="848" spans="1:1" x14ac:dyDescent="0.25">
      <c r="A848">
        <f t="shared" si="13"/>
        <v>847</v>
      </c>
    </row>
    <row r="849" spans="1:1" x14ac:dyDescent="0.25">
      <c r="A849">
        <f t="shared" si="13"/>
        <v>848</v>
      </c>
    </row>
    <row r="850" spans="1:1" x14ac:dyDescent="0.25">
      <c r="A850">
        <f t="shared" si="13"/>
        <v>849</v>
      </c>
    </row>
    <row r="851" spans="1:1" x14ac:dyDescent="0.25">
      <c r="A851">
        <f t="shared" si="13"/>
        <v>850</v>
      </c>
    </row>
    <row r="852" spans="1:1" x14ac:dyDescent="0.25">
      <c r="A852">
        <f t="shared" si="13"/>
        <v>851</v>
      </c>
    </row>
    <row r="853" spans="1:1" x14ac:dyDescent="0.25">
      <c r="A853">
        <f t="shared" si="13"/>
        <v>852</v>
      </c>
    </row>
    <row r="854" spans="1:1" x14ac:dyDescent="0.25">
      <c r="A854">
        <f t="shared" si="13"/>
        <v>853</v>
      </c>
    </row>
    <row r="855" spans="1:1" x14ac:dyDescent="0.25">
      <c r="A855">
        <f t="shared" si="13"/>
        <v>854</v>
      </c>
    </row>
    <row r="856" spans="1:1" x14ac:dyDescent="0.25">
      <c r="A856">
        <f t="shared" si="13"/>
        <v>855</v>
      </c>
    </row>
    <row r="857" spans="1:1" x14ac:dyDescent="0.25">
      <c r="A857">
        <f t="shared" si="13"/>
        <v>856</v>
      </c>
    </row>
    <row r="858" spans="1:1" x14ac:dyDescent="0.25">
      <c r="A858">
        <f t="shared" si="13"/>
        <v>857</v>
      </c>
    </row>
    <row r="859" spans="1:1" x14ac:dyDescent="0.25">
      <c r="A859">
        <f t="shared" si="13"/>
        <v>858</v>
      </c>
    </row>
    <row r="860" spans="1:1" x14ac:dyDescent="0.25">
      <c r="A860">
        <f t="shared" si="13"/>
        <v>859</v>
      </c>
    </row>
    <row r="861" spans="1:1" x14ac:dyDescent="0.25">
      <c r="A861">
        <f t="shared" si="13"/>
        <v>860</v>
      </c>
    </row>
    <row r="862" spans="1:1" x14ac:dyDescent="0.25">
      <c r="A862">
        <f t="shared" si="13"/>
        <v>861</v>
      </c>
    </row>
    <row r="863" spans="1:1" x14ac:dyDescent="0.25">
      <c r="A863">
        <f t="shared" si="13"/>
        <v>862</v>
      </c>
    </row>
    <row r="864" spans="1:1" x14ac:dyDescent="0.25">
      <c r="A864">
        <f t="shared" si="13"/>
        <v>863</v>
      </c>
    </row>
    <row r="865" spans="1:1" x14ac:dyDescent="0.25">
      <c r="A865">
        <f t="shared" si="13"/>
        <v>864</v>
      </c>
    </row>
    <row r="866" spans="1:1" x14ac:dyDescent="0.25">
      <c r="A866">
        <f t="shared" si="13"/>
        <v>865</v>
      </c>
    </row>
    <row r="867" spans="1:1" x14ac:dyDescent="0.25">
      <c r="A867">
        <f t="shared" si="13"/>
        <v>866</v>
      </c>
    </row>
    <row r="868" spans="1:1" x14ac:dyDescent="0.25">
      <c r="A868">
        <f t="shared" si="13"/>
        <v>867</v>
      </c>
    </row>
    <row r="869" spans="1:1" x14ac:dyDescent="0.25">
      <c r="A869">
        <f t="shared" si="13"/>
        <v>868</v>
      </c>
    </row>
    <row r="870" spans="1:1" x14ac:dyDescent="0.25">
      <c r="A870">
        <f t="shared" si="13"/>
        <v>869</v>
      </c>
    </row>
    <row r="871" spans="1:1" x14ac:dyDescent="0.25">
      <c r="A871">
        <f t="shared" si="13"/>
        <v>870</v>
      </c>
    </row>
    <row r="872" spans="1:1" x14ac:dyDescent="0.25">
      <c r="A872">
        <f t="shared" si="13"/>
        <v>871</v>
      </c>
    </row>
    <row r="873" spans="1:1" x14ac:dyDescent="0.25">
      <c r="A873">
        <f t="shared" si="13"/>
        <v>872</v>
      </c>
    </row>
    <row r="874" spans="1:1" x14ac:dyDescent="0.25">
      <c r="A874">
        <f t="shared" si="13"/>
        <v>873</v>
      </c>
    </row>
    <row r="875" spans="1:1" x14ac:dyDescent="0.25">
      <c r="A875">
        <f t="shared" si="13"/>
        <v>874</v>
      </c>
    </row>
    <row r="876" spans="1:1" x14ac:dyDescent="0.25">
      <c r="A876">
        <f t="shared" si="13"/>
        <v>875</v>
      </c>
    </row>
    <row r="877" spans="1:1" x14ac:dyDescent="0.25">
      <c r="A877">
        <f t="shared" si="13"/>
        <v>876</v>
      </c>
    </row>
    <row r="878" spans="1:1" x14ac:dyDescent="0.25">
      <c r="A878">
        <f t="shared" si="13"/>
        <v>877</v>
      </c>
    </row>
    <row r="879" spans="1:1" x14ac:dyDescent="0.25">
      <c r="A879">
        <f t="shared" si="13"/>
        <v>878</v>
      </c>
    </row>
    <row r="880" spans="1:1" x14ac:dyDescent="0.25">
      <c r="A880">
        <f t="shared" si="13"/>
        <v>879</v>
      </c>
    </row>
    <row r="881" spans="1:1" x14ac:dyDescent="0.25">
      <c r="A881">
        <f t="shared" si="13"/>
        <v>880</v>
      </c>
    </row>
    <row r="882" spans="1:1" x14ac:dyDescent="0.25">
      <c r="A882">
        <f t="shared" si="13"/>
        <v>881</v>
      </c>
    </row>
    <row r="883" spans="1:1" x14ac:dyDescent="0.25">
      <c r="A883">
        <f t="shared" si="13"/>
        <v>882</v>
      </c>
    </row>
    <row r="884" spans="1:1" x14ac:dyDescent="0.25">
      <c r="A884">
        <f t="shared" si="13"/>
        <v>883</v>
      </c>
    </row>
    <row r="885" spans="1:1" x14ac:dyDescent="0.25">
      <c r="A885">
        <f t="shared" si="13"/>
        <v>884</v>
      </c>
    </row>
    <row r="886" spans="1:1" x14ac:dyDescent="0.25">
      <c r="A886">
        <f t="shared" si="13"/>
        <v>885</v>
      </c>
    </row>
    <row r="887" spans="1:1" x14ac:dyDescent="0.25">
      <c r="A887">
        <f t="shared" si="13"/>
        <v>886</v>
      </c>
    </row>
    <row r="888" spans="1:1" x14ac:dyDescent="0.25">
      <c r="A888">
        <f t="shared" si="13"/>
        <v>887</v>
      </c>
    </row>
    <row r="889" spans="1:1" x14ac:dyDescent="0.25">
      <c r="A889">
        <f t="shared" si="13"/>
        <v>888</v>
      </c>
    </row>
    <row r="890" spans="1:1" x14ac:dyDescent="0.25">
      <c r="A890">
        <f t="shared" si="13"/>
        <v>889</v>
      </c>
    </row>
    <row r="891" spans="1:1" x14ac:dyDescent="0.25">
      <c r="A891">
        <f t="shared" si="13"/>
        <v>890</v>
      </c>
    </row>
    <row r="892" spans="1:1" x14ac:dyDescent="0.25">
      <c r="A892">
        <f t="shared" si="13"/>
        <v>891</v>
      </c>
    </row>
    <row r="893" spans="1:1" x14ac:dyDescent="0.25">
      <c r="A893">
        <f t="shared" si="13"/>
        <v>892</v>
      </c>
    </row>
    <row r="894" spans="1:1" x14ac:dyDescent="0.25">
      <c r="A894">
        <f t="shared" si="13"/>
        <v>893</v>
      </c>
    </row>
    <row r="895" spans="1:1" x14ac:dyDescent="0.25">
      <c r="A895">
        <f t="shared" si="13"/>
        <v>894</v>
      </c>
    </row>
    <row r="896" spans="1:1" x14ac:dyDescent="0.25">
      <c r="A896">
        <f t="shared" si="13"/>
        <v>895</v>
      </c>
    </row>
    <row r="897" spans="1:1" x14ac:dyDescent="0.25">
      <c r="A897">
        <f t="shared" si="13"/>
        <v>896</v>
      </c>
    </row>
    <row r="898" spans="1:1" x14ac:dyDescent="0.25">
      <c r="A898">
        <f t="shared" si="13"/>
        <v>897</v>
      </c>
    </row>
    <row r="899" spans="1:1" x14ac:dyDescent="0.25">
      <c r="A899">
        <f t="shared" si="13"/>
        <v>898</v>
      </c>
    </row>
    <row r="900" spans="1:1" x14ac:dyDescent="0.25">
      <c r="A900">
        <f t="shared" ref="A900:A963" si="14">A899+1</f>
        <v>899</v>
      </c>
    </row>
    <row r="901" spans="1:1" x14ac:dyDescent="0.25">
      <c r="A901">
        <f t="shared" si="14"/>
        <v>900</v>
      </c>
    </row>
    <row r="902" spans="1:1" x14ac:dyDescent="0.25">
      <c r="A902">
        <f t="shared" si="14"/>
        <v>901</v>
      </c>
    </row>
    <row r="903" spans="1:1" x14ac:dyDescent="0.25">
      <c r="A903">
        <f t="shared" si="14"/>
        <v>902</v>
      </c>
    </row>
    <row r="904" spans="1:1" x14ac:dyDescent="0.25">
      <c r="A904">
        <f t="shared" si="14"/>
        <v>903</v>
      </c>
    </row>
    <row r="905" spans="1:1" x14ac:dyDescent="0.25">
      <c r="A905">
        <f t="shared" si="14"/>
        <v>904</v>
      </c>
    </row>
    <row r="906" spans="1:1" x14ac:dyDescent="0.25">
      <c r="A906">
        <f t="shared" si="14"/>
        <v>905</v>
      </c>
    </row>
    <row r="907" spans="1:1" x14ac:dyDescent="0.25">
      <c r="A907">
        <f t="shared" si="14"/>
        <v>906</v>
      </c>
    </row>
    <row r="908" spans="1:1" x14ac:dyDescent="0.25">
      <c r="A908">
        <f t="shared" si="14"/>
        <v>907</v>
      </c>
    </row>
    <row r="909" spans="1:1" x14ac:dyDescent="0.25">
      <c r="A909">
        <f t="shared" si="14"/>
        <v>908</v>
      </c>
    </row>
    <row r="910" spans="1:1" x14ac:dyDescent="0.25">
      <c r="A910">
        <f t="shared" si="14"/>
        <v>909</v>
      </c>
    </row>
    <row r="911" spans="1:1" x14ac:dyDescent="0.25">
      <c r="A911">
        <f t="shared" si="14"/>
        <v>910</v>
      </c>
    </row>
    <row r="912" spans="1:1" x14ac:dyDescent="0.25">
      <c r="A912">
        <f t="shared" si="14"/>
        <v>911</v>
      </c>
    </row>
    <row r="913" spans="1:1" x14ac:dyDescent="0.25">
      <c r="A913">
        <f t="shared" si="14"/>
        <v>912</v>
      </c>
    </row>
    <row r="914" spans="1:1" x14ac:dyDescent="0.25">
      <c r="A914">
        <f t="shared" si="14"/>
        <v>913</v>
      </c>
    </row>
    <row r="915" spans="1:1" x14ac:dyDescent="0.25">
      <c r="A915">
        <f t="shared" si="14"/>
        <v>914</v>
      </c>
    </row>
    <row r="916" spans="1:1" x14ac:dyDescent="0.25">
      <c r="A916">
        <f t="shared" si="14"/>
        <v>915</v>
      </c>
    </row>
    <row r="917" spans="1:1" x14ac:dyDescent="0.25">
      <c r="A917">
        <f t="shared" si="14"/>
        <v>916</v>
      </c>
    </row>
    <row r="918" spans="1:1" x14ac:dyDescent="0.25">
      <c r="A918">
        <f t="shared" si="14"/>
        <v>917</v>
      </c>
    </row>
    <row r="919" spans="1:1" x14ac:dyDescent="0.25">
      <c r="A919">
        <f t="shared" si="14"/>
        <v>918</v>
      </c>
    </row>
    <row r="920" spans="1:1" x14ac:dyDescent="0.25">
      <c r="A920">
        <f t="shared" si="14"/>
        <v>919</v>
      </c>
    </row>
    <row r="921" spans="1:1" x14ac:dyDescent="0.25">
      <c r="A921">
        <f t="shared" si="14"/>
        <v>920</v>
      </c>
    </row>
    <row r="922" spans="1:1" x14ac:dyDescent="0.25">
      <c r="A922">
        <f t="shared" si="14"/>
        <v>921</v>
      </c>
    </row>
    <row r="923" spans="1:1" x14ac:dyDescent="0.25">
      <c r="A923">
        <f t="shared" si="14"/>
        <v>922</v>
      </c>
    </row>
    <row r="924" spans="1:1" x14ac:dyDescent="0.25">
      <c r="A924">
        <f t="shared" si="14"/>
        <v>923</v>
      </c>
    </row>
    <row r="925" spans="1:1" x14ac:dyDescent="0.25">
      <c r="A925">
        <f t="shared" si="14"/>
        <v>924</v>
      </c>
    </row>
    <row r="926" spans="1:1" x14ac:dyDescent="0.25">
      <c r="A926">
        <f t="shared" si="14"/>
        <v>925</v>
      </c>
    </row>
    <row r="927" spans="1:1" x14ac:dyDescent="0.25">
      <c r="A927">
        <f t="shared" si="14"/>
        <v>926</v>
      </c>
    </row>
    <row r="928" spans="1:1" x14ac:dyDescent="0.25">
      <c r="A928">
        <f t="shared" si="14"/>
        <v>927</v>
      </c>
    </row>
    <row r="929" spans="1:1" x14ac:dyDescent="0.25">
      <c r="A929">
        <f t="shared" si="14"/>
        <v>928</v>
      </c>
    </row>
    <row r="930" spans="1:1" x14ac:dyDescent="0.25">
      <c r="A930">
        <f t="shared" si="14"/>
        <v>929</v>
      </c>
    </row>
    <row r="931" spans="1:1" x14ac:dyDescent="0.25">
      <c r="A931">
        <f t="shared" si="14"/>
        <v>930</v>
      </c>
    </row>
    <row r="932" spans="1:1" x14ac:dyDescent="0.25">
      <c r="A932">
        <f t="shared" si="14"/>
        <v>931</v>
      </c>
    </row>
    <row r="933" spans="1:1" x14ac:dyDescent="0.25">
      <c r="A933">
        <f t="shared" si="14"/>
        <v>932</v>
      </c>
    </row>
    <row r="934" spans="1:1" x14ac:dyDescent="0.25">
      <c r="A934">
        <f t="shared" si="14"/>
        <v>933</v>
      </c>
    </row>
    <row r="935" spans="1:1" x14ac:dyDescent="0.25">
      <c r="A935">
        <f t="shared" si="14"/>
        <v>934</v>
      </c>
    </row>
    <row r="936" spans="1:1" x14ac:dyDescent="0.25">
      <c r="A936">
        <f t="shared" si="14"/>
        <v>935</v>
      </c>
    </row>
    <row r="937" spans="1:1" x14ac:dyDescent="0.25">
      <c r="A937">
        <f t="shared" si="14"/>
        <v>936</v>
      </c>
    </row>
    <row r="938" spans="1:1" x14ac:dyDescent="0.25">
      <c r="A938">
        <f t="shared" si="14"/>
        <v>937</v>
      </c>
    </row>
    <row r="939" spans="1:1" x14ac:dyDescent="0.25">
      <c r="A939">
        <f t="shared" si="14"/>
        <v>938</v>
      </c>
    </row>
    <row r="940" spans="1:1" x14ac:dyDescent="0.25">
      <c r="A940">
        <f t="shared" si="14"/>
        <v>939</v>
      </c>
    </row>
    <row r="941" spans="1:1" x14ac:dyDescent="0.25">
      <c r="A941">
        <f t="shared" si="14"/>
        <v>940</v>
      </c>
    </row>
    <row r="942" spans="1:1" x14ac:dyDescent="0.25">
      <c r="A942">
        <f t="shared" si="14"/>
        <v>941</v>
      </c>
    </row>
    <row r="943" spans="1:1" x14ac:dyDescent="0.25">
      <c r="A943">
        <f t="shared" si="14"/>
        <v>942</v>
      </c>
    </row>
    <row r="944" spans="1:1" x14ac:dyDescent="0.25">
      <c r="A944">
        <f t="shared" si="14"/>
        <v>943</v>
      </c>
    </row>
    <row r="945" spans="1:1" x14ac:dyDescent="0.25">
      <c r="A945">
        <f t="shared" si="14"/>
        <v>944</v>
      </c>
    </row>
    <row r="946" spans="1:1" x14ac:dyDescent="0.25">
      <c r="A946">
        <f t="shared" si="14"/>
        <v>945</v>
      </c>
    </row>
    <row r="947" spans="1:1" x14ac:dyDescent="0.25">
      <c r="A947">
        <f t="shared" si="14"/>
        <v>946</v>
      </c>
    </row>
    <row r="948" spans="1:1" x14ac:dyDescent="0.25">
      <c r="A948">
        <f t="shared" si="14"/>
        <v>947</v>
      </c>
    </row>
    <row r="949" spans="1:1" x14ac:dyDescent="0.25">
      <c r="A949">
        <f t="shared" si="14"/>
        <v>948</v>
      </c>
    </row>
    <row r="950" spans="1:1" x14ac:dyDescent="0.25">
      <c r="A950">
        <f t="shared" si="14"/>
        <v>949</v>
      </c>
    </row>
    <row r="951" spans="1:1" x14ac:dyDescent="0.25">
      <c r="A951">
        <f t="shared" si="14"/>
        <v>950</v>
      </c>
    </row>
    <row r="952" spans="1:1" x14ac:dyDescent="0.25">
      <c r="A952">
        <f t="shared" si="14"/>
        <v>951</v>
      </c>
    </row>
    <row r="953" spans="1:1" x14ac:dyDescent="0.25">
      <c r="A953">
        <f t="shared" si="14"/>
        <v>952</v>
      </c>
    </row>
    <row r="954" spans="1:1" x14ac:dyDescent="0.25">
      <c r="A954">
        <f t="shared" si="14"/>
        <v>953</v>
      </c>
    </row>
    <row r="955" spans="1:1" x14ac:dyDescent="0.25">
      <c r="A955">
        <f t="shared" si="14"/>
        <v>954</v>
      </c>
    </row>
    <row r="956" spans="1:1" x14ac:dyDescent="0.25">
      <c r="A956">
        <f t="shared" si="14"/>
        <v>955</v>
      </c>
    </row>
    <row r="957" spans="1:1" x14ac:dyDescent="0.25">
      <c r="A957">
        <f t="shared" si="14"/>
        <v>956</v>
      </c>
    </row>
    <row r="958" spans="1:1" x14ac:dyDescent="0.25">
      <c r="A958">
        <f t="shared" si="14"/>
        <v>957</v>
      </c>
    </row>
    <row r="959" spans="1:1" x14ac:dyDescent="0.25">
      <c r="A959">
        <f t="shared" si="14"/>
        <v>958</v>
      </c>
    </row>
    <row r="960" spans="1:1" x14ac:dyDescent="0.25">
      <c r="A960">
        <f t="shared" si="14"/>
        <v>959</v>
      </c>
    </row>
    <row r="961" spans="1:1" x14ac:dyDescent="0.25">
      <c r="A961">
        <f t="shared" si="14"/>
        <v>960</v>
      </c>
    </row>
    <row r="962" spans="1:1" x14ac:dyDescent="0.25">
      <c r="A962">
        <f t="shared" si="14"/>
        <v>961</v>
      </c>
    </row>
    <row r="963" spans="1:1" x14ac:dyDescent="0.25">
      <c r="A963">
        <f t="shared" si="14"/>
        <v>962</v>
      </c>
    </row>
    <row r="964" spans="1:1" x14ac:dyDescent="0.25">
      <c r="A964">
        <f t="shared" ref="A964:A1000" si="15">A963+1</f>
        <v>963</v>
      </c>
    </row>
    <row r="965" spans="1:1" x14ac:dyDescent="0.25">
      <c r="A965">
        <f t="shared" si="15"/>
        <v>964</v>
      </c>
    </row>
    <row r="966" spans="1:1" x14ac:dyDescent="0.25">
      <c r="A966">
        <f t="shared" si="15"/>
        <v>965</v>
      </c>
    </row>
    <row r="967" spans="1:1" x14ac:dyDescent="0.25">
      <c r="A967">
        <f t="shared" si="15"/>
        <v>966</v>
      </c>
    </row>
    <row r="968" spans="1:1" x14ac:dyDescent="0.25">
      <c r="A968">
        <f t="shared" si="15"/>
        <v>967</v>
      </c>
    </row>
    <row r="969" spans="1:1" x14ac:dyDescent="0.25">
      <c r="A969">
        <f t="shared" si="15"/>
        <v>968</v>
      </c>
    </row>
    <row r="970" spans="1:1" x14ac:dyDescent="0.25">
      <c r="A970">
        <f t="shared" si="15"/>
        <v>969</v>
      </c>
    </row>
    <row r="971" spans="1:1" x14ac:dyDescent="0.25">
      <c r="A971">
        <f t="shared" si="15"/>
        <v>970</v>
      </c>
    </row>
    <row r="972" spans="1:1" x14ac:dyDescent="0.25">
      <c r="A972">
        <f t="shared" si="15"/>
        <v>971</v>
      </c>
    </row>
    <row r="973" spans="1:1" x14ac:dyDescent="0.25">
      <c r="A973">
        <f t="shared" si="15"/>
        <v>972</v>
      </c>
    </row>
    <row r="974" spans="1:1" x14ac:dyDescent="0.25">
      <c r="A974">
        <f t="shared" si="15"/>
        <v>973</v>
      </c>
    </row>
    <row r="975" spans="1:1" x14ac:dyDescent="0.25">
      <c r="A975">
        <f t="shared" si="15"/>
        <v>974</v>
      </c>
    </row>
    <row r="976" spans="1:1" x14ac:dyDescent="0.25">
      <c r="A976">
        <f t="shared" si="15"/>
        <v>975</v>
      </c>
    </row>
    <row r="977" spans="1:1" x14ac:dyDescent="0.25">
      <c r="A977">
        <f t="shared" si="15"/>
        <v>976</v>
      </c>
    </row>
    <row r="978" spans="1:1" x14ac:dyDescent="0.25">
      <c r="A978">
        <f t="shared" si="15"/>
        <v>977</v>
      </c>
    </row>
    <row r="979" spans="1:1" x14ac:dyDescent="0.25">
      <c r="A979">
        <f t="shared" si="15"/>
        <v>978</v>
      </c>
    </row>
    <row r="980" spans="1:1" x14ac:dyDescent="0.25">
      <c r="A980">
        <f t="shared" si="15"/>
        <v>979</v>
      </c>
    </row>
    <row r="981" spans="1:1" x14ac:dyDescent="0.25">
      <c r="A981">
        <f t="shared" si="15"/>
        <v>980</v>
      </c>
    </row>
    <row r="982" spans="1:1" x14ac:dyDescent="0.25">
      <c r="A982">
        <f t="shared" si="15"/>
        <v>981</v>
      </c>
    </row>
    <row r="983" spans="1:1" x14ac:dyDescent="0.25">
      <c r="A983">
        <f t="shared" si="15"/>
        <v>982</v>
      </c>
    </row>
    <row r="984" spans="1:1" x14ac:dyDescent="0.25">
      <c r="A984">
        <f t="shared" si="15"/>
        <v>983</v>
      </c>
    </row>
    <row r="985" spans="1:1" x14ac:dyDescent="0.25">
      <c r="A985">
        <f t="shared" si="15"/>
        <v>984</v>
      </c>
    </row>
    <row r="986" spans="1:1" x14ac:dyDescent="0.25">
      <c r="A986">
        <f t="shared" si="15"/>
        <v>985</v>
      </c>
    </row>
    <row r="987" spans="1:1" x14ac:dyDescent="0.25">
      <c r="A987">
        <f t="shared" si="15"/>
        <v>986</v>
      </c>
    </row>
    <row r="988" spans="1:1" x14ac:dyDescent="0.25">
      <c r="A988">
        <f t="shared" si="15"/>
        <v>987</v>
      </c>
    </row>
    <row r="989" spans="1:1" x14ac:dyDescent="0.25">
      <c r="A989">
        <f t="shared" si="15"/>
        <v>988</v>
      </c>
    </row>
    <row r="990" spans="1:1" x14ac:dyDescent="0.25">
      <c r="A990">
        <f t="shared" si="15"/>
        <v>989</v>
      </c>
    </row>
    <row r="991" spans="1:1" x14ac:dyDescent="0.25">
      <c r="A991">
        <f t="shared" si="15"/>
        <v>990</v>
      </c>
    </row>
    <row r="992" spans="1:1" x14ac:dyDescent="0.25">
      <c r="A992">
        <f t="shared" si="15"/>
        <v>991</v>
      </c>
    </row>
    <row r="993" spans="1:1" x14ac:dyDescent="0.25">
      <c r="A993">
        <f t="shared" si="15"/>
        <v>992</v>
      </c>
    </row>
    <row r="994" spans="1:1" x14ac:dyDescent="0.25">
      <c r="A994">
        <f t="shared" si="15"/>
        <v>993</v>
      </c>
    </row>
    <row r="995" spans="1:1" x14ac:dyDescent="0.25">
      <c r="A995">
        <f t="shared" si="15"/>
        <v>994</v>
      </c>
    </row>
    <row r="996" spans="1:1" x14ac:dyDescent="0.25">
      <c r="A996">
        <f t="shared" si="15"/>
        <v>995</v>
      </c>
    </row>
    <row r="997" spans="1:1" x14ac:dyDescent="0.25">
      <c r="A997">
        <f t="shared" si="15"/>
        <v>996</v>
      </c>
    </row>
    <row r="998" spans="1:1" x14ac:dyDescent="0.25">
      <c r="A998">
        <f t="shared" si="15"/>
        <v>997</v>
      </c>
    </row>
    <row r="999" spans="1:1" x14ac:dyDescent="0.25">
      <c r="A999">
        <f t="shared" si="15"/>
        <v>998</v>
      </c>
    </row>
    <row r="1000" spans="1:1" x14ac:dyDescent="0.25">
      <c r="A1000">
        <f t="shared" si="15"/>
        <v>999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9"/>
  <sheetViews>
    <sheetView topLeftCell="A75" workbookViewId="0">
      <selection activeCell="F57" sqref="F57"/>
    </sheetView>
  </sheetViews>
  <sheetFormatPr baseColWidth="10" defaultRowHeight="15" x14ac:dyDescent="0.25"/>
  <cols>
    <col min="2" max="2" width="35.140625" customWidth="1"/>
    <col min="3" max="3" width="12.28515625" customWidth="1"/>
    <col min="4" max="4" width="6" customWidth="1"/>
    <col min="5" max="5" width="7.42578125" customWidth="1"/>
    <col min="6" max="6" width="12.42578125" customWidth="1"/>
    <col min="7" max="7" width="45.5703125" customWidth="1"/>
    <col min="8" max="8" width="11.28515625" customWidth="1"/>
  </cols>
  <sheetData>
    <row r="1" spans="1:8" ht="15" customHeight="1" x14ac:dyDescent="0.25">
      <c r="A1" s="3" t="s">
        <v>2</v>
      </c>
      <c r="B1" s="4" t="s">
        <v>3</v>
      </c>
      <c r="C1" s="4" t="s">
        <v>5</v>
      </c>
      <c r="D1" s="4" t="s">
        <v>22</v>
      </c>
      <c r="E1" s="8" t="s">
        <v>6</v>
      </c>
      <c r="F1" s="5" t="s">
        <v>8</v>
      </c>
      <c r="G1" s="6" t="s">
        <v>9</v>
      </c>
      <c r="H1" s="1" t="s">
        <v>10</v>
      </c>
    </row>
    <row r="2" spans="1:8" x14ac:dyDescent="0.25">
      <c r="A2" s="40">
        <v>44929</v>
      </c>
      <c r="B2" t="s">
        <v>194</v>
      </c>
      <c r="C2" t="s">
        <v>186</v>
      </c>
      <c r="D2" t="s">
        <v>139</v>
      </c>
      <c r="E2" t="s">
        <v>197</v>
      </c>
      <c r="F2" s="38">
        <v>2359</v>
      </c>
      <c r="G2" t="s">
        <v>198</v>
      </c>
      <c r="H2" t="s">
        <v>199</v>
      </c>
    </row>
    <row r="3" spans="1:8" x14ac:dyDescent="0.25">
      <c r="A3" s="40">
        <v>44929</v>
      </c>
      <c r="B3" t="s">
        <v>200</v>
      </c>
      <c r="C3" t="s">
        <v>186</v>
      </c>
      <c r="D3" t="s">
        <v>139</v>
      </c>
      <c r="E3" t="s">
        <v>197</v>
      </c>
      <c r="F3" s="38">
        <v>1498</v>
      </c>
      <c r="G3" t="s">
        <v>203</v>
      </c>
      <c r="H3" t="s">
        <v>204</v>
      </c>
    </row>
    <row r="4" spans="1:8" x14ac:dyDescent="0.25">
      <c r="A4" s="40">
        <v>44930</v>
      </c>
      <c r="B4" t="s">
        <v>205</v>
      </c>
      <c r="C4" t="s">
        <v>186</v>
      </c>
      <c r="D4" t="s">
        <v>139</v>
      </c>
      <c r="E4" t="s">
        <v>193</v>
      </c>
      <c r="F4" s="38">
        <v>2118</v>
      </c>
      <c r="G4" t="s">
        <v>208</v>
      </c>
      <c r="H4" t="s">
        <v>266</v>
      </c>
    </row>
    <row r="5" spans="1:8" x14ac:dyDescent="0.25">
      <c r="A5" s="40">
        <v>44930</v>
      </c>
      <c r="B5" t="s">
        <v>209</v>
      </c>
      <c r="C5" t="s">
        <v>186</v>
      </c>
      <c r="D5" t="s">
        <v>139</v>
      </c>
      <c r="E5" t="s">
        <v>193</v>
      </c>
      <c r="F5" s="38">
        <v>780</v>
      </c>
      <c r="G5" t="s">
        <v>212</v>
      </c>
      <c r="H5" t="s">
        <v>213</v>
      </c>
    </row>
    <row r="6" spans="1:8" x14ac:dyDescent="0.25">
      <c r="A6" s="40">
        <v>44931</v>
      </c>
      <c r="B6" t="s">
        <v>214</v>
      </c>
      <c r="C6" t="s">
        <v>186</v>
      </c>
      <c r="D6" t="s">
        <v>139</v>
      </c>
      <c r="E6" t="s">
        <v>192</v>
      </c>
      <c r="F6" s="38">
        <v>2400</v>
      </c>
      <c r="G6" t="s">
        <v>217</v>
      </c>
      <c r="H6" t="s">
        <v>218</v>
      </c>
    </row>
    <row r="7" spans="1:8" x14ac:dyDescent="0.25">
      <c r="A7" s="40">
        <v>44931</v>
      </c>
      <c r="B7" t="s">
        <v>220</v>
      </c>
      <c r="C7" t="s">
        <v>186</v>
      </c>
      <c r="D7" t="s">
        <v>141</v>
      </c>
      <c r="E7" t="s">
        <v>197</v>
      </c>
      <c r="F7" s="38">
        <v>1286</v>
      </c>
      <c r="G7" t="s">
        <v>223</v>
      </c>
      <c r="H7" t="s">
        <v>228</v>
      </c>
    </row>
    <row r="8" spans="1:8" x14ac:dyDescent="0.25">
      <c r="A8" s="40">
        <v>44932</v>
      </c>
      <c r="B8" t="s">
        <v>224</v>
      </c>
      <c r="C8" t="s">
        <v>186</v>
      </c>
      <c r="D8" t="s">
        <v>141</v>
      </c>
      <c r="E8" t="s">
        <v>192</v>
      </c>
      <c r="F8" s="38">
        <v>2756.11</v>
      </c>
      <c r="G8" t="s">
        <v>227</v>
      </c>
      <c r="H8" t="s">
        <v>233</v>
      </c>
    </row>
    <row r="9" spans="1:8" x14ac:dyDescent="0.25">
      <c r="A9" s="40">
        <v>44933</v>
      </c>
      <c r="B9" t="s">
        <v>229</v>
      </c>
      <c r="C9" t="s">
        <v>186</v>
      </c>
      <c r="D9" t="s">
        <v>139</v>
      </c>
      <c r="E9" t="s">
        <v>192</v>
      </c>
      <c r="F9" s="38">
        <v>2110.04</v>
      </c>
      <c r="G9" t="s">
        <v>232</v>
      </c>
      <c r="H9" t="s">
        <v>219</v>
      </c>
    </row>
    <row r="10" spans="1:8" x14ac:dyDescent="0.25">
      <c r="A10" s="40">
        <v>44935</v>
      </c>
      <c r="B10" t="s">
        <v>249</v>
      </c>
      <c r="C10" t="s">
        <v>408</v>
      </c>
      <c r="D10" t="s">
        <v>139</v>
      </c>
      <c r="E10" t="s">
        <v>197</v>
      </c>
      <c r="F10" s="38">
        <v>1829</v>
      </c>
      <c r="G10" t="s">
        <v>252</v>
      </c>
      <c r="H10" t="s">
        <v>257</v>
      </c>
    </row>
    <row r="11" spans="1:8" x14ac:dyDescent="0.25">
      <c r="A11" s="40">
        <v>44931</v>
      </c>
      <c r="B11" t="s">
        <v>253</v>
      </c>
      <c r="C11" t="s">
        <v>186</v>
      </c>
      <c r="D11" t="s">
        <v>139</v>
      </c>
      <c r="E11" t="s">
        <v>197</v>
      </c>
      <c r="F11" s="38">
        <v>5761.18</v>
      </c>
      <c r="G11" t="s">
        <v>256</v>
      </c>
      <c r="H11" t="s">
        <v>267</v>
      </c>
    </row>
    <row r="12" spans="1:8" x14ac:dyDescent="0.25">
      <c r="A12" s="40">
        <v>44936</v>
      </c>
      <c r="B12" t="s">
        <v>258</v>
      </c>
      <c r="C12" t="s">
        <v>408</v>
      </c>
      <c r="D12" t="s">
        <v>139</v>
      </c>
      <c r="E12" t="s">
        <v>197</v>
      </c>
      <c r="F12" s="38">
        <v>1044</v>
      </c>
      <c r="G12" t="s">
        <v>261</v>
      </c>
      <c r="H12" t="s">
        <v>267</v>
      </c>
    </row>
    <row r="13" spans="1:8" x14ac:dyDescent="0.25">
      <c r="A13" s="40">
        <v>44932</v>
      </c>
      <c r="B13" t="s">
        <v>262</v>
      </c>
      <c r="C13" t="s">
        <v>186</v>
      </c>
      <c r="D13" t="s">
        <v>139</v>
      </c>
      <c r="E13" t="s">
        <v>193</v>
      </c>
      <c r="F13" s="38">
        <v>1849</v>
      </c>
      <c r="G13" t="s">
        <v>265</v>
      </c>
      <c r="H13" t="s">
        <v>219</v>
      </c>
    </row>
    <row r="14" spans="1:8" x14ac:dyDescent="0.25">
      <c r="A14" s="40">
        <v>44938</v>
      </c>
      <c r="B14" t="s">
        <v>268</v>
      </c>
      <c r="C14" t="s">
        <v>186</v>
      </c>
      <c r="D14" t="s">
        <v>139</v>
      </c>
      <c r="E14" t="s">
        <v>197</v>
      </c>
      <c r="F14" s="38">
        <v>986</v>
      </c>
      <c r="G14" t="s">
        <v>271</v>
      </c>
      <c r="H14" t="s">
        <v>286</v>
      </c>
    </row>
    <row r="15" spans="1:8" x14ac:dyDescent="0.25">
      <c r="A15" s="40">
        <v>44938</v>
      </c>
      <c r="B15" t="s">
        <v>272</v>
      </c>
      <c r="C15" t="s">
        <v>186</v>
      </c>
      <c r="D15" t="s">
        <v>139</v>
      </c>
      <c r="E15" t="s">
        <v>192</v>
      </c>
      <c r="F15" s="38">
        <v>1182</v>
      </c>
      <c r="G15" t="s">
        <v>275</v>
      </c>
      <c r="H15" t="s">
        <v>219</v>
      </c>
    </row>
    <row r="16" spans="1:8" x14ac:dyDescent="0.25">
      <c r="A16" s="40">
        <v>44938</v>
      </c>
      <c r="B16" t="s">
        <v>276</v>
      </c>
      <c r="C16" t="s">
        <v>186</v>
      </c>
      <c r="D16" t="s">
        <v>139</v>
      </c>
      <c r="E16" t="s">
        <v>197</v>
      </c>
      <c r="F16" s="38">
        <v>2688</v>
      </c>
      <c r="G16" t="s">
        <v>279</v>
      </c>
      <c r="H16" t="s">
        <v>285</v>
      </c>
    </row>
    <row r="17" spans="1:8" x14ac:dyDescent="0.25">
      <c r="A17" s="40">
        <v>44931</v>
      </c>
      <c r="B17" t="s">
        <v>280</v>
      </c>
      <c r="C17" t="s">
        <v>186</v>
      </c>
      <c r="D17" t="s">
        <v>139</v>
      </c>
      <c r="E17" t="s">
        <v>197</v>
      </c>
      <c r="F17" s="38">
        <v>1692.34</v>
      </c>
      <c r="G17" t="s">
        <v>283</v>
      </c>
      <c r="H17" t="s">
        <v>284</v>
      </c>
    </row>
    <row r="18" spans="1:8" x14ac:dyDescent="0.25">
      <c r="A18" s="40">
        <v>44937</v>
      </c>
      <c r="B18" t="s">
        <v>289</v>
      </c>
      <c r="C18" t="s">
        <v>409</v>
      </c>
      <c r="D18" t="s">
        <v>141</v>
      </c>
      <c r="E18" t="s">
        <v>197</v>
      </c>
      <c r="F18" s="38">
        <v>978</v>
      </c>
      <c r="G18" t="s">
        <v>290</v>
      </c>
      <c r="H18" t="s">
        <v>291</v>
      </c>
    </row>
    <row r="19" spans="1:8" x14ac:dyDescent="0.25">
      <c r="A19" s="40">
        <v>44940</v>
      </c>
      <c r="B19" t="s">
        <v>292</v>
      </c>
      <c r="C19" t="s">
        <v>408</v>
      </c>
      <c r="D19" t="s">
        <v>141</v>
      </c>
      <c r="E19" t="s">
        <v>197</v>
      </c>
      <c r="F19" s="38">
        <v>2338.56</v>
      </c>
      <c r="G19" t="s">
        <v>295</v>
      </c>
      <c r="H19" t="s">
        <v>300</v>
      </c>
    </row>
    <row r="20" spans="1:8" x14ac:dyDescent="0.25">
      <c r="A20" s="40">
        <v>44936</v>
      </c>
      <c r="B20" t="s">
        <v>296</v>
      </c>
      <c r="C20" t="s">
        <v>186</v>
      </c>
      <c r="D20" t="s">
        <v>141</v>
      </c>
      <c r="E20" t="s">
        <v>197</v>
      </c>
      <c r="F20" s="38">
        <v>1734.8</v>
      </c>
      <c r="G20" t="s">
        <v>299</v>
      </c>
      <c r="H20" t="s">
        <v>316</v>
      </c>
    </row>
    <row r="21" spans="1:8" x14ac:dyDescent="0.25">
      <c r="A21" s="40">
        <v>44942</v>
      </c>
      <c r="B21" t="s">
        <v>301</v>
      </c>
      <c r="C21" t="s">
        <v>408</v>
      </c>
      <c r="D21" t="s">
        <v>139</v>
      </c>
      <c r="E21" t="s">
        <v>197</v>
      </c>
      <c r="F21" s="38">
        <v>1241</v>
      </c>
      <c r="G21" t="s">
        <v>304</v>
      </c>
      <c r="H21" t="s">
        <v>305</v>
      </c>
    </row>
    <row r="22" spans="1:8" x14ac:dyDescent="0.25">
      <c r="A22" s="40">
        <v>44942</v>
      </c>
      <c r="B22" t="s">
        <v>306</v>
      </c>
      <c r="C22" t="s">
        <v>186</v>
      </c>
      <c r="D22" t="s">
        <v>139</v>
      </c>
      <c r="E22" t="s">
        <v>197</v>
      </c>
      <c r="F22" s="38">
        <v>12504.8</v>
      </c>
      <c r="G22" t="s">
        <v>309</v>
      </c>
      <c r="H22" t="s">
        <v>310</v>
      </c>
    </row>
    <row r="23" spans="1:8" x14ac:dyDescent="0.25">
      <c r="A23" s="40">
        <v>44935</v>
      </c>
      <c r="B23" t="s">
        <v>311</v>
      </c>
      <c r="C23" t="s">
        <v>186</v>
      </c>
      <c r="D23" t="s">
        <v>139</v>
      </c>
      <c r="E23" t="s">
        <v>197</v>
      </c>
      <c r="F23" s="38">
        <v>3684.42</v>
      </c>
      <c r="G23" t="s">
        <v>314</v>
      </c>
      <c r="H23" t="s">
        <v>315</v>
      </c>
    </row>
    <row r="24" spans="1:8" x14ac:dyDescent="0.25">
      <c r="A24" s="40">
        <v>44943</v>
      </c>
      <c r="B24" t="s">
        <v>318</v>
      </c>
      <c r="C24" t="s">
        <v>186</v>
      </c>
      <c r="D24" t="s">
        <v>139</v>
      </c>
      <c r="E24" t="s">
        <v>192</v>
      </c>
      <c r="F24" s="38">
        <v>2688.5</v>
      </c>
      <c r="G24" t="s">
        <v>320</v>
      </c>
      <c r="H24" t="s">
        <v>338</v>
      </c>
    </row>
    <row r="25" spans="1:8" x14ac:dyDescent="0.25">
      <c r="A25" s="40">
        <v>44944</v>
      </c>
      <c r="B25" t="s">
        <v>333</v>
      </c>
      <c r="C25" t="s">
        <v>186</v>
      </c>
      <c r="D25" t="s">
        <v>139</v>
      </c>
      <c r="E25" t="s">
        <v>197</v>
      </c>
      <c r="F25" s="38">
        <v>2209</v>
      </c>
      <c r="G25" t="s">
        <v>336</v>
      </c>
      <c r="H25" t="s">
        <v>349</v>
      </c>
    </row>
    <row r="26" spans="1:8" x14ac:dyDescent="0.25">
      <c r="A26" s="40">
        <v>44944</v>
      </c>
      <c r="B26" t="s">
        <v>339</v>
      </c>
      <c r="C26" t="s">
        <v>186</v>
      </c>
      <c r="D26" t="s">
        <v>139</v>
      </c>
      <c r="E26" t="s">
        <v>192</v>
      </c>
      <c r="F26" s="38">
        <v>1378</v>
      </c>
      <c r="G26" t="s">
        <v>342</v>
      </c>
      <c r="H26" t="s">
        <v>348</v>
      </c>
    </row>
    <row r="27" spans="1:8" x14ac:dyDescent="0.25">
      <c r="A27" s="40">
        <v>44935</v>
      </c>
      <c r="B27" t="s">
        <v>343</v>
      </c>
      <c r="C27" t="s">
        <v>408</v>
      </c>
      <c r="D27" t="s">
        <v>139</v>
      </c>
      <c r="E27" t="s">
        <v>192</v>
      </c>
      <c r="F27" s="38">
        <v>1811</v>
      </c>
      <c r="G27" t="s">
        <v>346</v>
      </c>
      <c r="H27" t="s">
        <v>347</v>
      </c>
    </row>
    <row r="28" spans="1:8" x14ac:dyDescent="0.25">
      <c r="A28" s="40">
        <v>44945</v>
      </c>
      <c r="B28" t="s">
        <v>350</v>
      </c>
      <c r="C28" t="s">
        <v>186</v>
      </c>
      <c r="D28" t="s">
        <v>139</v>
      </c>
      <c r="E28" t="s">
        <v>197</v>
      </c>
      <c r="F28" s="38">
        <v>1070</v>
      </c>
      <c r="G28" t="s">
        <v>353</v>
      </c>
      <c r="H28" t="s">
        <v>354</v>
      </c>
    </row>
    <row r="29" spans="1:8" x14ac:dyDescent="0.25">
      <c r="A29" s="40">
        <v>44945</v>
      </c>
      <c r="B29" t="s">
        <v>355</v>
      </c>
      <c r="C29" t="s">
        <v>409</v>
      </c>
      <c r="D29" t="s">
        <v>141</v>
      </c>
      <c r="E29" t="s">
        <v>192</v>
      </c>
      <c r="F29" s="38">
        <v>1226</v>
      </c>
      <c r="G29" t="s">
        <v>358</v>
      </c>
      <c r="H29" t="s">
        <v>359</v>
      </c>
    </row>
    <row r="30" spans="1:8" x14ac:dyDescent="0.25">
      <c r="A30" s="40">
        <v>44943</v>
      </c>
      <c r="B30" t="s">
        <v>360</v>
      </c>
      <c r="C30" t="s">
        <v>186</v>
      </c>
      <c r="D30" t="s">
        <v>139</v>
      </c>
      <c r="E30" t="s">
        <v>197</v>
      </c>
      <c r="F30" s="38">
        <v>2278.96</v>
      </c>
      <c r="G30" t="s">
        <v>363</v>
      </c>
      <c r="H30" t="s">
        <v>219</v>
      </c>
    </row>
    <row r="31" spans="1:8" x14ac:dyDescent="0.25">
      <c r="A31" s="40">
        <v>44939</v>
      </c>
      <c r="B31" t="s">
        <v>364</v>
      </c>
      <c r="C31" t="s">
        <v>186</v>
      </c>
      <c r="D31" t="s">
        <v>139</v>
      </c>
      <c r="E31" t="s">
        <v>197</v>
      </c>
      <c r="F31" s="38">
        <v>6298.6</v>
      </c>
      <c r="G31" t="s">
        <v>566</v>
      </c>
      <c r="H31" t="s">
        <v>337</v>
      </c>
    </row>
    <row r="32" spans="1:8" x14ac:dyDescent="0.25">
      <c r="A32" s="40">
        <v>44939</v>
      </c>
      <c r="B32" t="s">
        <v>368</v>
      </c>
      <c r="C32" t="s">
        <v>186</v>
      </c>
      <c r="D32" t="s">
        <v>139</v>
      </c>
      <c r="E32" t="s">
        <v>197</v>
      </c>
      <c r="F32" s="38">
        <v>630</v>
      </c>
      <c r="G32" t="s">
        <v>371</v>
      </c>
      <c r="H32" t="s">
        <v>372</v>
      </c>
    </row>
    <row r="33" spans="1:8" x14ac:dyDescent="0.25">
      <c r="A33" s="40">
        <v>44949</v>
      </c>
      <c r="B33" t="s">
        <v>373</v>
      </c>
      <c r="C33" t="s">
        <v>409</v>
      </c>
      <c r="D33" t="s">
        <v>139</v>
      </c>
      <c r="E33" t="s">
        <v>197</v>
      </c>
      <c r="F33" s="38">
        <v>2009</v>
      </c>
      <c r="G33" t="s">
        <v>376</v>
      </c>
      <c r="H33" t="s">
        <v>219</v>
      </c>
    </row>
    <row r="34" spans="1:8" x14ac:dyDescent="0.25">
      <c r="A34" s="40">
        <v>44944</v>
      </c>
      <c r="B34" t="s">
        <v>377</v>
      </c>
      <c r="C34" t="s">
        <v>186</v>
      </c>
      <c r="D34" t="s">
        <v>139</v>
      </c>
      <c r="E34" t="s">
        <v>380</v>
      </c>
      <c r="F34" s="38">
        <v>567.76</v>
      </c>
      <c r="G34" t="s">
        <v>381</v>
      </c>
      <c r="H34" t="s">
        <v>219</v>
      </c>
    </row>
    <row r="35" spans="1:8" x14ac:dyDescent="0.25">
      <c r="A35" s="40">
        <v>44946</v>
      </c>
      <c r="B35" t="s">
        <v>382</v>
      </c>
      <c r="C35" t="s">
        <v>186</v>
      </c>
      <c r="D35" t="s">
        <v>139</v>
      </c>
      <c r="E35" t="s">
        <v>192</v>
      </c>
      <c r="F35" s="38">
        <v>881.84</v>
      </c>
      <c r="G35" t="s">
        <v>385</v>
      </c>
      <c r="H35" t="s">
        <v>396</v>
      </c>
    </row>
    <row r="36" spans="1:8" x14ac:dyDescent="0.25">
      <c r="A36" s="40">
        <v>44951</v>
      </c>
      <c r="B36" t="s">
        <v>386</v>
      </c>
      <c r="C36" t="s">
        <v>408</v>
      </c>
      <c r="D36" t="s">
        <v>139</v>
      </c>
      <c r="E36" t="s">
        <v>197</v>
      </c>
      <c r="F36" s="38">
        <v>1200</v>
      </c>
      <c r="G36" t="s">
        <v>227</v>
      </c>
      <c r="H36" t="s">
        <v>389</v>
      </c>
    </row>
    <row r="37" spans="1:8" x14ac:dyDescent="0.25">
      <c r="A37" s="40">
        <v>44952</v>
      </c>
      <c r="B37" t="s">
        <v>333</v>
      </c>
      <c r="C37" t="s">
        <v>186</v>
      </c>
      <c r="D37" t="s">
        <v>139</v>
      </c>
      <c r="E37" t="s">
        <v>192</v>
      </c>
      <c r="F37" s="38">
        <v>950</v>
      </c>
      <c r="G37" t="s">
        <v>395</v>
      </c>
      <c r="H37" t="s">
        <v>397</v>
      </c>
    </row>
    <row r="38" spans="1:8" x14ac:dyDescent="0.25">
      <c r="A38" s="40">
        <v>44947</v>
      </c>
      <c r="B38" t="s">
        <v>398</v>
      </c>
      <c r="C38" t="s">
        <v>186</v>
      </c>
      <c r="D38" t="s">
        <v>139</v>
      </c>
      <c r="E38" t="s">
        <v>197</v>
      </c>
      <c r="F38" s="38">
        <v>7681.42</v>
      </c>
      <c r="G38" t="s">
        <v>401</v>
      </c>
      <c r="H38" t="s">
        <v>219</v>
      </c>
    </row>
    <row r="39" spans="1:8" x14ac:dyDescent="0.25">
      <c r="A39" s="40">
        <v>44949</v>
      </c>
      <c r="B39" t="s">
        <v>364</v>
      </c>
      <c r="C39" t="s">
        <v>186</v>
      </c>
      <c r="D39" t="s">
        <v>139</v>
      </c>
      <c r="E39" t="s">
        <v>192</v>
      </c>
      <c r="F39" s="38">
        <v>1019.36</v>
      </c>
      <c r="G39" t="s">
        <v>402</v>
      </c>
      <c r="H39" t="s">
        <v>219</v>
      </c>
    </row>
    <row r="40" spans="1:8" x14ac:dyDescent="0.25">
      <c r="A40" s="40">
        <v>44950</v>
      </c>
      <c r="B40" t="s">
        <v>403</v>
      </c>
      <c r="C40" t="s">
        <v>408</v>
      </c>
      <c r="D40" t="s">
        <v>139</v>
      </c>
      <c r="E40" t="s">
        <v>197</v>
      </c>
      <c r="F40" s="38">
        <v>975</v>
      </c>
      <c r="G40" t="s">
        <v>406</v>
      </c>
      <c r="H40" t="s">
        <v>219</v>
      </c>
    </row>
    <row r="41" spans="1:8" x14ac:dyDescent="0.25">
      <c r="A41" s="40">
        <v>44950</v>
      </c>
      <c r="B41" t="s">
        <v>296</v>
      </c>
      <c r="C41" t="s">
        <v>186</v>
      </c>
      <c r="D41" t="s">
        <v>139</v>
      </c>
      <c r="E41" t="s">
        <v>192</v>
      </c>
      <c r="F41" s="38">
        <v>310.8</v>
      </c>
      <c r="G41" t="s">
        <v>407</v>
      </c>
      <c r="H41" t="s">
        <v>219</v>
      </c>
    </row>
    <row r="42" spans="1:8" x14ac:dyDescent="0.25">
      <c r="A42" s="40">
        <v>44956</v>
      </c>
      <c r="B42" t="s">
        <v>426</v>
      </c>
      <c r="C42" t="s">
        <v>186</v>
      </c>
      <c r="D42" t="s">
        <v>139</v>
      </c>
      <c r="E42" t="s">
        <v>380</v>
      </c>
      <c r="F42" s="38">
        <v>2208</v>
      </c>
      <c r="G42" t="s">
        <v>428</v>
      </c>
      <c r="H42" t="s">
        <v>429</v>
      </c>
    </row>
    <row r="43" spans="1:8" x14ac:dyDescent="0.25">
      <c r="A43" s="40">
        <v>44957</v>
      </c>
      <c r="B43" t="s">
        <v>430</v>
      </c>
      <c r="C43" t="s">
        <v>408</v>
      </c>
      <c r="D43" t="s">
        <v>139</v>
      </c>
      <c r="E43" t="s">
        <v>433</v>
      </c>
      <c r="F43" s="38">
        <v>1122</v>
      </c>
      <c r="G43" t="s">
        <v>295</v>
      </c>
      <c r="H43" t="s">
        <v>439</v>
      </c>
    </row>
    <row r="44" spans="1:8" x14ac:dyDescent="0.25">
      <c r="A44" s="40">
        <v>44949</v>
      </c>
      <c r="B44" t="s">
        <v>434</v>
      </c>
      <c r="C44" t="s">
        <v>408</v>
      </c>
      <c r="D44" t="s">
        <v>139</v>
      </c>
      <c r="E44" t="s">
        <v>197</v>
      </c>
      <c r="F44" s="38">
        <v>711</v>
      </c>
      <c r="G44" t="s">
        <v>437</v>
      </c>
      <c r="H44" t="s">
        <v>337</v>
      </c>
    </row>
    <row r="45" spans="1:8" x14ac:dyDescent="0.25">
      <c r="A45" s="40">
        <v>44954</v>
      </c>
      <c r="B45" t="s">
        <v>444</v>
      </c>
      <c r="C45" t="s">
        <v>186</v>
      </c>
      <c r="D45" t="s">
        <v>139</v>
      </c>
      <c r="E45" t="s">
        <v>192</v>
      </c>
      <c r="F45" s="38">
        <v>2539.16</v>
      </c>
      <c r="G45" t="s">
        <v>447</v>
      </c>
      <c r="H45" t="s">
        <v>348</v>
      </c>
    </row>
    <row r="46" spans="1:8" x14ac:dyDescent="0.25">
      <c r="A46" s="40">
        <v>44940</v>
      </c>
      <c r="B46" t="s">
        <v>469</v>
      </c>
      <c r="C46" t="s">
        <v>186</v>
      </c>
      <c r="D46" t="s">
        <v>139</v>
      </c>
      <c r="E46" t="s">
        <v>476</v>
      </c>
      <c r="F46" s="38">
        <v>2614</v>
      </c>
      <c r="G46" t="s">
        <v>472</v>
      </c>
      <c r="H46" t="s">
        <v>337</v>
      </c>
    </row>
    <row r="47" spans="1:8" x14ac:dyDescent="0.25">
      <c r="A47" s="40">
        <v>44956</v>
      </c>
      <c r="B47" t="s">
        <v>477</v>
      </c>
      <c r="C47" t="s">
        <v>186</v>
      </c>
      <c r="D47" t="s">
        <v>139</v>
      </c>
      <c r="E47" t="s">
        <v>197</v>
      </c>
      <c r="F47" s="38">
        <v>1451.35</v>
      </c>
      <c r="G47" t="s">
        <v>480</v>
      </c>
      <c r="H47" t="s">
        <v>337</v>
      </c>
    </row>
    <row r="48" spans="1:8" x14ac:dyDescent="0.25">
      <c r="A48" s="40">
        <v>44957</v>
      </c>
      <c r="B48" t="s">
        <v>561</v>
      </c>
      <c r="C48" t="s">
        <v>186</v>
      </c>
      <c r="D48" t="s">
        <v>139</v>
      </c>
      <c r="E48" t="s">
        <v>197</v>
      </c>
      <c r="F48" s="38">
        <v>1508.2</v>
      </c>
      <c r="G48" t="s">
        <v>564</v>
      </c>
      <c r="H48" t="s">
        <v>565</v>
      </c>
    </row>
    <row r="51" spans="1:10" ht="15.75" thickBot="1" x14ac:dyDescent="0.3">
      <c r="A51" s="99" t="s">
        <v>130</v>
      </c>
      <c r="B51" s="99"/>
      <c r="C51" s="99"/>
      <c r="D51" s="99"/>
      <c r="E51" s="99"/>
      <c r="F51" s="99"/>
      <c r="G51" s="39"/>
    </row>
    <row r="52" spans="1:10" x14ac:dyDescent="0.25">
      <c r="A52" s="7" t="s">
        <v>131</v>
      </c>
      <c r="B52" s="40"/>
      <c r="C52" s="41">
        <f>SUM(F2:F49)</f>
        <v>102159.20000000001</v>
      </c>
      <c r="D52" s="42"/>
      <c r="E52" s="43" t="s">
        <v>132</v>
      </c>
      <c r="F52" s="44"/>
      <c r="G52" s="39"/>
      <c r="H52" s="45" t="s">
        <v>62</v>
      </c>
      <c r="I52" s="46">
        <v>33</v>
      </c>
      <c r="J52" s="47"/>
    </row>
    <row r="53" spans="1:10" x14ac:dyDescent="0.25">
      <c r="A53" s="7"/>
      <c r="B53" s="40"/>
      <c r="C53" s="41"/>
      <c r="D53" s="42"/>
      <c r="E53" s="48" t="s">
        <v>133</v>
      </c>
      <c r="F53" s="49">
        <v>102159.20000000001</v>
      </c>
      <c r="G53" s="39"/>
      <c r="H53" s="48" t="s">
        <v>99</v>
      </c>
      <c r="I53" s="50">
        <v>7</v>
      </c>
      <c r="J53" s="51">
        <f>I53/I$52</f>
        <v>0.21212121212121213</v>
      </c>
    </row>
    <row r="54" spans="1:10" ht="15.75" thickBot="1" x14ac:dyDescent="0.3">
      <c r="A54" s="7" t="s">
        <v>134</v>
      </c>
      <c r="B54" s="40"/>
      <c r="C54" s="52">
        <v>26</v>
      </c>
      <c r="D54" s="42"/>
      <c r="E54" s="53" t="s">
        <v>135</v>
      </c>
      <c r="F54" s="54">
        <f>C52/C54</f>
        <v>3929.2000000000003</v>
      </c>
      <c r="G54" s="39"/>
      <c r="H54" s="48" t="s">
        <v>100</v>
      </c>
      <c r="I54" s="50">
        <v>23</v>
      </c>
      <c r="J54" s="51">
        <f>I54/I$52</f>
        <v>0.69696969696969702</v>
      </c>
    </row>
    <row r="55" spans="1:10" ht="15.75" thickBot="1" x14ac:dyDescent="0.3">
      <c r="A55" s="7" t="s">
        <v>136</v>
      </c>
      <c r="B55" s="40"/>
      <c r="C55">
        <v>47</v>
      </c>
      <c r="D55" s="42"/>
      <c r="E55" s="42"/>
      <c r="F55" s="14"/>
      <c r="G55" s="39"/>
      <c r="H55" s="53" t="s">
        <v>101</v>
      </c>
      <c r="I55" s="55">
        <v>3</v>
      </c>
      <c r="J55" s="56">
        <f>I55/I$52</f>
        <v>9.0909090909090912E-2</v>
      </c>
    </row>
    <row r="56" spans="1:10" x14ac:dyDescent="0.25">
      <c r="A56" s="7"/>
      <c r="B56" s="40"/>
      <c r="D56" s="42" t="s">
        <v>81</v>
      </c>
      <c r="E56" s="43" t="s">
        <v>137</v>
      </c>
      <c r="F56" s="44"/>
      <c r="G56" s="39"/>
    </row>
    <row r="57" spans="1:10" ht="15.75" thickBot="1" x14ac:dyDescent="0.3">
      <c r="A57" s="7" t="s">
        <v>138</v>
      </c>
      <c r="B57" s="40"/>
      <c r="C57">
        <v>41</v>
      </c>
      <c r="D57" s="42" t="s">
        <v>81</v>
      </c>
      <c r="E57" s="48" t="s">
        <v>139</v>
      </c>
      <c r="F57" s="51">
        <f>C57/C$55</f>
        <v>0.87234042553191493</v>
      </c>
      <c r="G57" s="39"/>
    </row>
    <row r="58" spans="1:10" ht="15.75" thickBot="1" x14ac:dyDescent="0.3">
      <c r="A58" s="7" t="s">
        <v>140</v>
      </c>
      <c r="B58" s="40"/>
      <c r="C58">
        <v>6</v>
      </c>
      <c r="D58" s="42"/>
      <c r="E58" s="53" t="s">
        <v>141</v>
      </c>
      <c r="F58" s="56">
        <f>C58/C$55</f>
        <v>0.1276595744680851</v>
      </c>
      <c r="G58" s="39"/>
      <c r="H58" s="45" t="s">
        <v>142</v>
      </c>
      <c r="I58" s="46">
        <v>26</v>
      </c>
      <c r="J58" s="47"/>
    </row>
    <row r="59" spans="1:10" ht="15.75" thickBot="1" x14ac:dyDescent="0.3">
      <c r="A59" s="7"/>
      <c r="B59" s="40"/>
      <c r="D59" s="42"/>
      <c r="E59" s="42"/>
      <c r="F59" s="14"/>
      <c r="G59" s="39"/>
      <c r="H59" s="57" t="s">
        <v>143</v>
      </c>
      <c r="I59" s="50">
        <v>16</v>
      </c>
      <c r="J59" s="51">
        <f>I59/I$58</f>
        <v>0.61538461538461542</v>
      </c>
    </row>
    <row r="60" spans="1:10" x14ac:dyDescent="0.25">
      <c r="A60" s="7" t="s">
        <v>144</v>
      </c>
      <c r="B60" s="40"/>
      <c r="D60" s="42"/>
      <c r="E60" s="43" t="s">
        <v>48</v>
      </c>
      <c r="F60" s="44"/>
      <c r="G60" s="39"/>
      <c r="H60" s="57" t="s">
        <v>145</v>
      </c>
      <c r="I60" s="50">
        <v>8</v>
      </c>
      <c r="J60" s="51">
        <f>I60/I$58</f>
        <v>0.30769230769230771</v>
      </c>
    </row>
    <row r="61" spans="1:10" ht="15.75" thickBot="1" x14ac:dyDescent="0.3">
      <c r="A61" s="7" t="s">
        <v>61</v>
      </c>
      <c r="B61" s="40"/>
      <c r="C61">
        <v>5</v>
      </c>
      <c r="D61" s="42"/>
      <c r="E61" s="58" t="s">
        <v>61</v>
      </c>
      <c r="F61" s="51">
        <f>C61/C$70</f>
        <v>4.9019607843137254E-2</v>
      </c>
      <c r="G61" s="39"/>
      <c r="H61" s="22" t="s">
        <v>146</v>
      </c>
      <c r="I61" s="55">
        <v>2</v>
      </c>
      <c r="J61" s="56">
        <f>I61/I$58</f>
        <v>7.6923076923076927E-2</v>
      </c>
    </row>
    <row r="62" spans="1:10" ht="15.75" thickBot="1" x14ac:dyDescent="0.3">
      <c r="A62" s="7" t="s">
        <v>62</v>
      </c>
      <c r="B62" s="40"/>
      <c r="C62">
        <v>33</v>
      </c>
      <c r="D62" s="42"/>
      <c r="E62" s="58" t="s">
        <v>62</v>
      </c>
      <c r="F62" s="51">
        <f t="shared" ref="F62:F69" si="0">C62/C$70</f>
        <v>0.3235294117647059</v>
      </c>
      <c r="G62" s="39"/>
    </row>
    <row r="63" spans="1:10" x14ac:dyDescent="0.25">
      <c r="A63" s="7" t="s">
        <v>63</v>
      </c>
      <c r="B63" s="40"/>
      <c r="C63">
        <v>26</v>
      </c>
      <c r="D63" s="42"/>
      <c r="E63" s="58" t="s">
        <v>63</v>
      </c>
      <c r="F63" s="51">
        <f t="shared" si="0"/>
        <v>0.25490196078431371</v>
      </c>
      <c r="G63" s="42" t="s">
        <v>81</v>
      </c>
      <c r="H63" s="45" t="s">
        <v>147</v>
      </c>
      <c r="I63" s="46">
        <v>5</v>
      </c>
      <c r="J63" s="44">
        <f t="shared" ref="J63:J74" si="1">I63/I$58</f>
        <v>0.19230769230769232</v>
      </c>
    </row>
    <row r="64" spans="1:10" x14ac:dyDescent="0.25">
      <c r="A64" s="7" t="s">
        <v>64</v>
      </c>
      <c r="B64" s="40"/>
      <c r="C64">
        <v>1</v>
      </c>
      <c r="D64" s="42"/>
      <c r="E64" s="58" t="s">
        <v>64</v>
      </c>
      <c r="F64" s="51">
        <f t="shared" si="0"/>
        <v>9.8039215686274508E-3</v>
      </c>
      <c r="G64" s="39"/>
      <c r="H64" s="57" t="s">
        <v>148</v>
      </c>
      <c r="I64" s="59">
        <v>2</v>
      </c>
      <c r="J64" s="51">
        <f t="shared" si="1"/>
        <v>7.6923076923076927E-2</v>
      </c>
    </row>
    <row r="65" spans="1:10" x14ac:dyDescent="0.25">
      <c r="A65" s="7" t="s">
        <v>65</v>
      </c>
      <c r="B65" s="40"/>
      <c r="C65">
        <v>7</v>
      </c>
      <c r="D65" s="42"/>
      <c r="E65" s="58" t="s">
        <v>65</v>
      </c>
      <c r="F65" s="51">
        <f t="shared" si="0"/>
        <v>6.8627450980392163E-2</v>
      </c>
      <c r="G65" s="39"/>
      <c r="H65" s="57" t="s">
        <v>149</v>
      </c>
      <c r="I65" s="50">
        <v>5</v>
      </c>
      <c r="J65" s="51">
        <f t="shared" si="1"/>
        <v>0.19230769230769232</v>
      </c>
    </row>
    <row r="66" spans="1:10" x14ac:dyDescent="0.25">
      <c r="A66" s="7" t="s">
        <v>66</v>
      </c>
      <c r="B66" s="40"/>
      <c r="C66">
        <v>1</v>
      </c>
      <c r="D66" s="42"/>
      <c r="E66" s="58" t="s">
        <v>66</v>
      </c>
      <c r="F66" s="51">
        <f t="shared" si="0"/>
        <v>9.8039215686274508E-3</v>
      </c>
      <c r="G66" s="39"/>
      <c r="H66" s="57" t="s">
        <v>150</v>
      </c>
      <c r="I66" s="50">
        <v>3</v>
      </c>
      <c r="J66" s="51">
        <f t="shared" si="1"/>
        <v>0.11538461538461539</v>
      </c>
    </row>
    <row r="67" spans="1:10" x14ac:dyDescent="0.25">
      <c r="A67" s="7" t="s">
        <v>67</v>
      </c>
      <c r="B67" s="40"/>
      <c r="C67">
        <v>10</v>
      </c>
      <c r="D67" s="42"/>
      <c r="E67" s="58" t="s">
        <v>67</v>
      </c>
      <c r="F67" s="51">
        <f t="shared" si="0"/>
        <v>9.8039215686274508E-2</v>
      </c>
      <c r="G67" s="39"/>
      <c r="H67" s="57" t="s">
        <v>151</v>
      </c>
      <c r="I67" s="50">
        <v>3</v>
      </c>
      <c r="J67" s="51">
        <f t="shared" si="1"/>
        <v>0.11538461538461539</v>
      </c>
    </row>
    <row r="68" spans="1:10" x14ac:dyDescent="0.25">
      <c r="A68" s="7" t="s">
        <v>68</v>
      </c>
      <c r="B68" s="40"/>
      <c r="C68">
        <v>3</v>
      </c>
      <c r="D68" s="42"/>
      <c r="E68" s="58" t="s">
        <v>68</v>
      </c>
      <c r="F68" s="51">
        <f t="shared" si="0"/>
        <v>2.9411764705882353E-2</v>
      </c>
      <c r="G68" s="39"/>
      <c r="H68" s="57" t="s">
        <v>152</v>
      </c>
      <c r="I68" s="50">
        <v>6</v>
      </c>
      <c r="J68" s="51">
        <f t="shared" si="1"/>
        <v>0.23076923076923078</v>
      </c>
    </row>
    <row r="69" spans="1:10" ht="15.75" thickBot="1" x14ac:dyDescent="0.3">
      <c r="A69" s="7" t="s">
        <v>69</v>
      </c>
      <c r="B69" s="40"/>
      <c r="C69">
        <v>16</v>
      </c>
      <c r="D69" s="42"/>
      <c r="E69" s="60" t="s">
        <v>69</v>
      </c>
      <c r="F69" s="56">
        <f t="shared" si="0"/>
        <v>0.15686274509803921</v>
      </c>
      <c r="G69" s="42" t="s">
        <v>81</v>
      </c>
      <c r="H69" s="61" t="s">
        <v>153</v>
      </c>
      <c r="I69" s="59">
        <v>1</v>
      </c>
      <c r="J69" s="51">
        <f t="shared" si="1"/>
        <v>3.8461538461538464E-2</v>
      </c>
    </row>
    <row r="70" spans="1:10" ht="15.75" thickBot="1" x14ac:dyDescent="0.3">
      <c r="A70" s="7" t="s">
        <v>154</v>
      </c>
      <c r="B70" s="40"/>
      <c r="C70">
        <f>SUM(C61:C69)</f>
        <v>102</v>
      </c>
      <c r="D70" s="42"/>
      <c r="E70" s="7"/>
      <c r="F70" s="14"/>
      <c r="G70" s="39"/>
      <c r="H70" s="61" t="s">
        <v>155</v>
      </c>
      <c r="I70" s="59">
        <v>1</v>
      </c>
      <c r="J70" s="51">
        <f t="shared" si="1"/>
        <v>3.8461538461538464E-2</v>
      </c>
    </row>
    <row r="71" spans="1:10" x14ac:dyDescent="0.25">
      <c r="A71" s="7"/>
      <c r="B71" s="40"/>
      <c r="D71" s="42"/>
      <c r="E71" s="62" t="s">
        <v>70</v>
      </c>
      <c r="F71" s="44"/>
      <c r="G71" s="39"/>
      <c r="H71" s="61" t="s">
        <v>156</v>
      </c>
      <c r="I71" s="59">
        <v>0</v>
      </c>
      <c r="J71" s="51">
        <f t="shared" si="1"/>
        <v>0</v>
      </c>
    </row>
    <row r="72" spans="1:10" x14ac:dyDescent="0.25">
      <c r="A72" s="7" t="s">
        <v>157</v>
      </c>
      <c r="B72" s="40"/>
      <c r="D72" s="42"/>
      <c r="E72" s="58" t="s">
        <v>71</v>
      </c>
      <c r="F72" s="51">
        <f>C73/C$83</f>
        <v>0.39823008849557523</v>
      </c>
      <c r="G72" s="39"/>
      <c r="H72" s="57" t="s">
        <v>158</v>
      </c>
      <c r="I72" s="59">
        <v>0</v>
      </c>
      <c r="J72" s="51">
        <f t="shared" si="1"/>
        <v>0</v>
      </c>
    </row>
    <row r="73" spans="1:10" x14ac:dyDescent="0.25">
      <c r="A73" s="7" t="s">
        <v>71</v>
      </c>
      <c r="B73" s="40"/>
      <c r="C73">
        <v>45</v>
      </c>
      <c r="D73" s="42"/>
      <c r="E73" s="58" t="s">
        <v>72</v>
      </c>
      <c r="F73" s="51">
        <f t="shared" ref="F73:F81" si="2">C74/C$83</f>
        <v>0.10619469026548672</v>
      </c>
      <c r="G73" s="39"/>
      <c r="H73" s="61" t="s">
        <v>159</v>
      </c>
      <c r="I73" s="59">
        <v>0</v>
      </c>
      <c r="J73" s="51">
        <f t="shared" si="1"/>
        <v>0</v>
      </c>
    </row>
    <row r="74" spans="1:10" ht="15.75" thickBot="1" x14ac:dyDescent="0.3">
      <c r="A74" s="7" t="s">
        <v>72</v>
      </c>
      <c r="B74" s="40"/>
      <c r="C74">
        <v>12</v>
      </c>
      <c r="D74" s="42"/>
      <c r="E74" s="58" t="s">
        <v>73</v>
      </c>
      <c r="F74" s="51">
        <f t="shared" si="2"/>
        <v>7.9646017699115043E-2</v>
      </c>
      <c r="G74" s="39"/>
      <c r="H74" s="63" t="s">
        <v>160</v>
      </c>
      <c r="I74" s="55">
        <v>0</v>
      </c>
      <c r="J74" s="56">
        <f t="shared" si="1"/>
        <v>0</v>
      </c>
    </row>
    <row r="75" spans="1:10" x14ac:dyDescent="0.25">
      <c r="A75" s="7" t="s">
        <v>73</v>
      </c>
      <c r="B75" s="40"/>
      <c r="C75">
        <v>9</v>
      </c>
      <c r="D75" s="42"/>
      <c r="E75" s="58" t="s">
        <v>74</v>
      </c>
      <c r="F75" s="51">
        <f t="shared" si="2"/>
        <v>0.19469026548672566</v>
      </c>
      <c r="G75" s="42" t="s">
        <v>81</v>
      </c>
    </row>
    <row r="76" spans="1:10" ht="15.75" thickBot="1" x14ac:dyDescent="0.3">
      <c r="A76" s="7" t="s">
        <v>74</v>
      </c>
      <c r="B76" s="40"/>
      <c r="C76">
        <v>22</v>
      </c>
      <c r="D76" s="42"/>
      <c r="E76" s="58" t="s">
        <v>75</v>
      </c>
      <c r="F76" s="51">
        <f t="shared" si="2"/>
        <v>0.11504424778761062</v>
      </c>
      <c r="G76" s="42" t="s">
        <v>81</v>
      </c>
    </row>
    <row r="77" spans="1:10" x14ac:dyDescent="0.25">
      <c r="A77" s="7" t="s">
        <v>75</v>
      </c>
      <c r="B77" s="40"/>
      <c r="C77">
        <v>13</v>
      </c>
      <c r="D77" s="42"/>
      <c r="E77" s="58" t="s">
        <v>76</v>
      </c>
      <c r="F77" s="51">
        <f t="shared" si="2"/>
        <v>0</v>
      </c>
      <c r="G77" s="39"/>
      <c r="H77" s="45" t="s">
        <v>65</v>
      </c>
      <c r="I77" s="46">
        <v>7</v>
      </c>
      <c r="J77" s="47"/>
    </row>
    <row r="78" spans="1:10" x14ac:dyDescent="0.25">
      <c r="A78" s="7" t="s">
        <v>76</v>
      </c>
      <c r="B78" s="40"/>
      <c r="C78">
        <v>0</v>
      </c>
      <c r="D78" s="42"/>
      <c r="E78" s="58" t="s">
        <v>77</v>
      </c>
      <c r="F78" s="51">
        <f t="shared" si="2"/>
        <v>0</v>
      </c>
      <c r="G78" s="39"/>
      <c r="H78" s="57" t="s">
        <v>161</v>
      </c>
      <c r="I78" s="50">
        <v>1</v>
      </c>
      <c r="J78" s="51">
        <f>I78/I$77</f>
        <v>0.14285714285714285</v>
      </c>
    </row>
    <row r="79" spans="1:10" ht="15.75" thickBot="1" x14ac:dyDescent="0.3">
      <c r="A79" s="7" t="s">
        <v>77</v>
      </c>
      <c r="B79" s="40"/>
      <c r="C79">
        <v>0</v>
      </c>
      <c r="D79" s="42"/>
      <c r="E79" s="58" t="s">
        <v>78</v>
      </c>
      <c r="F79" s="51">
        <f t="shared" si="2"/>
        <v>0</v>
      </c>
      <c r="G79" s="39"/>
      <c r="H79" s="22" t="s">
        <v>103</v>
      </c>
      <c r="I79" s="55">
        <v>6</v>
      </c>
      <c r="J79" s="56">
        <f>I79/I$77</f>
        <v>0.8571428571428571</v>
      </c>
    </row>
    <row r="80" spans="1:10" x14ac:dyDescent="0.25">
      <c r="A80" s="7" t="s">
        <v>78</v>
      </c>
      <c r="B80" s="40"/>
      <c r="C80">
        <v>0</v>
      </c>
      <c r="D80" s="42"/>
      <c r="E80" s="58" t="s">
        <v>79</v>
      </c>
      <c r="F80" s="51">
        <f t="shared" si="2"/>
        <v>8.8495575221238937E-3</v>
      </c>
      <c r="G80" s="39"/>
    </row>
    <row r="81" spans="1:10" ht="15.75" thickBot="1" x14ac:dyDescent="0.3">
      <c r="A81" s="7" t="s">
        <v>79</v>
      </c>
      <c r="B81" s="40"/>
      <c r="C81">
        <v>1</v>
      </c>
      <c r="D81" s="42"/>
      <c r="E81" s="60" t="s">
        <v>80</v>
      </c>
      <c r="F81" s="56">
        <f t="shared" si="2"/>
        <v>9.7345132743362831E-2</v>
      </c>
      <c r="G81" s="39"/>
    </row>
    <row r="82" spans="1:10" ht="15.75" thickBot="1" x14ac:dyDescent="0.3">
      <c r="A82" s="7" t="s">
        <v>80</v>
      </c>
      <c r="B82" s="40"/>
      <c r="C82">
        <v>11</v>
      </c>
      <c r="D82" s="42"/>
      <c r="E82" s="7"/>
      <c r="F82" s="14"/>
      <c r="G82" s="39"/>
      <c r="H82" s="45" t="s">
        <v>162</v>
      </c>
      <c r="I82" s="46">
        <v>1</v>
      </c>
      <c r="J82" s="47"/>
    </row>
    <row r="83" spans="1:10" x14ac:dyDescent="0.25">
      <c r="A83" s="7" t="s">
        <v>163</v>
      </c>
      <c r="B83" s="40"/>
      <c r="C83">
        <f>SUM(C73:C82)</f>
        <v>113</v>
      </c>
      <c r="D83" s="42"/>
      <c r="E83" s="62" t="s">
        <v>44</v>
      </c>
      <c r="F83" s="44"/>
      <c r="G83" s="39"/>
      <c r="H83" s="57" t="s">
        <v>164</v>
      </c>
      <c r="I83" s="50">
        <v>0</v>
      </c>
      <c r="J83" s="51">
        <f t="shared" ref="J83:J88" si="3">I83/I$82</f>
        <v>0</v>
      </c>
    </row>
    <row r="84" spans="1:10" x14ac:dyDescent="0.25">
      <c r="A84" s="7"/>
      <c r="B84" s="40"/>
      <c r="D84" s="42"/>
      <c r="E84" s="64" t="s">
        <v>165</v>
      </c>
      <c r="F84" s="51">
        <f>C85/C$55</f>
        <v>0.85106382978723405</v>
      </c>
      <c r="G84" s="39"/>
      <c r="H84" s="57" t="s">
        <v>166</v>
      </c>
      <c r="I84" s="50">
        <v>0</v>
      </c>
      <c r="J84" s="51">
        <f t="shared" si="3"/>
        <v>0</v>
      </c>
    </row>
    <row r="85" spans="1:10" x14ac:dyDescent="0.25">
      <c r="A85" s="7" t="s">
        <v>167</v>
      </c>
      <c r="B85" s="40"/>
      <c r="C85">
        <v>40</v>
      </c>
      <c r="D85" s="42"/>
      <c r="E85" s="64" t="s">
        <v>168</v>
      </c>
      <c r="F85" s="51">
        <f>C86/C$55</f>
        <v>2.1276595744680851E-2</v>
      </c>
      <c r="G85" s="39"/>
      <c r="H85" s="57" t="s">
        <v>169</v>
      </c>
      <c r="I85" s="50">
        <v>0</v>
      </c>
      <c r="J85" s="51">
        <f t="shared" si="3"/>
        <v>0</v>
      </c>
    </row>
    <row r="86" spans="1:10" ht="15.75" thickBot="1" x14ac:dyDescent="0.3">
      <c r="A86" s="7" t="s">
        <v>170</v>
      </c>
      <c r="B86" s="40"/>
      <c r="C86">
        <v>1</v>
      </c>
      <c r="D86" s="42"/>
      <c r="E86" s="65" t="s">
        <v>171</v>
      </c>
      <c r="F86" s="56">
        <f>C87/C$55</f>
        <v>0.1276595744680851</v>
      </c>
      <c r="G86" s="39"/>
      <c r="H86" s="57" t="s">
        <v>172</v>
      </c>
      <c r="I86" s="50">
        <v>1</v>
      </c>
      <c r="J86" s="51">
        <f t="shared" si="3"/>
        <v>1</v>
      </c>
    </row>
    <row r="87" spans="1:10" ht="15.75" thickBot="1" x14ac:dyDescent="0.3">
      <c r="A87" s="7" t="s">
        <v>173</v>
      </c>
      <c r="B87" s="40"/>
      <c r="C87">
        <v>6</v>
      </c>
      <c r="D87" s="42"/>
      <c r="E87" s="66"/>
      <c r="F87" s="14"/>
      <c r="G87" s="42" t="s">
        <v>81</v>
      </c>
      <c r="H87" s="57" t="s">
        <v>174</v>
      </c>
      <c r="I87" s="50">
        <v>0</v>
      </c>
      <c r="J87" s="51">
        <f t="shared" si="3"/>
        <v>0</v>
      </c>
    </row>
    <row r="88" spans="1:10" ht="15.75" thickBot="1" x14ac:dyDescent="0.3">
      <c r="A88" s="7"/>
      <c r="B88" s="40"/>
      <c r="D88" s="42"/>
      <c r="E88" s="67" t="s">
        <v>137</v>
      </c>
      <c r="F88" s="44"/>
      <c r="G88" s="39"/>
      <c r="H88" s="22" t="s">
        <v>175</v>
      </c>
      <c r="I88" s="55">
        <v>0</v>
      </c>
      <c r="J88" s="56">
        <f t="shared" si="3"/>
        <v>0</v>
      </c>
    </row>
    <row r="89" spans="1:10" x14ac:dyDescent="0.25">
      <c r="A89" s="7" t="s">
        <v>137</v>
      </c>
      <c r="B89" s="40"/>
      <c r="D89" s="42"/>
      <c r="E89" s="58" t="s">
        <v>176</v>
      </c>
      <c r="F89" s="51">
        <f>C90/C$55</f>
        <v>0.7021276595744681</v>
      </c>
      <c r="G89" s="39"/>
    </row>
    <row r="90" spans="1:10" ht="15.75" thickBot="1" x14ac:dyDescent="0.3">
      <c r="A90" s="7" t="s">
        <v>177</v>
      </c>
      <c r="B90" s="40"/>
      <c r="C90">
        <v>33</v>
      </c>
      <c r="D90" s="42"/>
      <c r="E90" s="60" t="s">
        <v>178</v>
      </c>
      <c r="F90" s="56">
        <f>C91/C$55</f>
        <v>0.2978723404255319</v>
      </c>
      <c r="G90" s="39"/>
    </row>
    <row r="91" spans="1:10" ht="15.75" thickBot="1" x14ac:dyDescent="0.3">
      <c r="A91" s="7" t="s">
        <v>178</v>
      </c>
      <c r="B91" s="40"/>
      <c r="C91">
        <v>14</v>
      </c>
      <c r="D91" s="42"/>
      <c r="E91" s="68"/>
      <c r="F91" s="69"/>
      <c r="G91" s="39"/>
      <c r="H91" s="45" t="s">
        <v>67</v>
      </c>
      <c r="I91" s="46">
        <v>10</v>
      </c>
      <c r="J91" s="47"/>
    </row>
    <row r="92" spans="1:10" x14ac:dyDescent="0.25">
      <c r="A92" s="7"/>
      <c r="B92" s="40"/>
      <c r="D92" s="42"/>
      <c r="E92" s="45" t="s">
        <v>179</v>
      </c>
      <c r="F92" s="44"/>
      <c r="G92" s="39"/>
      <c r="H92" s="57" t="s">
        <v>104</v>
      </c>
      <c r="I92" s="59">
        <v>0</v>
      </c>
      <c r="J92" s="51">
        <f>I92/I$91</f>
        <v>0</v>
      </c>
    </row>
    <row r="93" spans="1:10" x14ac:dyDescent="0.25">
      <c r="A93" t="s">
        <v>179</v>
      </c>
      <c r="D93" s="42"/>
      <c r="E93" s="57" t="s">
        <v>180</v>
      </c>
      <c r="F93" s="51">
        <f>C94/C$91</f>
        <v>0.8571428571428571</v>
      </c>
      <c r="G93" s="39"/>
      <c r="H93" s="57" t="s">
        <v>105</v>
      </c>
      <c r="I93" s="50">
        <v>2</v>
      </c>
      <c r="J93" s="51">
        <f>I93/I$91</f>
        <v>0.2</v>
      </c>
    </row>
    <row r="94" spans="1:10" ht="15.75" thickBot="1" x14ac:dyDescent="0.3">
      <c r="A94" t="s">
        <v>180</v>
      </c>
      <c r="C94">
        <v>12</v>
      </c>
      <c r="D94" s="42"/>
      <c r="E94" s="22" t="s">
        <v>181</v>
      </c>
      <c r="F94" s="56">
        <f>C95/C$91</f>
        <v>0.14285714285714285</v>
      </c>
      <c r="G94" s="39"/>
      <c r="H94" s="57" t="s">
        <v>106</v>
      </c>
      <c r="I94" s="50">
        <v>4</v>
      </c>
      <c r="J94" s="51">
        <f>I94/I$91</f>
        <v>0.4</v>
      </c>
    </row>
    <row r="95" spans="1:10" ht="15.75" thickBot="1" x14ac:dyDescent="0.3">
      <c r="A95" t="s">
        <v>181</v>
      </c>
      <c r="C95">
        <v>2</v>
      </c>
      <c r="D95" s="42"/>
      <c r="E95" s="68"/>
      <c r="F95" s="69"/>
      <c r="G95" s="39"/>
      <c r="H95" s="57" t="s">
        <v>107</v>
      </c>
      <c r="I95" s="50">
        <v>0</v>
      </c>
      <c r="J95" s="51">
        <f>I95/I$91</f>
        <v>0</v>
      </c>
    </row>
    <row r="96" spans="1:10" ht="15.75" thickBot="1" x14ac:dyDescent="0.3">
      <c r="A96" s="7"/>
      <c r="B96" s="40"/>
      <c r="C96" t="s">
        <v>81</v>
      </c>
      <c r="D96" s="42"/>
      <c r="E96" s="62" t="s">
        <v>182</v>
      </c>
      <c r="F96" s="44"/>
      <c r="G96" s="39"/>
      <c r="H96" s="22" t="s">
        <v>108</v>
      </c>
      <c r="I96" s="55">
        <v>4</v>
      </c>
      <c r="J96" s="56">
        <f>I96/I$91</f>
        <v>0.4</v>
      </c>
    </row>
    <row r="97" spans="1:10" x14ac:dyDescent="0.25">
      <c r="A97" s="7" t="s">
        <v>183</v>
      </c>
      <c r="B97" s="40"/>
      <c r="D97" s="42"/>
      <c r="E97" s="58" t="s">
        <v>121</v>
      </c>
      <c r="F97" s="51">
        <f t="shared" ref="F97:F102" si="4">C98/C$55</f>
        <v>0.57446808510638303</v>
      </c>
      <c r="G97" s="39"/>
    </row>
    <row r="98" spans="1:10" ht="15.75" thickBot="1" x14ac:dyDescent="0.3">
      <c r="A98" s="7" t="s">
        <v>121</v>
      </c>
      <c r="B98" s="40"/>
      <c r="C98">
        <v>27</v>
      </c>
      <c r="D98" s="42"/>
      <c r="E98" s="48" t="s">
        <v>122</v>
      </c>
      <c r="F98" s="51">
        <f t="shared" si="4"/>
        <v>6.3829787234042548E-2</v>
      </c>
      <c r="G98" s="39"/>
    </row>
    <row r="99" spans="1:10" x14ac:dyDescent="0.25">
      <c r="A99" s="7" t="s">
        <v>122</v>
      </c>
      <c r="B99" s="40"/>
      <c r="C99">
        <v>3</v>
      </c>
      <c r="D99" s="42"/>
      <c r="E99" s="48" t="s">
        <v>123</v>
      </c>
      <c r="F99" s="51">
        <f t="shared" si="4"/>
        <v>0</v>
      </c>
      <c r="G99" s="39"/>
      <c r="H99" s="45" t="s">
        <v>69</v>
      </c>
      <c r="I99" s="46">
        <v>16</v>
      </c>
      <c r="J99" s="47"/>
    </row>
    <row r="100" spans="1:10" x14ac:dyDescent="0.25">
      <c r="A100" s="7" t="s">
        <v>123</v>
      </c>
      <c r="B100" s="40"/>
      <c r="C100">
        <v>0</v>
      </c>
      <c r="D100" s="42"/>
      <c r="E100" s="48" t="s">
        <v>124</v>
      </c>
      <c r="F100" s="51">
        <f t="shared" si="4"/>
        <v>0</v>
      </c>
      <c r="G100" s="39"/>
      <c r="H100" s="57" t="s">
        <v>109</v>
      </c>
      <c r="I100" s="50">
        <v>0</v>
      </c>
      <c r="J100" s="51">
        <f>I100/I$99</f>
        <v>0</v>
      </c>
    </row>
    <row r="101" spans="1:10" x14ac:dyDescent="0.25">
      <c r="A101" s="7" t="s">
        <v>124</v>
      </c>
      <c r="B101" s="40"/>
      <c r="C101">
        <v>0</v>
      </c>
      <c r="D101" s="42"/>
      <c r="E101" s="48" t="s">
        <v>125</v>
      </c>
      <c r="F101" s="51">
        <f t="shared" si="4"/>
        <v>0.2978723404255319</v>
      </c>
      <c r="G101" s="39"/>
      <c r="H101" s="57" t="s">
        <v>110</v>
      </c>
      <c r="I101" s="50">
        <v>0</v>
      </c>
      <c r="J101" s="51">
        <f t="shared" ref="J101:J109" si="5">I101/I$99</f>
        <v>0</v>
      </c>
    </row>
    <row r="102" spans="1:10" ht="15.75" thickBot="1" x14ac:dyDescent="0.3">
      <c r="A102" s="7" t="s">
        <v>125</v>
      </c>
      <c r="B102" s="40"/>
      <c r="C102">
        <v>14</v>
      </c>
      <c r="D102" s="42"/>
      <c r="E102" s="53" t="s">
        <v>69</v>
      </c>
      <c r="F102" s="56">
        <f t="shared" si="4"/>
        <v>6.3829787234042548E-2</v>
      </c>
      <c r="G102" s="39"/>
      <c r="H102" s="57" t="s">
        <v>111</v>
      </c>
      <c r="I102" s="50">
        <v>0</v>
      </c>
      <c r="J102" s="51">
        <f t="shared" si="5"/>
        <v>0</v>
      </c>
    </row>
    <row r="103" spans="1:10" ht="15.75" thickBot="1" x14ac:dyDescent="0.3">
      <c r="A103" s="7" t="s">
        <v>69</v>
      </c>
      <c r="B103" s="40"/>
      <c r="C103">
        <v>3</v>
      </c>
      <c r="D103" s="42"/>
      <c r="E103" s="42"/>
      <c r="F103" s="14"/>
      <c r="G103" s="39"/>
      <c r="H103" s="57" t="s">
        <v>112</v>
      </c>
      <c r="I103" s="50">
        <v>0</v>
      </c>
      <c r="J103" s="51">
        <f t="shared" si="5"/>
        <v>0</v>
      </c>
    </row>
    <row r="104" spans="1:10" x14ac:dyDescent="0.25">
      <c r="A104" s="7"/>
      <c r="B104" s="40"/>
      <c r="D104" s="42"/>
      <c r="E104" s="43" t="s">
        <v>184</v>
      </c>
      <c r="F104" s="44"/>
      <c r="G104" s="39"/>
      <c r="H104" s="57" t="s">
        <v>113</v>
      </c>
      <c r="I104" s="50">
        <v>7</v>
      </c>
      <c r="J104" s="51">
        <f t="shared" si="5"/>
        <v>0.4375</v>
      </c>
    </row>
    <row r="105" spans="1:10" x14ac:dyDescent="0.25">
      <c r="A105" s="7" t="s">
        <v>185</v>
      </c>
      <c r="B105" s="40"/>
      <c r="C105">
        <v>3</v>
      </c>
      <c r="D105" s="42"/>
      <c r="E105" s="48" t="s">
        <v>186</v>
      </c>
      <c r="F105" s="51">
        <f>C106/C$55</f>
        <v>0.74468085106382975</v>
      </c>
      <c r="G105" s="39"/>
      <c r="H105" s="70" t="s">
        <v>114</v>
      </c>
      <c r="I105" s="59">
        <v>1</v>
      </c>
      <c r="J105" s="51">
        <f t="shared" si="5"/>
        <v>6.25E-2</v>
      </c>
    </row>
    <row r="106" spans="1:10" x14ac:dyDescent="0.25">
      <c r="A106" s="7" t="s">
        <v>186</v>
      </c>
      <c r="B106" s="40"/>
      <c r="C106">
        <v>35</v>
      </c>
      <c r="D106" s="42"/>
      <c r="E106" s="48" t="s">
        <v>187</v>
      </c>
      <c r="F106" s="51">
        <f>C107/C$55</f>
        <v>0.19148936170212766</v>
      </c>
      <c r="G106" s="39"/>
      <c r="H106" s="70" t="s">
        <v>115</v>
      </c>
      <c r="I106" s="59">
        <v>2</v>
      </c>
      <c r="J106" s="51">
        <f t="shared" si="5"/>
        <v>0.125</v>
      </c>
    </row>
    <row r="107" spans="1:10" x14ac:dyDescent="0.25">
      <c r="A107" s="7" t="s">
        <v>187</v>
      </c>
      <c r="B107" s="40"/>
      <c r="C107">
        <v>9</v>
      </c>
      <c r="D107" s="42"/>
      <c r="E107" s="48" t="s">
        <v>188</v>
      </c>
      <c r="F107" s="51">
        <f>C108/C$55</f>
        <v>6.3829787234042548E-2</v>
      </c>
      <c r="G107" s="39"/>
      <c r="H107" s="70" t="s">
        <v>116</v>
      </c>
      <c r="I107" s="59">
        <v>3</v>
      </c>
      <c r="J107" s="51">
        <f t="shared" si="5"/>
        <v>0.1875</v>
      </c>
    </row>
    <row r="108" spans="1:10" x14ac:dyDescent="0.25">
      <c r="A108" s="7" t="s">
        <v>188</v>
      </c>
      <c r="B108" s="40"/>
      <c r="C108">
        <v>3</v>
      </c>
      <c r="D108" s="42"/>
      <c r="E108" s="48" t="s">
        <v>189</v>
      </c>
      <c r="F108" s="51">
        <f>C109/C$55</f>
        <v>0</v>
      </c>
      <c r="G108" s="39"/>
      <c r="H108" s="70" t="s">
        <v>117</v>
      </c>
      <c r="I108" s="59">
        <v>2</v>
      </c>
      <c r="J108" s="51">
        <f t="shared" si="5"/>
        <v>0.125</v>
      </c>
    </row>
    <row r="109" spans="1:10" ht="15.75" thickBot="1" x14ac:dyDescent="0.3">
      <c r="A109" s="7" t="s">
        <v>189</v>
      </c>
      <c r="B109" s="40"/>
      <c r="C109">
        <v>0</v>
      </c>
      <c r="E109" s="53" t="s">
        <v>190</v>
      </c>
      <c r="F109" s="56">
        <f>C110/C$55</f>
        <v>0</v>
      </c>
      <c r="H109" s="71" t="s">
        <v>118</v>
      </c>
      <c r="I109" s="55">
        <v>1</v>
      </c>
      <c r="J109" s="56">
        <f t="shared" si="5"/>
        <v>6.25E-2</v>
      </c>
    </row>
    <row r="110" spans="1:10" x14ac:dyDescent="0.25">
      <c r="A110" s="7" t="s">
        <v>190</v>
      </c>
      <c r="B110" s="40"/>
      <c r="C110">
        <v>0</v>
      </c>
      <c r="E110" s="42"/>
      <c r="F110" s="14"/>
    </row>
    <row r="111" spans="1:10" x14ac:dyDescent="0.25">
      <c r="A111" s="7" t="s">
        <v>191</v>
      </c>
      <c r="B111" s="40"/>
      <c r="C111">
        <v>0</v>
      </c>
      <c r="E111" s="42"/>
      <c r="F111" s="14"/>
    </row>
    <row r="112" spans="1:10" x14ac:dyDescent="0.25">
      <c r="A112" s="7"/>
      <c r="B112" s="40"/>
      <c r="E112" s="42"/>
      <c r="F112" s="14"/>
    </row>
    <row r="113" spans="1:2" ht="15.75" thickBot="1" x14ac:dyDescent="0.3"/>
    <row r="114" spans="1:2" x14ac:dyDescent="0.25">
      <c r="A114" s="72" t="s">
        <v>7</v>
      </c>
      <c r="B114" s="73"/>
    </row>
    <row r="115" spans="1:2" x14ac:dyDescent="0.25">
      <c r="A115" s="74" t="s">
        <v>121</v>
      </c>
      <c r="B115" s="75">
        <f>SUM(F2:F3,F7,F10:F12,F14,F16:F23,F25,F28,F30:F33,F36,F38,F40,F44,F47:F48,)</f>
        <v>69647.62999999999</v>
      </c>
    </row>
    <row r="116" spans="1:2" x14ac:dyDescent="0.25">
      <c r="A116" s="74" t="s">
        <v>192</v>
      </c>
      <c r="B116" s="75">
        <f>SUM(F6,F8:F9,F15,F24,F26:F27,F29,F35,F37,F39,F41,F45:F46,)</f>
        <v>23866.81</v>
      </c>
    </row>
    <row r="117" spans="1:2" x14ac:dyDescent="0.25">
      <c r="A117" s="74" t="s">
        <v>193</v>
      </c>
      <c r="B117" s="75">
        <f>SUM(F4:F5,F13,)</f>
        <v>4747</v>
      </c>
    </row>
    <row r="118" spans="1:2" x14ac:dyDescent="0.25">
      <c r="A118" s="74" t="s">
        <v>69</v>
      </c>
      <c r="B118" s="76">
        <f>SUM(F34,F42:F43,)</f>
        <v>3897.76</v>
      </c>
    </row>
    <row r="119" spans="1:2" ht="15.75" thickBot="1" x14ac:dyDescent="0.3">
      <c r="A119" s="77"/>
      <c r="B119" s="78">
        <f>SUM(B115:B118)</f>
        <v>102159.19999999998</v>
      </c>
    </row>
  </sheetData>
  <mergeCells count="1">
    <mergeCell ref="A51:F5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5"/>
  <sheetViews>
    <sheetView topLeftCell="A30" workbookViewId="0">
      <selection activeCell="F50" sqref="F50"/>
    </sheetView>
  </sheetViews>
  <sheetFormatPr baseColWidth="10" defaultRowHeight="15" x14ac:dyDescent="0.25"/>
  <cols>
    <col min="2" max="2" width="34.42578125" customWidth="1"/>
    <col min="3" max="3" width="11.85546875" customWidth="1"/>
    <col min="4" max="4" width="5" customWidth="1"/>
    <col min="5" max="5" width="6.42578125" customWidth="1"/>
    <col min="6" max="6" width="11.5703125" customWidth="1"/>
    <col min="7" max="7" width="42.28515625" customWidth="1"/>
    <col min="8" max="8" width="15.28515625" customWidth="1"/>
  </cols>
  <sheetData>
    <row r="1" spans="1:8" ht="15" customHeight="1" x14ac:dyDescent="0.25">
      <c r="A1" s="3" t="s">
        <v>2</v>
      </c>
      <c r="B1" s="4" t="s">
        <v>3</v>
      </c>
      <c r="C1" s="4" t="s">
        <v>5</v>
      </c>
      <c r="D1" s="4" t="s">
        <v>22</v>
      </c>
      <c r="E1" s="8" t="s">
        <v>6</v>
      </c>
      <c r="F1" s="5" t="s">
        <v>8</v>
      </c>
      <c r="G1" s="6" t="s">
        <v>9</v>
      </c>
      <c r="H1" s="1" t="s">
        <v>10</v>
      </c>
    </row>
    <row r="2" spans="1:8" x14ac:dyDescent="0.25">
      <c r="A2" s="40">
        <v>44959</v>
      </c>
      <c r="B2" t="s">
        <v>440</v>
      </c>
      <c r="C2" t="s">
        <v>186</v>
      </c>
      <c r="D2" t="s">
        <v>192</v>
      </c>
      <c r="E2" t="s">
        <v>139</v>
      </c>
      <c r="F2" s="38">
        <v>1728</v>
      </c>
      <c r="G2" t="s">
        <v>443</v>
      </c>
      <c r="H2" t="s">
        <v>349</v>
      </c>
    </row>
    <row r="3" spans="1:8" x14ac:dyDescent="0.25">
      <c r="A3" s="40">
        <v>44958</v>
      </c>
      <c r="B3" t="s">
        <v>448</v>
      </c>
      <c r="C3" t="s">
        <v>408</v>
      </c>
      <c r="D3" t="s">
        <v>192</v>
      </c>
      <c r="E3" t="s">
        <v>139</v>
      </c>
      <c r="F3" s="38">
        <v>255</v>
      </c>
      <c r="G3" t="s">
        <v>449</v>
      </c>
      <c r="H3" t="s">
        <v>219</v>
      </c>
    </row>
    <row r="4" spans="1:8" x14ac:dyDescent="0.25">
      <c r="A4" s="40">
        <v>44960</v>
      </c>
      <c r="B4" t="s">
        <v>450</v>
      </c>
      <c r="C4" t="s">
        <v>186</v>
      </c>
      <c r="D4" t="s">
        <v>197</v>
      </c>
      <c r="E4" t="s">
        <v>139</v>
      </c>
      <c r="F4" s="38">
        <v>1493</v>
      </c>
      <c r="G4" t="s">
        <v>453</v>
      </c>
      <c r="H4" t="s">
        <v>464</v>
      </c>
    </row>
    <row r="5" spans="1:8" x14ac:dyDescent="0.25">
      <c r="A5" s="40">
        <v>44960</v>
      </c>
      <c r="B5" t="s">
        <v>454</v>
      </c>
      <c r="C5" t="s">
        <v>186</v>
      </c>
      <c r="D5" t="s">
        <v>192</v>
      </c>
      <c r="E5" t="s">
        <v>139</v>
      </c>
      <c r="F5" s="38">
        <v>1597</v>
      </c>
      <c r="G5" t="s">
        <v>457</v>
      </c>
      <c r="H5" t="s">
        <v>462</v>
      </c>
    </row>
    <row r="6" spans="1:8" x14ac:dyDescent="0.25">
      <c r="A6" s="40">
        <v>44960</v>
      </c>
      <c r="B6" t="s">
        <v>458</v>
      </c>
      <c r="C6" t="s">
        <v>186</v>
      </c>
      <c r="D6" t="s">
        <v>192</v>
      </c>
      <c r="E6" t="s">
        <v>139</v>
      </c>
      <c r="F6" s="38">
        <v>1622</v>
      </c>
      <c r="G6" t="s">
        <v>461</v>
      </c>
      <c r="H6" t="s">
        <v>463</v>
      </c>
    </row>
    <row r="7" spans="1:8" x14ac:dyDescent="0.25">
      <c r="A7" s="40">
        <v>44963</v>
      </c>
      <c r="B7" t="s">
        <v>468</v>
      </c>
      <c r="C7" t="s">
        <v>186</v>
      </c>
      <c r="D7" t="s">
        <v>192</v>
      </c>
      <c r="E7" t="s">
        <v>139</v>
      </c>
      <c r="F7" s="38">
        <v>2226</v>
      </c>
      <c r="G7" t="s">
        <v>465</v>
      </c>
      <c r="H7" t="s">
        <v>300</v>
      </c>
    </row>
    <row r="8" spans="1:8" x14ac:dyDescent="0.25">
      <c r="A8" s="40">
        <v>44964</v>
      </c>
      <c r="B8" t="s">
        <v>458</v>
      </c>
      <c r="C8" t="s">
        <v>186</v>
      </c>
      <c r="D8" t="s">
        <v>192</v>
      </c>
      <c r="E8" t="s">
        <v>139</v>
      </c>
      <c r="F8" s="38">
        <v>930</v>
      </c>
      <c r="G8" t="s">
        <v>474</v>
      </c>
      <c r="H8" t="s">
        <v>475</v>
      </c>
    </row>
    <row r="9" spans="1:8" x14ac:dyDescent="0.25">
      <c r="A9" s="40">
        <v>44964</v>
      </c>
      <c r="B9" t="s">
        <v>481</v>
      </c>
      <c r="C9" t="s">
        <v>186</v>
      </c>
      <c r="D9" t="s">
        <v>197</v>
      </c>
      <c r="E9" t="s">
        <v>139</v>
      </c>
      <c r="F9" s="38">
        <v>1410</v>
      </c>
      <c r="G9" t="s">
        <v>484</v>
      </c>
      <c r="H9" t="s">
        <v>500</v>
      </c>
    </row>
    <row r="10" spans="1:8" x14ac:dyDescent="0.25">
      <c r="A10" s="40">
        <v>44961</v>
      </c>
      <c r="B10" t="s">
        <v>495</v>
      </c>
      <c r="C10" t="s">
        <v>625</v>
      </c>
      <c r="D10" t="s">
        <v>192</v>
      </c>
      <c r="E10" t="s">
        <v>139</v>
      </c>
      <c r="F10" s="38">
        <v>1687</v>
      </c>
      <c r="G10" t="s">
        <v>498</v>
      </c>
      <c r="H10" t="s">
        <v>349</v>
      </c>
    </row>
    <row r="11" spans="1:8" x14ac:dyDescent="0.25">
      <c r="A11" s="40">
        <v>44967</v>
      </c>
      <c r="B11" t="s">
        <v>501</v>
      </c>
      <c r="C11" t="s">
        <v>409</v>
      </c>
      <c r="D11" t="s">
        <v>197</v>
      </c>
      <c r="E11" t="s">
        <v>139</v>
      </c>
      <c r="F11" s="38">
        <v>2260</v>
      </c>
      <c r="G11" t="s">
        <v>504</v>
      </c>
      <c r="H11" t="s">
        <v>505</v>
      </c>
    </row>
    <row r="12" spans="1:8" x14ac:dyDescent="0.25">
      <c r="A12" s="40">
        <v>44968</v>
      </c>
      <c r="B12" t="s">
        <v>506</v>
      </c>
      <c r="C12" t="s">
        <v>186</v>
      </c>
      <c r="D12" t="s">
        <v>197</v>
      </c>
      <c r="E12" t="s">
        <v>139</v>
      </c>
      <c r="F12" s="38">
        <v>3031</v>
      </c>
      <c r="G12" t="s">
        <v>509</v>
      </c>
      <c r="H12" t="s">
        <v>510</v>
      </c>
    </row>
    <row r="13" spans="1:8" x14ac:dyDescent="0.25">
      <c r="A13" s="40">
        <v>44967</v>
      </c>
      <c r="B13" t="s">
        <v>511</v>
      </c>
      <c r="C13" t="s">
        <v>186</v>
      </c>
      <c r="D13" t="s">
        <v>197</v>
      </c>
      <c r="E13" t="s">
        <v>139</v>
      </c>
      <c r="F13" s="38">
        <v>2476.5500000000002</v>
      </c>
      <c r="G13" t="s">
        <v>514</v>
      </c>
      <c r="H13" t="s">
        <v>522</v>
      </c>
    </row>
    <row r="14" spans="1:8" x14ac:dyDescent="0.25">
      <c r="A14" s="40">
        <v>44970</v>
      </c>
      <c r="B14" t="s">
        <v>518</v>
      </c>
      <c r="C14" t="s">
        <v>186</v>
      </c>
      <c r="D14" t="s">
        <v>197</v>
      </c>
      <c r="E14" t="s">
        <v>139</v>
      </c>
      <c r="F14" s="38">
        <v>2757</v>
      </c>
      <c r="G14" t="s">
        <v>521</v>
      </c>
      <c r="H14" t="s">
        <v>219</v>
      </c>
    </row>
    <row r="15" spans="1:8" x14ac:dyDescent="0.25">
      <c r="A15" s="40">
        <v>44971</v>
      </c>
      <c r="B15" t="s">
        <v>523</v>
      </c>
      <c r="C15" t="s">
        <v>186</v>
      </c>
      <c r="D15" t="s">
        <v>197</v>
      </c>
      <c r="E15" t="s">
        <v>139</v>
      </c>
      <c r="F15" s="38">
        <v>960</v>
      </c>
      <c r="G15" t="s">
        <v>526</v>
      </c>
      <c r="H15" t="s">
        <v>531</v>
      </c>
    </row>
    <row r="16" spans="1:8" x14ac:dyDescent="0.25">
      <c r="A16" s="40">
        <v>44971</v>
      </c>
      <c r="B16" t="s">
        <v>527</v>
      </c>
      <c r="C16" t="s">
        <v>408</v>
      </c>
      <c r="D16" t="s">
        <v>197</v>
      </c>
      <c r="E16" t="s">
        <v>139</v>
      </c>
      <c r="F16" s="38">
        <v>953</v>
      </c>
      <c r="G16" t="s">
        <v>530</v>
      </c>
      <c r="H16" t="s">
        <v>532</v>
      </c>
    </row>
    <row r="17" spans="1:8" x14ac:dyDescent="0.25">
      <c r="A17" s="40">
        <v>44966</v>
      </c>
      <c r="B17" t="s">
        <v>533</v>
      </c>
      <c r="C17" t="s">
        <v>186</v>
      </c>
      <c r="D17" t="s">
        <v>192</v>
      </c>
      <c r="E17" t="s">
        <v>141</v>
      </c>
      <c r="F17" s="38">
        <v>1915.06</v>
      </c>
      <c r="G17" t="s">
        <v>536</v>
      </c>
      <c r="H17" t="s">
        <v>537</v>
      </c>
    </row>
    <row r="18" spans="1:8" x14ac:dyDescent="0.25">
      <c r="A18" s="40">
        <v>44966</v>
      </c>
      <c r="B18" t="s">
        <v>538</v>
      </c>
      <c r="C18" t="s">
        <v>186</v>
      </c>
      <c r="D18" t="s">
        <v>193</v>
      </c>
      <c r="E18" t="s">
        <v>139</v>
      </c>
      <c r="F18" s="38">
        <v>360</v>
      </c>
      <c r="G18" t="s">
        <v>371</v>
      </c>
      <c r="H18" t="s">
        <v>550</v>
      </c>
    </row>
    <row r="19" spans="1:8" x14ac:dyDescent="0.25">
      <c r="A19" s="40">
        <v>44972</v>
      </c>
      <c r="B19" t="s">
        <v>541</v>
      </c>
      <c r="C19" t="s">
        <v>186</v>
      </c>
      <c r="D19" t="s">
        <v>197</v>
      </c>
      <c r="E19" t="s">
        <v>139</v>
      </c>
      <c r="F19" s="38">
        <v>3492</v>
      </c>
      <c r="G19" t="s">
        <v>544</v>
      </c>
      <c r="H19" t="s">
        <v>545</v>
      </c>
    </row>
    <row r="20" spans="1:8" x14ac:dyDescent="0.25">
      <c r="A20" s="40">
        <v>44968</v>
      </c>
      <c r="B20" t="s">
        <v>546</v>
      </c>
      <c r="C20" t="s">
        <v>186</v>
      </c>
      <c r="D20" t="s">
        <v>192</v>
      </c>
      <c r="E20" t="s">
        <v>139</v>
      </c>
      <c r="F20" s="38">
        <v>1810</v>
      </c>
      <c r="G20" t="s">
        <v>549</v>
      </c>
      <c r="H20" t="s">
        <v>560</v>
      </c>
    </row>
    <row r="21" spans="1:8" x14ac:dyDescent="0.25">
      <c r="A21" s="40">
        <v>44973</v>
      </c>
      <c r="B21" t="s">
        <v>551</v>
      </c>
      <c r="C21" t="s">
        <v>186</v>
      </c>
      <c r="D21" t="s">
        <v>192</v>
      </c>
      <c r="E21" t="s">
        <v>139</v>
      </c>
      <c r="F21" s="38">
        <v>2862</v>
      </c>
      <c r="G21" t="s">
        <v>554</v>
      </c>
      <c r="H21" t="s">
        <v>555</v>
      </c>
    </row>
    <row r="22" spans="1:8" x14ac:dyDescent="0.25">
      <c r="A22" s="40">
        <v>44970</v>
      </c>
      <c r="B22" t="s">
        <v>556</v>
      </c>
      <c r="C22" t="s">
        <v>186</v>
      </c>
      <c r="D22" t="s">
        <v>197</v>
      </c>
      <c r="E22" t="s">
        <v>139</v>
      </c>
      <c r="F22" s="38">
        <v>2536.8200000000002</v>
      </c>
      <c r="G22" t="s">
        <v>559</v>
      </c>
      <c r="H22" t="s">
        <v>219</v>
      </c>
    </row>
    <row r="23" spans="1:8" x14ac:dyDescent="0.25">
      <c r="A23" s="40">
        <v>44978</v>
      </c>
      <c r="B23" t="s">
        <v>578</v>
      </c>
      <c r="C23" t="s">
        <v>190</v>
      </c>
      <c r="D23" t="s">
        <v>197</v>
      </c>
      <c r="E23" t="s">
        <v>139</v>
      </c>
      <c r="F23" s="38">
        <v>1620</v>
      </c>
      <c r="G23" t="s">
        <v>581</v>
      </c>
      <c r="H23" t="s">
        <v>582</v>
      </c>
    </row>
    <row r="24" spans="1:8" x14ac:dyDescent="0.25">
      <c r="A24" s="40">
        <v>44980</v>
      </c>
      <c r="B24" t="s">
        <v>583</v>
      </c>
      <c r="C24" t="s">
        <v>186</v>
      </c>
      <c r="D24" t="s">
        <v>192</v>
      </c>
      <c r="E24" t="s">
        <v>139</v>
      </c>
      <c r="F24" s="38">
        <v>975</v>
      </c>
      <c r="G24" t="s">
        <v>586</v>
      </c>
      <c r="H24" t="s">
        <v>587</v>
      </c>
    </row>
    <row r="25" spans="1:8" x14ac:dyDescent="0.25">
      <c r="A25" s="40">
        <v>44980</v>
      </c>
      <c r="B25" t="s">
        <v>588</v>
      </c>
      <c r="C25" t="s">
        <v>408</v>
      </c>
      <c r="D25" t="s">
        <v>192</v>
      </c>
      <c r="E25" t="s">
        <v>139</v>
      </c>
      <c r="F25" s="38">
        <v>1868</v>
      </c>
      <c r="G25" t="s">
        <v>591</v>
      </c>
      <c r="H25" t="s">
        <v>598</v>
      </c>
    </row>
    <row r="26" spans="1:8" x14ac:dyDescent="0.25">
      <c r="A26" s="40">
        <v>44973</v>
      </c>
      <c r="B26" t="s">
        <v>592</v>
      </c>
      <c r="C26" t="s">
        <v>186</v>
      </c>
      <c r="D26" t="s">
        <v>192</v>
      </c>
      <c r="E26" t="s">
        <v>139</v>
      </c>
      <c r="F26" s="38">
        <v>1299.0999999999999</v>
      </c>
      <c r="G26" t="s">
        <v>595</v>
      </c>
      <c r="H26" t="s">
        <v>219</v>
      </c>
    </row>
    <row r="27" spans="1:8" x14ac:dyDescent="0.25">
      <c r="A27" s="40">
        <v>44979</v>
      </c>
      <c r="B27" t="s">
        <v>533</v>
      </c>
      <c r="C27" t="s">
        <v>186</v>
      </c>
      <c r="D27" t="s">
        <v>192</v>
      </c>
      <c r="E27" t="s">
        <v>141</v>
      </c>
      <c r="F27" s="38">
        <v>9959.8700000000008</v>
      </c>
      <c r="G27" t="s">
        <v>597</v>
      </c>
      <c r="H27" t="s">
        <v>463</v>
      </c>
    </row>
    <row r="28" spans="1:8" x14ac:dyDescent="0.25">
      <c r="A28" s="40">
        <v>44981</v>
      </c>
      <c r="B28" t="s">
        <v>592</v>
      </c>
      <c r="C28" t="s">
        <v>186</v>
      </c>
      <c r="D28" t="s">
        <v>192</v>
      </c>
      <c r="E28" t="s">
        <v>139</v>
      </c>
      <c r="F28" s="38">
        <v>3000</v>
      </c>
      <c r="G28" t="s">
        <v>599</v>
      </c>
      <c r="H28" t="s">
        <v>219</v>
      </c>
    </row>
    <row r="29" spans="1:8" x14ac:dyDescent="0.25">
      <c r="A29" s="40">
        <v>44981</v>
      </c>
      <c r="B29" t="s">
        <v>600</v>
      </c>
      <c r="C29" t="s">
        <v>409</v>
      </c>
      <c r="D29" t="s">
        <v>197</v>
      </c>
      <c r="E29" t="s">
        <v>139</v>
      </c>
      <c r="F29" s="38">
        <v>984</v>
      </c>
      <c r="G29" t="s">
        <v>705</v>
      </c>
      <c r="H29" t="s">
        <v>582</v>
      </c>
    </row>
    <row r="30" spans="1:8" x14ac:dyDescent="0.25">
      <c r="A30" s="40">
        <v>44982</v>
      </c>
      <c r="B30" t="s">
        <v>604</v>
      </c>
      <c r="C30" t="s">
        <v>186</v>
      </c>
      <c r="D30" t="s">
        <v>192</v>
      </c>
      <c r="E30" t="s">
        <v>139</v>
      </c>
      <c r="F30" s="38">
        <v>1324.07</v>
      </c>
      <c r="G30" t="s">
        <v>227</v>
      </c>
      <c r="H30" t="s">
        <v>612</v>
      </c>
    </row>
    <row r="31" spans="1:8" x14ac:dyDescent="0.25">
      <c r="A31" s="40">
        <v>44971</v>
      </c>
      <c r="B31" t="s">
        <v>607</v>
      </c>
      <c r="C31" t="s">
        <v>186</v>
      </c>
      <c r="D31" t="s">
        <v>192</v>
      </c>
      <c r="E31" t="s">
        <v>139</v>
      </c>
      <c r="F31" s="38">
        <v>1632.64</v>
      </c>
      <c r="G31" t="s">
        <v>610</v>
      </c>
      <c r="H31" t="s">
        <v>611</v>
      </c>
    </row>
    <row r="32" spans="1:8" x14ac:dyDescent="0.25">
      <c r="A32" s="40">
        <v>44984</v>
      </c>
      <c r="B32" t="s">
        <v>626</v>
      </c>
      <c r="C32" t="s">
        <v>186</v>
      </c>
      <c r="D32" t="s">
        <v>197</v>
      </c>
      <c r="E32" t="s">
        <v>139</v>
      </c>
      <c r="F32" s="38">
        <v>1796</v>
      </c>
      <c r="G32" t="s">
        <v>615</v>
      </c>
      <c r="H32" t="s">
        <v>616</v>
      </c>
    </row>
    <row r="33" spans="1:10" x14ac:dyDescent="0.25">
      <c r="A33" s="40">
        <v>44984</v>
      </c>
      <c r="B33" t="s">
        <v>617</v>
      </c>
      <c r="C33" t="s">
        <v>186</v>
      </c>
      <c r="D33" t="s">
        <v>192</v>
      </c>
      <c r="E33" t="s">
        <v>139</v>
      </c>
      <c r="F33" s="38">
        <v>3400</v>
      </c>
      <c r="G33" t="s">
        <v>619</v>
      </c>
      <c r="H33" t="s">
        <v>620</v>
      </c>
    </row>
    <row r="34" spans="1:10" x14ac:dyDescent="0.25">
      <c r="A34" s="40">
        <v>44978</v>
      </c>
      <c r="B34" t="s">
        <v>622</v>
      </c>
      <c r="C34" t="s">
        <v>409</v>
      </c>
      <c r="D34" t="s">
        <v>193</v>
      </c>
      <c r="E34" t="s">
        <v>139</v>
      </c>
      <c r="F34" s="38">
        <v>849.15</v>
      </c>
      <c r="G34" t="s">
        <v>371</v>
      </c>
      <c r="H34" t="s">
        <v>679</v>
      </c>
    </row>
    <row r="35" spans="1:10" x14ac:dyDescent="0.25">
      <c r="A35" s="40">
        <v>44981</v>
      </c>
      <c r="B35" t="s">
        <v>280</v>
      </c>
      <c r="C35" t="s">
        <v>186</v>
      </c>
      <c r="D35" t="s">
        <v>192</v>
      </c>
      <c r="E35" t="s">
        <v>139</v>
      </c>
      <c r="F35" s="38">
        <v>1784.6</v>
      </c>
      <c r="G35" t="s">
        <v>678</v>
      </c>
      <c r="H35" t="s">
        <v>219</v>
      </c>
    </row>
    <row r="36" spans="1:10" x14ac:dyDescent="0.25">
      <c r="A36" s="40">
        <v>44985</v>
      </c>
      <c r="B36" t="s">
        <v>701</v>
      </c>
      <c r="C36" t="s">
        <v>190</v>
      </c>
      <c r="D36" t="s">
        <v>192</v>
      </c>
      <c r="E36" t="s">
        <v>139</v>
      </c>
      <c r="F36" s="38">
        <v>2482</v>
      </c>
      <c r="G36" t="s">
        <v>704</v>
      </c>
      <c r="H36" t="s">
        <v>219</v>
      </c>
    </row>
    <row r="47" spans="1:10" ht="15.75" thickBot="1" x14ac:dyDescent="0.3">
      <c r="A47" s="99" t="s">
        <v>130</v>
      </c>
      <c r="B47" s="99"/>
      <c r="C47" s="99"/>
      <c r="D47" s="99"/>
      <c r="E47" s="99"/>
      <c r="F47" s="99"/>
      <c r="G47" s="99"/>
      <c r="H47" s="39"/>
    </row>
    <row r="48" spans="1:10" x14ac:dyDescent="0.25">
      <c r="A48" s="7" t="s">
        <v>131</v>
      </c>
      <c r="B48" s="40"/>
      <c r="C48" s="41">
        <f>SUM(F2:F45)</f>
        <v>71335.86</v>
      </c>
      <c r="D48" s="42"/>
      <c r="E48" s="43" t="s">
        <v>132</v>
      </c>
      <c r="F48" s="44"/>
      <c r="G48" s="39"/>
      <c r="H48" s="45" t="s">
        <v>62</v>
      </c>
      <c r="I48" s="46">
        <v>24</v>
      </c>
      <c r="J48" s="47"/>
    </row>
    <row r="49" spans="1:10" x14ac:dyDescent="0.25">
      <c r="A49" s="7"/>
      <c r="B49" s="40"/>
      <c r="C49" s="41"/>
      <c r="D49" s="42"/>
      <c r="E49" s="48" t="s">
        <v>133</v>
      </c>
      <c r="F49" s="49">
        <v>71335.86</v>
      </c>
      <c r="G49" s="39"/>
      <c r="H49" s="48" t="s">
        <v>99</v>
      </c>
      <c r="I49" s="50">
        <v>8</v>
      </c>
      <c r="J49" s="51">
        <f>I49/I$48</f>
        <v>0.33333333333333331</v>
      </c>
    </row>
    <row r="50" spans="1:10" ht="15.75" thickBot="1" x14ac:dyDescent="0.3">
      <c r="A50" s="7" t="s">
        <v>134</v>
      </c>
      <c r="B50" s="40"/>
      <c r="C50" s="52">
        <v>24</v>
      </c>
      <c r="D50" s="42"/>
      <c r="E50" s="53" t="s">
        <v>135</v>
      </c>
      <c r="F50" s="54">
        <f>C48/C50</f>
        <v>2972.3274999999999</v>
      </c>
      <c r="G50" s="39"/>
      <c r="H50" s="48" t="s">
        <v>100</v>
      </c>
      <c r="I50" s="50">
        <v>16</v>
      </c>
      <c r="J50" s="51">
        <f>I50/I$48</f>
        <v>0.66666666666666663</v>
      </c>
    </row>
    <row r="51" spans="1:10" ht="15.75" thickBot="1" x14ac:dyDescent="0.3">
      <c r="A51" s="7" t="s">
        <v>136</v>
      </c>
      <c r="B51" s="40"/>
      <c r="C51">
        <v>35</v>
      </c>
      <c r="D51" s="42"/>
      <c r="E51" s="42"/>
      <c r="F51" s="14"/>
      <c r="G51" s="39"/>
      <c r="H51" s="53" t="s">
        <v>101</v>
      </c>
      <c r="I51" s="55">
        <v>0</v>
      </c>
      <c r="J51" s="56">
        <f>I51/I$48</f>
        <v>0</v>
      </c>
    </row>
    <row r="52" spans="1:10" x14ac:dyDescent="0.25">
      <c r="A52" s="7"/>
      <c r="B52" s="40"/>
      <c r="D52" s="42" t="s">
        <v>81</v>
      </c>
      <c r="E52" s="43" t="s">
        <v>137</v>
      </c>
      <c r="F52" s="44"/>
      <c r="G52" s="39"/>
    </row>
    <row r="53" spans="1:10" ht="15.75" thickBot="1" x14ac:dyDescent="0.3">
      <c r="A53" s="7" t="s">
        <v>138</v>
      </c>
      <c r="B53" s="40"/>
      <c r="C53">
        <v>33</v>
      </c>
      <c r="D53" s="42" t="s">
        <v>81</v>
      </c>
      <c r="E53" s="48" t="s">
        <v>139</v>
      </c>
      <c r="F53" s="51">
        <f>C53/C$51</f>
        <v>0.94285714285714284</v>
      </c>
      <c r="G53" s="39"/>
    </row>
    <row r="54" spans="1:10" ht="15.75" thickBot="1" x14ac:dyDescent="0.3">
      <c r="A54" s="7" t="s">
        <v>140</v>
      </c>
      <c r="B54" s="40"/>
      <c r="C54">
        <v>2</v>
      </c>
      <c r="D54" s="42"/>
      <c r="E54" s="53" t="s">
        <v>141</v>
      </c>
      <c r="F54" s="56">
        <f>C54/C$51</f>
        <v>5.7142857142857141E-2</v>
      </c>
      <c r="G54" s="39"/>
      <c r="H54" s="45" t="s">
        <v>142</v>
      </c>
      <c r="I54" s="46">
        <v>25</v>
      </c>
      <c r="J54" s="47"/>
    </row>
    <row r="55" spans="1:10" ht="15.75" thickBot="1" x14ac:dyDescent="0.3">
      <c r="A55" s="7"/>
      <c r="B55" s="40"/>
      <c r="D55" s="42"/>
      <c r="E55" s="42"/>
      <c r="F55" s="14"/>
      <c r="G55" s="39"/>
      <c r="H55" s="57" t="s">
        <v>143</v>
      </c>
      <c r="I55" s="50">
        <v>14</v>
      </c>
      <c r="J55" s="51">
        <f>I55/I$54</f>
        <v>0.56000000000000005</v>
      </c>
    </row>
    <row r="56" spans="1:10" x14ac:dyDescent="0.25">
      <c r="A56" s="7" t="s">
        <v>144</v>
      </c>
      <c r="B56" s="40"/>
      <c r="D56" s="42"/>
      <c r="E56" s="43" t="s">
        <v>48</v>
      </c>
      <c r="F56" s="44"/>
      <c r="G56" s="39"/>
      <c r="H56" s="57" t="s">
        <v>145</v>
      </c>
      <c r="I56" s="59">
        <v>7</v>
      </c>
      <c r="J56" s="51">
        <f>I56/I$54</f>
        <v>0.28000000000000003</v>
      </c>
    </row>
    <row r="57" spans="1:10" ht="15.75" thickBot="1" x14ac:dyDescent="0.3">
      <c r="A57" s="7" t="s">
        <v>61</v>
      </c>
      <c r="B57" s="40"/>
      <c r="C57">
        <v>3</v>
      </c>
      <c r="D57" s="42"/>
      <c r="E57" s="58" t="s">
        <v>61</v>
      </c>
      <c r="F57" s="51">
        <f>C57/C$66</f>
        <v>3.4090909090909088E-2</v>
      </c>
      <c r="G57" s="39"/>
      <c r="H57" s="22" t="s">
        <v>146</v>
      </c>
      <c r="I57" s="55">
        <v>4</v>
      </c>
      <c r="J57" s="56">
        <f>I57/I$54</f>
        <v>0.16</v>
      </c>
    </row>
    <row r="58" spans="1:10" ht="15.75" thickBot="1" x14ac:dyDescent="0.3">
      <c r="A58" s="7" t="s">
        <v>62</v>
      </c>
      <c r="B58" s="40"/>
      <c r="C58">
        <v>24</v>
      </c>
      <c r="D58" s="42"/>
      <c r="E58" s="58" t="s">
        <v>62</v>
      </c>
      <c r="F58" s="51">
        <f t="shared" ref="F58:F65" si="0">C58/C$66</f>
        <v>0.27272727272727271</v>
      </c>
      <c r="G58" s="39"/>
    </row>
    <row r="59" spans="1:10" x14ac:dyDescent="0.25">
      <c r="A59" s="7" t="s">
        <v>63</v>
      </c>
      <c r="B59" s="40"/>
      <c r="C59">
        <v>25</v>
      </c>
      <c r="D59" s="42"/>
      <c r="E59" s="58" t="s">
        <v>63</v>
      </c>
      <c r="F59" s="51">
        <f t="shared" si="0"/>
        <v>0.28409090909090912</v>
      </c>
      <c r="G59" s="42" t="s">
        <v>81</v>
      </c>
      <c r="H59" s="45" t="s">
        <v>147</v>
      </c>
      <c r="I59" s="46">
        <v>5</v>
      </c>
      <c r="J59" s="44">
        <f t="shared" ref="J59:J70" si="1">I59/I$54</f>
        <v>0.2</v>
      </c>
    </row>
    <row r="60" spans="1:10" x14ac:dyDescent="0.25">
      <c r="A60" s="7" t="s">
        <v>64</v>
      </c>
      <c r="B60" s="40"/>
      <c r="C60">
        <v>0</v>
      </c>
      <c r="D60" s="42"/>
      <c r="E60" s="58" t="s">
        <v>64</v>
      </c>
      <c r="F60" s="51">
        <f t="shared" si="0"/>
        <v>0</v>
      </c>
      <c r="G60" s="39"/>
      <c r="H60" s="57" t="s">
        <v>148</v>
      </c>
      <c r="I60" s="59">
        <v>4</v>
      </c>
      <c r="J60" s="51">
        <f t="shared" si="1"/>
        <v>0.16</v>
      </c>
    </row>
    <row r="61" spans="1:10" x14ac:dyDescent="0.25">
      <c r="A61" s="7" t="s">
        <v>65</v>
      </c>
      <c r="B61" s="40"/>
      <c r="C61">
        <v>10</v>
      </c>
      <c r="D61" s="42"/>
      <c r="E61" s="58" t="s">
        <v>65</v>
      </c>
      <c r="F61" s="51">
        <f t="shared" si="0"/>
        <v>0.11363636363636363</v>
      </c>
      <c r="G61" s="42" t="s">
        <v>81</v>
      </c>
      <c r="H61" s="57" t="s">
        <v>149</v>
      </c>
      <c r="I61" s="59">
        <v>3</v>
      </c>
      <c r="J61" s="51">
        <f t="shared" si="1"/>
        <v>0.12</v>
      </c>
    </row>
    <row r="62" spans="1:10" x14ac:dyDescent="0.25">
      <c r="A62" s="7" t="s">
        <v>66</v>
      </c>
      <c r="B62" s="40"/>
      <c r="C62">
        <v>1</v>
      </c>
      <c r="D62" s="42"/>
      <c r="E62" s="58" t="s">
        <v>66</v>
      </c>
      <c r="F62" s="51">
        <f t="shared" si="0"/>
        <v>1.1363636363636364E-2</v>
      </c>
      <c r="G62" s="39"/>
      <c r="H62" s="57" t="s">
        <v>150</v>
      </c>
      <c r="I62" s="59">
        <v>1</v>
      </c>
      <c r="J62" s="51">
        <f t="shared" si="1"/>
        <v>0.04</v>
      </c>
    </row>
    <row r="63" spans="1:10" x14ac:dyDescent="0.25">
      <c r="A63" s="7" t="s">
        <v>67</v>
      </c>
      <c r="B63" s="40"/>
      <c r="C63">
        <v>7</v>
      </c>
      <c r="D63" s="42"/>
      <c r="E63" s="58" t="s">
        <v>67</v>
      </c>
      <c r="F63" s="51">
        <f t="shared" si="0"/>
        <v>7.9545454545454544E-2</v>
      </c>
      <c r="G63" s="39"/>
      <c r="H63" s="57" t="s">
        <v>151</v>
      </c>
      <c r="I63" s="59">
        <v>3</v>
      </c>
      <c r="J63" s="51">
        <f t="shared" si="1"/>
        <v>0.12</v>
      </c>
    </row>
    <row r="64" spans="1:10" x14ac:dyDescent="0.25">
      <c r="A64" s="7" t="s">
        <v>68</v>
      </c>
      <c r="B64" s="40"/>
      <c r="C64">
        <v>2</v>
      </c>
      <c r="D64" s="42"/>
      <c r="E64" s="58" t="s">
        <v>68</v>
      </c>
      <c r="F64" s="51">
        <f t="shared" si="0"/>
        <v>2.2727272727272728E-2</v>
      </c>
      <c r="G64" s="39"/>
      <c r="H64" s="57" t="s">
        <v>152</v>
      </c>
      <c r="I64" s="59">
        <v>6</v>
      </c>
      <c r="J64" s="51">
        <f t="shared" si="1"/>
        <v>0.24</v>
      </c>
    </row>
    <row r="65" spans="1:10" ht="15.75" thickBot="1" x14ac:dyDescent="0.3">
      <c r="A65" s="7" t="s">
        <v>69</v>
      </c>
      <c r="B65" s="40"/>
      <c r="C65">
        <v>16</v>
      </c>
      <c r="D65" s="42"/>
      <c r="E65" s="60" t="s">
        <v>69</v>
      </c>
      <c r="F65" s="56">
        <f t="shared" si="0"/>
        <v>0.18181818181818182</v>
      </c>
      <c r="G65" s="42" t="s">
        <v>81</v>
      </c>
      <c r="H65" s="61" t="s">
        <v>153</v>
      </c>
      <c r="I65" s="59">
        <v>2</v>
      </c>
      <c r="J65" s="51">
        <f t="shared" si="1"/>
        <v>0.08</v>
      </c>
    </row>
    <row r="66" spans="1:10" ht="15.75" thickBot="1" x14ac:dyDescent="0.3">
      <c r="A66" s="7" t="s">
        <v>154</v>
      </c>
      <c r="B66" s="40"/>
      <c r="C66">
        <f>SUM(C57:C65)</f>
        <v>88</v>
      </c>
      <c r="D66" s="42"/>
      <c r="E66" s="7"/>
      <c r="F66" s="14"/>
      <c r="G66" s="39"/>
      <c r="H66" s="61" t="s">
        <v>155</v>
      </c>
      <c r="I66" s="59">
        <v>0</v>
      </c>
      <c r="J66" s="51">
        <f t="shared" si="1"/>
        <v>0</v>
      </c>
    </row>
    <row r="67" spans="1:10" x14ac:dyDescent="0.25">
      <c r="A67" s="7"/>
      <c r="B67" s="40"/>
      <c r="D67" s="42"/>
      <c r="E67" s="62" t="s">
        <v>70</v>
      </c>
      <c r="F67" s="44"/>
      <c r="G67" s="39"/>
      <c r="H67" s="61" t="s">
        <v>156</v>
      </c>
      <c r="I67" s="59">
        <v>1</v>
      </c>
      <c r="J67" s="51">
        <f t="shared" si="1"/>
        <v>0.04</v>
      </c>
    </row>
    <row r="68" spans="1:10" x14ac:dyDescent="0.25">
      <c r="A68" s="7" t="s">
        <v>157</v>
      </c>
      <c r="B68" s="40"/>
      <c r="D68" s="42"/>
      <c r="E68" s="58" t="s">
        <v>71</v>
      </c>
      <c r="F68" s="51">
        <f>C69/C$79</f>
        <v>0.35416666666666669</v>
      </c>
      <c r="G68" s="39"/>
      <c r="H68" s="57" t="s">
        <v>158</v>
      </c>
      <c r="I68" s="59">
        <v>1</v>
      </c>
      <c r="J68" s="51">
        <f t="shared" si="1"/>
        <v>0.04</v>
      </c>
    </row>
    <row r="69" spans="1:10" x14ac:dyDescent="0.25">
      <c r="A69" s="7" t="s">
        <v>71</v>
      </c>
      <c r="B69" s="40"/>
      <c r="C69">
        <v>34</v>
      </c>
      <c r="D69" s="42"/>
      <c r="E69" s="58" t="s">
        <v>72</v>
      </c>
      <c r="F69" s="51">
        <f t="shared" ref="F69:F77" si="2">C70/C$79</f>
        <v>0.27083333333333331</v>
      </c>
      <c r="G69" s="39"/>
      <c r="H69" s="61" t="s">
        <v>159</v>
      </c>
      <c r="I69" s="59">
        <v>0</v>
      </c>
      <c r="J69" s="51">
        <f t="shared" si="1"/>
        <v>0</v>
      </c>
    </row>
    <row r="70" spans="1:10" ht="15.75" thickBot="1" x14ac:dyDescent="0.3">
      <c r="A70" s="7" t="s">
        <v>72</v>
      </c>
      <c r="B70" s="40"/>
      <c r="C70">
        <v>26</v>
      </c>
      <c r="D70" s="42"/>
      <c r="E70" s="58" t="s">
        <v>73</v>
      </c>
      <c r="F70" s="51">
        <f t="shared" si="2"/>
        <v>0.17708333333333334</v>
      </c>
      <c r="G70" s="39"/>
      <c r="H70" s="63" t="s">
        <v>160</v>
      </c>
      <c r="I70" s="55">
        <v>0</v>
      </c>
      <c r="J70" s="56">
        <f t="shared" si="1"/>
        <v>0</v>
      </c>
    </row>
    <row r="71" spans="1:10" x14ac:dyDescent="0.25">
      <c r="A71" s="7" t="s">
        <v>73</v>
      </c>
      <c r="B71" s="40"/>
      <c r="C71">
        <v>17</v>
      </c>
      <c r="D71" s="42"/>
      <c r="E71" s="58" t="s">
        <v>74</v>
      </c>
      <c r="F71" s="51">
        <f t="shared" si="2"/>
        <v>6.25E-2</v>
      </c>
      <c r="G71" s="39"/>
    </row>
    <row r="72" spans="1:10" ht="15.75" thickBot="1" x14ac:dyDescent="0.3">
      <c r="A72" s="7" t="s">
        <v>74</v>
      </c>
      <c r="B72" s="40"/>
      <c r="C72">
        <v>6</v>
      </c>
      <c r="D72" s="42"/>
      <c r="E72" s="58" t="s">
        <v>75</v>
      </c>
      <c r="F72" s="51">
        <f t="shared" si="2"/>
        <v>4.1666666666666664E-2</v>
      </c>
      <c r="G72" s="42" t="s">
        <v>81</v>
      </c>
    </row>
    <row r="73" spans="1:10" x14ac:dyDescent="0.25">
      <c r="A73" s="7" t="s">
        <v>75</v>
      </c>
      <c r="B73" s="40"/>
      <c r="C73">
        <v>4</v>
      </c>
      <c r="D73" s="42"/>
      <c r="E73" s="58" t="s">
        <v>76</v>
      </c>
      <c r="F73" s="51">
        <f t="shared" si="2"/>
        <v>1.0416666666666666E-2</v>
      </c>
      <c r="G73" s="39"/>
      <c r="H73" s="45" t="s">
        <v>65</v>
      </c>
      <c r="I73" s="46">
        <v>10</v>
      </c>
      <c r="J73" s="47"/>
    </row>
    <row r="74" spans="1:10" x14ac:dyDescent="0.25">
      <c r="A74" s="7" t="s">
        <v>76</v>
      </c>
      <c r="B74" s="40"/>
      <c r="C74">
        <v>1</v>
      </c>
      <c r="D74" s="42"/>
      <c r="E74" s="58" t="s">
        <v>77</v>
      </c>
      <c r="F74" s="51">
        <f t="shared" si="2"/>
        <v>0</v>
      </c>
      <c r="G74" s="39"/>
      <c r="H74" s="57" t="s">
        <v>161</v>
      </c>
      <c r="I74" s="59">
        <v>1</v>
      </c>
      <c r="J74" s="51">
        <f>I74/I$73</f>
        <v>0.1</v>
      </c>
    </row>
    <row r="75" spans="1:10" ht="15.75" thickBot="1" x14ac:dyDescent="0.3">
      <c r="A75" s="7" t="s">
        <v>77</v>
      </c>
      <c r="B75" s="40"/>
      <c r="C75">
        <v>0</v>
      </c>
      <c r="D75" s="42"/>
      <c r="E75" s="58" t="s">
        <v>78</v>
      </c>
      <c r="F75" s="51">
        <f t="shared" si="2"/>
        <v>0</v>
      </c>
      <c r="G75" s="39"/>
      <c r="H75" s="22" t="s">
        <v>103</v>
      </c>
      <c r="I75" s="55">
        <v>9</v>
      </c>
      <c r="J75" s="56">
        <f>I75/I$73</f>
        <v>0.9</v>
      </c>
    </row>
    <row r="76" spans="1:10" x14ac:dyDescent="0.25">
      <c r="A76" s="7" t="s">
        <v>78</v>
      </c>
      <c r="B76" s="40"/>
      <c r="C76">
        <v>0</v>
      </c>
      <c r="D76" s="42"/>
      <c r="E76" s="58" t="s">
        <v>79</v>
      </c>
      <c r="F76" s="51">
        <f t="shared" si="2"/>
        <v>0</v>
      </c>
      <c r="G76" s="39"/>
    </row>
    <row r="77" spans="1:10" ht="15.75" thickBot="1" x14ac:dyDescent="0.3">
      <c r="A77" s="7" t="s">
        <v>79</v>
      </c>
      <c r="B77" s="40"/>
      <c r="C77">
        <v>0</v>
      </c>
      <c r="D77" s="42"/>
      <c r="E77" s="60" t="s">
        <v>80</v>
      </c>
      <c r="F77" s="56">
        <f t="shared" si="2"/>
        <v>8.3333333333333329E-2</v>
      </c>
      <c r="G77" s="39"/>
    </row>
    <row r="78" spans="1:10" ht="15.75" thickBot="1" x14ac:dyDescent="0.3">
      <c r="A78" s="7" t="s">
        <v>80</v>
      </c>
      <c r="B78" s="40"/>
      <c r="C78">
        <v>8</v>
      </c>
      <c r="D78" s="42"/>
      <c r="E78" s="7"/>
      <c r="F78" s="14"/>
      <c r="G78" s="39"/>
      <c r="H78" s="45" t="s">
        <v>162</v>
      </c>
      <c r="I78" s="46">
        <v>1</v>
      </c>
      <c r="J78" s="47"/>
    </row>
    <row r="79" spans="1:10" x14ac:dyDescent="0.25">
      <c r="A79" s="7" t="s">
        <v>163</v>
      </c>
      <c r="B79" s="40"/>
      <c r="C79">
        <f>SUM(C69:C78)</f>
        <v>96</v>
      </c>
      <c r="D79" s="42"/>
      <c r="E79" s="62" t="s">
        <v>44</v>
      </c>
      <c r="F79" s="44"/>
      <c r="G79" s="39"/>
      <c r="H79" s="57" t="s">
        <v>164</v>
      </c>
      <c r="I79" s="59">
        <v>0</v>
      </c>
      <c r="J79" s="51">
        <f t="shared" ref="J79:J84" si="3">I79/I$78</f>
        <v>0</v>
      </c>
    </row>
    <row r="80" spans="1:10" x14ac:dyDescent="0.25">
      <c r="A80" s="7"/>
      <c r="B80" s="40"/>
      <c r="D80" s="42"/>
      <c r="E80" s="64" t="s">
        <v>165</v>
      </c>
      <c r="F80" s="51">
        <f>C81/C$51</f>
        <v>0.7142857142857143</v>
      </c>
      <c r="G80" s="39"/>
      <c r="H80" s="57" t="s">
        <v>166</v>
      </c>
      <c r="I80" s="59">
        <v>0</v>
      </c>
      <c r="J80" s="51">
        <f t="shared" si="3"/>
        <v>0</v>
      </c>
    </row>
    <row r="81" spans="1:10" x14ac:dyDescent="0.25">
      <c r="A81" s="7" t="s">
        <v>167</v>
      </c>
      <c r="B81" s="40"/>
      <c r="C81">
        <v>25</v>
      </c>
      <c r="D81" s="42"/>
      <c r="E81" s="64" t="s">
        <v>168</v>
      </c>
      <c r="F81" s="51">
        <f>C82/C$51</f>
        <v>2.8571428571428571E-2</v>
      </c>
      <c r="G81" s="39"/>
      <c r="H81" s="57" t="s">
        <v>169</v>
      </c>
      <c r="I81" s="59">
        <v>0</v>
      </c>
      <c r="J81" s="51">
        <f t="shared" si="3"/>
        <v>0</v>
      </c>
    </row>
    <row r="82" spans="1:10" ht="15.75" thickBot="1" x14ac:dyDescent="0.3">
      <c r="A82" s="7" t="s">
        <v>170</v>
      </c>
      <c r="B82" s="40"/>
      <c r="C82">
        <v>1</v>
      </c>
      <c r="D82" s="42"/>
      <c r="E82" s="65" t="s">
        <v>171</v>
      </c>
      <c r="F82" s="56">
        <f>C83/C$51</f>
        <v>0.25714285714285712</v>
      </c>
      <c r="G82" s="39"/>
      <c r="H82" s="57" t="s">
        <v>172</v>
      </c>
      <c r="I82" s="59">
        <v>1</v>
      </c>
      <c r="J82" s="51">
        <f t="shared" si="3"/>
        <v>1</v>
      </c>
    </row>
    <row r="83" spans="1:10" ht="15.75" thickBot="1" x14ac:dyDescent="0.3">
      <c r="A83" s="7" t="s">
        <v>173</v>
      </c>
      <c r="B83" s="40"/>
      <c r="C83">
        <v>9</v>
      </c>
      <c r="D83" s="42"/>
      <c r="E83" s="66"/>
      <c r="F83" s="14"/>
      <c r="G83" s="42" t="s">
        <v>81</v>
      </c>
      <c r="H83" s="57" t="s">
        <v>174</v>
      </c>
      <c r="I83" s="59">
        <v>0</v>
      </c>
      <c r="J83" s="51">
        <f t="shared" si="3"/>
        <v>0</v>
      </c>
    </row>
    <row r="84" spans="1:10" ht="15.75" thickBot="1" x14ac:dyDescent="0.3">
      <c r="A84" s="7"/>
      <c r="B84" s="40"/>
      <c r="D84" s="42"/>
      <c r="E84" s="67" t="s">
        <v>137</v>
      </c>
      <c r="F84" s="44"/>
      <c r="G84" s="39"/>
      <c r="H84" s="22" t="s">
        <v>175</v>
      </c>
      <c r="I84" s="55">
        <v>0</v>
      </c>
      <c r="J84" s="56">
        <f t="shared" si="3"/>
        <v>0</v>
      </c>
    </row>
    <row r="85" spans="1:10" x14ac:dyDescent="0.25">
      <c r="A85" s="7" t="s">
        <v>137</v>
      </c>
      <c r="B85" s="40"/>
      <c r="D85" s="42"/>
      <c r="E85" s="58" t="s">
        <v>176</v>
      </c>
      <c r="F85" s="51">
        <f>C86/C$51</f>
        <v>0.42857142857142855</v>
      </c>
      <c r="G85" s="39"/>
    </row>
    <row r="86" spans="1:10" ht="15.75" thickBot="1" x14ac:dyDescent="0.3">
      <c r="A86" s="7" t="s">
        <v>177</v>
      </c>
      <c r="B86" s="40"/>
      <c r="C86">
        <v>15</v>
      </c>
      <c r="D86" s="42"/>
      <c r="E86" s="60" t="s">
        <v>178</v>
      </c>
      <c r="F86" s="56">
        <f>C87/C$51</f>
        <v>0.5714285714285714</v>
      </c>
      <c r="G86" s="39"/>
    </row>
    <row r="87" spans="1:10" ht="15.75" thickBot="1" x14ac:dyDescent="0.3">
      <c r="A87" s="7" t="s">
        <v>178</v>
      </c>
      <c r="B87" s="40"/>
      <c r="C87">
        <v>20</v>
      </c>
      <c r="D87" s="42"/>
      <c r="E87" s="68"/>
      <c r="F87" s="69"/>
      <c r="G87" s="39"/>
      <c r="H87" s="45" t="s">
        <v>67</v>
      </c>
      <c r="I87" s="46">
        <v>7</v>
      </c>
      <c r="J87" s="47"/>
    </row>
    <row r="88" spans="1:10" x14ac:dyDescent="0.25">
      <c r="A88" s="7"/>
      <c r="B88" s="40"/>
      <c r="D88" s="42"/>
      <c r="E88" s="45" t="s">
        <v>179</v>
      </c>
      <c r="F88" s="44"/>
      <c r="G88" s="39"/>
      <c r="H88" s="57" t="s">
        <v>104</v>
      </c>
      <c r="I88" s="59">
        <v>0</v>
      </c>
      <c r="J88" s="51">
        <f>I88/I$87</f>
        <v>0</v>
      </c>
    </row>
    <row r="89" spans="1:10" x14ac:dyDescent="0.25">
      <c r="A89" t="s">
        <v>179</v>
      </c>
      <c r="D89" s="42"/>
      <c r="E89" s="57" t="s">
        <v>180</v>
      </c>
      <c r="F89" s="51">
        <f>C90/C$87</f>
        <v>0.65</v>
      </c>
      <c r="G89" s="39"/>
      <c r="H89" s="57" t="s">
        <v>105</v>
      </c>
      <c r="I89" s="50">
        <v>1</v>
      </c>
      <c r="J89" s="51">
        <f>I89/I$87</f>
        <v>0.14285714285714285</v>
      </c>
    </row>
    <row r="90" spans="1:10" ht="15.75" thickBot="1" x14ac:dyDescent="0.3">
      <c r="A90" t="s">
        <v>180</v>
      </c>
      <c r="C90">
        <v>13</v>
      </c>
      <c r="D90" s="42"/>
      <c r="E90" s="22" t="s">
        <v>181</v>
      </c>
      <c r="F90" s="56">
        <f>C91/C$87</f>
        <v>0.35</v>
      </c>
      <c r="G90" s="39"/>
      <c r="H90" s="57" t="s">
        <v>106</v>
      </c>
      <c r="I90" s="59">
        <v>0</v>
      </c>
      <c r="J90" s="51">
        <f>I90/I$87</f>
        <v>0</v>
      </c>
    </row>
    <row r="91" spans="1:10" ht="15.75" thickBot="1" x14ac:dyDescent="0.3">
      <c r="A91" t="s">
        <v>181</v>
      </c>
      <c r="C91">
        <v>7</v>
      </c>
      <c r="D91" s="42"/>
      <c r="E91" s="68"/>
      <c r="F91" s="69"/>
      <c r="G91" s="39"/>
      <c r="H91" s="57" t="s">
        <v>107</v>
      </c>
      <c r="I91" s="59">
        <v>1</v>
      </c>
      <c r="J91" s="51">
        <f>I91/I$87</f>
        <v>0.14285714285714285</v>
      </c>
    </row>
    <row r="92" spans="1:10" ht="15.75" thickBot="1" x14ac:dyDescent="0.3">
      <c r="A92" s="7"/>
      <c r="B92" s="40"/>
      <c r="D92" s="42"/>
      <c r="E92" s="62" t="s">
        <v>182</v>
      </c>
      <c r="F92" s="44"/>
      <c r="G92" s="39"/>
      <c r="H92" s="22" t="s">
        <v>108</v>
      </c>
      <c r="I92" s="55">
        <v>5</v>
      </c>
      <c r="J92" s="56">
        <f>I92/I$87</f>
        <v>0.7142857142857143</v>
      </c>
    </row>
    <row r="93" spans="1:10" x14ac:dyDescent="0.25">
      <c r="A93" s="7" t="s">
        <v>183</v>
      </c>
      <c r="B93" s="40"/>
      <c r="D93" s="42"/>
      <c r="E93" s="58" t="s">
        <v>121</v>
      </c>
      <c r="F93" s="51">
        <f t="shared" ref="F93:F98" si="4">C94/C$51</f>
        <v>0.37142857142857144</v>
      </c>
      <c r="G93" s="39"/>
    </row>
    <row r="94" spans="1:10" ht="15.75" thickBot="1" x14ac:dyDescent="0.3">
      <c r="A94" s="7" t="s">
        <v>121</v>
      </c>
      <c r="B94" s="40"/>
      <c r="C94">
        <v>13</v>
      </c>
      <c r="D94" s="42"/>
      <c r="E94" s="48" t="s">
        <v>122</v>
      </c>
      <c r="F94" s="51">
        <f t="shared" si="4"/>
        <v>5.7142857142857141E-2</v>
      </c>
      <c r="G94" s="39"/>
    </row>
    <row r="95" spans="1:10" x14ac:dyDescent="0.25">
      <c r="A95" s="7" t="s">
        <v>122</v>
      </c>
      <c r="B95" s="40"/>
      <c r="C95">
        <v>2</v>
      </c>
      <c r="D95" s="42"/>
      <c r="E95" s="48" t="s">
        <v>123</v>
      </c>
      <c r="F95" s="51">
        <f t="shared" si="4"/>
        <v>0</v>
      </c>
      <c r="G95" s="39"/>
      <c r="H95" s="45" t="s">
        <v>69</v>
      </c>
      <c r="I95" s="46">
        <v>16</v>
      </c>
      <c r="J95" s="47"/>
    </row>
    <row r="96" spans="1:10" x14ac:dyDescent="0.25">
      <c r="A96" s="7" t="s">
        <v>123</v>
      </c>
      <c r="B96" s="40"/>
      <c r="C96">
        <v>0</v>
      </c>
      <c r="D96" s="42"/>
      <c r="E96" s="48" t="s">
        <v>124</v>
      </c>
      <c r="F96" s="51">
        <f t="shared" si="4"/>
        <v>0</v>
      </c>
      <c r="G96" s="39"/>
      <c r="H96" s="57" t="s">
        <v>109</v>
      </c>
      <c r="I96" s="59">
        <v>0</v>
      </c>
      <c r="J96" s="51">
        <f>I96/I$95</f>
        <v>0</v>
      </c>
    </row>
    <row r="97" spans="1:10" x14ac:dyDescent="0.25">
      <c r="A97" s="7" t="s">
        <v>124</v>
      </c>
      <c r="B97" s="40"/>
      <c r="C97">
        <v>0</v>
      </c>
      <c r="D97" s="42"/>
      <c r="E97" s="48" t="s">
        <v>125</v>
      </c>
      <c r="F97" s="51">
        <f t="shared" si="4"/>
        <v>0.5714285714285714</v>
      </c>
      <c r="G97" s="39"/>
      <c r="H97" s="57" t="s">
        <v>110</v>
      </c>
      <c r="I97" s="59">
        <v>4</v>
      </c>
      <c r="J97" s="51">
        <f t="shared" ref="J97:J105" si="5">I97/I$95</f>
        <v>0.25</v>
      </c>
    </row>
    <row r="98" spans="1:10" ht="15.75" thickBot="1" x14ac:dyDescent="0.3">
      <c r="A98" s="7" t="s">
        <v>125</v>
      </c>
      <c r="B98" s="40"/>
      <c r="C98">
        <v>20</v>
      </c>
      <c r="D98" s="42"/>
      <c r="E98" s="53" t="s">
        <v>69</v>
      </c>
      <c r="F98" s="56">
        <f t="shared" si="4"/>
        <v>0</v>
      </c>
      <c r="G98" s="39"/>
      <c r="H98" s="57" t="s">
        <v>111</v>
      </c>
      <c r="I98" s="59">
        <v>0</v>
      </c>
      <c r="J98" s="51">
        <f t="shared" si="5"/>
        <v>0</v>
      </c>
    </row>
    <row r="99" spans="1:10" ht="15.75" thickBot="1" x14ac:dyDescent="0.3">
      <c r="A99" s="7" t="s">
        <v>69</v>
      </c>
      <c r="B99" s="40"/>
      <c r="C99">
        <v>0</v>
      </c>
      <c r="D99" s="42"/>
      <c r="E99" s="42"/>
      <c r="F99" s="14"/>
      <c r="G99" s="39"/>
      <c r="H99" s="57" t="s">
        <v>112</v>
      </c>
      <c r="I99" s="59">
        <v>0</v>
      </c>
      <c r="J99" s="51">
        <f t="shared" si="5"/>
        <v>0</v>
      </c>
    </row>
    <row r="100" spans="1:10" x14ac:dyDescent="0.25">
      <c r="A100" s="7"/>
      <c r="B100" s="40"/>
      <c r="D100" s="42"/>
      <c r="E100" s="43" t="s">
        <v>184</v>
      </c>
      <c r="F100" s="44"/>
      <c r="G100" s="39"/>
      <c r="H100" s="57" t="s">
        <v>113</v>
      </c>
      <c r="I100" s="59">
        <v>4</v>
      </c>
      <c r="J100" s="51">
        <f t="shared" si="5"/>
        <v>0.25</v>
      </c>
    </row>
    <row r="101" spans="1:10" x14ac:dyDescent="0.25">
      <c r="A101" s="7" t="s">
        <v>185</v>
      </c>
      <c r="B101" s="40"/>
      <c r="D101" s="42"/>
      <c r="E101" s="48" t="s">
        <v>186</v>
      </c>
      <c r="F101" s="51">
        <f>C102/C$51</f>
        <v>0.74285714285714288</v>
      </c>
      <c r="G101" s="39"/>
      <c r="H101" s="70" t="s">
        <v>114</v>
      </c>
      <c r="I101" s="59">
        <v>0</v>
      </c>
      <c r="J101" s="51">
        <f t="shared" si="5"/>
        <v>0</v>
      </c>
    </row>
    <row r="102" spans="1:10" x14ac:dyDescent="0.25">
      <c r="A102" s="7" t="s">
        <v>186</v>
      </c>
      <c r="B102" s="40"/>
      <c r="C102">
        <v>26</v>
      </c>
      <c r="D102" s="42"/>
      <c r="E102" s="48" t="s">
        <v>187</v>
      </c>
      <c r="F102" s="51">
        <f>C103/C$51</f>
        <v>8.5714285714285715E-2</v>
      </c>
      <c r="G102" s="39"/>
      <c r="H102" s="70" t="s">
        <v>115</v>
      </c>
      <c r="I102" s="59">
        <v>2</v>
      </c>
      <c r="J102" s="51">
        <f t="shared" si="5"/>
        <v>0.125</v>
      </c>
    </row>
    <row r="103" spans="1:10" x14ac:dyDescent="0.25">
      <c r="A103" s="7" t="s">
        <v>187</v>
      </c>
      <c r="B103" s="40"/>
      <c r="C103">
        <v>3</v>
      </c>
      <c r="D103" s="42"/>
      <c r="E103" s="48" t="s">
        <v>188</v>
      </c>
      <c r="F103" s="51">
        <f>C104/C$51</f>
        <v>8.5714285714285715E-2</v>
      </c>
      <c r="G103" s="39"/>
      <c r="H103" s="70" t="s">
        <v>116</v>
      </c>
      <c r="I103" s="59">
        <v>4</v>
      </c>
      <c r="J103" s="51">
        <f t="shared" si="5"/>
        <v>0.25</v>
      </c>
    </row>
    <row r="104" spans="1:10" x14ac:dyDescent="0.25">
      <c r="A104" s="7" t="s">
        <v>188</v>
      </c>
      <c r="B104" s="40"/>
      <c r="C104">
        <v>3</v>
      </c>
      <c r="D104" s="42"/>
      <c r="E104" s="48" t="s">
        <v>189</v>
      </c>
      <c r="F104" s="51">
        <f>C105/C$51</f>
        <v>2.8571428571428571E-2</v>
      </c>
      <c r="G104" s="39"/>
      <c r="H104" s="70" t="s">
        <v>117</v>
      </c>
      <c r="I104" s="59">
        <v>0</v>
      </c>
      <c r="J104" s="51">
        <f t="shared" si="5"/>
        <v>0</v>
      </c>
    </row>
    <row r="105" spans="1:10" ht="15.75" thickBot="1" x14ac:dyDescent="0.3">
      <c r="A105" s="7" t="s">
        <v>189</v>
      </c>
      <c r="B105" s="40"/>
      <c r="C105">
        <v>1</v>
      </c>
      <c r="E105" s="53" t="s">
        <v>190</v>
      </c>
      <c r="F105" s="56">
        <f>C106/C$51</f>
        <v>5.7142857142857141E-2</v>
      </c>
      <c r="H105" s="71" t="s">
        <v>118</v>
      </c>
      <c r="I105" s="55">
        <v>2</v>
      </c>
      <c r="J105" s="56">
        <f t="shared" si="5"/>
        <v>0.125</v>
      </c>
    </row>
    <row r="106" spans="1:10" x14ac:dyDescent="0.25">
      <c r="A106" s="7" t="s">
        <v>190</v>
      </c>
      <c r="B106" s="40"/>
      <c r="C106">
        <v>2</v>
      </c>
      <c r="E106" s="42"/>
      <c r="F106" s="14"/>
    </row>
    <row r="107" spans="1:10" x14ac:dyDescent="0.25">
      <c r="A107" s="7" t="s">
        <v>191</v>
      </c>
      <c r="B107" s="40"/>
      <c r="E107" s="42"/>
      <c r="F107" s="14"/>
    </row>
    <row r="108" spans="1:10" x14ac:dyDescent="0.25">
      <c r="A108" s="7"/>
      <c r="B108" s="40"/>
      <c r="E108" s="42"/>
      <c r="F108" s="14"/>
    </row>
    <row r="109" spans="1:10" ht="15.75" thickBot="1" x14ac:dyDescent="0.3"/>
    <row r="110" spans="1:10" x14ac:dyDescent="0.25">
      <c r="A110" s="72" t="s">
        <v>7</v>
      </c>
      <c r="B110" s="88">
        <v>71335.86</v>
      </c>
    </row>
    <row r="111" spans="1:10" x14ac:dyDescent="0.25">
      <c r="A111" s="74" t="s">
        <v>121</v>
      </c>
      <c r="B111" s="75">
        <f>SUM(F4,F9,F11:F16,F19,F22:F23,F29,F32,)</f>
        <v>25769.37</v>
      </c>
    </row>
    <row r="112" spans="1:10" x14ac:dyDescent="0.25">
      <c r="A112" s="74" t="s">
        <v>192</v>
      </c>
      <c r="B112" s="75">
        <f>SUM(F2:F3,F5:F8,F10,F17,F20:F21,F24:F28,F30:F31,F33,F35:F36)</f>
        <v>44357.34</v>
      </c>
    </row>
    <row r="113" spans="1:2" x14ac:dyDescent="0.25">
      <c r="A113" s="74" t="s">
        <v>193</v>
      </c>
      <c r="B113" s="75">
        <f>SUM(F18,F34)</f>
        <v>1209.1500000000001</v>
      </c>
    </row>
    <row r="114" spans="1:2" x14ac:dyDescent="0.25">
      <c r="A114" s="74" t="s">
        <v>69</v>
      </c>
      <c r="B114" s="76">
        <v>0</v>
      </c>
    </row>
    <row r="115" spans="1:2" ht="15.75" thickBot="1" x14ac:dyDescent="0.3">
      <c r="A115" s="77"/>
      <c r="B115" s="78">
        <f>SUM(B111:B114)</f>
        <v>71335.859999999986</v>
      </c>
    </row>
  </sheetData>
  <mergeCells count="1">
    <mergeCell ref="A47:G4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8"/>
  <sheetViews>
    <sheetView topLeftCell="A19" workbookViewId="0">
      <selection activeCell="F46" sqref="F46"/>
    </sheetView>
  </sheetViews>
  <sheetFormatPr baseColWidth="10" defaultRowHeight="15" x14ac:dyDescent="0.25"/>
  <cols>
    <col min="2" max="2" width="29.28515625" customWidth="1"/>
    <col min="3" max="3" width="11.7109375" customWidth="1"/>
    <col min="4" max="4" width="6.85546875" customWidth="1"/>
    <col min="5" max="5" width="9" customWidth="1"/>
    <col min="7" max="7" width="41.140625" customWidth="1"/>
  </cols>
  <sheetData>
    <row r="1" spans="1:8" ht="15" customHeight="1" x14ac:dyDescent="0.25">
      <c r="A1" s="3" t="s">
        <v>2</v>
      </c>
      <c r="B1" s="4" t="s">
        <v>3</v>
      </c>
      <c r="C1" s="4" t="s">
        <v>5</v>
      </c>
      <c r="D1" s="4" t="s">
        <v>22</v>
      </c>
      <c r="E1" s="8" t="s">
        <v>6</v>
      </c>
      <c r="F1" s="5" t="s">
        <v>8</v>
      </c>
      <c r="G1" s="6" t="s">
        <v>9</v>
      </c>
      <c r="H1" s="1" t="s">
        <v>10</v>
      </c>
    </row>
    <row r="2" spans="1:8" x14ac:dyDescent="0.25">
      <c r="A2" s="40">
        <v>44986</v>
      </c>
      <c r="B2" t="s">
        <v>628</v>
      </c>
      <c r="C2" t="s">
        <v>186</v>
      </c>
      <c r="D2" t="s">
        <v>139</v>
      </c>
      <c r="E2" t="s">
        <v>192</v>
      </c>
      <c r="F2" s="38">
        <v>2496</v>
      </c>
      <c r="G2" t="s">
        <v>631</v>
      </c>
      <c r="H2" t="s">
        <v>642</v>
      </c>
    </row>
    <row r="3" spans="1:8" x14ac:dyDescent="0.25">
      <c r="A3" s="40">
        <v>44986</v>
      </c>
      <c r="B3" t="s">
        <v>633</v>
      </c>
      <c r="C3" t="s">
        <v>190</v>
      </c>
      <c r="D3" t="s">
        <v>139</v>
      </c>
      <c r="E3" t="s">
        <v>197</v>
      </c>
      <c r="F3" s="38">
        <v>1642</v>
      </c>
      <c r="G3" t="s">
        <v>636</v>
      </c>
      <c r="H3" t="s">
        <v>219</v>
      </c>
    </row>
    <row r="4" spans="1:8" x14ac:dyDescent="0.25">
      <c r="A4" s="40">
        <v>44987</v>
      </c>
      <c r="B4" t="s">
        <v>638</v>
      </c>
      <c r="C4" t="s">
        <v>186</v>
      </c>
      <c r="D4" t="s">
        <v>139</v>
      </c>
      <c r="E4" t="s">
        <v>192</v>
      </c>
      <c r="F4" s="38">
        <v>1365</v>
      </c>
      <c r="G4" t="s">
        <v>641</v>
      </c>
      <c r="H4" t="s">
        <v>219</v>
      </c>
    </row>
    <row r="5" spans="1:8" x14ac:dyDescent="0.25">
      <c r="A5" s="40">
        <v>44987</v>
      </c>
      <c r="B5" t="s">
        <v>644</v>
      </c>
      <c r="C5" t="s">
        <v>186</v>
      </c>
      <c r="D5" t="s">
        <v>139</v>
      </c>
      <c r="E5" t="s">
        <v>193</v>
      </c>
      <c r="F5" s="38">
        <v>946</v>
      </c>
      <c r="G5" t="s">
        <v>647</v>
      </c>
      <c r="H5" t="s">
        <v>648</v>
      </c>
    </row>
    <row r="6" spans="1:8" x14ac:dyDescent="0.25">
      <c r="A6" s="40">
        <v>44987</v>
      </c>
      <c r="B6" t="s">
        <v>220</v>
      </c>
      <c r="C6" t="s">
        <v>186</v>
      </c>
      <c r="D6" t="s">
        <v>139</v>
      </c>
      <c r="E6" t="s">
        <v>197</v>
      </c>
      <c r="F6" s="38">
        <v>2664</v>
      </c>
      <c r="G6" t="s">
        <v>651</v>
      </c>
      <c r="H6" t="s">
        <v>661</v>
      </c>
    </row>
    <row r="7" spans="1:8" x14ac:dyDescent="0.25">
      <c r="A7" s="40">
        <v>44988</v>
      </c>
      <c r="B7" t="s">
        <v>533</v>
      </c>
      <c r="C7" t="s">
        <v>186</v>
      </c>
      <c r="D7" t="s">
        <v>141</v>
      </c>
      <c r="E7" t="s">
        <v>192</v>
      </c>
      <c r="F7" s="38">
        <v>2666.8</v>
      </c>
      <c r="G7" t="s">
        <v>654</v>
      </c>
      <c r="H7" t="s">
        <v>659</v>
      </c>
    </row>
    <row r="8" spans="1:8" x14ac:dyDescent="0.25">
      <c r="A8" s="40">
        <v>44989</v>
      </c>
      <c r="B8" t="s">
        <v>656</v>
      </c>
      <c r="C8" t="s">
        <v>190</v>
      </c>
      <c r="D8" t="s">
        <v>139</v>
      </c>
      <c r="E8" t="s">
        <v>197</v>
      </c>
      <c r="F8" s="38">
        <v>1241</v>
      </c>
      <c r="G8" t="s">
        <v>304</v>
      </c>
      <c r="H8" t="s">
        <v>662</v>
      </c>
    </row>
    <row r="9" spans="1:8" x14ac:dyDescent="0.25">
      <c r="A9" s="40">
        <v>44991</v>
      </c>
      <c r="B9" t="s">
        <v>664</v>
      </c>
      <c r="C9" t="s">
        <v>186</v>
      </c>
      <c r="D9" t="s">
        <v>139</v>
      </c>
      <c r="E9" t="s">
        <v>192</v>
      </c>
      <c r="F9" s="38">
        <v>3141</v>
      </c>
      <c r="G9" t="s">
        <v>667</v>
      </c>
      <c r="H9" t="s">
        <v>545</v>
      </c>
    </row>
    <row r="10" spans="1:8" x14ac:dyDescent="0.25">
      <c r="A10" s="40">
        <v>44992</v>
      </c>
      <c r="B10" t="s">
        <v>669</v>
      </c>
      <c r="C10" t="s">
        <v>409</v>
      </c>
      <c r="D10" t="s">
        <v>139</v>
      </c>
      <c r="E10" t="s">
        <v>192</v>
      </c>
      <c r="F10" s="38">
        <v>1035</v>
      </c>
      <c r="G10" t="s">
        <v>672</v>
      </c>
      <c r="H10" t="s">
        <v>348</v>
      </c>
    </row>
    <row r="11" spans="1:8" x14ac:dyDescent="0.25">
      <c r="A11" s="40">
        <v>44992</v>
      </c>
      <c r="B11" t="s">
        <v>674</v>
      </c>
      <c r="C11" t="s">
        <v>409</v>
      </c>
      <c r="D11" t="s">
        <v>139</v>
      </c>
      <c r="E11" t="s">
        <v>197</v>
      </c>
      <c r="F11" s="38">
        <v>960</v>
      </c>
      <c r="G11" t="s">
        <v>526</v>
      </c>
      <c r="H11" t="s">
        <v>348</v>
      </c>
    </row>
    <row r="12" spans="1:8" x14ac:dyDescent="0.25">
      <c r="A12" s="40">
        <v>44993</v>
      </c>
      <c r="B12" t="s">
        <v>681</v>
      </c>
      <c r="C12" t="s">
        <v>186</v>
      </c>
      <c r="D12" t="s">
        <v>139</v>
      </c>
      <c r="E12" t="s">
        <v>193</v>
      </c>
      <c r="F12" s="38">
        <v>3147</v>
      </c>
      <c r="G12" t="s">
        <v>684</v>
      </c>
      <c r="H12" t="s">
        <v>685</v>
      </c>
    </row>
    <row r="13" spans="1:8" x14ac:dyDescent="0.25">
      <c r="A13" s="40">
        <v>44994</v>
      </c>
      <c r="B13" t="s">
        <v>687</v>
      </c>
      <c r="C13" t="s">
        <v>408</v>
      </c>
      <c r="D13" t="s">
        <v>139</v>
      </c>
      <c r="E13" t="s">
        <v>192</v>
      </c>
      <c r="F13" s="38">
        <v>1164</v>
      </c>
      <c r="G13" t="s">
        <v>690</v>
      </c>
      <c r="H13" t="s">
        <v>349</v>
      </c>
    </row>
    <row r="14" spans="1:8" x14ac:dyDescent="0.25">
      <c r="A14" s="40">
        <v>44995</v>
      </c>
      <c r="B14" t="s">
        <v>333</v>
      </c>
      <c r="C14" t="s">
        <v>186</v>
      </c>
      <c r="D14" t="s">
        <v>139</v>
      </c>
      <c r="E14" t="s">
        <v>192</v>
      </c>
      <c r="F14" s="38">
        <v>7622.53</v>
      </c>
      <c r="G14" t="s">
        <v>693</v>
      </c>
      <c r="H14" t="s">
        <v>699</v>
      </c>
    </row>
    <row r="15" spans="1:8" x14ac:dyDescent="0.25">
      <c r="A15" s="40">
        <v>44996</v>
      </c>
      <c r="B15" t="s">
        <v>695</v>
      </c>
      <c r="C15" t="s">
        <v>409</v>
      </c>
      <c r="D15" t="s">
        <v>139</v>
      </c>
      <c r="E15" t="s">
        <v>197</v>
      </c>
      <c r="F15" s="38">
        <v>1365</v>
      </c>
      <c r="G15" t="s">
        <v>698</v>
      </c>
      <c r="H15" t="s">
        <v>349</v>
      </c>
    </row>
    <row r="16" spans="1:8" x14ac:dyDescent="0.25">
      <c r="A16" s="40">
        <v>44992</v>
      </c>
      <c r="B16" t="s">
        <v>707</v>
      </c>
      <c r="C16" t="s">
        <v>186</v>
      </c>
      <c r="D16" t="s">
        <v>139</v>
      </c>
      <c r="E16" t="s">
        <v>193</v>
      </c>
      <c r="F16" s="38">
        <v>1510</v>
      </c>
      <c r="G16" t="s">
        <v>710</v>
      </c>
      <c r="H16" t="s">
        <v>716</v>
      </c>
    </row>
    <row r="17" spans="1:8" x14ac:dyDescent="0.25">
      <c r="A17" s="40">
        <v>44999</v>
      </c>
      <c r="B17" t="s">
        <v>712</v>
      </c>
      <c r="C17" t="s">
        <v>186</v>
      </c>
      <c r="D17" t="s">
        <v>139</v>
      </c>
      <c r="E17" t="s">
        <v>192</v>
      </c>
      <c r="F17" s="38">
        <v>971</v>
      </c>
      <c r="G17" t="s">
        <v>715</v>
      </c>
      <c r="H17" t="s">
        <v>348</v>
      </c>
    </row>
    <row r="18" spans="1:8" x14ac:dyDescent="0.25">
      <c r="A18" s="40">
        <v>45000</v>
      </c>
      <c r="B18" t="s">
        <v>718</v>
      </c>
      <c r="C18" t="s">
        <v>186</v>
      </c>
      <c r="D18" t="s">
        <v>139</v>
      </c>
      <c r="E18" t="s">
        <v>192</v>
      </c>
      <c r="F18" s="38">
        <v>8141</v>
      </c>
      <c r="G18" t="s">
        <v>721</v>
      </c>
      <c r="H18" t="s">
        <v>722</v>
      </c>
    </row>
    <row r="19" spans="1:8" x14ac:dyDescent="0.25">
      <c r="A19" s="40">
        <v>44999</v>
      </c>
      <c r="B19" t="s">
        <v>724</v>
      </c>
      <c r="C19" t="s">
        <v>186</v>
      </c>
      <c r="D19" t="s">
        <v>139</v>
      </c>
      <c r="E19" t="s">
        <v>192</v>
      </c>
      <c r="F19" s="38">
        <v>1505.58</v>
      </c>
      <c r="G19" t="s">
        <v>727</v>
      </c>
      <c r="H19" t="s">
        <v>348</v>
      </c>
    </row>
    <row r="20" spans="1:8" x14ac:dyDescent="0.25">
      <c r="A20" s="40">
        <v>45001</v>
      </c>
      <c r="B20" t="s">
        <v>729</v>
      </c>
      <c r="C20" t="s">
        <v>408</v>
      </c>
      <c r="D20" t="s">
        <v>139</v>
      </c>
      <c r="E20" t="s">
        <v>197</v>
      </c>
      <c r="F20" s="38">
        <v>7228</v>
      </c>
      <c r="G20" t="s">
        <v>732</v>
      </c>
      <c r="H20" t="s">
        <v>733</v>
      </c>
    </row>
    <row r="21" spans="1:8" x14ac:dyDescent="0.25">
      <c r="A21" s="40">
        <v>45002</v>
      </c>
      <c r="B21" t="s">
        <v>735</v>
      </c>
      <c r="C21" t="s">
        <v>625</v>
      </c>
      <c r="D21" t="s">
        <v>139</v>
      </c>
      <c r="E21" t="s">
        <v>197</v>
      </c>
      <c r="F21" s="38">
        <v>1658</v>
      </c>
      <c r="G21" t="s">
        <v>738</v>
      </c>
      <c r="H21" t="s">
        <v>749</v>
      </c>
    </row>
    <row r="22" spans="1:8" x14ac:dyDescent="0.25">
      <c r="A22" s="40">
        <v>44998</v>
      </c>
      <c r="B22" t="s">
        <v>740</v>
      </c>
      <c r="C22" t="s">
        <v>186</v>
      </c>
      <c r="D22" t="s">
        <v>139</v>
      </c>
      <c r="E22" t="s">
        <v>193</v>
      </c>
      <c r="F22" s="38">
        <v>6143.86</v>
      </c>
      <c r="G22" t="s">
        <v>743</v>
      </c>
      <c r="H22" t="s">
        <v>349</v>
      </c>
    </row>
    <row r="23" spans="1:8" x14ac:dyDescent="0.25">
      <c r="A23" s="40">
        <v>44993</v>
      </c>
      <c r="B23" t="s">
        <v>745</v>
      </c>
      <c r="C23" t="s">
        <v>186</v>
      </c>
      <c r="D23" t="s">
        <v>141</v>
      </c>
      <c r="E23" t="s">
        <v>193</v>
      </c>
      <c r="F23" s="38">
        <v>1537</v>
      </c>
      <c r="G23" t="s">
        <v>748</v>
      </c>
      <c r="H23" t="s">
        <v>349</v>
      </c>
    </row>
    <row r="24" spans="1:8" x14ac:dyDescent="0.25">
      <c r="A24" s="40">
        <v>45003</v>
      </c>
      <c r="B24" t="s">
        <v>751</v>
      </c>
      <c r="C24" t="s">
        <v>408</v>
      </c>
      <c r="D24" t="s">
        <v>141</v>
      </c>
      <c r="E24" t="s">
        <v>197</v>
      </c>
      <c r="F24" s="38">
        <v>6032</v>
      </c>
      <c r="G24" t="s">
        <v>754</v>
      </c>
      <c r="H24" t="s">
        <v>348</v>
      </c>
    </row>
    <row r="25" spans="1:8" x14ac:dyDescent="0.25">
      <c r="A25" s="40">
        <v>45006</v>
      </c>
      <c r="B25" t="s">
        <v>756</v>
      </c>
      <c r="C25" t="s">
        <v>186</v>
      </c>
      <c r="D25" t="s">
        <v>139</v>
      </c>
      <c r="E25" t="s">
        <v>197</v>
      </c>
      <c r="F25" s="38">
        <v>1296</v>
      </c>
      <c r="G25" t="s">
        <v>759</v>
      </c>
      <c r="H25" t="s">
        <v>315</v>
      </c>
    </row>
    <row r="26" spans="1:8" x14ac:dyDescent="0.25">
      <c r="A26" s="40">
        <v>45001</v>
      </c>
      <c r="B26" t="s">
        <v>762</v>
      </c>
      <c r="C26" t="s">
        <v>186</v>
      </c>
      <c r="D26" t="s">
        <v>139</v>
      </c>
      <c r="E26" t="s">
        <v>197</v>
      </c>
      <c r="F26" s="38">
        <v>3072</v>
      </c>
      <c r="G26" t="s">
        <v>765</v>
      </c>
      <c r="H26" t="s">
        <v>349</v>
      </c>
    </row>
    <row r="27" spans="1:8" x14ac:dyDescent="0.25">
      <c r="A27" s="40">
        <v>45007</v>
      </c>
      <c r="B27" t="s">
        <v>766</v>
      </c>
      <c r="C27" t="s">
        <v>186</v>
      </c>
      <c r="D27" t="s">
        <v>139</v>
      </c>
      <c r="E27" t="s">
        <v>197</v>
      </c>
      <c r="F27" s="38">
        <v>946</v>
      </c>
      <c r="G27" t="s">
        <v>769</v>
      </c>
      <c r="H27" t="s">
        <v>770</v>
      </c>
    </row>
    <row r="28" spans="1:8" x14ac:dyDescent="0.25">
      <c r="A28" s="40">
        <v>45002</v>
      </c>
      <c r="B28" t="s">
        <v>774</v>
      </c>
      <c r="C28" t="s">
        <v>186</v>
      </c>
      <c r="D28" t="s">
        <v>139</v>
      </c>
      <c r="E28" t="s">
        <v>197</v>
      </c>
      <c r="F28" s="38">
        <v>1242</v>
      </c>
      <c r="G28" t="s">
        <v>777</v>
      </c>
      <c r="H28" t="s">
        <v>348</v>
      </c>
    </row>
    <row r="29" spans="1:8" x14ac:dyDescent="0.25">
      <c r="A29" s="40">
        <v>45003</v>
      </c>
      <c r="B29" t="s">
        <v>778</v>
      </c>
      <c r="C29" t="s">
        <v>186</v>
      </c>
      <c r="D29" t="s">
        <v>139</v>
      </c>
      <c r="E29" t="s">
        <v>192</v>
      </c>
      <c r="F29" s="38">
        <v>1148.43</v>
      </c>
      <c r="G29" t="s">
        <v>781</v>
      </c>
      <c r="H29" t="s">
        <v>782</v>
      </c>
    </row>
    <row r="30" spans="1:8" x14ac:dyDescent="0.25">
      <c r="A30" s="40">
        <v>45009</v>
      </c>
      <c r="B30" t="s">
        <v>783</v>
      </c>
      <c r="C30" t="s">
        <v>186</v>
      </c>
      <c r="D30" t="s">
        <v>139</v>
      </c>
      <c r="E30" t="s">
        <v>192</v>
      </c>
      <c r="F30" s="38">
        <v>1636</v>
      </c>
      <c r="G30" t="s">
        <v>786</v>
      </c>
      <c r="H30" t="s">
        <v>659</v>
      </c>
    </row>
    <row r="31" spans="1:8" x14ac:dyDescent="0.25">
      <c r="A31" s="40">
        <v>45010</v>
      </c>
      <c r="B31" t="s">
        <v>604</v>
      </c>
      <c r="C31" t="s">
        <v>186</v>
      </c>
      <c r="D31" t="s">
        <v>141</v>
      </c>
      <c r="E31" t="s">
        <v>192</v>
      </c>
      <c r="F31" s="38">
        <v>1434.4</v>
      </c>
      <c r="G31" t="s">
        <v>227</v>
      </c>
      <c r="H31" t="s">
        <v>348</v>
      </c>
    </row>
    <row r="32" spans="1:8" x14ac:dyDescent="0.25">
      <c r="A32" s="40">
        <v>45013</v>
      </c>
      <c r="B32" t="s">
        <v>799</v>
      </c>
      <c r="C32" t="s">
        <v>408</v>
      </c>
      <c r="D32" t="s">
        <v>139</v>
      </c>
      <c r="E32" t="s">
        <v>197</v>
      </c>
      <c r="F32" s="38">
        <v>993</v>
      </c>
      <c r="G32" t="s">
        <v>802</v>
      </c>
      <c r="H32" t="s">
        <v>808</v>
      </c>
    </row>
    <row r="33" spans="1:10" x14ac:dyDescent="0.25">
      <c r="A33" s="40">
        <v>45014</v>
      </c>
      <c r="B33" t="s">
        <v>803</v>
      </c>
      <c r="C33" t="s">
        <v>186</v>
      </c>
      <c r="D33" t="s">
        <v>139</v>
      </c>
      <c r="E33" t="s">
        <v>806</v>
      </c>
      <c r="F33" s="38">
        <v>3826.6</v>
      </c>
      <c r="G33" t="s">
        <v>807</v>
      </c>
      <c r="H33" t="s">
        <v>349</v>
      </c>
    </row>
    <row r="34" spans="1:10" x14ac:dyDescent="0.25">
      <c r="A34" s="40">
        <v>45015</v>
      </c>
      <c r="B34" t="s">
        <v>809</v>
      </c>
      <c r="C34" t="s">
        <v>186</v>
      </c>
      <c r="D34" t="s">
        <v>139</v>
      </c>
      <c r="E34" t="s">
        <v>192</v>
      </c>
      <c r="F34" s="38">
        <v>2538</v>
      </c>
      <c r="G34" t="s">
        <v>812</v>
      </c>
      <c r="H34" t="s">
        <v>659</v>
      </c>
    </row>
    <row r="35" spans="1:10" x14ac:dyDescent="0.25">
      <c r="A35" s="40">
        <v>45016</v>
      </c>
      <c r="B35" t="s">
        <v>819</v>
      </c>
      <c r="C35" t="s">
        <v>828</v>
      </c>
      <c r="D35" t="s">
        <v>139</v>
      </c>
      <c r="E35" t="s">
        <v>197</v>
      </c>
      <c r="F35" s="38">
        <v>2681</v>
      </c>
      <c r="G35" t="s">
        <v>822</v>
      </c>
      <c r="H35" t="s">
        <v>841</v>
      </c>
    </row>
    <row r="36" spans="1:10" x14ac:dyDescent="0.25">
      <c r="A36" s="40">
        <v>44998</v>
      </c>
      <c r="B36" t="s">
        <v>839</v>
      </c>
      <c r="C36" t="s">
        <v>186</v>
      </c>
      <c r="D36" t="s">
        <v>139</v>
      </c>
      <c r="E36" t="s">
        <v>197</v>
      </c>
      <c r="F36" s="38">
        <v>1429</v>
      </c>
      <c r="G36" t="s">
        <v>840</v>
      </c>
      <c r="H36" t="s">
        <v>337</v>
      </c>
    </row>
    <row r="37" spans="1:10" s="89" customFormat="1" x14ac:dyDescent="0.25">
      <c r="A37" s="40">
        <v>45015</v>
      </c>
      <c r="B37" s="89" t="s">
        <v>854</v>
      </c>
      <c r="C37" s="89" t="s">
        <v>186</v>
      </c>
      <c r="D37" s="89" t="s">
        <v>141</v>
      </c>
      <c r="E37" s="89" t="s">
        <v>197</v>
      </c>
      <c r="F37" s="38">
        <v>1746.12</v>
      </c>
      <c r="G37" s="89" t="s">
        <v>857</v>
      </c>
      <c r="H37" s="89" t="s">
        <v>349</v>
      </c>
    </row>
    <row r="40" spans="1:10" ht="15.75" thickBot="1" x14ac:dyDescent="0.3">
      <c r="A40" s="99" t="s">
        <v>130</v>
      </c>
      <c r="B40" s="99"/>
      <c r="C40" s="99"/>
      <c r="D40" s="99"/>
      <c r="E40" s="99"/>
      <c r="F40" s="99"/>
      <c r="G40" s="39"/>
    </row>
    <row r="41" spans="1:10" x14ac:dyDescent="0.25">
      <c r="A41" s="7" t="s">
        <v>131</v>
      </c>
      <c r="B41" s="40"/>
      <c r="C41" s="41">
        <f>SUM(F2:F37)</f>
        <v>90170.319999999992</v>
      </c>
      <c r="D41" s="42"/>
      <c r="E41" s="43" t="s">
        <v>132</v>
      </c>
      <c r="F41" s="47"/>
      <c r="G41" s="39"/>
      <c r="H41" s="45" t="s">
        <v>62</v>
      </c>
      <c r="I41" s="46">
        <v>26</v>
      </c>
      <c r="J41" s="47"/>
    </row>
    <row r="42" spans="1:10" x14ac:dyDescent="0.25">
      <c r="A42" s="7"/>
      <c r="B42" s="40"/>
      <c r="C42" s="41"/>
      <c r="D42" s="42"/>
      <c r="E42" s="48" t="s">
        <v>133</v>
      </c>
      <c r="F42" s="41">
        <v>90170.319999999992</v>
      </c>
      <c r="G42" s="39"/>
      <c r="H42" s="48" t="s">
        <v>99</v>
      </c>
      <c r="I42" s="50">
        <v>10</v>
      </c>
      <c r="J42" s="51">
        <f>I42/I$41</f>
        <v>0.38461538461538464</v>
      </c>
    </row>
    <row r="43" spans="1:10" ht="15.75" thickBot="1" x14ac:dyDescent="0.3">
      <c r="A43" s="7" t="s">
        <v>134</v>
      </c>
      <c r="B43" s="40"/>
      <c r="C43" s="52">
        <v>21</v>
      </c>
      <c r="D43" s="42"/>
      <c r="E43" s="53" t="s">
        <v>135</v>
      </c>
      <c r="F43" s="54">
        <f>C41/C43</f>
        <v>4293.8247619047615</v>
      </c>
      <c r="G43" s="39"/>
      <c r="H43" s="48" t="s">
        <v>100</v>
      </c>
      <c r="I43" s="50">
        <v>15</v>
      </c>
      <c r="J43" s="51">
        <f>I43/I$41</f>
        <v>0.57692307692307687</v>
      </c>
    </row>
    <row r="44" spans="1:10" ht="15.75" thickBot="1" x14ac:dyDescent="0.3">
      <c r="A44" s="7" t="s">
        <v>136</v>
      </c>
      <c r="B44" s="40"/>
      <c r="C44">
        <v>36</v>
      </c>
      <c r="D44" s="42"/>
      <c r="E44" s="42"/>
      <c r="F44" s="14"/>
      <c r="G44" s="39"/>
      <c r="H44" s="53" t="s">
        <v>101</v>
      </c>
      <c r="I44" s="55">
        <v>1</v>
      </c>
      <c r="J44" s="56">
        <f>I44/I$41</f>
        <v>3.8461538461538464E-2</v>
      </c>
    </row>
    <row r="45" spans="1:10" x14ac:dyDescent="0.25">
      <c r="A45" s="7"/>
      <c r="B45" s="40"/>
      <c r="D45" s="42" t="s">
        <v>81</v>
      </c>
      <c r="E45" s="43" t="s">
        <v>137</v>
      </c>
      <c r="F45" s="44"/>
      <c r="G45" s="39"/>
    </row>
    <row r="46" spans="1:10" ht="15.75" thickBot="1" x14ac:dyDescent="0.3">
      <c r="A46" s="7" t="s">
        <v>138</v>
      </c>
      <c r="B46" s="40"/>
      <c r="C46">
        <v>31</v>
      </c>
      <c r="D46" s="42" t="s">
        <v>81</v>
      </c>
      <c r="E46" s="48" t="s">
        <v>139</v>
      </c>
      <c r="F46" s="51">
        <f>C46/C44</f>
        <v>0.86111111111111116</v>
      </c>
      <c r="G46" s="39"/>
    </row>
    <row r="47" spans="1:10" ht="15.75" thickBot="1" x14ac:dyDescent="0.3">
      <c r="A47" s="7" t="s">
        <v>140</v>
      </c>
      <c r="B47" s="40"/>
      <c r="C47">
        <v>5</v>
      </c>
      <c r="D47" s="42"/>
      <c r="E47" s="53" t="s">
        <v>141</v>
      </c>
      <c r="F47" s="56">
        <f>C47/C44</f>
        <v>0.1388888888888889</v>
      </c>
      <c r="G47" s="39"/>
      <c r="H47" s="45" t="s">
        <v>142</v>
      </c>
      <c r="I47" s="46">
        <v>26</v>
      </c>
      <c r="J47" s="47"/>
    </row>
    <row r="48" spans="1:10" ht="15.75" thickBot="1" x14ac:dyDescent="0.3">
      <c r="A48" s="7"/>
      <c r="B48" s="40"/>
      <c r="C48" t="s">
        <v>81</v>
      </c>
      <c r="D48" s="42"/>
      <c r="E48" s="42"/>
      <c r="F48" s="14"/>
      <c r="G48" s="39"/>
      <c r="H48" s="57" t="s">
        <v>143</v>
      </c>
      <c r="I48" s="50">
        <v>15</v>
      </c>
      <c r="J48" s="51">
        <f>I48/I$47</f>
        <v>0.57692307692307687</v>
      </c>
    </row>
    <row r="49" spans="1:10" x14ac:dyDescent="0.25">
      <c r="A49" s="7" t="s">
        <v>144</v>
      </c>
      <c r="B49" s="40"/>
      <c r="D49" s="42"/>
      <c r="E49" s="43" t="s">
        <v>48</v>
      </c>
      <c r="F49" s="44"/>
      <c r="G49" s="39"/>
      <c r="H49" s="57" t="s">
        <v>145</v>
      </c>
      <c r="I49" s="59">
        <v>5</v>
      </c>
      <c r="J49" s="51">
        <f>I49/I$47</f>
        <v>0.19230769230769232</v>
      </c>
    </row>
    <row r="50" spans="1:10" ht="15.75" thickBot="1" x14ac:dyDescent="0.3">
      <c r="A50" s="7" t="s">
        <v>61</v>
      </c>
      <c r="B50" s="40"/>
      <c r="C50">
        <v>2</v>
      </c>
      <c r="D50" s="42"/>
      <c r="E50" s="58" t="s">
        <v>61</v>
      </c>
      <c r="F50" s="51">
        <f>C50/C59</f>
        <v>2.2222222222222223E-2</v>
      </c>
      <c r="G50" s="39"/>
      <c r="H50" s="22" t="s">
        <v>146</v>
      </c>
      <c r="I50" s="55">
        <v>6</v>
      </c>
      <c r="J50" s="56">
        <f>I50/I$47</f>
        <v>0.23076923076923078</v>
      </c>
    </row>
    <row r="51" spans="1:10" ht="15.75" thickBot="1" x14ac:dyDescent="0.3">
      <c r="A51" s="7" t="s">
        <v>62</v>
      </c>
      <c r="B51" s="40"/>
      <c r="C51">
        <v>26</v>
      </c>
      <c r="D51" s="42"/>
      <c r="E51" s="58" t="s">
        <v>62</v>
      </c>
      <c r="F51" s="51">
        <f>C51/C59</f>
        <v>0.28888888888888886</v>
      </c>
      <c r="G51" s="39"/>
    </row>
    <row r="52" spans="1:10" x14ac:dyDescent="0.25">
      <c r="A52" s="7" t="s">
        <v>63</v>
      </c>
      <c r="B52" s="40"/>
      <c r="C52">
        <v>26</v>
      </c>
      <c r="D52" s="42"/>
      <c r="E52" s="58" t="s">
        <v>63</v>
      </c>
      <c r="F52" s="51">
        <f>C52/C59</f>
        <v>0.28888888888888886</v>
      </c>
      <c r="G52" s="42" t="s">
        <v>81</v>
      </c>
      <c r="H52" s="45" t="s">
        <v>147</v>
      </c>
      <c r="I52" s="46">
        <v>5</v>
      </c>
      <c r="J52" s="44">
        <f t="shared" ref="J52:J63" si="0">I52/I$47</f>
        <v>0.19230769230769232</v>
      </c>
    </row>
    <row r="53" spans="1:10" x14ac:dyDescent="0.25">
      <c r="A53" s="7" t="s">
        <v>64</v>
      </c>
      <c r="B53" s="40"/>
      <c r="C53">
        <v>0</v>
      </c>
      <c r="D53" s="42"/>
      <c r="E53" s="58" t="s">
        <v>64</v>
      </c>
      <c r="F53" s="51">
        <f>C53/C59</f>
        <v>0</v>
      </c>
      <c r="G53" s="39"/>
      <c r="H53" s="57" t="s">
        <v>148</v>
      </c>
      <c r="I53" s="59">
        <v>1</v>
      </c>
      <c r="J53" s="51">
        <f t="shared" si="0"/>
        <v>3.8461538461538464E-2</v>
      </c>
    </row>
    <row r="54" spans="1:10" x14ac:dyDescent="0.25">
      <c r="A54" s="7" t="s">
        <v>65</v>
      </c>
      <c r="B54" s="40"/>
      <c r="C54">
        <v>9</v>
      </c>
      <c r="D54" s="42"/>
      <c r="E54" s="58" t="s">
        <v>65</v>
      </c>
      <c r="F54" s="51">
        <f>C54/C59</f>
        <v>0.1</v>
      </c>
      <c r="G54" s="39"/>
      <c r="H54" s="57" t="s">
        <v>149</v>
      </c>
      <c r="I54" s="59">
        <v>3</v>
      </c>
      <c r="J54" s="51">
        <f t="shared" si="0"/>
        <v>0.11538461538461539</v>
      </c>
    </row>
    <row r="55" spans="1:10" x14ac:dyDescent="0.25">
      <c r="A55" s="7" t="s">
        <v>66</v>
      </c>
      <c r="B55" s="40"/>
      <c r="C55">
        <v>1</v>
      </c>
      <c r="D55" s="42"/>
      <c r="E55" s="58" t="s">
        <v>66</v>
      </c>
      <c r="F55" s="51">
        <f>C55/C59</f>
        <v>1.1111111111111112E-2</v>
      </c>
      <c r="G55" s="39"/>
      <c r="H55" s="57" t="s">
        <v>150</v>
      </c>
      <c r="I55" s="59">
        <v>0</v>
      </c>
      <c r="J55" s="51">
        <f t="shared" si="0"/>
        <v>0</v>
      </c>
    </row>
    <row r="56" spans="1:10" x14ac:dyDescent="0.25">
      <c r="A56" s="7" t="s">
        <v>67</v>
      </c>
      <c r="B56" s="40"/>
      <c r="C56">
        <v>13</v>
      </c>
      <c r="D56" s="42"/>
      <c r="E56" s="58" t="s">
        <v>67</v>
      </c>
      <c r="F56" s="51">
        <f>C56/C59</f>
        <v>0.14444444444444443</v>
      </c>
      <c r="G56" s="39"/>
      <c r="H56" s="57" t="s">
        <v>151</v>
      </c>
      <c r="I56" s="59">
        <v>3</v>
      </c>
      <c r="J56" s="51">
        <f t="shared" si="0"/>
        <v>0.11538461538461539</v>
      </c>
    </row>
    <row r="57" spans="1:10" x14ac:dyDescent="0.25">
      <c r="A57" s="7" t="s">
        <v>68</v>
      </c>
      <c r="B57" s="40"/>
      <c r="C57">
        <v>0</v>
      </c>
      <c r="D57" s="42"/>
      <c r="E57" s="58" t="s">
        <v>68</v>
      </c>
      <c r="F57" s="51">
        <f>C57/C59</f>
        <v>0</v>
      </c>
      <c r="G57" s="39"/>
      <c r="H57" s="57" t="s">
        <v>152</v>
      </c>
      <c r="I57" s="59">
        <v>9</v>
      </c>
      <c r="J57" s="51">
        <f t="shared" si="0"/>
        <v>0.34615384615384615</v>
      </c>
    </row>
    <row r="58" spans="1:10" ht="15.75" thickBot="1" x14ac:dyDescent="0.3">
      <c r="A58" s="7" t="s">
        <v>69</v>
      </c>
      <c r="B58" s="40"/>
      <c r="C58">
        <v>13</v>
      </c>
      <c r="D58" s="42"/>
      <c r="E58" s="60" t="s">
        <v>69</v>
      </c>
      <c r="F58" s="56">
        <f>C58/C59</f>
        <v>0.14444444444444443</v>
      </c>
      <c r="G58" s="42" t="s">
        <v>81</v>
      </c>
      <c r="H58" s="61" t="s">
        <v>153</v>
      </c>
      <c r="I58" s="59">
        <v>3</v>
      </c>
      <c r="J58" s="51">
        <f t="shared" si="0"/>
        <v>0.11538461538461539</v>
      </c>
    </row>
    <row r="59" spans="1:10" ht="15.75" thickBot="1" x14ac:dyDescent="0.3">
      <c r="A59" s="7" t="s">
        <v>154</v>
      </c>
      <c r="B59" s="40"/>
      <c r="C59">
        <f>SUM(C50:C58)</f>
        <v>90</v>
      </c>
      <c r="D59" s="42"/>
      <c r="E59" s="7"/>
      <c r="F59" s="14"/>
      <c r="G59" s="39"/>
      <c r="H59" s="61" t="s">
        <v>155</v>
      </c>
      <c r="I59" s="59">
        <v>0</v>
      </c>
      <c r="J59" s="51">
        <f t="shared" si="0"/>
        <v>0</v>
      </c>
    </row>
    <row r="60" spans="1:10" x14ac:dyDescent="0.25">
      <c r="A60" s="7"/>
      <c r="B60" s="40"/>
      <c r="D60" s="42"/>
      <c r="E60" s="62" t="s">
        <v>70</v>
      </c>
      <c r="F60" s="44"/>
      <c r="G60" s="39"/>
      <c r="H60" s="61" t="s">
        <v>156</v>
      </c>
      <c r="I60" s="59">
        <v>1</v>
      </c>
      <c r="J60" s="51">
        <f t="shared" si="0"/>
        <v>3.8461538461538464E-2</v>
      </c>
    </row>
    <row r="61" spans="1:10" x14ac:dyDescent="0.25">
      <c r="A61" s="7" t="s">
        <v>157</v>
      </c>
      <c r="B61" s="40"/>
      <c r="D61" s="42"/>
      <c r="E61" s="58" t="s">
        <v>71</v>
      </c>
      <c r="F61" s="51">
        <f>C62/C$72</f>
        <v>0.46938775510204084</v>
      </c>
      <c r="G61" s="39"/>
      <c r="H61" s="57" t="s">
        <v>158</v>
      </c>
      <c r="I61" s="59">
        <v>0</v>
      </c>
      <c r="J61" s="51">
        <f t="shared" si="0"/>
        <v>0</v>
      </c>
    </row>
    <row r="62" spans="1:10" x14ac:dyDescent="0.25">
      <c r="A62" s="7" t="s">
        <v>71</v>
      </c>
      <c r="B62" s="40"/>
      <c r="C62">
        <v>46</v>
      </c>
      <c r="D62" s="42"/>
      <c r="E62" s="58" t="s">
        <v>72</v>
      </c>
      <c r="F62" s="51">
        <f t="shared" ref="F62:F70" si="1">C63/C$72</f>
        <v>0.15306122448979592</v>
      </c>
      <c r="G62" s="39"/>
      <c r="H62" s="61" t="s">
        <v>159</v>
      </c>
      <c r="I62" s="59">
        <v>0</v>
      </c>
      <c r="J62" s="51">
        <f t="shared" si="0"/>
        <v>0</v>
      </c>
    </row>
    <row r="63" spans="1:10" ht="15.75" thickBot="1" x14ac:dyDescent="0.3">
      <c r="A63" s="7" t="s">
        <v>72</v>
      </c>
      <c r="B63" s="40"/>
      <c r="C63">
        <v>15</v>
      </c>
      <c r="D63" s="42"/>
      <c r="E63" s="58" t="s">
        <v>73</v>
      </c>
      <c r="F63" s="51">
        <f t="shared" si="1"/>
        <v>0.14285714285714285</v>
      </c>
      <c r="G63" s="39"/>
      <c r="H63" s="63" t="s">
        <v>160</v>
      </c>
      <c r="I63" s="55">
        <v>1</v>
      </c>
      <c r="J63" s="56">
        <f t="shared" si="0"/>
        <v>3.8461538461538464E-2</v>
      </c>
    </row>
    <row r="64" spans="1:10" x14ac:dyDescent="0.25">
      <c r="A64" s="7" t="s">
        <v>73</v>
      </c>
      <c r="B64" s="40"/>
      <c r="C64">
        <v>14</v>
      </c>
      <c r="D64" s="42"/>
      <c r="E64" s="58" t="s">
        <v>74</v>
      </c>
      <c r="F64" s="51">
        <f t="shared" si="1"/>
        <v>0.12244897959183673</v>
      </c>
      <c r="G64" s="39"/>
    </row>
    <row r="65" spans="1:10" ht="15.75" thickBot="1" x14ac:dyDescent="0.3">
      <c r="A65" s="7" t="s">
        <v>74</v>
      </c>
      <c r="B65" s="40"/>
      <c r="C65">
        <v>12</v>
      </c>
      <c r="D65" s="42"/>
      <c r="E65" s="58" t="s">
        <v>75</v>
      </c>
      <c r="F65" s="51">
        <f t="shared" si="1"/>
        <v>3.0612244897959183E-2</v>
      </c>
      <c r="G65" s="42" t="s">
        <v>81</v>
      </c>
    </row>
    <row r="66" spans="1:10" x14ac:dyDescent="0.25">
      <c r="A66" s="7" t="s">
        <v>75</v>
      </c>
      <c r="B66" s="40"/>
      <c r="C66">
        <v>3</v>
      </c>
      <c r="D66" s="42"/>
      <c r="E66" s="58" t="s">
        <v>76</v>
      </c>
      <c r="F66" s="51">
        <f t="shared" si="1"/>
        <v>0</v>
      </c>
      <c r="G66" s="39"/>
      <c r="H66" s="45" t="s">
        <v>65</v>
      </c>
      <c r="I66" s="46">
        <v>9</v>
      </c>
      <c r="J66" s="47"/>
    </row>
    <row r="67" spans="1:10" x14ac:dyDescent="0.25">
      <c r="A67" s="7" t="s">
        <v>76</v>
      </c>
      <c r="B67" s="40"/>
      <c r="C67">
        <v>0</v>
      </c>
      <c r="D67" s="42"/>
      <c r="E67" s="58" t="s">
        <v>77</v>
      </c>
      <c r="F67" s="51">
        <f t="shared" si="1"/>
        <v>0</v>
      </c>
      <c r="G67" s="39"/>
      <c r="H67" s="57" t="s">
        <v>161</v>
      </c>
      <c r="I67" s="59">
        <v>0</v>
      </c>
      <c r="J67" s="51">
        <f>I67/I$66</f>
        <v>0</v>
      </c>
    </row>
    <row r="68" spans="1:10" ht="15.75" thickBot="1" x14ac:dyDescent="0.3">
      <c r="A68" s="7" t="s">
        <v>77</v>
      </c>
      <c r="B68" s="40"/>
      <c r="C68">
        <v>0</v>
      </c>
      <c r="D68" s="42"/>
      <c r="E68" s="58" t="s">
        <v>78</v>
      </c>
      <c r="F68" s="51">
        <f t="shared" si="1"/>
        <v>0</v>
      </c>
      <c r="G68" s="39"/>
      <c r="H68" s="22" t="s">
        <v>103</v>
      </c>
      <c r="I68" s="55">
        <v>9</v>
      </c>
      <c r="J68" s="56">
        <f>I68/I$66</f>
        <v>1</v>
      </c>
    </row>
    <row r="69" spans="1:10" x14ac:dyDescent="0.25">
      <c r="A69" s="7" t="s">
        <v>78</v>
      </c>
      <c r="B69" s="40"/>
      <c r="C69">
        <v>0</v>
      </c>
      <c r="D69" s="42"/>
      <c r="E69" s="58" t="s">
        <v>79</v>
      </c>
      <c r="F69" s="51">
        <f t="shared" si="1"/>
        <v>0</v>
      </c>
      <c r="G69" s="39"/>
    </row>
    <row r="70" spans="1:10" ht="15.75" thickBot="1" x14ac:dyDescent="0.3">
      <c r="A70" s="7" t="s">
        <v>79</v>
      </c>
      <c r="B70" s="40"/>
      <c r="C70">
        <v>0</v>
      </c>
      <c r="D70" s="42"/>
      <c r="E70" s="60" t="s">
        <v>80</v>
      </c>
      <c r="F70" s="56">
        <f t="shared" si="1"/>
        <v>8.1632653061224483E-2</v>
      </c>
      <c r="G70" s="39"/>
    </row>
    <row r="71" spans="1:10" ht="15.75" thickBot="1" x14ac:dyDescent="0.3">
      <c r="A71" s="7" t="s">
        <v>80</v>
      </c>
      <c r="B71" s="40"/>
      <c r="C71">
        <v>8</v>
      </c>
      <c r="D71" s="42"/>
      <c r="E71" s="7"/>
      <c r="F71" s="14"/>
      <c r="G71" s="39"/>
      <c r="H71" s="45" t="s">
        <v>162</v>
      </c>
      <c r="I71" s="46">
        <v>1</v>
      </c>
      <c r="J71" s="47"/>
    </row>
    <row r="72" spans="1:10" x14ac:dyDescent="0.25">
      <c r="A72" s="7" t="s">
        <v>163</v>
      </c>
      <c r="B72" s="40"/>
      <c r="C72">
        <f>SUM(C62:C71)</f>
        <v>98</v>
      </c>
      <c r="D72" s="42"/>
      <c r="E72" s="62" t="s">
        <v>44</v>
      </c>
      <c r="F72" s="44"/>
      <c r="G72" s="39"/>
      <c r="H72" s="57" t="s">
        <v>164</v>
      </c>
      <c r="I72" s="59">
        <v>1</v>
      </c>
      <c r="J72" s="51">
        <f t="shared" ref="J72:J77" si="2">I72/I$71</f>
        <v>1</v>
      </c>
    </row>
    <row r="73" spans="1:10" x14ac:dyDescent="0.25">
      <c r="A73" s="7"/>
      <c r="B73" s="40"/>
      <c r="D73" s="42"/>
      <c r="E73" s="64" t="s">
        <v>165</v>
      </c>
      <c r="F73" s="51">
        <f>C74/C$44</f>
        <v>0.83333333333333337</v>
      </c>
      <c r="G73" s="39"/>
      <c r="H73" s="57" t="s">
        <v>166</v>
      </c>
      <c r="I73" s="59">
        <v>0</v>
      </c>
      <c r="J73" s="51">
        <f t="shared" si="2"/>
        <v>0</v>
      </c>
    </row>
    <row r="74" spans="1:10" x14ac:dyDescent="0.25">
      <c r="A74" s="7" t="s">
        <v>167</v>
      </c>
      <c r="B74" s="40"/>
      <c r="C74">
        <v>30</v>
      </c>
      <c r="D74" s="42"/>
      <c r="E74" s="64" t="s">
        <v>168</v>
      </c>
      <c r="F74" s="51">
        <f>C75/C$44</f>
        <v>2.7777777777777776E-2</v>
      </c>
      <c r="G74" s="39"/>
      <c r="H74" s="57" t="s">
        <v>169</v>
      </c>
      <c r="I74" s="59">
        <v>0</v>
      </c>
      <c r="J74" s="51">
        <f t="shared" si="2"/>
        <v>0</v>
      </c>
    </row>
    <row r="75" spans="1:10" ht="15.75" thickBot="1" x14ac:dyDescent="0.3">
      <c r="A75" s="7" t="s">
        <v>170</v>
      </c>
      <c r="B75" s="40"/>
      <c r="C75">
        <v>1</v>
      </c>
      <c r="D75" s="42"/>
      <c r="E75" s="65" t="s">
        <v>171</v>
      </c>
      <c r="F75" s="56">
        <f>C76/C$44</f>
        <v>0.1388888888888889</v>
      </c>
      <c r="G75" s="39"/>
      <c r="H75" s="57" t="s">
        <v>172</v>
      </c>
      <c r="I75" s="59">
        <v>0</v>
      </c>
      <c r="J75" s="51">
        <f t="shared" si="2"/>
        <v>0</v>
      </c>
    </row>
    <row r="76" spans="1:10" ht="15.75" thickBot="1" x14ac:dyDescent="0.3">
      <c r="A76" s="7" t="s">
        <v>173</v>
      </c>
      <c r="B76" s="40"/>
      <c r="C76">
        <v>5</v>
      </c>
      <c r="D76" s="42"/>
      <c r="E76" s="66"/>
      <c r="F76" s="14"/>
      <c r="G76" s="42" t="s">
        <v>81</v>
      </c>
      <c r="H76" s="57" t="s">
        <v>174</v>
      </c>
      <c r="I76" s="59">
        <v>0</v>
      </c>
      <c r="J76" s="51">
        <f t="shared" si="2"/>
        <v>0</v>
      </c>
    </row>
    <row r="77" spans="1:10" ht="15.75" thickBot="1" x14ac:dyDescent="0.3">
      <c r="A77" s="7"/>
      <c r="B77" s="40"/>
      <c r="D77" s="42"/>
      <c r="E77" s="67" t="s">
        <v>137</v>
      </c>
      <c r="F77" s="44"/>
      <c r="G77" s="39"/>
      <c r="H77" s="22" t="s">
        <v>175</v>
      </c>
      <c r="I77" s="55">
        <v>0</v>
      </c>
      <c r="J77" s="56">
        <f t="shared" si="2"/>
        <v>0</v>
      </c>
    </row>
    <row r="78" spans="1:10" x14ac:dyDescent="0.25">
      <c r="A78" s="7" t="s">
        <v>137</v>
      </c>
      <c r="B78" s="40"/>
      <c r="D78" s="42"/>
      <c r="E78" s="58" t="s">
        <v>176</v>
      </c>
      <c r="F78" s="51">
        <f>C79/C$44</f>
        <v>0.61111111111111116</v>
      </c>
      <c r="G78" s="39"/>
    </row>
    <row r="79" spans="1:10" ht="15.75" thickBot="1" x14ac:dyDescent="0.3">
      <c r="A79" s="7" t="s">
        <v>177</v>
      </c>
      <c r="B79" s="40"/>
      <c r="C79">
        <v>22</v>
      </c>
      <c r="D79" s="42"/>
      <c r="E79" s="60" t="s">
        <v>178</v>
      </c>
      <c r="F79" s="56">
        <f>C80/C$44</f>
        <v>0.3888888888888889</v>
      </c>
      <c r="G79" s="39"/>
    </row>
    <row r="80" spans="1:10" ht="15.75" thickBot="1" x14ac:dyDescent="0.3">
      <c r="A80" s="7" t="s">
        <v>178</v>
      </c>
      <c r="B80" s="40"/>
      <c r="C80">
        <v>14</v>
      </c>
      <c r="D80" s="42"/>
      <c r="E80" s="68"/>
      <c r="F80" s="69"/>
      <c r="G80" s="39"/>
      <c r="H80" s="45" t="s">
        <v>67</v>
      </c>
      <c r="I80" s="46">
        <v>13</v>
      </c>
      <c r="J80" s="47"/>
    </row>
    <row r="81" spans="1:10" x14ac:dyDescent="0.25">
      <c r="A81" s="7"/>
      <c r="B81" s="40"/>
      <c r="D81" s="42"/>
      <c r="E81" s="45" t="s">
        <v>179</v>
      </c>
      <c r="F81" s="44"/>
      <c r="G81" s="39"/>
      <c r="H81" s="57" t="s">
        <v>104</v>
      </c>
      <c r="I81" s="59">
        <v>0</v>
      </c>
      <c r="J81" s="51">
        <f>I81/I$80</f>
        <v>0</v>
      </c>
    </row>
    <row r="82" spans="1:10" x14ac:dyDescent="0.25">
      <c r="A82" t="s">
        <v>179</v>
      </c>
      <c r="D82" s="42"/>
      <c r="E82" s="57" t="s">
        <v>180</v>
      </c>
      <c r="F82" s="51">
        <f>C83/C$44</f>
        <v>0.33333333333333331</v>
      </c>
      <c r="G82" s="39"/>
      <c r="H82" s="57" t="s">
        <v>105</v>
      </c>
      <c r="I82" s="50">
        <v>0</v>
      </c>
      <c r="J82" s="51">
        <f>I82/I$80</f>
        <v>0</v>
      </c>
    </row>
    <row r="83" spans="1:10" ht="15.75" thickBot="1" x14ac:dyDescent="0.3">
      <c r="A83" t="s">
        <v>180</v>
      </c>
      <c r="C83">
        <v>12</v>
      </c>
      <c r="D83" s="42"/>
      <c r="E83" s="22" t="s">
        <v>181</v>
      </c>
      <c r="F83" s="56">
        <f>C84/C$44</f>
        <v>5.5555555555555552E-2</v>
      </c>
      <c r="G83" s="39"/>
      <c r="H83" s="57" t="s">
        <v>106</v>
      </c>
      <c r="I83" s="50">
        <v>9</v>
      </c>
      <c r="J83" s="51">
        <f>I83/I$80</f>
        <v>0.69230769230769229</v>
      </c>
    </row>
    <row r="84" spans="1:10" ht="15.75" thickBot="1" x14ac:dyDescent="0.3">
      <c r="A84" t="s">
        <v>181</v>
      </c>
      <c r="C84">
        <v>2</v>
      </c>
      <c r="D84" s="42"/>
      <c r="E84" s="68"/>
      <c r="F84" s="69"/>
      <c r="G84" s="39"/>
      <c r="H84" s="57" t="s">
        <v>107</v>
      </c>
      <c r="I84" s="59">
        <v>1</v>
      </c>
      <c r="J84" s="51">
        <f>I84/I$80</f>
        <v>7.6923076923076927E-2</v>
      </c>
    </row>
    <row r="85" spans="1:10" ht="15.75" thickBot="1" x14ac:dyDescent="0.3">
      <c r="A85" s="7"/>
      <c r="B85" s="40"/>
      <c r="D85" s="42"/>
      <c r="E85" s="62" t="s">
        <v>182</v>
      </c>
      <c r="F85" s="44"/>
      <c r="G85" s="39"/>
      <c r="H85" s="22" t="s">
        <v>108</v>
      </c>
      <c r="I85" s="55">
        <v>3</v>
      </c>
      <c r="J85" s="56">
        <f>I85/I$80</f>
        <v>0.23076923076923078</v>
      </c>
    </row>
    <row r="86" spans="1:10" x14ac:dyDescent="0.25">
      <c r="A86" s="7" t="s">
        <v>183</v>
      </c>
      <c r="B86" s="40"/>
      <c r="D86" s="42"/>
      <c r="E86" s="58" t="s">
        <v>121</v>
      </c>
      <c r="F86" s="51">
        <f t="shared" ref="F86:F91" si="3">C87/C$44</f>
        <v>0.44444444444444442</v>
      </c>
      <c r="G86" s="39"/>
    </row>
    <row r="87" spans="1:10" ht="15.75" thickBot="1" x14ac:dyDescent="0.3">
      <c r="A87" s="7" t="s">
        <v>121</v>
      </c>
      <c r="B87" s="40"/>
      <c r="C87">
        <v>16</v>
      </c>
      <c r="D87" s="42"/>
      <c r="E87" s="48" t="s">
        <v>122</v>
      </c>
      <c r="F87" s="51">
        <f t="shared" si="3"/>
        <v>0.1388888888888889</v>
      </c>
      <c r="G87" s="39"/>
    </row>
    <row r="88" spans="1:10" x14ac:dyDescent="0.25">
      <c r="A88" s="7" t="s">
        <v>122</v>
      </c>
      <c r="B88" s="40"/>
      <c r="C88">
        <v>5</v>
      </c>
      <c r="D88" s="42"/>
      <c r="E88" s="48" t="s">
        <v>123</v>
      </c>
      <c r="F88" s="51">
        <f t="shared" si="3"/>
        <v>0</v>
      </c>
      <c r="G88" s="39"/>
      <c r="H88" s="45" t="s">
        <v>69</v>
      </c>
      <c r="I88" s="46">
        <v>13</v>
      </c>
      <c r="J88" s="47"/>
    </row>
    <row r="89" spans="1:10" x14ac:dyDescent="0.25">
      <c r="A89" s="7" t="s">
        <v>123</v>
      </c>
      <c r="B89" s="40"/>
      <c r="C89">
        <v>0</v>
      </c>
      <c r="D89" s="42"/>
      <c r="E89" s="48" t="s">
        <v>124</v>
      </c>
      <c r="F89" s="51">
        <f t="shared" si="3"/>
        <v>0</v>
      </c>
      <c r="G89" s="39"/>
      <c r="H89" s="57" t="s">
        <v>109</v>
      </c>
      <c r="I89" s="59">
        <v>1</v>
      </c>
      <c r="J89" s="51">
        <f>I89/I$88</f>
        <v>7.6923076923076927E-2</v>
      </c>
    </row>
    <row r="90" spans="1:10" x14ac:dyDescent="0.25">
      <c r="A90" s="7" t="s">
        <v>124</v>
      </c>
      <c r="B90" s="40"/>
      <c r="C90">
        <v>0</v>
      </c>
      <c r="D90" s="42"/>
      <c r="E90" s="48" t="s">
        <v>125</v>
      </c>
      <c r="F90" s="51">
        <f t="shared" si="3"/>
        <v>0.3888888888888889</v>
      </c>
      <c r="G90" s="39"/>
      <c r="H90" s="57" t="s">
        <v>110</v>
      </c>
      <c r="I90" s="59">
        <v>3</v>
      </c>
      <c r="J90" s="51">
        <f t="shared" ref="J90:J98" si="4">I90/I$88</f>
        <v>0.23076923076923078</v>
      </c>
    </row>
    <row r="91" spans="1:10" ht="15.75" thickBot="1" x14ac:dyDescent="0.3">
      <c r="A91" s="7" t="s">
        <v>125</v>
      </c>
      <c r="B91" s="40"/>
      <c r="C91">
        <v>14</v>
      </c>
      <c r="D91" s="42"/>
      <c r="E91" s="53" t="s">
        <v>69</v>
      </c>
      <c r="F91" s="56">
        <f t="shared" si="3"/>
        <v>2.7777777777777776E-2</v>
      </c>
      <c r="G91" s="39"/>
      <c r="H91" s="57" t="s">
        <v>111</v>
      </c>
      <c r="I91" s="59">
        <v>0</v>
      </c>
      <c r="J91" s="51">
        <f t="shared" si="4"/>
        <v>0</v>
      </c>
    </row>
    <row r="92" spans="1:10" ht="15.75" thickBot="1" x14ac:dyDescent="0.3">
      <c r="A92" s="7" t="s">
        <v>69</v>
      </c>
      <c r="B92" s="40"/>
      <c r="C92">
        <v>1</v>
      </c>
      <c r="D92" s="42"/>
      <c r="E92" s="42"/>
      <c r="F92" s="14"/>
      <c r="G92" s="39"/>
      <c r="H92" s="57" t="s">
        <v>112</v>
      </c>
      <c r="I92" s="59">
        <v>0</v>
      </c>
      <c r="J92" s="51">
        <f t="shared" si="4"/>
        <v>0</v>
      </c>
    </row>
    <row r="93" spans="1:10" x14ac:dyDescent="0.25">
      <c r="A93" s="7"/>
      <c r="B93" s="40"/>
      <c r="D93" s="42"/>
      <c r="E93" s="43" t="s">
        <v>184</v>
      </c>
      <c r="F93" s="44"/>
      <c r="G93" s="39"/>
      <c r="H93" s="57" t="s">
        <v>113</v>
      </c>
      <c r="I93" s="59">
        <v>8</v>
      </c>
      <c r="J93" s="51">
        <f t="shared" si="4"/>
        <v>0.61538461538461542</v>
      </c>
    </row>
    <row r="94" spans="1:10" x14ac:dyDescent="0.25">
      <c r="A94" s="7" t="s">
        <v>185</v>
      </c>
      <c r="B94" s="40"/>
      <c r="C94">
        <v>4</v>
      </c>
      <c r="D94" s="42"/>
      <c r="E94" s="48" t="s">
        <v>186</v>
      </c>
      <c r="F94" s="51">
        <f>C95/C$44</f>
        <v>0.72222222222222221</v>
      </c>
      <c r="G94" s="39"/>
      <c r="H94" s="70" t="s">
        <v>114</v>
      </c>
      <c r="I94" s="59">
        <v>0</v>
      </c>
      <c r="J94" s="51">
        <f t="shared" si="4"/>
        <v>0</v>
      </c>
    </row>
    <row r="95" spans="1:10" x14ac:dyDescent="0.25">
      <c r="A95" s="7" t="s">
        <v>186</v>
      </c>
      <c r="B95" s="40"/>
      <c r="C95">
        <v>26</v>
      </c>
      <c r="D95" s="42"/>
      <c r="E95" s="48" t="s">
        <v>187</v>
      </c>
      <c r="F95" s="51">
        <f>C96/C$44</f>
        <v>0.1111111111111111</v>
      </c>
      <c r="G95" s="39"/>
      <c r="H95" s="70" t="s">
        <v>115</v>
      </c>
      <c r="I95" s="59">
        <v>0</v>
      </c>
      <c r="J95" s="51">
        <f t="shared" si="4"/>
        <v>0</v>
      </c>
    </row>
    <row r="96" spans="1:10" x14ac:dyDescent="0.25">
      <c r="A96" s="7" t="s">
        <v>187</v>
      </c>
      <c r="B96" s="40"/>
      <c r="C96">
        <v>4</v>
      </c>
      <c r="D96" s="42"/>
      <c r="E96" s="48" t="s">
        <v>188</v>
      </c>
      <c r="F96" s="51">
        <f>C97/C$44</f>
        <v>8.3333333333333329E-2</v>
      </c>
      <c r="G96" s="39"/>
      <c r="H96" s="70" t="s">
        <v>116</v>
      </c>
      <c r="I96" s="59">
        <v>0</v>
      </c>
      <c r="J96" s="51">
        <f t="shared" si="4"/>
        <v>0</v>
      </c>
    </row>
    <row r="97" spans="1:10" x14ac:dyDescent="0.25">
      <c r="A97" s="7" t="s">
        <v>188</v>
      </c>
      <c r="B97" s="40"/>
      <c r="C97">
        <v>3</v>
      </c>
      <c r="D97" s="42"/>
      <c r="E97" s="48" t="s">
        <v>189</v>
      </c>
      <c r="F97" s="51">
        <f>C98/C$44</f>
        <v>2.7777777777777776E-2</v>
      </c>
      <c r="G97" s="39"/>
      <c r="H97" s="70" t="s">
        <v>117</v>
      </c>
      <c r="I97" s="59">
        <v>0</v>
      </c>
      <c r="J97" s="51">
        <f t="shared" si="4"/>
        <v>0</v>
      </c>
    </row>
    <row r="98" spans="1:10" ht="15.75" thickBot="1" x14ac:dyDescent="0.3">
      <c r="A98" s="7" t="s">
        <v>189</v>
      </c>
      <c r="B98" s="40"/>
      <c r="C98">
        <v>1</v>
      </c>
      <c r="E98" s="53" t="s">
        <v>190</v>
      </c>
      <c r="F98" s="56">
        <f>C99/C$44</f>
        <v>5.5555555555555552E-2</v>
      </c>
      <c r="H98" s="71" t="s">
        <v>118</v>
      </c>
      <c r="I98" s="55">
        <v>1</v>
      </c>
      <c r="J98" s="56">
        <f t="shared" si="4"/>
        <v>7.6923076923076927E-2</v>
      </c>
    </row>
    <row r="99" spans="1:10" x14ac:dyDescent="0.25">
      <c r="A99" s="7" t="s">
        <v>190</v>
      </c>
      <c r="B99" s="40"/>
      <c r="C99">
        <v>2</v>
      </c>
      <c r="E99" s="42"/>
      <c r="F99" s="14"/>
    </row>
    <row r="100" spans="1:10" x14ac:dyDescent="0.25">
      <c r="A100" s="7" t="s">
        <v>191</v>
      </c>
      <c r="B100" s="40"/>
      <c r="C100">
        <v>0</v>
      </c>
      <c r="E100" s="42"/>
      <c r="F100" s="14"/>
    </row>
    <row r="101" spans="1:10" x14ac:dyDescent="0.25">
      <c r="A101" s="7"/>
      <c r="B101" s="40"/>
      <c r="E101" s="42"/>
      <c r="F101" s="14"/>
    </row>
    <row r="102" spans="1:10" ht="15.75" thickBot="1" x14ac:dyDescent="0.3"/>
    <row r="103" spans="1:10" x14ac:dyDescent="0.25">
      <c r="A103" s="72" t="s">
        <v>7</v>
      </c>
      <c r="B103" s="88">
        <v>90170.319999999992</v>
      </c>
    </row>
    <row r="104" spans="1:10" x14ac:dyDescent="0.25">
      <c r="A104" s="74" t="s">
        <v>121</v>
      </c>
      <c r="B104" s="75">
        <f>SUM(F3,F6,F8,F11,F15,F20:F21,F24:F28,F32,F35:F37)</f>
        <v>36195.120000000003</v>
      </c>
    </row>
    <row r="105" spans="1:10" x14ac:dyDescent="0.25">
      <c r="A105" s="74" t="s">
        <v>192</v>
      </c>
      <c r="B105" s="75">
        <f>SUM(F2,F4,F7,F9:F10,F13:F14,F17:F19,F29:F31,F34)</f>
        <v>36864.74</v>
      </c>
    </row>
    <row r="106" spans="1:10" x14ac:dyDescent="0.25">
      <c r="A106" s="74" t="s">
        <v>193</v>
      </c>
      <c r="B106" s="75">
        <f>SUM(F5,F12,F16,F22:F23)</f>
        <v>13283.86</v>
      </c>
    </row>
    <row r="107" spans="1:10" x14ac:dyDescent="0.25">
      <c r="A107" s="74" t="s">
        <v>69</v>
      </c>
      <c r="B107" s="76">
        <v>3826.6</v>
      </c>
    </row>
    <row r="108" spans="1:10" ht="15.75" thickBot="1" x14ac:dyDescent="0.3">
      <c r="A108" s="77"/>
      <c r="B108" s="78">
        <f>SUM(B104:B107)</f>
        <v>90170.32</v>
      </c>
    </row>
  </sheetData>
  <mergeCells count="1">
    <mergeCell ref="A40:F40"/>
  </mergeCells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3"/>
  <sheetViews>
    <sheetView topLeftCell="A41" workbookViewId="0">
      <selection activeCell="H42" sqref="H42"/>
    </sheetView>
  </sheetViews>
  <sheetFormatPr baseColWidth="10" defaultRowHeight="15" x14ac:dyDescent="0.25"/>
  <cols>
    <col min="2" max="2" width="34.5703125" customWidth="1"/>
    <col min="3" max="3" width="12.28515625" customWidth="1"/>
    <col min="4" max="4" width="5.85546875" customWidth="1"/>
    <col min="5" max="5" width="8.42578125" customWidth="1"/>
    <col min="7" max="7" width="34.28515625" customWidth="1"/>
  </cols>
  <sheetData>
    <row r="1" spans="1:8" ht="15" customHeight="1" x14ac:dyDescent="0.25">
      <c r="A1" s="3" t="s">
        <v>2</v>
      </c>
      <c r="B1" s="4" t="s">
        <v>3</v>
      </c>
      <c r="C1" s="4" t="s">
        <v>5</v>
      </c>
      <c r="D1" s="4" t="s">
        <v>22</v>
      </c>
      <c r="E1" s="8" t="s">
        <v>6</v>
      </c>
      <c r="F1" s="5" t="s">
        <v>8</v>
      </c>
      <c r="G1" s="6" t="s">
        <v>9</v>
      </c>
      <c r="H1" s="1" t="s">
        <v>10</v>
      </c>
    </row>
    <row r="2" spans="1:8" x14ac:dyDescent="0.25">
      <c r="A2" s="40">
        <v>45017</v>
      </c>
      <c r="B2" s="89" t="s">
        <v>824</v>
      </c>
      <c r="C2" s="89" t="s">
        <v>186</v>
      </c>
      <c r="D2" s="89" t="s">
        <v>141</v>
      </c>
      <c r="E2" s="89" t="s">
        <v>192</v>
      </c>
      <c r="F2" s="38">
        <v>1617.04</v>
      </c>
      <c r="G2" s="89" t="s">
        <v>878</v>
      </c>
      <c r="H2" s="89" t="s">
        <v>463</v>
      </c>
    </row>
    <row r="3" spans="1:8" x14ac:dyDescent="0.25">
      <c r="A3" s="40">
        <v>45019</v>
      </c>
      <c r="B3" s="89" t="s">
        <v>829</v>
      </c>
      <c r="C3" s="89" t="s">
        <v>186</v>
      </c>
      <c r="D3" s="89" t="s">
        <v>139</v>
      </c>
      <c r="E3" s="89" t="s">
        <v>197</v>
      </c>
      <c r="F3" s="38">
        <v>2268</v>
      </c>
      <c r="G3" s="89" t="s">
        <v>832</v>
      </c>
      <c r="H3" s="89" t="s">
        <v>833</v>
      </c>
    </row>
    <row r="4" spans="1:8" x14ac:dyDescent="0.25">
      <c r="A4" s="40">
        <v>45019</v>
      </c>
      <c r="B4" s="89" t="s">
        <v>834</v>
      </c>
      <c r="C4" s="89" t="s">
        <v>186</v>
      </c>
      <c r="D4" s="89" t="s">
        <v>139</v>
      </c>
      <c r="E4" s="89" t="s">
        <v>197</v>
      </c>
      <c r="F4" s="38">
        <v>1200</v>
      </c>
      <c r="G4" s="89" t="s">
        <v>309</v>
      </c>
      <c r="H4" s="89" t="s">
        <v>837</v>
      </c>
    </row>
    <row r="5" spans="1:8" x14ac:dyDescent="0.25">
      <c r="A5" s="40">
        <v>45020</v>
      </c>
      <c r="B5" s="89" t="s">
        <v>859</v>
      </c>
      <c r="C5" s="89" t="s">
        <v>186</v>
      </c>
      <c r="D5" s="89" t="s">
        <v>139</v>
      </c>
      <c r="E5" s="89" t="s">
        <v>197</v>
      </c>
      <c r="F5" s="38">
        <v>2070</v>
      </c>
      <c r="G5" s="89" t="s">
        <v>862</v>
      </c>
      <c r="H5" s="89" t="s">
        <v>219</v>
      </c>
    </row>
    <row r="6" spans="1:8" s="89" customFormat="1" x14ac:dyDescent="0.25">
      <c r="A6" s="40">
        <v>45021</v>
      </c>
      <c r="B6" s="89" t="s">
        <v>863</v>
      </c>
      <c r="C6" s="89" t="s">
        <v>186</v>
      </c>
      <c r="D6" s="89" t="s">
        <v>139</v>
      </c>
      <c r="E6" s="89" t="s">
        <v>197</v>
      </c>
      <c r="F6" s="38">
        <v>1242</v>
      </c>
      <c r="G6" s="89" t="s">
        <v>866</v>
      </c>
      <c r="H6" s="89" t="s">
        <v>963</v>
      </c>
    </row>
    <row r="7" spans="1:8" s="89" customFormat="1" x14ac:dyDescent="0.25">
      <c r="A7" s="40">
        <v>45021</v>
      </c>
      <c r="B7" s="89" t="s">
        <v>867</v>
      </c>
      <c r="C7" s="89" t="s">
        <v>186</v>
      </c>
      <c r="D7" s="89" t="s">
        <v>139</v>
      </c>
      <c r="E7" s="89" t="s">
        <v>192</v>
      </c>
      <c r="F7" s="38">
        <v>2095</v>
      </c>
      <c r="G7" s="89" t="s">
        <v>870</v>
      </c>
      <c r="H7" s="89" t="s">
        <v>348</v>
      </c>
    </row>
    <row r="8" spans="1:8" s="89" customFormat="1" x14ac:dyDescent="0.25">
      <c r="A8" s="40">
        <v>45026</v>
      </c>
      <c r="B8" s="89" t="s">
        <v>871</v>
      </c>
      <c r="C8" s="89" t="s">
        <v>186</v>
      </c>
      <c r="D8" s="89" t="s">
        <v>139</v>
      </c>
      <c r="E8" s="89" t="s">
        <v>197</v>
      </c>
      <c r="F8" s="38">
        <v>1812</v>
      </c>
      <c r="G8" s="89" t="s">
        <v>874</v>
      </c>
      <c r="H8" s="89" t="s">
        <v>900</v>
      </c>
    </row>
    <row r="9" spans="1:8" s="89" customFormat="1" x14ac:dyDescent="0.25">
      <c r="A9" s="40">
        <v>45026</v>
      </c>
      <c r="B9" s="89" t="s">
        <v>875</v>
      </c>
      <c r="C9" s="89" t="s">
        <v>191</v>
      </c>
      <c r="D9" s="89" t="s">
        <v>141</v>
      </c>
      <c r="E9" s="89" t="s">
        <v>197</v>
      </c>
      <c r="F9" s="38">
        <v>2053.1999999999998</v>
      </c>
      <c r="G9" s="89" t="s">
        <v>878</v>
      </c>
      <c r="H9" s="89" t="s">
        <v>879</v>
      </c>
    </row>
    <row r="10" spans="1:8" s="89" customFormat="1" x14ac:dyDescent="0.25">
      <c r="A10" s="40">
        <v>45026</v>
      </c>
      <c r="B10" s="89" t="s">
        <v>880</v>
      </c>
      <c r="C10" s="89" t="s">
        <v>186</v>
      </c>
      <c r="D10" s="89" t="s">
        <v>139</v>
      </c>
      <c r="E10" s="89" t="s">
        <v>197</v>
      </c>
      <c r="F10" s="38">
        <v>960</v>
      </c>
      <c r="G10" s="89" t="s">
        <v>526</v>
      </c>
      <c r="H10" s="89" t="s">
        <v>901</v>
      </c>
    </row>
    <row r="11" spans="1:8" s="89" customFormat="1" x14ac:dyDescent="0.25">
      <c r="A11" s="40">
        <v>45017</v>
      </c>
      <c r="B11" s="89" t="s">
        <v>895</v>
      </c>
      <c r="C11" s="89" t="s">
        <v>408</v>
      </c>
      <c r="D11" s="89" t="s">
        <v>139</v>
      </c>
      <c r="E11" s="89" t="s">
        <v>197</v>
      </c>
      <c r="F11" s="38">
        <v>1339.8</v>
      </c>
      <c r="G11" s="89" t="s">
        <v>898</v>
      </c>
      <c r="H11" s="89" t="s">
        <v>899</v>
      </c>
    </row>
    <row r="12" spans="1:8" s="89" customFormat="1" x14ac:dyDescent="0.25">
      <c r="A12" s="40">
        <v>45019</v>
      </c>
      <c r="B12" s="89" t="s">
        <v>902</v>
      </c>
      <c r="C12" s="89" t="s">
        <v>186</v>
      </c>
      <c r="D12" s="89" t="s">
        <v>139</v>
      </c>
      <c r="E12" s="89" t="s">
        <v>192</v>
      </c>
      <c r="F12" s="38">
        <v>1784.63</v>
      </c>
      <c r="G12" s="89" t="s">
        <v>905</v>
      </c>
      <c r="H12" s="89" t="s">
        <v>917</v>
      </c>
    </row>
    <row r="13" spans="1:8" s="89" customFormat="1" x14ac:dyDescent="0.25">
      <c r="A13" s="40">
        <v>45027</v>
      </c>
      <c r="B13" s="89" t="s">
        <v>382</v>
      </c>
      <c r="C13" s="89" t="s">
        <v>186</v>
      </c>
      <c r="D13" s="89" t="s">
        <v>139</v>
      </c>
      <c r="E13" s="89" t="s">
        <v>192</v>
      </c>
      <c r="F13" s="38">
        <v>776</v>
      </c>
      <c r="G13" s="89" t="s">
        <v>907</v>
      </c>
      <c r="H13" s="89" t="s">
        <v>219</v>
      </c>
    </row>
    <row r="14" spans="1:8" s="89" customFormat="1" x14ac:dyDescent="0.25">
      <c r="A14" s="40">
        <v>45027</v>
      </c>
      <c r="B14" s="89" t="s">
        <v>908</v>
      </c>
      <c r="C14" s="89" t="s">
        <v>408</v>
      </c>
      <c r="D14" s="89" t="s">
        <v>139</v>
      </c>
      <c r="E14" s="89" t="s">
        <v>193</v>
      </c>
      <c r="F14" s="38">
        <v>1038</v>
      </c>
      <c r="G14" s="89" t="s">
        <v>911</v>
      </c>
      <c r="H14" s="89" t="s">
        <v>912</v>
      </c>
    </row>
    <row r="15" spans="1:8" s="89" customFormat="1" x14ac:dyDescent="0.25">
      <c r="A15" s="40">
        <v>45020</v>
      </c>
      <c r="B15" s="89" t="s">
        <v>913</v>
      </c>
      <c r="C15" s="89" t="s">
        <v>186</v>
      </c>
      <c r="D15" s="89" t="s">
        <v>141</v>
      </c>
      <c r="E15" s="89" t="s">
        <v>197</v>
      </c>
      <c r="F15" s="38">
        <v>6916.56</v>
      </c>
      <c r="G15" s="89" t="s">
        <v>1243</v>
      </c>
      <c r="H15" s="89" t="s">
        <v>219</v>
      </c>
    </row>
    <row r="16" spans="1:8" s="89" customFormat="1" x14ac:dyDescent="0.25">
      <c r="A16" s="40">
        <v>45029</v>
      </c>
      <c r="B16" s="89" t="s">
        <v>318</v>
      </c>
      <c r="C16" s="89" t="s">
        <v>186</v>
      </c>
      <c r="D16" s="89" t="s">
        <v>139</v>
      </c>
      <c r="E16" s="89" t="s">
        <v>192</v>
      </c>
      <c r="F16" s="38">
        <v>2910.8</v>
      </c>
      <c r="G16" s="89" t="s">
        <v>919</v>
      </c>
      <c r="H16" s="89" t="s">
        <v>920</v>
      </c>
    </row>
    <row r="17" spans="1:8" s="89" customFormat="1" x14ac:dyDescent="0.25">
      <c r="A17" s="40">
        <v>45027</v>
      </c>
      <c r="B17" s="89" t="s">
        <v>921</v>
      </c>
      <c r="C17" s="89" t="s">
        <v>186</v>
      </c>
      <c r="D17" s="89" t="s">
        <v>139</v>
      </c>
      <c r="E17" s="89" t="s">
        <v>197</v>
      </c>
      <c r="F17" s="38">
        <v>1745</v>
      </c>
      <c r="G17" s="89" t="s">
        <v>923</v>
      </c>
      <c r="H17" s="89" t="s">
        <v>924</v>
      </c>
    </row>
    <row r="18" spans="1:8" s="89" customFormat="1" x14ac:dyDescent="0.25">
      <c r="A18" s="40">
        <v>45027</v>
      </c>
      <c r="B18" s="89" t="s">
        <v>925</v>
      </c>
      <c r="C18" s="89" t="s">
        <v>408</v>
      </c>
      <c r="D18" s="89" t="s">
        <v>139</v>
      </c>
      <c r="E18" s="89" t="s">
        <v>192</v>
      </c>
      <c r="F18" s="38">
        <v>1609</v>
      </c>
      <c r="G18" s="89" t="s">
        <v>929</v>
      </c>
      <c r="H18" s="89" t="s">
        <v>944</v>
      </c>
    </row>
    <row r="19" spans="1:8" s="89" customFormat="1" x14ac:dyDescent="0.25">
      <c r="A19" s="40">
        <v>45030</v>
      </c>
      <c r="B19" s="89" t="s">
        <v>930</v>
      </c>
      <c r="C19" s="89" t="s">
        <v>186</v>
      </c>
      <c r="D19" s="89" t="s">
        <v>139</v>
      </c>
      <c r="E19" s="89" t="s">
        <v>192</v>
      </c>
      <c r="F19" s="38">
        <v>960</v>
      </c>
      <c r="G19" s="89" t="s">
        <v>526</v>
      </c>
      <c r="H19" s="89" t="s">
        <v>933</v>
      </c>
    </row>
    <row r="20" spans="1:8" s="89" customFormat="1" x14ac:dyDescent="0.25">
      <c r="A20" s="40">
        <v>45031</v>
      </c>
      <c r="B20" s="89" t="s">
        <v>934</v>
      </c>
      <c r="C20" s="89" t="s">
        <v>408</v>
      </c>
      <c r="D20" s="89" t="s">
        <v>139</v>
      </c>
      <c r="E20" s="89" t="s">
        <v>192</v>
      </c>
      <c r="F20" s="38">
        <v>1305</v>
      </c>
      <c r="G20" s="89" t="s">
        <v>937</v>
      </c>
      <c r="H20" s="89" t="s">
        <v>938</v>
      </c>
    </row>
    <row r="21" spans="1:8" s="89" customFormat="1" x14ac:dyDescent="0.25">
      <c r="A21" s="40">
        <v>45033</v>
      </c>
      <c r="B21" s="89" t="s">
        <v>939</v>
      </c>
      <c r="C21" s="89" t="s">
        <v>408</v>
      </c>
      <c r="D21" s="89" t="s">
        <v>139</v>
      </c>
      <c r="E21" s="89" t="s">
        <v>192</v>
      </c>
      <c r="F21" s="38">
        <v>1537</v>
      </c>
      <c r="G21" s="89" t="s">
        <v>942</v>
      </c>
      <c r="H21" s="89" t="s">
        <v>943</v>
      </c>
    </row>
    <row r="22" spans="1:8" x14ac:dyDescent="0.25">
      <c r="A22" s="40">
        <v>45034</v>
      </c>
      <c r="B22" s="89" t="s">
        <v>945</v>
      </c>
      <c r="C22" s="89" t="s">
        <v>408</v>
      </c>
      <c r="D22" s="89" t="s">
        <v>139</v>
      </c>
      <c r="E22" s="89" t="s">
        <v>197</v>
      </c>
      <c r="F22" s="38">
        <v>1169</v>
      </c>
      <c r="G22" s="89" t="s">
        <v>948</v>
      </c>
      <c r="H22" s="89" t="s">
        <v>958</v>
      </c>
    </row>
    <row r="23" spans="1:8" x14ac:dyDescent="0.25">
      <c r="A23" s="40">
        <v>45035</v>
      </c>
      <c r="B23" s="89" t="s">
        <v>949</v>
      </c>
      <c r="C23" s="89" t="s">
        <v>408</v>
      </c>
      <c r="D23" s="89" t="s">
        <v>139</v>
      </c>
      <c r="E23" s="89" t="s">
        <v>197</v>
      </c>
      <c r="F23" s="38">
        <v>1170</v>
      </c>
      <c r="G23" s="89" t="s">
        <v>952</v>
      </c>
      <c r="H23" s="89" t="s">
        <v>953</v>
      </c>
    </row>
    <row r="24" spans="1:8" x14ac:dyDescent="0.25">
      <c r="A24" s="40">
        <v>45035</v>
      </c>
      <c r="B24" s="89" t="s">
        <v>954</v>
      </c>
      <c r="C24" s="89" t="s">
        <v>186</v>
      </c>
      <c r="D24" s="89" t="s">
        <v>139</v>
      </c>
      <c r="E24" s="89" t="s">
        <v>197</v>
      </c>
      <c r="F24" s="38">
        <v>1664</v>
      </c>
      <c r="G24" s="89" t="s">
        <v>1242</v>
      </c>
      <c r="H24" s="89" t="s">
        <v>962</v>
      </c>
    </row>
    <row r="25" spans="1:8" x14ac:dyDescent="0.25">
      <c r="A25" s="40">
        <v>45031</v>
      </c>
      <c r="B25" s="89" t="s">
        <v>978</v>
      </c>
      <c r="C25" s="89" t="s">
        <v>408</v>
      </c>
      <c r="D25" s="89" t="s">
        <v>141</v>
      </c>
      <c r="E25" s="89" t="s">
        <v>197</v>
      </c>
      <c r="F25" s="38">
        <v>1619</v>
      </c>
      <c r="G25" s="89" t="s">
        <v>961</v>
      </c>
      <c r="H25" s="89" t="s">
        <v>349</v>
      </c>
    </row>
    <row r="26" spans="1:8" x14ac:dyDescent="0.25">
      <c r="A26" s="40">
        <v>45033</v>
      </c>
      <c r="B26" s="89" t="s">
        <v>966</v>
      </c>
      <c r="C26" s="89" t="s">
        <v>186</v>
      </c>
      <c r="D26" s="89" t="s">
        <v>139</v>
      </c>
      <c r="E26" s="89" t="s">
        <v>192</v>
      </c>
      <c r="F26" s="38">
        <v>3930.56</v>
      </c>
      <c r="G26" s="89" t="s">
        <v>969</v>
      </c>
      <c r="H26" s="89" t="s">
        <v>977</v>
      </c>
    </row>
    <row r="27" spans="1:8" x14ac:dyDescent="0.25">
      <c r="A27" s="40">
        <v>45037</v>
      </c>
      <c r="B27" s="89" t="s">
        <v>970</v>
      </c>
      <c r="C27" s="89" t="s">
        <v>186</v>
      </c>
      <c r="D27" s="89" t="s">
        <v>139</v>
      </c>
      <c r="E27" s="89" t="s">
        <v>192</v>
      </c>
      <c r="F27" s="38">
        <v>5879.55</v>
      </c>
      <c r="G27" s="89" t="s">
        <v>973</v>
      </c>
      <c r="H27" s="89" t="s">
        <v>348</v>
      </c>
    </row>
    <row r="28" spans="1:8" x14ac:dyDescent="0.25">
      <c r="A28" s="40">
        <v>45040</v>
      </c>
      <c r="B28" s="89" t="s">
        <v>974</v>
      </c>
      <c r="C28" s="89" t="s">
        <v>408</v>
      </c>
      <c r="D28" s="89" t="s">
        <v>139</v>
      </c>
      <c r="E28" s="89" t="s">
        <v>197</v>
      </c>
      <c r="F28" s="38">
        <v>910</v>
      </c>
      <c r="G28" s="89" t="s">
        <v>586</v>
      </c>
      <c r="H28" s="89" t="s">
        <v>983</v>
      </c>
    </row>
    <row r="29" spans="1:8" x14ac:dyDescent="0.25">
      <c r="A29" s="40">
        <v>45040</v>
      </c>
      <c r="B29" s="89" t="s">
        <v>979</v>
      </c>
      <c r="C29" s="89" t="s">
        <v>186</v>
      </c>
      <c r="D29" s="89" t="s">
        <v>139</v>
      </c>
      <c r="E29" s="89" t="s">
        <v>197</v>
      </c>
      <c r="F29" s="38">
        <v>1620</v>
      </c>
      <c r="G29" s="89" t="s">
        <v>982</v>
      </c>
      <c r="H29" s="89" t="s">
        <v>984</v>
      </c>
    </row>
    <row r="30" spans="1:8" x14ac:dyDescent="0.25">
      <c r="A30" s="40">
        <v>45038</v>
      </c>
      <c r="B30" s="89" t="s">
        <v>985</v>
      </c>
      <c r="C30" s="89" t="s">
        <v>408</v>
      </c>
      <c r="D30" s="89" t="s">
        <v>139</v>
      </c>
      <c r="E30" s="89" t="s">
        <v>192</v>
      </c>
      <c r="F30" s="38">
        <v>3773</v>
      </c>
      <c r="G30" s="89" t="s">
        <v>1244</v>
      </c>
      <c r="H30" s="89" t="s">
        <v>993</v>
      </c>
    </row>
    <row r="31" spans="1:8" x14ac:dyDescent="0.25">
      <c r="A31" s="40">
        <v>45041</v>
      </c>
      <c r="B31" s="89" t="s">
        <v>989</v>
      </c>
      <c r="C31" s="89" t="s">
        <v>186</v>
      </c>
      <c r="D31" s="89" t="s">
        <v>139</v>
      </c>
      <c r="E31" s="89" t="s">
        <v>197</v>
      </c>
      <c r="F31" s="38">
        <v>1425</v>
      </c>
      <c r="G31" s="89" t="s">
        <v>992</v>
      </c>
      <c r="H31" s="89" t="s">
        <v>994</v>
      </c>
    </row>
    <row r="32" spans="1:8" x14ac:dyDescent="0.25">
      <c r="A32" s="40">
        <v>45042</v>
      </c>
      <c r="B32" s="89" t="s">
        <v>995</v>
      </c>
      <c r="C32" s="89" t="s">
        <v>186</v>
      </c>
      <c r="D32" s="89" t="s">
        <v>139</v>
      </c>
      <c r="E32" s="89" t="s">
        <v>197</v>
      </c>
      <c r="F32" s="38">
        <v>1026</v>
      </c>
      <c r="G32" s="89" t="s">
        <v>998</v>
      </c>
      <c r="H32" s="89" t="s">
        <v>999</v>
      </c>
    </row>
    <row r="33" spans="1:10" x14ac:dyDescent="0.25">
      <c r="A33" s="40">
        <v>45036</v>
      </c>
      <c r="B33" s="89" t="s">
        <v>1004</v>
      </c>
      <c r="C33" s="89" t="s">
        <v>186</v>
      </c>
      <c r="D33" s="89" t="s">
        <v>139</v>
      </c>
      <c r="E33" s="89" t="s">
        <v>806</v>
      </c>
      <c r="F33" s="38">
        <v>6469.2</v>
      </c>
      <c r="G33" s="89" t="s">
        <v>1007</v>
      </c>
      <c r="H33" s="89" t="s">
        <v>1008</v>
      </c>
    </row>
    <row r="34" spans="1:10" x14ac:dyDescent="0.25">
      <c r="A34" s="40">
        <v>45036</v>
      </c>
      <c r="B34" s="89" t="s">
        <v>1009</v>
      </c>
      <c r="C34" s="89" t="s">
        <v>186</v>
      </c>
      <c r="D34" s="89" t="s">
        <v>139</v>
      </c>
      <c r="E34" s="89" t="s">
        <v>193</v>
      </c>
      <c r="F34" s="38">
        <v>1203</v>
      </c>
      <c r="G34" s="89" t="s">
        <v>1012</v>
      </c>
      <c r="H34" s="89" t="s">
        <v>1013</v>
      </c>
    </row>
    <row r="35" spans="1:10" x14ac:dyDescent="0.25">
      <c r="A35" s="40">
        <v>45043</v>
      </c>
      <c r="B35" s="89" t="s">
        <v>1014</v>
      </c>
      <c r="C35" s="89" t="s">
        <v>408</v>
      </c>
      <c r="D35" s="89" t="s">
        <v>139</v>
      </c>
      <c r="E35" s="89" t="s">
        <v>197</v>
      </c>
      <c r="F35" s="38">
        <v>1604</v>
      </c>
      <c r="G35" s="89" t="s">
        <v>1017</v>
      </c>
      <c r="H35" s="89" t="s">
        <v>1018</v>
      </c>
    </row>
    <row r="36" spans="1:10" x14ac:dyDescent="0.25">
      <c r="A36" s="40">
        <v>45044</v>
      </c>
      <c r="B36" s="89" t="s">
        <v>1019</v>
      </c>
      <c r="C36" s="89" t="s">
        <v>409</v>
      </c>
      <c r="D36" s="89" t="s">
        <v>141</v>
      </c>
      <c r="E36" s="89" t="s">
        <v>197</v>
      </c>
      <c r="F36" s="38">
        <v>1085.76</v>
      </c>
      <c r="G36" s="89" t="s">
        <v>1022</v>
      </c>
      <c r="H36" s="89" t="s">
        <v>1023</v>
      </c>
    </row>
    <row r="37" spans="1:10" x14ac:dyDescent="0.25">
      <c r="A37" s="40">
        <v>45044</v>
      </c>
      <c r="B37" s="89" t="s">
        <v>1037</v>
      </c>
      <c r="C37" s="89" t="s">
        <v>409</v>
      </c>
      <c r="D37" s="89" t="s">
        <v>139</v>
      </c>
      <c r="E37" s="89" t="s">
        <v>197</v>
      </c>
      <c r="F37" s="38">
        <v>1167</v>
      </c>
      <c r="G37" s="89" t="s">
        <v>1040</v>
      </c>
      <c r="H37" s="89" t="s">
        <v>1041</v>
      </c>
    </row>
    <row r="38" spans="1:10" x14ac:dyDescent="0.25">
      <c r="A38" s="40">
        <v>45036</v>
      </c>
      <c r="B38" s="89" t="s">
        <v>1042</v>
      </c>
      <c r="C38" t="s">
        <v>408</v>
      </c>
      <c r="D38" t="s">
        <v>139</v>
      </c>
      <c r="E38" t="s">
        <v>197</v>
      </c>
      <c r="F38" s="38">
        <v>1176</v>
      </c>
      <c r="G38" s="89" t="s">
        <v>1045</v>
      </c>
      <c r="H38" s="89" t="s">
        <v>219</v>
      </c>
    </row>
    <row r="39" spans="1:10" x14ac:dyDescent="0.25">
      <c r="A39" s="40">
        <v>45042</v>
      </c>
      <c r="B39" s="89" t="s">
        <v>1055</v>
      </c>
      <c r="C39" t="s">
        <v>408</v>
      </c>
      <c r="D39" t="s">
        <v>141</v>
      </c>
      <c r="E39" t="s">
        <v>197</v>
      </c>
      <c r="F39" s="38">
        <v>3154</v>
      </c>
      <c r="G39" s="89" t="s">
        <v>1058</v>
      </c>
      <c r="H39" s="89" t="s">
        <v>219</v>
      </c>
    </row>
    <row r="40" spans="1:10" s="89" customFormat="1" x14ac:dyDescent="0.25">
      <c r="A40" s="40">
        <v>45043</v>
      </c>
      <c r="B40" s="89" t="s">
        <v>1009</v>
      </c>
      <c r="C40" s="89" t="s">
        <v>186</v>
      </c>
      <c r="D40" s="89" t="s">
        <v>139</v>
      </c>
      <c r="E40" s="89" t="s">
        <v>192</v>
      </c>
      <c r="F40" s="38">
        <v>1203</v>
      </c>
      <c r="G40" s="89" t="s">
        <v>1064</v>
      </c>
      <c r="H40" s="89" t="s">
        <v>348</v>
      </c>
    </row>
    <row r="41" spans="1:10" s="89" customFormat="1" x14ac:dyDescent="0.25">
      <c r="A41" s="40">
        <v>45045</v>
      </c>
      <c r="B41" s="89" t="s">
        <v>1065</v>
      </c>
      <c r="C41" s="89" t="s">
        <v>186</v>
      </c>
      <c r="D41" s="89" t="s">
        <v>139</v>
      </c>
      <c r="E41" s="89" t="s">
        <v>197</v>
      </c>
      <c r="F41" s="38">
        <v>1287</v>
      </c>
      <c r="G41" s="89" t="s">
        <v>1245</v>
      </c>
      <c r="H41" s="89" t="s">
        <v>1246</v>
      </c>
    </row>
    <row r="42" spans="1:10" x14ac:dyDescent="0.25">
      <c r="A42" s="40">
        <v>45043</v>
      </c>
      <c r="B42" t="s">
        <v>1221</v>
      </c>
      <c r="C42" t="s">
        <v>186</v>
      </c>
      <c r="D42" t="s">
        <v>139</v>
      </c>
      <c r="E42" t="s">
        <v>197</v>
      </c>
      <c r="F42" s="38">
        <v>2865</v>
      </c>
      <c r="G42" t="s">
        <v>1222</v>
      </c>
      <c r="H42" s="89" t="s">
        <v>1799</v>
      </c>
    </row>
    <row r="43" spans="1:10" x14ac:dyDescent="0.25">
      <c r="J43" t="s">
        <v>81</v>
      </c>
    </row>
    <row r="45" spans="1:10" ht="15.75" thickBot="1" x14ac:dyDescent="0.3">
      <c r="A45" s="99" t="s">
        <v>130</v>
      </c>
      <c r="B45" s="99"/>
      <c r="C45" s="99"/>
      <c r="D45" s="99"/>
      <c r="E45" s="99"/>
      <c r="F45" s="99"/>
      <c r="G45" s="39"/>
    </row>
    <row r="46" spans="1:10" x14ac:dyDescent="0.25">
      <c r="A46" s="7" t="s">
        <v>131</v>
      </c>
      <c r="B46" s="40"/>
      <c r="C46" s="41">
        <f>SUM(F2:F42)</f>
        <v>82639.099999999991</v>
      </c>
      <c r="D46" s="42"/>
      <c r="E46" s="43" t="s">
        <v>132</v>
      </c>
      <c r="F46" s="44"/>
      <c r="G46" s="39"/>
      <c r="H46" s="45" t="s">
        <v>62</v>
      </c>
      <c r="I46" s="46">
        <v>24</v>
      </c>
      <c r="J46" s="47" t="s">
        <v>81</v>
      </c>
    </row>
    <row r="47" spans="1:10" x14ac:dyDescent="0.25">
      <c r="A47" s="7"/>
      <c r="B47" s="40"/>
      <c r="C47" s="41"/>
      <c r="D47" s="42"/>
      <c r="E47" s="48" t="s">
        <v>133</v>
      </c>
      <c r="F47" s="49">
        <v>82639.099999999991</v>
      </c>
      <c r="G47" s="39"/>
      <c r="H47" s="48" t="s">
        <v>99</v>
      </c>
      <c r="I47" s="50">
        <v>4</v>
      </c>
      <c r="J47" s="51">
        <f>I47/I$46</f>
        <v>0.16666666666666666</v>
      </c>
    </row>
    <row r="48" spans="1:10" ht="15.75" thickBot="1" x14ac:dyDescent="0.3">
      <c r="A48" s="7" t="s">
        <v>134</v>
      </c>
      <c r="B48" s="40"/>
      <c r="C48" s="52">
        <v>25</v>
      </c>
      <c r="D48" s="42"/>
      <c r="E48" s="53" t="s">
        <v>135</v>
      </c>
      <c r="F48" s="54">
        <f>C46/C48</f>
        <v>3305.5639999999999</v>
      </c>
      <c r="G48" s="39"/>
      <c r="H48" s="48" t="s">
        <v>100</v>
      </c>
      <c r="I48" s="50">
        <v>19</v>
      </c>
      <c r="J48" s="51">
        <f>I48/I$46</f>
        <v>0.79166666666666663</v>
      </c>
    </row>
    <row r="49" spans="1:10" ht="15.75" thickBot="1" x14ac:dyDescent="0.3">
      <c r="A49" s="7" t="s">
        <v>136</v>
      </c>
      <c r="B49" s="40"/>
      <c r="C49">
        <v>41</v>
      </c>
      <c r="D49" s="42"/>
      <c r="E49" s="42"/>
      <c r="F49" s="14"/>
      <c r="G49" s="39"/>
      <c r="H49" s="53" t="s">
        <v>101</v>
      </c>
      <c r="I49" s="55">
        <v>1</v>
      </c>
      <c r="J49" s="56">
        <f>I49/I$46</f>
        <v>4.1666666666666664E-2</v>
      </c>
    </row>
    <row r="50" spans="1:10" x14ac:dyDescent="0.25">
      <c r="A50" s="7"/>
      <c r="B50" s="40"/>
      <c r="D50" s="42" t="s">
        <v>81</v>
      </c>
      <c r="E50" s="43" t="s">
        <v>137</v>
      </c>
      <c r="F50" s="44"/>
      <c r="G50" s="39"/>
    </row>
    <row r="51" spans="1:10" ht="15.75" thickBot="1" x14ac:dyDescent="0.3">
      <c r="A51" s="7" t="s">
        <v>138</v>
      </c>
      <c r="B51" s="40"/>
      <c r="C51">
        <v>35</v>
      </c>
      <c r="D51" s="42" t="s">
        <v>81</v>
      </c>
      <c r="E51" s="48" t="s">
        <v>139</v>
      </c>
      <c r="F51" s="51">
        <f>C51/C49</f>
        <v>0.85365853658536583</v>
      </c>
      <c r="G51" s="39"/>
    </row>
    <row r="52" spans="1:10" ht="15.75" thickBot="1" x14ac:dyDescent="0.3">
      <c r="A52" s="7" t="s">
        <v>140</v>
      </c>
      <c r="B52" s="40"/>
      <c r="C52">
        <v>6</v>
      </c>
      <c r="D52" s="42"/>
      <c r="E52" s="53" t="s">
        <v>141</v>
      </c>
      <c r="F52" s="56">
        <f>C52/C49</f>
        <v>0.14634146341463414</v>
      </c>
      <c r="G52" s="39"/>
      <c r="H52" s="45" t="s">
        <v>142</v>
      </c>
      <c r="I52" s="46">
        <v>28</v>
      </c>
      <c r="J52" s="47" t="s">
        <v>81</v>
      </c>
    </row>
    <row r="53" spans="1:10" ht="15.75" thickBot="1" x14ac:dyDescent="0.3">
      <c r="A53" s="7"/>
      <c r="B53" s="40"/>
      <c r="D53" s="42"/>
      <c r="E53" s="42"/>
      <c r="F53" s="14"/>
      <c r="G53" s="39"/>
      <c r="H53" s="57" t="s">
        <v>143</v>
      </c>
      <c r="I53" s="50">
        <v>11</v>
      </c>
      <c r="J53" s="51">
        <f>I53/I$52</f>
        <v>0.39285714285714285</v>
      </c>
    </row>
    <row r="54" spans="1:10" x14ac:dyDescent="0.25">
      <c r="A54" s="7" t="s">
        <v>144</v>
      </c>
      <c r="B54" s="40"/>
      <c r="D54" s="42"/>
      <c r="E54" s="43" t="s">
        <v>48</v>
      </c>
      <c r="F54" s="44"/>
      <c r="G54" s="39"/>
      <c r="H54" s="57" t="s">
        <v>145</v>
      </c>
      <c r="I54" s="50">
        <v>13</v>
      </c>
      <c r="J54" s="51">
        <f>I54/I$52</f>
        <v>0.4642857142857143</v>
      </c>
    </row>
    <row r="55" spans="1:10" ht="15.75" thickBot="1" x14ac:dyDescent="0.3">
      <c r="A55" s="7" t="s">
        <v>61</v>
      </c>
      <c r="B55" s="40"/>
      <c r="C55">
        <v>3</v>
      </c>
      <c r="D55" s="42"/>
      <c r="E55" s="58" t="s">
        <v>61</v>
      </c>
      <c r="F55" s="51">
        <f>C55/C$64</f>
        <v>3.2967032967032968E-2</v>
      </c>
      <c r="G55" s="39"/>
      <c r="H55" s="22" t="s">
        <v>146</v>
      </c>
      <c r="I55" s="55">
        <v>4</v>
      </c>
      <c r="J55" s="56">
        <f>I55/I$52</f>
        <v>0.14285714285714285</v>
      </c>
    </row>
    <row r="56" spans="1:10" ht="15.75" thickBot="1" x14ac:dyDescent="0.3">
      <c r="A56" s="7" t="s">
        <v>62</v>
      </c>
      <c r="B56" s="40"/>
      <c r="C56">
        <v>24</v>
      </c>
      <c r="D56" s="42"/>
      <c r="E56" s="58" t="s">
        <v>62</v>
      </c>
      <c r="F56" s="51">
        <f t="shared" ref="F56:F63" si="0">C56/C$64</f>
        <v>0.26373626373626374</v>
      </c>
      <c r="G56" s="39"/>
    </row>
    <row r="57" spans="1:10" x14ac:dyDescent="0.25">
      <c r="A57" s="7" t="s">
        <v>63</v>
      </c>
      <c r="B57" s="40"/>
      <c r="C57">
        <v>28</v>
      </c>
      <c r="D57" s="42"/>
      <c r="E57" s="58" t="s">
        <v>63</v>
      </c>
      <c r="F57" s="51">
        <f t="shared" si="0"/>
        <v>0.30769230769230771</v>
      </c>
      <c r="G57" s="42" t="s">
        <v>81</v>
      </c>
      <c r="H57" s="45" t="s">
        <v>147</v>
      </c>
      <c r="I57" s="46">
        <v>6</v>
      </c>
      <c r="J57" s="44">
        <f t="shared" ref="J57:J68" si="1">I57/I$52</f>
        <v>0.21428571428571427</v>
      </c>
    </row>
    <row r="58" spans="1:10" x14ac:dyDescent="0.25">
      <c r="A58" s="7" t="s">
        <v>64</v>
      </c>
      <c r="B58" s="40"/>
      <c r="C58">
        <v>0</v>
      </c>
      <c r="D58" s="42"/>
      <c r="E58" s="58" t="s">
        <v>64</v>
      </c>
      <c r="F58" s="51">
        <f t="shared" si="0"/>
        <v>0</v>
      </c>
      <c r="G58" s="39"/>
      <c r="H58" s="57" t="s">
        <v>148</v>
      </c>
      <c r="I58" s="59">
        <v>3</v>
      </c>
      <c r="J58" s="51">
        <f t="shared" si="1"/>
        <v>0.10714285714285714</v>
      </c>
    </row>
    <row r="59" spans="1:10" x14ac:dyDescent="0.25">
      <c r="A59" s="7" t="s">
        <v>65</v>
      </c>
      <c r="B59" s="40"/>
      <c r="C59">
        <v>8</v>
      </c>
      <c r="D59" s="42"/>
      <c r="E59" s="58" t="s">
        <v>65</v>
      </c>
      <c r="F59" s="51">
        <f t="shared" si="0"/>
        <v>8.7912087912087919E-2</v>
      </c>
      <c r="G59" s="39"/>
      <c r="H59" s="57" t="s">
        <v>149</v>
      </c>
      <c r="I59" s="59">
        <v>2</v>
      </c>
      <c r="J59" s="51">
        <f t="shared" si="1"/>
        <v>7.1428571428571425E-2</v>
      </c>
    </row>
    <row r="60" spans="1:10" x14ac:dyDescent="0.25">
      <c r="A60" s="7" t="s">
        <v>66</v>
      </c>
      <c r="B60" s="40"/>
      <c r="C60">
        <v>4</v>
      </c>
      <c r="D60" s="42"/>
      <c r="E60" s="58" t="s">
        <v>66</v>
      </c>
      <c r="F60" s="51">
        <f t="shared" si="0"/>
        <v>4.3956043956043959E-2</v>
      </c>
      <c r="G60" s="39"/>
      <c r="H60" s="57" t="s">
        <v>150</v>
      </c>
      <c r="I60" s="59">
        <v>0</v>
      </c>
      <c r="J60" s="51">
        <f t="shared" si="1"/>
        <v>0</v>
      </c>
    </row>
    <row r="61" spans="1:10" x14ac:dyDescent="0.25">
      <c r="A61" s="7" t="s">
        <v>67</v>
      </c>
      <c r="B61" s="40"/>
      <c r="C61">
        <v>11</v>
      </c>
      <c r="D61" s="42"/>
      <c r="E61" s="58" t="s">
        <v>67</v>
      </c>
      <c r="F61" s="51">
        <f t="shared" si="0"/>
        <v>0.12087912087912088</v>
      </c>
      <c r="G61" s="39"/>
      <c r="H61" s="57" t="s">
        <v>151</v>
      </c>
      <c r="I61" s="59">
        <v>4</v>
      </c>
      <c r="J61" s="51">
        <f t="shared" si="1"/>
        <v>0.14285714285714285</v>
      </c>
    </row>
    <row r="62" spans="1:10" x14ac:dyDescent="0.25">
      <c r="A62" s="7" t="s">
        <v>68</v>
      </c>
      <c r="B62" s="40"/>
      <c r="C62">
        <v>1</v>
      </c>
      <c r="D62" s="42"/>
      <c r="E62" s="58" t="s">
        <v>68</v>
      </c>
      <c r="F62" s="51">
        <f t="shared" si="0"/>
        <v>1.098901098901099E-2</v>
      </c>
      <c r="G62" s="39"/>
      <c r="H62" s="57" t="s">
        <v>152</v>
      </c>
      <c r="I62" s="59">
        <v>7</v>
      </c>
      <c r="J62" s="51">
        <f t="shared" si="1"/>
        <v>0.25</v>
      </c>
    </row>
    <row r="63" spans="1:10" ht="15.75" thickBot="1" x14ac:dyDescent="0.3">
      <c r="A63" s="7" t="s">
        <v>69</v>
      </c>
      <c r="B63" s="40"/>
      <c r="C63">
        <v>12</v>
      </c>
      <c r="D63" s="42"/>
      <c r="E63" s="60" t="s">
        <v>69</v>
      </c>
      <c r="F63" s="56">
        <f t="shared" si="0"/>
        <v>0.13186813186813187</v>
      </c>
      <c r="G63" s="42" t="s">
        <v>81</v>
      </c>
      <c r="H63" s="61" t="s">
        <v>153</v>
      </c>
      <c r="I63" s="59">
        <v>2</v>
      </c>
      <c r="J63" s="51">
        <f t="shared" si="1"/>
        <v>7.1428571428571425E-2</v>
      </c>
    </row>
    <row r="64" spans="1:10" ht="15.75" thickBot="1" x14ac:dyDescent="0.3">
      <c r="A64" s="7" t="s">
        <v>154</v>
      </c>
      <c r="B64" s="40"/>
      <c r="C64">
        <f>SUM(C55:C63)</f>
        <v>91</v>
      </c>
      <c r="D64" s="42"/>
      <c r="E64" s="7"/>
      <c r="F64" s="14"/>
      <c r="G64" s="39"/>
      <c r="H64" s="61" t="s">
        <v>155</v>
      </c>
      <c r="I64" s="59">
        <v>4</v>
      </c>
      <c r="J64" s="51">
        <f t="shared" si="1"/>
        <v>0.14285714285714285</v>
      </c>
    </row>
    <row r="65" spans="1:10" x14ac:dyDescent="0.25">
      <c r="A65" s="7"/>
      <c r="B65" s="40"/>
      <c r="D65" s="42"/>
      <c r="E65" s="62" t="s">
        <v>70</v>
      </c>
      <c r="F65" s="44"/>
      <c r="G65" s="39"/>
      <c r="H65" s="61" t="s">
        <v>156</v>
      </c>
      <c r="I65" s="59">
        <v>0</v>
      </c>
      <c r="J65" s="51">
        <f t="shared" si="1"/>
        <v>0</v>
      </c>
    </row>
    <row r="66" spans="1:10" x14ac:dyDescent="0.25">
      <c r="A66" s="7" t="s">
        <v>157</v>
      </c>
      <c r="B66" s="40"/>
      <c r="D66" s="42"/>
      <c r="E66" s="58" t="s">
        <v>71</v>
      </c>
      <c r="F66" s="51">
        <f>C67/C$77</f>
        <v>0.40404040404040403</v>
      </c>
      <c r="G66" s="39"/>
      <c r="H66" s="57" t="s">
        <v>158</v>
      </c>
      <c r="I66" s="59">
        <v>0</v>
      </c>
      <c r="J66" s="51">
        <f t="shared" si="1"/>
        <v>0</v>
      </c>
    </row>
    <row r="67" spans="1:10" x14ac:dyDescent="0.25">
      <c r="A67" s="7" t="s">
        <v>71</v>
      </c>
      <c r="B67" s="40"/>
      <c r="C67">
        <v>40</v>
      </c>
      <c r="D67" s="42"/>
      <c r="E67" s="58" t="s">
        <v>72</v>
      </c>
      <c r="F67" s="51">
        <f t="shared" ref="F67:F75" si="2">C68/C$77</f>
        <v>0.27272727272727271</v>
      </c>
      <c r="G67" s="39"/>
      <c r="H67" s="61" t="s">
        <v>159</v>
      </c>
      <c r="I67" s="59">
        <v>0</v>
      </c>
      <c r="J67" s="51">
        <f t="shared" si="1"/>
        <v>0</v>
      </c>
    </row>
    <row r="68" spans="1:10" ht="15.75" thickBot="1" x14ac:dyDescent="0.3">
      <c r="A68" s="7" t="s">
        <v>72</v>
      </c>
      <c r="B68" s="40"/>
      <c r="C68">
        <v>27</v>
      </c>
      <c r="D68" s="42"/>
      <c r="E68" s="58" t="s">
        <v>73</v>
      </c>
      <c r="F68" s="51">
        <f t="shared" si="2"/>
        <v>0.12121212121212122</v>
      </c>
      <c r="G68" s="39"/>
      <c r="H68" s="63" t="s">
        <v>160</v>
      </c>
      <c r="I68" s="55">
        <v>0</v>
      </c>
      <c r="J68" s="56">
        <f t="shared" si="1"/>
        <v>0</v>
      </c>
    </row>
    <row r="69" spans="1:10" x14ac:dyDescent="0.25">
      <c r="A69" s="7" t="s">
        <v>73</v>
      </c>
      <c r="B69" s="40"/>
      <c r="C69">
        <v>12</v>
      </c>
      <c r="D69" s="42"/>
      <c r="E69" s="58" t="s">
        <v>74</v>
      </c>
      <c r="F69" s="51">
        <f t="shared" si="2"/>
        <v>3.0303030303030304E-2</v>
      </c>
      <c r="G69" s="39"/>
    </row>
    <row r="70" spans="1:10" ht="15.75" thickBot="1" x14ac:dyDescent="0.3">
      <c r="A70" s="7" t="s">
        <v>74</v>
      </c>
      <c r="B70" s="40"/>
      <c r="C70">
        <v>3</v>
      </c>
      <c r="D70" s="42"/>
      <c r="E70" s="58" t="s">
        <v>75</v>
      </c>
      <c r="F70" s="51">
        <f t="shared" si="2"/>
        <v>8.0808080808080815E-2</v>
      </c>
      <c r="G70" s="42" t="s">
        <v>81</v>
      </c>
    </row>
    <row r="71" spans="1:10" x14ac:dyDescent="0.25">
      <c r="A71" s="7" t="s">
        <v>75</v>
      </c>
      <c r="B71" s="40"/>
      <c r="C71">
        <v>8</v>
      </c>
      <c r="D71" s="42"/>
      <c r="E71" s="58" t="s">
        <v>76</v>
      </c>
      <c r="F71" s="51">
        <f t="shared" si="2"/>
        <v>0</v>
      </c>
      <c r="G71" s="39"/>
      <c r="H71" s="45" t="s">
        <v>65</v>
      </c>
      <c r="I71" s="46">
        <v>8</v>
      </c>
      <c r="J71" s="47" t="s">
        <v>81</v>
      </c>
    </row>
    <row r="72" spans="1:10" x14ac:dyDescent="0.25">
      <c r="A72" s="7" t="s">
        <v>76</v>
      </c>
      <c r="B72" s="40"/>
      <c r="C72">
        <v>0</v>
      </c>
      <c r="D72" s="42"/>
      <c r="E72" s="58" t="s">
        <v>77</v>
      </c>
      <c r="F72" s="51">
        <f t="shared" si="2"/>
        <v>0</v>
      </c>
      <c r="G72" s="39"/>
      <c r="H72" s="57" t="s">
        <v>161</v>
      </c>
      <c r="I72" s="50">
        <v>1</v>
      </c>
      <c r="J72" s="51">
        <f>I72/I$71</f>
        <v>0.125</v>
      </c>
    </row>
    <row r="73" spans="1:10" ht="15.75" thickBot="1" x14ac:dyDescent="0.3">
      <c r="A73" s="7" t="s">
        <v>77</v>
      </c>
      <c r="B73" s="40"/>
      <c r="C73">
        <v>0</v>
      </c>
      <c r="D73" s="42"/>
      <c r="E73" s="58" t="s">
        <v>78</v>
      </c>
      <c r="F73" s="51">
        <f t="shared" si="2"/>
        <v>0</v>
      </c>
      <c r="G73" s="39"/>
      <c r="H73" s="22" t="s">
        <v>103</v>
      </c>
      <c r="I73" s="55">
        <v>7</v>
      </c>
      <c r="J73" s="56">
        <f>I73/I$71</f>
        <v>0.875</v>
      </c>
    </row>
    <row r="74" spans="1:10" x14ac:dyDescent="0.25">
      <c r="A74" s="7" t="s">
        <v>78</v>
      </c>
      <c r="B74" s="40"/>
      <c r="C74">
        <v>0</v>
      </c>
      <c r="D74" s="42"/>
      <c r="E74" s="58" t="s">
        <v>79</v>
      </c>
      <c r="F74" s="51">
        <f t="shared" si="2"/>
        <v>1.0101010101010102E-2</v>
      </c>
      <c r="G74" s="39"/>
    </row>
    <row r="75" spans="1:10" ht="15.75" thickBot="1" x14ac:dyDescent="0.3">
      <c r="A75" s="7" t="s">
        <v>79</v>
      </c>
      <c r="B75" s="40"/>
      <c r="C75">
        <v>1</v>
      </c>
      <c r="D75" s="42"/>
      <c r="E75" s="60" t="s">
        <v>80</v>
      </c>
      <c r="F75" s="56">
        <f t="shared" si="2"/>
        <v>8.0808080808080815E-2</v>
      </c>
      <c r="G75" s="39"/>
    </row>
    <row r="76" spans="1:10" ht="15.75" thickBot="1" x14ac:dyDescent="0.3">
      <c r="A76" s="7" t="s">
        <v>80</v>
      </c>
      <c r="B76" s="40"/>
      <c r="C76">
        <v>8</v>
      </c>
      <c r="D76" s="42"/>
      <c r="E76" s="7"/>
      <c r="F76" s="14"/>
      <c r="G76" s="39"/>
      <c r="H76" s="45" t="s">
        <v>162</v>
      </c>
      <c r="I76" s="46">
        <v>4</v>
      </c>
      <c r="J76" s="47" t="s">
        <v>81</v>
      </c>
    </row>
    <row r="77" spans="1:10" x14ac:dyDescent="0.25">
      <c r="A77" s="7" t="s">
        <v>163</v>
      </c>
      <c r="B77" s="40"/>
      <c r="C77">
        <f>SUM(C67:C76)</f>
        <v>99</v>
      </c>
      <c r="D77" s="42"/>
      <c r="E77" s="62" t="s">
        <v>44</v>
      </c>
      <c r="F77" s="44"/>
      <c r="G77" s="39"/>
      <c r="H77" s="57" t="s">
        <v>164</v>
      </c>
      <c r="I77" s="50">
        <v>1</v>
      </c>
      <c r="J77" s="51">
        <f t="shared" ref="J77:J82" si="3">I77/I$76</f>
        <v>0.25</v>
      </c>
    </row>
    <row r="78" spans="1:10" x14ac:dyDescent="0.25">
      <c r="A78" s="7"/>
      <c r="B78" s="40"/>
      <c r="D78" s="42"/>
      <c r="E78" s="64" t="s">
        <v>165</v>
      </c>
      <c r="F78" s="51">
        <f>C79/C$49</f>
        <v>0.73170731707317072</v>
      </c>
      <c r="G78" s="39"/>
      <c r="H78" s="57" t="s">
        <v>166</v>
      </c>
      <c r="I78" s="50">
        <v>1</v>
      </c>
      <c r="J78" s="51">
        <f t="shared" si="3"/>
        <v>0.25</v>
      </c>
    </row>
    <row r="79" spans="1:10" x14ac:dyDescent="0.25">
      <c r="A79" s="7" t="s">
        <v>167</v>
      </c>
      <c r="B79" s="40"/>
      <c r="C79">
        <v>30</v>
      </c>
      <c r="D79" s="42"/>
      <c r="E79" s="64" t="s">
        <v>168</v>
      </c>
      <c r="F79" s="51">
        <f>C80/C$49</f>
        <v>4.878048780487805E-2</v>
      </c>
      <c r="G79" s="39"/>
      <c r="H79" s="57" t="s">
        <v>169</v>
      </c>
      <c r="I79" s="50">
        <v>0</v>
      </c>
      <c r="J79" s="51">
        <f t="shared" si="3"/>
        <v>0</v>
      </c>
    </row>
    <row r="80" spans="1:10" ht="15.75" thickBot="1" x14ac:dyDescent="0.3">
      <c r="A80" s="7" t="s">
        <v>170</v>
      </c>
      <c r="B80" s="40"/>
      <c r="C80">
        <v>2</v>
      </c>
      <c r="D80" s="42"/>
      <c r="E80" s="65" t="s">
        <v>171</v>
      </c>
      <c r="F80" s="56">
        <f>C81/C$49</f>
        <v>0.21951219512195122</v>
      </c>
      <c r="G80" s="39"/>
      <c r="H80" s="57" t="s">
        <v>172</v>
      </c>
      <c r="I80" s="50">
        <v>1</v>
      </c>
      <c r="J80" s="51">
        <f t="shared" si="3"/>
        <v>0.25</v>
      </c>
    </row>
    <row r="81" spans="1:10" ht="15.75" thickBot="1" x14ac:dyDescent="0.3">
      <c r="A81" s="7" t="s">
        <v>173</v>
      </c>
      <c r="B81" s="40"/>
      <c r="C81">
        <v>9</v>
      </c>
      <c r="D81" s="42"/>
      <c r="E81" s="66"/>
      <c r="F81" s="14"/>
      <c r="G81" s="42" t="s">
        <v>81</v>
      </c>
      <c r="H81" s="57" t="s">
        <v>174</v>
      </c>
      <c r="I81" s="59">
        <v>0</v>
      </c>
      <c r="J81" s="51">
        <f t="shared" si="3"/>
        <v>0</v>
      </c>
    </row>
    <row r="82" spans="1:10" ht="15.75" thickBot="1" x14ac:dyDescent="0.3">
      <c r="A82" s="7"/>
      <c r="B82" s="40"/>
      <c r="D82" s="42"/>
      <c r="E82" s="67" t="s">
        <v>137</v>
      </c>
      <c r="F82" s="44"/>
      <c r="G82" s="39"/>
      <c r="H82" s="22" t="s">
        <v>175</v>
      </c>
      <c r="I82" s="55">
        <v>1</v>
      </c>
      <c r="J82" s="56">
        <f t="shared" si="3"/>
        <v>0.25</v>
      </c>
    </row>
    <row r="83" spans="1:10" x14ac:dyDescent="0.25">
      <c r="A83" s="7" t="s">
        <v>137</v>
      </c>
      <c r="B83" s="40"/>
      <c r="D83" s="42"/>
      <c r="E83" s="58" t="s">
        <v>176</v>
      </c>
      <c r="F83" s="51">
        <f>C84/C$49</f>
        <v>0.68292682926829273</v>
      </c>
      <c r="G83" s="39"/>
    </row>
    <row r="84" spans="1:10" ht="15.75" thickBot="1" x14ac:dyDescent="0.3">
      <c r="A84" s="7" t="s">
        <v>177</v>
      </c>
      <c r="B84" s="40"/>
      <c r="C84">
        <v>28</v>
      </c>
      <c r="D84" s="42"/>
      <c r="E84" s="60" t="s">
        <v>178</v>
      </c>
      <c r="F84" s="56">
        <f>C85/C$49</f>
        <v>0.31707317073170732</v>
      </c>
      <c r="G84" s="39"/>
    </row>
    <row r="85" spans="1:10" ht="15.75" thickBot="1" x14ac:dyDescent="0.3">
      <c r="A85" s="7" t="s">
        <v>178</v>
      </c>
      <c r="B85" s="40"/>
      <c r="C85">
        <v>13</v>
      </c>
      <c r="D85" s="42"/>
      <c r="E85" s="68"/>
      <c r="F85" s="69"/>
      <c r="G85" s="39"/>
      <c r="H85" s="45" t="s">
        <v>67</v>
      </c>
      <c r="I85" s="46">
        <v>11</v>
      </c>
      <c r="J85" s="47" t="s">
        <v>81</v>
      </c>
    </row>
    <row r="86" spans="1:10" x14ac:dyDescent="0.25">
      <c r="A86" s="7"/>
      <c r="B86" s="40"/>
      <c r="D86" s="42"/>
      <c r="E86" s="45" t="s">
        <v>179</v>
      </c>
      <c r="F86" s="44"/>
      <c r="G86" s="39"/>
      <c r="H86" s="57" t="s">
        <v>104</v>
      </c>
      <c r="I86" s="59">
        <v>1</v>
      </c>
      <c r="J86" s="51">
        <f>I86/I$85</f>
        <v>9.0909090909090912E-2</v>
      </c>
    </row>
    <row r="87" spans="1:10" x14ac:dyDescent="0.25">
      <c r="A87" t="s">
        <v>179</v>
      </c>
      <c r="D87" s="42"/>
      <c r="E87" s="57" t="s">
        <v>180</v>
      </c>
      <c r="F87" s="51">
        <f>C88/C$85</f>
        <v>0.84615384615384615</v>
      </c>
      <c r="G87" s="39"/>
      <c r="H87" s="57" t="s">
        <v>105</v>
      </c>
      <c r="I87" s="50">
        <v>3</v>
      </c>
      <c r="J87" s="51">
        <f>I87/I$85</f>
        <v>0.27272727272727271</v>
      </c>
    </row>
    <row r="88" spans="1:10" ht="15.75" thickBot="1" x14ac:dyDescent="0.3">
      <c r="A88" t="s">
        <v>180</v>
      </c>
      <c r="C88">
        <v>11</v>
      </c>
      <c r="D88" s="42"/>
      <c r="E88" s="22" t="s">
        <v>181</v>
      </c>
      <c r="F88" s="56">
        <f>C89/C$85</f>
        <v>0.15384615384615385</v>
      </c>
      <c r="G88" s="39"/>
      <c r="H88" s="57" t="s">
        <v>106</v>
      </c>
      <c r="I88" s="50">
        <v>4</v>
      </c>
      <c r="J88" s="51">
        <f>I88/I$85</f>
        <v>0.36363636363636365</v>
      </c>
    </row>
    <row r="89" spans="1:10" ht="15.75" thickBot="1" x14ac:dyDescent="0.3">
      <c r="A89" t="s">
        <v>181</v>
      </c>
      <c r="C89">
        <v>2</v>
      </c>
      <c r="D89" s="42"/>
      <c r="E89" s="68"/>
      <c r="F89" s="69"/>
      <c r="G89" s="39"/>
      <c r="H89" s="57" t="s">
        <v>107</v>
      </c>
      <c r="I89" s="59">
        <v>0</v>
      </c>
      <c r="J89" s="51">
        <f>I89/I$85</f>
        <v>0</v>
      </c>
    </row>
    <row r="90" spans="1:10" ht="15.75" thickBot="1" x14ac:dyDescent="0.3">
      <c r="A90" s="7"/>
      <c r="B90" s="40"/>
      <c r="D90" s="42"/>
      <c r="E90" s="62" t="s">
        <v>182</v>
      </c>
      <c r="F90" s="44"/>
      <c r="G90" s="39"/>
      <c r="H90" s="22" t="s">
        <v>108</v>
      </c>
      <c r="I90" s="55">
        <v>3</v>
      </c>
      <c r="J90" s="56">
        <f>I90/I$85</f>
        <v>0.27272727272727271</v>
      </c>
    </row>
    <row r="91" spans="1:10" x14ac:dyDescent="0.25">
      <c r="A91" s="7" t="s">
        <v>183</v>
      </c>
      <c r="B91" s="40"/>
      <c r="D91" s="42"/>
      <c r="E91" s="58" t="s">
        <v>121</v>
      </c>
      <c r="F91" s="51">
        <f t="shared" ref="F91:F96" si="4">C92/C$49</f>
        <v>0.63414634146341464</v>
      </c>
      <c r="G91" s="39"/>
    </row>
    <row r="92" spans="1:10" ht="15.75" thickBot="1" x14ac:dyDescent="0.3">
      <c r="A92" s="7" t="s">
        <v>121</v>
      </c>
      <c r="B92" s="40"/>
      <c r="C92">
        <v>26</v>
      </c>
      <c r="D92" s="42"/>
      <c r="E92" s="48" t="s">
        <v>122</v>
      </c>
      <c r="F92" s="51">
        <f t="shared" si="4"/>
        <v>2.4390243902439025E-2</v>
      </c>
      <c r="G92" s="39"/>
    </row>
    <row r="93" spans="1:10" x14ac:dyDescent="0.25">
      <c r="A93" s="7" t="s">
        <v>122</v>
      </c>
      <c r="B93" s="40"/>
      <c r="C93">
        <v>1</v>
      </c>
      <c r="D93" s="42"/>
      <c r="E93" s="48" t="s">
        <v>123</v>
      </c>
      <c r="F93" s="51">
        <f t="shared" si="4"/>
        <v>0</v>
      </c>
      <c r="G93" s="39"/>
      <c r="H93" s="45" t="s">
        <v>69</v>
      </c>
      <c r="I93" s="46">
        <v>12</v>
      </c>
      <c r="J93" s="47" t="s">
        <v>81</v>
      </c>
    </row>
    <row r="94" spans="1:10" x14ac:dyDescent="0.25">
      <c r="A94" s="7" t="s">
        <v>123</v>
      </c>
      <c r="B94" s="40"/>
      <c r="C94">
        <v>0</v>
      </c>
      <c r="D94" s="42"/>
      <c r="E94" s="48" t="s">
        <v>124</v>
      </c>
      <c r="F94" s="51">
        <f t="shared" si="4"/>
        <v>0</v>
      </c>
      <c r="G94" s="39"/>
      <c r="H94" s="57" t="s">
        <v>109</v>
      </c>
      <c r="I94" s="50">
        <v>4</v>
      </c>
      <c r="J94" s="51">
        <f>I94/I$93</f>
        <v>0.33333333333333331</v>
      </c>
    </row>
    <row r="95" spans="1:10" x14ac:dyDescent="0.25">
      <c r="A95" s="7" t="s">
        <v>124</v>
      </c>
      <c r="B95" s="40"/>
      <c r="C95">
        <v>0</v>
      </c>
      <c r="D95" s="42"/>
      <c r="E95" s="48" t="s">
        <v>125</v>
      </c>
      <c r="F95" s="51">
        <f t="shared" si="4"/>
        <v>0.31707317073170732</v>
      </c>
      <c r="G95" s="39"/>
      <c r="H95" s="57" t="s">
        <v>110</v>
      </c>
      <c r="I95" s="50">
        <v>3</v>
      </c>
      <c r="J95" s="51">
        <f t="shared" ref="J95:J103" si="5">I95/I$93</f>
        <v>0.25</v>
      </c>
    </row>
    <row r="96" spans="1:10" ht="15.75" thickBot="1" x14ac:dyDescent="0.3">
      <c r="A96" s="7" t="s">
        <v>125</v>
      </c>
      <c r="B96" s="40"/>
      <c r="C96">
        <v>13</v>
      </c>
      <c r="D96" s="42"/>
      <c r="E96" s="53" t="s">
        <v>69</v>
      </c>
      <c r="F96" s="56">
        <f t="shared" si="4"/>
        <v>2.4390243902439025E-2</v>
      </c>
      <c r="G96" s="39"/>
      <c r="H96" s="57" t="s">
        <v>111</v>
      </c>
      <c r="I96" s="50">
        <v>0</v>
      </c>
      <c r="J96" s="51">
        <f t="shared" si="5"/>
        <v>0</v>
      </c>
    </row>
    <row r="97" spans="1:10" ht="15.75" thickBot="1" x14ac:dyDescent="0.3">
      <c r="A97" s="7" t="s">
        <v>69</v>
      </c>
      <c r="B97" s="40"/>
      <c r="C97">
        <v>1</v>
      </c>
      <c r="D97" s="42"/>
      <c r="E97" s="42"/>
      <c r="F97" s="14"/>
      <c r="G97" s="39"/>
      <c r="H97" s="57" t="s">
        <v>112</v>
      </c>
      <c r="I97" s="59">
        <v>0</v>
      </c>
      <c r="J97" s="51">
        <f t="shared" si="5"/>
        <v>0</v>
      </c>
    </row>
    <row r="98" spans="1:10" x14ac:dyDescent="0.25">
      <c r="A98" s="7"/>
      <c r="B98" s="40"/>
      <c r="D98" s="42"/>
      <c r="E98" s="43" t="s">
        <v>184</v>
      </c>
      <c r="F98" s="44"/>
      <c r="G98" s="39"/>
      <c r="H98" s="57" t="s">
        <v>113</v>
      </c>
      <c r="I98" s="59">
        <v>4</v>
      </c>
      <c r="J98" s="51">
        <f t="shared" si="5"/>
        <v>0.33333333333333331</v>
      </c>
    </row>
    <row r="99" spans="1:10" x14ac:dyDescent="0.25">
      <c r="A99" s="7" t="s">
        <v>185</v>
      </c>
      <c r="B99" s="40"/>
      <c r="D99" s="42"/>
      <c r="E99" s="48" t="s">
        <v>186</v>
      </c>
      <c r="F99" s="51">
        <f>C100/C$49</f>
        <v>0.6097560975609756</v>
      </c>
      <c r="G99" s="39"/>
      <c r="H99" s="70" t="s">
        <v>114</v>
      </c>
      <c r="I99" s="59">
        <v>0</v>
      </c>
      <c r="J99" s="51">
        <f t="shared" si="5"/>
        <v>0</v>
      </c>
    </row>
    <row r="100" spans="1:10" x14ac:dyDescent="0.25">
      <c r="A100" s="7" t="s">
        <v>186</v>
      </c>
      <c r="B100" s="40"/>
      <c r="C100">
        <v>25</v>
      </c>
      <c r="D100" s="42"/>
      <c r="E100" s="48" t="s">
        <v>187</v>
      </c>
      <c r="F100" s="51">
        <f>C101/C$49</f>
        <v>0.31707317073170732</v>
      </c>
      <c r="G100" s="39"/>
      <c r="H100" s="70" t="s">
        <v>115</v>
      </c>
      <c r="I100" s="59">
        <v>1</v>
      </c>
      <c r="J100" s="51">
        <f t="shared" si="5"/>
        <v>8.3333333333333329E-2</v>
      </c>
    </row>
    <row r="101" spans="1:10" x14ac:dyDescent="0.25">
      <c r="A101" s="7" t="s">
        <v>187</v>
      </c>
      <c r="B101" s="40"/>
      <c r="C101">
        <v>13</v>
      </c>
      <c r="D101" s="42"/>
      <c r="E101" s="48" t="s">
        <v>188</v>
      </c>
      <c r="F101" s="51">
        <f>C102/C$49</f>
        <v>4.878048780487805E-2</v>
      </c>
      <c r="G101" s="39"/>
      <c r="H101" s="70" t="s">
        <v>116</v>
      </c>
      <c r="I101" s="59">
        <v>0</v>
      </c>
      <c r="J101" s="51">
        <f t="shared" si="5"/>
        <v>0</v>
      </c>
    </row>
    <row r="102" spans="1:10" x14ac:dyDescent="0.25">
      <c r="A102" s="7" t="s">
        <v>188</v>
      </c>
      <c r="B102" s="40"/>
      <c r="C102">
        <v>2</v>
      </c>
      <c r="D102" s="42"/>
      <c r="E102" s="48" t="s">
        <v>189</v>
      </c>
      <c r="F102" s="51">
        <f>C103/C$49</f>
        <v>0</v>
      </c>
      <c r="G102" s="39"/>
      <c r="H102" s="70" t="s">
        <v>117</v>
      </c>
      <c r="I102" s="59">
        <v>0</v>
      </c>
      <c r="J102" s="51">
        <f t="shared" si="5"/>
        <v>0</v>
      </c>
    </row>
    <row r="103" spans="1:10" ht="15.75" thickBot="1" x14ac:dyDescent="0.3">
      <c r="A103" s="7" t="s">
        <v>189</v>
      </c>
      <c r="B103" s="40"/>
      <c r="C103">
        <v>0</v>
      </c>
      <c r="E103" s="53" t="s">
        <v>190</v>
      </c>
      <c r="F103" s="56">
        <f>C104/C$49</f>
        <v>0</v>
      </c>
      <c r="H103" s="71" t="s">
        <v>118</v>
      </c>
      <c r="I103" s="55">
        <v>0</v>
      </c>
      <c r="J103" s="56">
        <f t="shared" si="5"/>
        <v>0</v>
      </c>
    </row>
    <row r="104" spans="1:10" x14ac:dyDescent="0.25">
      <c r="A104" s="7" t="s">
        <v>190</v>
      </c>
      <c r="B104" s="40"/>
      <c r="C104">
        <v>0</v>
      </c>
      <c r="E104" s="42"/>
      <c r="F104" s="14"/>
    </row>
    <row r="105" spans="1:10" x14ac:dyDescent="0.25">
      <c r="A105" s="7" t="s">
        <v>191</v>
      </c>
      <c r="B105" s="40"/>
      <c r="C105">
        <v>1</v>
      </c>
      <c r="E105" s="42"/>
      <c r="F105" s="14"/>
    </row>
    <row r="106" spans="1:10" x14ac:dyDescent="0.25">
      <c r="A106" s="7"/>
      <c r="B106" s="40"/>
      <c r="E106" s="42"/>
      <c r="F106" s="14"/>
    </row>
    <row r="107" spans="1:10" ht="15.75" thickBot="1" x14ac:dyDescent="0.3"/>
    <row r="108" spans="1:10" x14ac:dyDescent="0.25">
      <c r="A108" s="72" t="s">
        <v>7</v>
      </c>
      <c r="B108" s="91">
        <f>SUM(B109:B112)</f>
        <v>82639.099999999991</v>
      </c>
    </row>
    <row r="109" spans="1:10" x14ac:dyDescent="0.25">
      <c r="A109" s="74" t="s">
        <v>121</v>
      </c>
      <c r="B109" s="75">
        <f>SUM(F3:F6,F8:F11,F15,F17,F22:F25,F28:F29,F31:F32,F35:F39,F41:F42)</f>
        <v>44548.32</v>
      </c>
    </row>
    <row r="110" spans="1:10" x14ac:dyDescent="0.25">
      <c r="A110" s="74" t="s">
        <v>192</v>
      </c>
      <c r="B110" s="75">
        <f>SUM(F2,F7,F12:F13,F16,F18:F21,F26:F27,F30,F40)</f>
        <v>29380.58</v>
      </c>
    </row>
    <row r="111" spans="1:10" x14ac:dyDescent="0.25">
      <c r="A111" s="74" t="s">
        <v>193</v>
      </c>
      <c r="B111" s="75">
        <f>SUM(F14,F34)</f>
        <v>2241</v>
      </c>
    </row>
    <row r="112" spans="1:10" x14ac:dyDescent="0.25">
      <c r="A112" s="74" t="s">
        <v>69</v>
      </c>
      <c r="B112" s="76">
        <v>6469.2</v>
      </c>
    </row>
    <row r="113" spans="1:2" ht="15.75" thickBot="1" x14ac:dyDescent="0.3">
      <c r="A113" s="77"/>
      <c r="B113" s="78"/>
    </row>
  </sheetData>
  <mergeCells count="1">
    <mergeCell ref="A45:F4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topLeftCell="A15" workbookViewId="0">
      <selection activeCell="A33" sqref="A33:XFD33"/>
    </sheetView>
  </sheetViews>
  <sheetFormatPr baseColWidth="10" defaultRowHeight="15" x14ac:dyDescent="0.25"/>
  <cols>
    <col min="2" max="2" width="34.140625" customWidth="1"/>
    <col min="3" max="3" width="12.7109375" customWidth="1"/>
    <col min="4" max="4" width="5.28515625" customWidth="1"/>
    <col min="5" max="5" width="7.28515625" customWidth="1"/>
    <col min="6" max="6" width="12.28515625" customWidth="1"/>
    <col min="7" max="7" width="34.42578125" customWidth="1"/>
  </cols>
  <sheetData>
    <row r="1" spans="1:8" ht="15" customHeight="1" x14ac:dyDescent="0.25">
      <c r="A1" s="3" t="s">
        <v>2</v>
      </c>
      <c r="B1" s="4" t="s">
        <v>3</v>
      </c>
      <c r="C1" s="4" t="s">
        <v>5</v>
      </c>
      <c r="D1" s="4" t="s">
        <v>22</v>
      </c>
      <c r="E1" s="8" t="s">
        <v>6</v>
      </c>
      <c r="F1" s="5" t="s">
        <v>8</v>
      </c>
      <c r="G1" s="6" t="s">
        <v>9</v>
      </c>
      <c r="H1" s="1" t="s">
        <v>10</v>
      </c>
    </row>
    <row r="2" spans="1:8" x14ac:dyDescent="0.25">
      <c r="A2" s="40">
        <v>45049</v>
      </c>
      <c r="B2" s="89" t="s">
        <v>1046</v>
      </c>
      <c r="C2" s="89" t="s">
        <v>186</v>
      </c>
      <c r="D2" t="s">
        <v>139</v>
      </c>
      <c r="E2" s="89" t="s">
        <v>197</v>
      </c>
      <c r="F2" s="38">
        <v>3144</v>
      </c>
      <c r="G2" s="89" t="s">
        <v>1049</v>
      </c>
      <c r="H2" s="89" t="s">
        <v>1050</v>
      </c>
    </row>
    <row r="3" spans="1:8" x14ac:dyDescent="0.25">
      <c r="A3" s="40">
        <v>45049</v>
      </c>
      <c r="B3" s="89" t="s">
        <v>1051</v>
      </c>
      <c r="C3" s="89" t="s">
        <v>186</v>
      </c>
      <c r="D3" s="89" t="s">
        <v>139</v>
      </c>
      <c r="E3" s="89" t="s">
        <v>193</v>
      </c>
      <c r="F3" s="38">
        <v>2214</v>
      </c>
      <c r="G3" s="89" t="s">
        <v>1054</v>
      </c>
      <c r="H3" s="89" t="s">
        <v>349</v>
      </c>
    </row>
    <row r="4" spans="1:8" x14ac:dyDescent="0.25">
      <c r="A4" s="40">
        <v>45050</v>
      </c>
      <c r="B4" s="89" t="s">
        <v>1059</v>
      </c>
      <c r="C4" s="89" t="s">
        <v>186</v>
      </c>
      <c r="D4" s="89" t="s">
        <v>139</v>
      </c>
      <c r="E4" s="89" t="s">
        <v>197</v>
      </c>
      <c r="F4" s="38">
        <v>1864</v>
      </c>
      <c r="G4" s="89" t="s">
        <v>1062</v>
      </c>
      <c r="H4" s="89" t="s">
        <v>1072</v>
      </c>
    </row>
    <row r="5" spans="1:8" x14ac:dyDescent="0.25">
      <c r="A5" s="40">
        <v>45052</v>
      </c>
      <c r="B5" s="89" t="s">
        <v>1069</v>
      </c>
      <c r="C5" s="89" t="s">
        <v>408</v>
      </c>
      <c r="D5" s="89" t="s">
        <v>139</v>
      </c>
      <c r="E5" s="89" t="s">
        <v>197</v>
      </c>
      <c r="F5" s="38">
        <v>946</v>
      </c>
      <c r="G5" s="89" t="s">
        <v>769</v>
      </c>
      <c r="H5" s="89" t="s">
        <v>1082</v>
      </c>
    </row>
    <row r="6" spans="1:8" x14ac:dyDescent="0.25">
      <c r="A6" s="40">
        <v>45052</v>
      </c>
      <c r="B6" s="89" t="s">
        <v>1073</v>
      </c>
      <c r="C6" s="89" t="s">
        <v>408</v>
      </c>
      <c r="D6" s="89" t="s">
        <v>139</v>
      </c>
      <c r="E6" s="89" t="s">
        <v>197</v>
      </c>
      <c r="F6" s="38">
        <v>1223</v>
      </c>
      <c r="G6" s="89" t="s">
        <v>1076</v>
      </c>
      <c r="H6" s="89" t="s">
        <v>1077</v>
      </c>
    </row>
    <row r="7" spans="1:8" x14ac:dyDescent="0.25">
      <c r="A7" s="40">
        <v>45054</v>
      </c>
      <c r="B7" s="89" t="s">
        <v>1079</v>
      </c>
      <c r="C7" s="89" t="s">
        <v>186</v>
      </c>
      <c r="D7" s="89" t="s">
        <v>139</v>
      </c>
      <c r="E7" s="89" t="s">
        <v>193</v>
      </c>
      <c r="F7" s="38">
        <v>3120</v>
      </c>
      <c r="G7" s="89" t="s">
        <v>309</v>
      </c>
      <c r="H7" s="89" t="s">
        <v>901</v>
      </c>
    </row>
    <row r="8" spans="1:8" s="89" customFormat="1" x14ac:dyDescent="0.25">
      <c r="A8" s="40">
        <v>45055</v>
      </c>
      <c r="B8" s="89" t="s">
        <v>1083</v>
      </c>
      <c r="C8" s="89" t="s">
        <v>186</v>
      </c>
      <c r="D8" s="89" t="s">
        <v>139</v>
      </c>
      <c r="E8" s="89" t="s">
        <v>1086</v>
      </c>
      <c r="F8" s="38">
        <v>1786</v>
      </c>
      <c r="G8" s="89" t="s">
        <v>1087</v>
      </c>
      <c r="H8" s="89" t="s">
        <v>1112</v>
      </c>
    </row>
    <row r="9" spans="1:8" s="89" customFormat="1" x14ac:dyDescent="0.25">
      <c r="A9" s="40">
        <v>45056</v>
      </c>
      <c r="B9" s="89" t="s">
        <v>1088</v>
      </c>
      <c r="C9" s="89" t="s">
        <v>186</v>
      </c>
      <c r="D9" s="89" t="s">
        <v>139</v>
      </c>
      <c r="E9" s="89" t="s">
        <v>192</v>
      </c>
      <c r="F9" s="38">
        <v>1987.2</v>
      </c>
      <c r="G9" s="89" t="s">
        <v>428</v>
      </c>
      <c r="H9" s="89" t="s">
        <v>1113</v>
      </c>
    </row>
    <row r="10" spans="1:8" s="89" customFormat="1" x14ac:dyDescent="0.25">
      <c r="A10" s="40">
        <v>45057</v>
      </c>
      <c r="B10" s="89" t="s">
        <v>1091</v>
      </c>
      <c r="C10" s="89" t="s">
        <v>186</v>
      </c>
      <c r="D10" s="89" t="s">
        <v>139</v>
      </c>
      <c r="E10" s="89" t="s">
        <v>192</v>
      </c>
      <c r="F10" s="38">
        <v>2124</v>
      </c>
      <c r="G10" s="89" t="s">
        <v>1094</v>
      </c>
      <c r="H10" s="89" t="s">
        <v>219</v>
      </c>
    </row>
    <row r="11" spans="1:8" s="89" customFormat="1" x14ac:dyDescent="0.25">
      <c r="A11" s="40">
        <v>45061</v>
      </c>
      <c r="B11" s="89" t="s">
        <v>859</v>
      </c>
      <c r="C11" s="89" t="s">
        <v>408</v>
      </c>
      <c r="D11" s="89" t="s">
        <v>139</v>
      </c>
      <c r="E11" s="89" t="s">
        <v>192</v>
      </c>
      <c r="F11" s="38">
        <v>1422</v>
      </c>
      <c r="G11" s="89" t="s">
        <v>1111</v>
      </c>
      <c r="H11" s="89" t="s">
        <v>219</v>
      </c>
    </row>
    <row r="12" spans="1:8" s="89" customFormat="1" x14ac:dyDescent="0.25">
      <c r="A12" s="40">
        <v>45049</v>
      </c>
      <c r="B12" s="89" t="s">
        <v>253</v>
      </c>
      <c r="C12" s="89" t="s">
        <v>186</v>
      </c>
      <c r="D12" s="89" t="s">
        <v>139</v>
      </c>
      <c r="E12" s="89" t="s">
        <v>192</v>
      </c>
      <c r="F12" s="38">
        <v>5080</v>
      </c>
      <c r="G12" s="89" t="s">
        <v>1116</v>
      </c>
      <c r="H12" s="89" t="s">
        <v>439</v>
      </c>
    </row>
    <row r="13" spans="1:8" s="89" customFormat="1" x14ac:dyDescent="0.25">
      <c r="A13" s="40">
        <v>45062</v>
      </c>
      <c r="B13" s="89" t="s">
        <v>712</v>
      </c>
      <c r="C13" s="89" t="s">
        <v>186</v>
      </c>
      <c r="D13" s="89" t="s">
        <v>139</v>
      </c>
      <c r="E13" s="89" t="s">
        <v>192</v>
      </c>
      <c r="F13" s="38">
        <v>1921</v>
      </c>
      <c r="G13" s="89" t="s">
        <v>1477</v>
      </c>
      <c r="H13" s="89" t="s">
        <v>1118</v>
      </c>
    </row>
    <row r="14" spans="1:8" s="89" customFormat="1" x14ac:dyDescent="0.25">
      <c r="A14" s="40">
        <v>45051</v>
      </c>
      <c r="B14" s="89" t="s">
        <v>1119</v>
      </c>
      <c r="C14" s="89" t="s">
        <v>186</v>
      </c>
      <c r="D14" s="89" t="s">
        <v>139</v>
      </c>
      <c r="E14" s="89" t="s">
        <v>192</v>
      </c>
      <c r="F14" s="38">
        <v>2318.4</v>
      </c>
      <c r="G14" s="89" t="s">
        <v>1122</v>
      </c>
      <c r="H14" s="89" t="s">
        <v>219</v>
      </c>
    </row>
    <row r="15" spans="1:8" s="89" customFormat="1" x14ac:dyDescent="0.25">
      <c r="A15" s="40">
        <v>45063</v>
      </c>
      <c r="B15" s="89" t="s">
        <v>1123</v>
      </c>
      <c r="C15" s="89" t="s">
        <v>186</v>
      </c>
      <c r="D15" s="89" t="s">
        <v>139</v>
      </c>
      <c r="E15" s="89" t="s">
        <v>193</v>
      </c>
      <c r="F15" s="38">
        <v>1064</v>
      </c>
      <c r="G15" s="89" t="s">
        <v>1126</v>
      </c>
      <c r="H15" s="89" t="s">
        <v>315</v>
      </c>
    </row>
    <row r="16" spans="1:8" s="89" customFormat="1" x14ac:dyDescent="0.25">
      <c r="A16" s="40">
        <v>45064</v>
      </c>
      <c r="B16" s="89" t="s">
        <v>1127</v>
      </c>
      <c r="C16" s="89" t="s">
        <v>186</v>
      </c>
      <c r="D16" s="89" t="s">
        <v>139</v>
      </c>
      <c r="E16" s="89" t="s">
        <v>197</v>
      </c>
      <c r="F16" s="38">
        <v>1120</v>
      </c>
      <c r="G16" s="89" t="s">
        <v>1130</v>
      </c>
      <c r="H16" s="89" t="s">
        <v>1131</v>
      </c>
    </row>
    <row r="17" spans="1:8" s="89" customFormat="1" x14ac:dyDescent="0.25">
      <c r="A17" s="40">
        <v>45054</v>
      </c>
      <c r="B17" s="89" t="s">
        <v>1132</v>
      </c>
      <c r="C17" s="89" t="s">
        <v>186</v>
      </c>
      <c r="D17" s="89" t="s">
        <v>141</v>
      </c>
      <c r="E17" s="89" t="s">
        <v>193</v>
      </c>
      <c r="F17" s="38">
        <v>4808.57</v>
      </c>
      <c r="G17" s="89" t="s">
        <v>1135</v>
      </c>
      <c r="H17" s="89" t="s">
        <v>1136</v>
      </c>
    </row>
    <row r="18" spans="1:8" s="89" customFormat="1" x14ac:dyDescent="0.25">
      <c r="A18" s="40">
        <v>45065</v>
      </c>
      <c r="B18" s="89" t="s">
        <v>1137</v>
      </c>
      <c r="C18" s="89" t="s">
        <v>186</v>
      </c>
      <c r="D18" s="89" t="s">
        <v>139</v>
      </c>
      <c r="E18" s="89" t="s">
        <v>192</v>
      </c>
      <c r="F18" s="38">
        <v>2550</v>
      </c>
      <c r="G18" s="89" t="s">
        <v>1140</v>
      </c>
      <c r="H18" s="89" t="s">
        <v>1144</v>
      </c>
    </row>
    <row r="19" spans="1:8" s="89" customFormat="1" x14ac:dyDescent="0.25">
      <c r="A19" s="40">
        <v>45068</v>
      </c>
      <c r="B19" s="89" t="s">
        <v>1141</v>
      </c>
      <c r="C19" s="89" t="s">
        <v>190</v>
      </c>
      <c r="D19" s="89" t="s">
        <v>139</v>
      </c>
      <c r="E19" s="89" t="s">
        <v>197</v>
      </c>
      <c r="F19" s="38">
        <v>960</v>
      </c>
      <c r="G19" s="89" t="s">
        <v>526</v>
      </c>
      <c r="H19" s="89" t="s">
        <v>1148</v>
      </c>
    </row>
    <row r="20" spans="1:8" s="89" customFormat="1" x14ac:dyDescent="0.25">
      <c r="A20" s="40">
        <v>45068</v>
      </c>
      <c r="B20" s="89" t="s">
        <v>1145</v>
      </c>
      <c r="C20" s="89" t="s">
        <v>186</v>
      </c>
      <c r="D20" s="89" t="s">
        <v>139</v>
      </c>
      <c r="E20" s="89" t="s">
        <v>197</v>
      </c>
      <c r="F20" s="38">
        <v>1111.5</v>
      </c>
      <c r="G20" s="89" t="s">
        <v>952</v>
      </c>
      <c r="H20" s="89" t="s">
        <v>1149</v>
      </c>
    </row>
    <row r="21" spans="1:8" s="89" customFormat="1" x14ac:dyDescent="0.25">
      <c r="A21" s="40">
        <v>45056</v>
      </c>
      <c r="B21" s="89" t="s">
        <v>1150</v>
      </c>
      <c r="C21" s="89" t="s">
        <v>186</v>
      </c>
      <c r="D21" s="89" t="s">
        <v>139</v>
      </c>
      <c r="E21" s="89" t="s">
        <v>192</v>
      </c>
      <c r="F21" s="38">
        <v>2236.4</v>
      </c>
      <c r="G21" s="89" t="s">
        <v>1153</v>
      </c>
      <c r="H21" s="89" t="s">
        <v>1154</v>
      </c>
    </row>
    <row r="22" spans="1:8" s="89" customFormat="1" x14ac:dyDescent="0.25">
      <c r="A22" s="40">
        <v>45069</v>
      </c>
      <c r="B22" s="89" t="s">
        <v>638</v>
      </c>
      <c r="C22" s="89" t="s">
        <v>186</v>
      </c>
      <c r="D22" s="89" t="s">
        <v>139</v>
      </c>
      <c r="E22" s="89" t="s">
        <v>192</v>
      </c>
      <c r="F22" s="38">
        <v>1365</v>
      </c>
      <c r="G22" s="89" t="s">
        <v>641</v>
      </c>
      <c r="H22" s="89" t="s">
        <v>733</v>
      </c>
    </row>
    <row r="23" spans="1:8" s="89" customFormat="1" x14ac:dyDescent="0.25">
      <c r="A23" s="40">
        <v>45069</v>
      </c>
      <c r="B23" s="89" t="s">
        <v>1155</v>
      </c>
      <c r="C23" s="89" t="s">
        <v>186</v>
      </c>
      <c r="D23" s="89" t="s">
        <v>139</v>
      </c>
      <c r="E23" s="89" t="s">
        <v>192</v>
      </c>
      <c r="F23" s="38">
        <v>1350</v>
      </c>
      <c r="G23" s="89" t="s">
        <v>1158</v>
      </c>
      <c r="H23" s="89" t="s">
        <v>219</v>
      </c>
    </row>
    <row r="24" spans="1:8" x14ac:dyDescent="0.25">
      <c r="A24" s="40">
        <v>45069</v>
      </c>
      <c r="B24" s="89" t="s">
        <v>1160</v>
      </c>
      <c r="C24" s="89" t="s">
        <v>186</v>
      </c>
      <c r="D24" s="89" t="s">
        <v>139</v>
      </c>
      <c r="E24" s="89" t="s">
        <v>197</v>
      </c>
      <c r="F24" s="38">
        <v>1170</v>
      </c>
      <c r="G24" s="89" t="s">
        <v>1163</v>
      </c>
      <c r="H24" s="89" t="s">
        <v>348</v>
      </c>
    </row>
    <row r="25" spans="1:8" x14ac:dyDescent="0.25">
      <c r="A25" s="40">
        <v>45063</v>
      </c>
      <c r="B25" s="89" t="s">
        <v>1164</v>
      </c>
      <c r="C25" s="89" t="s">
        <v>186</v>
      </c>
      <c r="D25" s="89" t="s">
        <v>139</v>
      </c>
      <c r="E25" s="89" t="s">
        <v>197</v>
      </c>
      <c r="F25" s="38">
        <v>1231.92</v>
      </c>
      <c r="G25" s="89" t="s">
        <v>1012</v>
      </c>
      <c r="H25" s="89" t="s">
        <v>1211</v>
      </c>
    </row>
    <row r="26" spans="1:8" x14ac:dyDescent="0.25">
      <c r="A26" s="40">
        <v>45070</v>
      </c>
      <c r="B26" s="89" t="s">
        <v>1167</v>
      </c>
      <c r="C26" s="89" t="s">
        <v>186</v>
      </c>
      <c r="D26" s="89" t="s">
        <v>139</v>
      </c>
      <c r="E26" s="89" t="s">
        <v>197</v>
      </c>
      <c r="F26" s="38">
        <v>2900</v>
      </c>
      <c r="G26" s="89" t="s">
        <v>1170</v>
      </c>
      <c r="H26" s="89" t="s">
        <v>1189</v>
      </c>
    </row>
    <row r="27" spans="1:8" x14ac:dyDescent="0.25">
      <c r="A27" s="40">
        <v>45071</v>
      </c>
      <c r="B27" s="89" t="s">
        <v>1186</v>
      </c>
      <c r="C27" s="89" t="s">
        <v>408</v>
      </c>
      <c r="D27" s="89" t="s">
        <v>139</v>
      </c>
      <c r="E27" s="89" t="s">
        <v>197</v>
      </c>
      <c r="F27" s="38">
        <v>1410</v>
      </c>
      <c r="G27" s="89" t="s">
        <v>484</v>
      </c>
      <c r="H27" s="89" t="s">
        <v>1212</v>
      </c>
    </row>
    <row r="28" spans="1:8" x14ac:dyDescent="0.25">
      <c r="A28" s="40">
        <v>45071</v>
      </c>
      <c r="B28" s="89" t="s">
        <v>1190</v>
      </c>
      <c r="C28" s="89" t="s">
        <v>186</v>
      </c>
      <c r="D28" s="89" t="s">
        <v>139</v>
      </c>
      <c r="E28" s="89" t="s">
        <v>197</v>
      </c>
      <c r="F28" s="38">
        <v>928</v>
      </c>
      <c r="G28" s="89" t="s">
        <v>1193</v>
      </c>
      <c r="H28" s="89" t="s">
        <v>1194</v>
      </c>
    </row>
    <row r="29" spans="1:8" x14ac:dyDescent="0.25">
      <c r="A29" s="40">
        <v>45072</v>
      </c>
      <c r="B29" s="89" t="s">
        <v>1207</v>
      </c>
      <c r="C29" s="89" t="s">
        <v>408</v>
      </c>
      <c r="D29" s="89" t="s">
        <v>139</v>
      </c>
      <c r="E29" s="89" t="s">
        <v>197</v>
      </c>
      <c r="F29" s="38">
        <v>3465</v>
      </c>
      <c r="G29" s="89" t="s">
        <v>1219</v>
      </c>
      <c r="H29" s="89" t="s">
        <v>1210</v>
      </c>
    </row>
    <row r="30" spans="1:8" x14ac:dyDescent="0.25">
      <c r="A30" s="40">
        <v>45072</v>
      </c>
      <c r="B30" s="89" t="s">
        <v>1213</v>
      </c>
      <c r="C30" s="89" t="s">
        <v>408</v>
      </c>
      <c r="D30" t="s">
        <v>141</v>
      </c>
      <c r="E30" s="89" t="s">
        <v>197</v>
      </c>
      <c r="F30" s="38">
        <v>1176.24</v>
      </c>
      <c r="G30" s="89" t="s">
        <v>1216</v>
      </c>
      <c r="H30" s="89" t="s">
        <v>1217</v>
      </c>
    </row>
    <row r="31" spans="1:8" x14ac:dyDescent="0.25">
      <c r="A31" s="40">
        <v>45072</v>
      </c>
      <c r="B31" s="89" t="s">
        <v>1213</v>
      </c>
      <c r="C31" s="89" t="s">
        <v>186</v>
      </c>
      <c r="D31" t="s">
        <v>141</v>
      </c>
      <c r="E31" s="89" t="s">
        <v>192</v>
      </c>
      <c r="F31" s="38">
        <v>2185.44</v>
      </c>
      <c r="G31" s="89" t="s">
        <v>1220</v>
      </c>
      <c r="H31" s="89" t="s">
        <v>1217</v>
      </c>
    </row>
    <row r="32" spans="1:8" x14ac:dyDescent="0.25">
      <c r="A32" s="40">
        <v>45058</v>
      </c>
      <c r="B32" s="89" t="s">
        <v>1223</v>
      </c>
      <c r="C32" s="89" t="s">
        <v>186</v>
      </c>
      <c r="D32" s="89" t="s">
        <v>139</v>
      </c>
      <c r="E32" s="89" t="s">
        <v>192</v>
      </c>
      <c r="F32" s="38">
        <v>906</v>
      </c>
      <c r="G32" s="89" t="s">
        <v>514</v>
      </c>
      <c r="H32" s="89" t="s">
        <v>219</v>
      </c>
    </row>
    <row r="33" spans="1:10" x14ac:dyDescent="0.25">
      <c r="A33" s="40">
        <v>45075</v>
      </c>
      <c r="B33" s="89" t="s">
        <v>1226</v>
      </c>
      <c r="C33" s="89" t="s">
        <v>409</v>
      </c>
      <c r="D33" s="89" t="s">
        <v>139</v>
      </c>
      <c r="E33" s="89" t="s">
        <v>197</v>
      </c>
      <c r="F33" s="38">
        <v>2100</v>
      </c>
      <c r="G33" s="89" t="s">
        <v>1229</v>
      </c>
      <c r="H33" s="89" t="s">
        <v>462</v>
      </c>
    </row>
    <row r="34" spans="1:10" x14ac:dyDescent="0.25">
      <c r="A34" s="40">
        <v>45075</v>
      </c>
      <c r="B34" s="89" t="s">
        <v>1230</v>
      </c>
      <c r="C34" s="89" t="s">
        <v>190</v>
      </c>
      <c r="D34" s="89" t="s">
        <v>139</v>
      </c>
      <c r="E34" s="89" t="s">
        <v>192</v>
      </c>
      <c r="F34" s="38">
        <v>1842</v>
      </c>
      <c r="G34" s="89" t="s">
        <v>1233</v>
      </c>
      <c r="H34" s="89" t="s">
        <v>219</v>
      </c>
    </row>
    <row r="35" spans="1:10" x14ac:dyDescent="0.25">
      <c r="A35" s="40">
        <v>45076</v>
      </c>
      <c r="B35" s="89" t="s">
        <v>1234</v>
      </c>
      <c r="C35" s="89" t="s">
        <v>186</v>
      </c>
      <c r="D35" s="89" t="s">
        <v>139</v>
      </c>
      <c r="E35" s="89" t="s">
        <v>197</v>
      </c>
      <c r="F35" s="38">
        <v>1396</v>
      </c>
      <c r="G35" s="89" t="s">
        <v>1237</v>
      </c>
      <c r="H35" s="89" t="s">
        <v>219</v>
      </c>
    </row>
    <row r="36" spans="1:10" x14ac:dyDescent="0.25">
      <c r="A36" s="40">
        <v>45076</v>
      </c>
      <c r="B36" s="89" t="s">
        <v>1238</v>
      </c>
      <c r="C36" s="89" t="s">
        <v>186</v>
      </c>
      <c r="D36" s="89" t="s">
        <v>139</v>
      </c>
      <c r="E36" s="89" t="s">
        <v>197</v>
      </c>
      <c r="F36" s="38">
        <v>1181</v>
      </c>
      <c r="G36" s="89" t="s">
        <v>1241</v>
      </c>
      <c r="H36" s="89" t="s">
        <v>219</v>
      </c>
    </row>
    <row r="37" spans="1:10" x14ac:dyDescent="0.25">
      <c r="A37" s="40">
        <v>45055</v>
      </c>
      <c r="B37" s="89" t="s">
        <v>1247</v>
      </c>
      <c r="C37" t="s">
        <v>186</v>
      </c>
      <c r="D37" t="s">
        <v>141</v>
      </c>
      <c r="E37" t="s">
        <v>1257</v>
      </c>
      <c r="F37" s="38">
        <v>18704.02</v>
      </c>
      <c r="G37" s="89" t="s">
        <v>295</v>
      </c>
      <c r="H37" s="89" t="s">
        <v>1249</v>
      </c>
    </row>
    <row r="38" spans="1:10" x14ac:dyDescent="0.25">
      <c r="A38" s="40">
        <v>45077</v>
      </c>
      <c r="B38" s="89" t="s">
        <v>1250</v>
      </c>
      <c r="C38" t="s">
        <v>186</v>
      </c>
      <c r="D38" t="s">
        <v>139</v>
      </c>
      <c r="E38" t="s">
        <v>197</v>
      </c>
      <c r="F38" s="38">
        <v>1073</v>
      </c>
      <c r="G38" s="89" t="s">
        <v>1253</v>
      </c>
      <c r="H38" s="89" t="s">
        <v>1283</v>
      </c>
    </row>
    <row r="39" spans="1:10" x14ac:dyDescent="0.25">
      <c r="A39" s="40">
        <v>45077</v>
      </c>
      <c r="B39" s="89" t="s">
        <v>1254</v>
      </c>
      <c r="C39" t="s">
        <v>186</v>
      </c>
      <c r="D39" t="s">
        <v>139</v>
      </c>
      <c r="E39" t="s">
        <v>197</v>
      </c>
      <c r="F39" s="38">
        <v>946</v>
      </c>
      <c r="G39" s="89" t="s">
        <v>647</v>
      </c>
      <c r="H39" s="89" t="s">
        <v>1284</v>
      </c>
    </row>
    <row r="40" spans="1:10" s="89" customFormat="1" x14ac:dyDescent="0.25">
      <c r="A40" s="40">
        <v>45070</v>
      </c>
      <c r="B40" s="89" t="s">
        <v>1278</v>
      </c>
      <c r="C40" s="89" t="s">
        <v>186</v>
      </c>
      <c r="D40" s="89" t="s">
        <v>139</v>
      </c>
      <c r="E40" s="89" t="s">
        <v>197</v>
      </c>
      <c r="F40" s="38">
        <v>1372</v>
      </c>
      <c r="G40" s="89" t="s">
        <v>1281</v>
      </c>
      <c r="H40" s="89" t="s">
        <v>219</v>
      </c>
    </row>
    <row r="41" spans="1:10" s="89" customFormat="1" x14ac:dyDescent="0.25">
      <c r="A41" s="40">
        <v>45077</v>
      </c>
      <c r="B41" s="89" t="s">
        <v>1319</v>
      </c>
      <c r="C41" s="89" t="s">
        <v>186</v>
      </c>
      <c r="D41" s="89" t="s">
        <v>139</v>
      </c>
      <c r="E41" s="89" t="s">
        <v>192</v>
      </c>
      <c r="F41" s="38">
        <v>1108.72</v>
      </c>
      <c r="G41" s="89" t="s">
        <v>1329</v>
      </c>
      <c r="H41" s="89" t="s">
        <v>337</v>
      </c>
    </row>
    <row r="42" spans="1:10" s="89" customFormat="1" x14ac:dyDescent="0.25">
      <c r="A42" s="40">
        <v>45051</v>
      </c>
      <c r="B42" s="89" t="s">
        <v>1330</v>
      </c>
      <c r="C42" s="89" t="s">
        <v>408</v>
      </c>
      <c r="D42" s="89" t="s">
        <v>141</v>
      </c>
      <c r="E42" s="89" t="s">
        <v>192</v>
      </c>
      <c r="F42" s="38">
        <v>5699</v>
      </c>
      <c r="G42" s="89" t="s">
        <v>1331</v>
      </c>
      <c r="H42" s="89" t="s">
        <v>1332</v>
      </c>
    </row>
    <row r="43" spans="1:10" s="89" customFormat="1" x14ac:dyDescent="0.25">
      <c r="A43" s="40">
        <v>45065</v>
      </c>
      <c r="B43" s="89" t="s">
        <v>1474</v>
      </c>
      <c r="C43" s="89" t="s">
        <v>190</v>
      </c>
      <c r="D43" s="89" t="s">
        <v>139</v>
      </c>
      <c r="E43" s="89" t="s">
        <v>197</v>
      </c>
      <c r="F43" s="38">
        <v>1622</v>
      </c>
      <c r="G43" s="89" t="s">
        <v>1475</v>
      </c>
      <c r="H43" s="89" t="s">
        <v>1476</v>
      </c>
    </row>
    <row r="44" spans="1:10" x14ac:dyDescent="0.25">
      <c r="A44" s="40">
        <v>45050</v>
      </c>
      <c r="B44" t="s">
        <v>1871</v>
      </c>
      <c r="C44" t="s">
        <v>186</v>
      </c>
      <c r="D44" t="s">
        <v>139</v>
      </c>
      <c r="E44" t="s">
        <v>192</v>
      </c>
      <c r="F44" s="38">
        <v>1498</v>
      </c>
      <c r="G44" t="s">
        <v>1872</v>
      </c>
      <c r="H44" t="s">
        <v>1873</v>
      </c>
    </row>
    <row r="46" spans="1:10" ht="15.75" thickBot="1" x14ac:dyDescent="0.3">
      <c r="A46" s="99" t="s">
        <v>130</v>
      </c>
      <c r="B46" s="99"/>
      <c r="C46" s="99"/>
      <c r="D46" s="99"/>
      <c r="E46" s="99"/>
      <c r="F46" s="99"/>
      <c r="G46" s="39"/>
    </row>
    <row r="47" spans="1:10" x14ac:dyDescent="0.25">
      <c r="A47" s="7" t="s">
        <v>131</v>
      </c>
      <c r="B47" s="40"/>
      <c r="C47" s="41">
        <f>SUM(F2:F45,C48)</f>
        <v>100641.41</v>
      </c>
      <c r="D47" s="42"/>
      <c r="E47" s="43" t="s">
        <v>132</v>
      </c>
      <c r="F47" s="47"/>
      <c r="G47" s="39"/>
      <c r="H47" s="45" t="s">
        <v>62</v>
      </c>
      <c r="I47" s="46">
        <v>15</v>
      </c>
      <c r="J47" s="47" t="s">
        <v>81</v>
      </c>
    </row>
    <row r="48" spans="1:10" x14ac:dyDescent="0.25">
      <c r="A48" s="7"/>
      <c r="B48" s="40" t="s">
        <v>1282</v>
      </c>
      <c r="C48" s="92">
        <v>1012</v>
      </c>
      <c r="D48" s="42"/>
      <c r="E48" s="48" t="s">
        <v>133</v>
      </c>
      <c r="F48" s="93">
        <v>100641.41</v>
      </c>
      <c r="G48" s="39"/>
      <c r="H48" s="48" t="s">
        <v>99</v>
      </c>
      <c r="I48" s="50">
        <v>4</v>
      </c>
      <c r="J48" s="51">
        <f>I48/I$47</f>
        <v>0.26666666666666666</v>
      </c>
    </row>
    <row r="49" spans="1:10" ht="15.75" thickBot="1" x14ac:dyDescent="0.3">
      <c r="A49" s="7" t="s">
        <v>134</v>
      </c>
      <c r="B49" s="40"/>
      <c r="C49" s="52">
        <v>25</v>
      </c>
      <c r="D49" s="42"/>
      <c r="E49" s="53" t="s">
        <v>135</v>
      </c>
      <c r="F49" s="54">
        <f>C47/C49</f>
        <v>4025.6564000000003</v>
      </c>
      <c r="G49" s="39"/>
      <c r="H49" s="48" t="s">
        <v>100</v>
      </c>
      <c r="I49" s="50">
        <v>9</v>
      </c>
      <c r="J49" s="51">
        <f>I49/I$47</f>
        <v>0.6</v>
      </c>
    </row>
    <row r="50" spans="1:10" ht="15.75" thickBot="1" x14ac:dyDescent="0.3">
      <c r="A50" s="7" t="s">
        <v>136</v>
      </c>
      <c r="B50" s="40"/>
      <c r="C50">
        <v>43</v>
      </c>
      <c r="D50" s="42"/>
      <c r="E50" s="42"/>
      <c r="F50" s="14"/>
      <c r="G50" s="39"/>
      <c r="H50" s="53" t="s">
        <v>101</v>
      </c>
      <c r="I50" s="55">
        <v>2</v>
      </c>
      <c r="J50" s="56">
        <f>I50/I$47</f>
        <v>0.13333333333333333</v>
      </c>
    </row>
    <row r="51" spans="1:10" x14ac:dyDescent="0.25">
      <c r="A51" s="7"/>
      <c r="B51" s="40"/>
      <c r="D51" s="42" t="s">
        <v>81</v>
      </c>
      <c r="E51" s="43" t="s">
        <v>137</v>
      </c>
      <c r="F51" s="44"/>
      <c r="G51" s="39"/>
    </row>
    <row r="52" spans="1:10" ht="15.75" thickBot="1" x14ac:dyDescent="0.3">
      <c r="A52" s="7" t="s">
        <v>138</v>
      </c>
      <c r="B52" s="40"/>
      <c r="C52">
        <v>38</v>
      </c>
      <c r="D52" s="42" t="s">
        <v>81</v>
      </c>
      <c r="E52" s="48" t="s">
        <v>139</v>
      </c>
      <c r="F52" s="51">
        <f>C52/C50</f>
        <v>0.88372093023255816</v>
      </c>
      <c r="G52" s="39"/>
    </row>
    <row r="53" spans="1:10" ht="15.75" thickBot="1" x14ac:dyDescent="0.3">
      <c r="A53" s="7" t="s">
        <v>140</v>
      </c>
      <c r="B53" s="40"/>
      <c r="C53">
        <v>5</v>
      </c>
      <c r="D53" s="42"/>
      <c r="E53" s="53" t="s">
        <v>141</v>
      </c>
      <c r="F53" s="56">
        <f>C53/C50</f>
        <v>0.11627906976744186</v>
      </c>
      <c r="G53" s="39"/>
      <c r="H53" s="45" t="s">
        <v>142</v>
      </c>
      <c r="I53" s="46">
        <v>21</v>
      </c>
      <c r="J53" s="47"/>
    </row>
    <row r="54" spans="1:10" ht="15.75" thickBot="1" x14ac:dyDescent="0.3">
      <c r="A54" s="7"/>
      <c r="B54" s="40"/>
      <c r="D54" s="42"/>
      <c r="E54" s="42"/>
      <c r="F54" s="14"/>
      <c r="G54" s="39"/>
      <c r="H54" s="57" t="s">
        <v>143</v>
      </c>
      <c r="I54" s="59">
        <v>10</v>
      </c>
      <c r="J54" s="51">
        <f>I54/I$53</f>
        <v>0.47619047619047616</v>
      </c>
    </row>
    <row r="55" spans="1:10" x14ac:dyDescent="0.25">
      <c r="A55" s="7" t="s">
        <v>144</v>
      </c>
      <c r="B55" s="40"/>
      <c r="D55" s="42"/>
      <c r="E55" s="43" t="s">
        <v>48</v>
      </c>
      <c r="F55" s="44"/>
      <c r="G55" s="39"/>
      <c r="H55" s="57" t="s">
        <v>145</v>
      </c>
      <c r="I55" s="59">
        <v>9</v>
      </c>
      <c r="J55" s="51">
        <f>I55/I$53</f>
        <v>0.42857142857142855</v>
      </c>
    </row>
    <row r="56" spans="1:10" ht="15.75" thickBot="1" x14ac:dyDescent="0.3">
      <c r="A56" s="7" t="s">
        <v>61</v>
      </c>
      <c r="B56" s="40"/>
      <c r="C56">
        <v>6</v>
      </c>
      <c r="D56" s="42"/>
      <c r="E56" s="58" t="s">
        <v>61</v>
      </c>
      <c r="F56" s="51">
        <f>C56/C$65</f>
        <v>8.5714285714285715E-2</v>
      </c>
      <c r="G56" s="39"/>
      <c r="H56" s="22" t="s">
        <v>146</v>
      </c>
      <c r="I56" s="55">
        <v>2</v>
      </c>
      <c r="J56" s="56">
        <f>I56/I$53</f>
        <v>9.5238095238095233E-2</v>
      </c>
    </row>
    <row r="57" spans="1:10" ht="15.75" thickBot="1" x14ac:dyDescent="0.3">
      <c r="A57" s="7" t="s">
        <v>62</v>
      </c>
      <c r="B57" s="40"/>
      <c r="C57">
        <v>15</v>
      </c>
      <c r="D57" s="42"/>
      <c r="E57" s="58" t="s">
        <v>62</v>
      </c>
      <c r="F57" s="51">
        <f t="shared" ref="F57:F64" si="0">C57/C$65</f>
        <v>0.21428571428571427</v>
      </c>
      <c r="G57" s="39"/>
    </row>
    <row r="58" spans="1:10" x14ac:dyDescent="0.25">
      <c r="A58" s="7" t="s">
        <v>63</v>
      </c>
      <c r="B58" s="40"/>
      <c r="C58">
        <v>21</v>
      </c>
      <c r="D58" s="42"/>
      <c r="E58" s="58" t="s">
        <v>63</v>
      </c>
      <c r="F58" s="51">
        <f t="shared" si="0"/>
        <v>0.3</v>
      </c>
      <c r="G58" s="42" t="s">
        <v>81</v>
      </c>
      <c r="H58" s="45" t="s">
        <v>147</v>
      </c>
      <c r="I58" s="46">
        <v>0</v>
      </c>
      <c r="J58" s="44">
        <f t="shared" ref="J58:J69" si="1">I58/I$53</f>
        <v>0</v>
      </c>
    </row>
    <row r="59" spans="1:10" x14ac:dyDescent="0.25">
      <c r="A59" s="7" t="s">
        <v>64</v>
      </c>
      <c r="B59" s="40"/>
      <c r="C59">
        <v>0</v>
      </c>
      <c r="D59" s="42"/>
      <c r="E59" s="58" t="s">
        <v>64</v>
      </c>
      <c r="F59" s="51">
        <f t="shared" si="0"/>
        <v>0</v>
      </c>
      <c r="G59" s="39"/>
      <c r="H59" s="57" t="s">
        <v>148</v>
      </c>
      <c r="I59" s="59">
        <v>0</v>
      </c>
      <c r="J59" s="51">
        <f t="shared" si="1"/>
        <v>0</v>
      </c>
    </row>
    <row r="60" spans="1:10" x14ac:dyDescent="0.25">
      <c r="A60" s="7" t="s">
        <v>65</v>
      </c>
      <c r="B60" s="40"/>
      <c r="C60">
        <v>7</v>
      </c>
      <c r="D60" s="42"/>
      <c r="E60" s="58" t="s">
        <v>65</v>
      </c>
      <c r="F60" s="51">
        <f t="shared" si="0"/>
        <v>0.1</v>
      </c>
      <c r="G60" s="39"/>
      <c r="H60" s="57" t="s">
        <v>149</v>
      </c>
      <c r="I60" s="59">
        <v>4</v>
      </c>
      <c r="J60" s="51">
        <f t="shared" si="1"/>
        <v>0.19047619047619047</v>
      </c>
    </row>
    <row r="61" spans="1:10" x14ac:dyDescent="0.25">
      <c r="A61" s="7" t="s">
        <v>66</v>
      </c>
      <c r="B61" s="40"/>
      <c r="C61">
        <v>1</v>
      </c>
      <c r="D61" s="42"/>
      <c r="E61" s="58" t="s">
        <v>66</v>
      </c>
      <c r="F61" s="51">
        <f t="shared" si="0"/>
        <v>1.4285714285714285E-2</v>
      </c>
      <c r="G61" s="39"/>
      <c r="H61" s="57" t="s">
        <v>150</v>
      </c>
      <c r="I61" s="59">
        <v>3</v>
      </c>
      <c r="J61" s="51">
        <f t="shared" si="1"/>
        <v>0.14285714285714285</v>
      </c>
    </row>
    <row r="62" spans="1:10" x14ac:dyDescent="0.25">
      <c r="A62" s="7" t="s">
        <v>67</v>
      </c>
      <c r="B62" s="40"/>
      <c r="C62">
        <v>10</v>
      </c>
      <c r="D62" s="42"/>
      <c r="E62" s="58" t="s">
        <v>67</v>
      </c>
      <c r="F62" s="51">
        <f t="shared" si="0"/>
        <v>0.14285714285714285</v>
      </c>
      <c r="G62" s="39"/>
      <c r="H62" s="57" t="s">
        <v>151</v>
      </c>
      <c r="I62" s="59">
        <v>2</v>
      </c>
      <c r="J62" s="51">
        <f t="shared" si="1"/>
        <v>9.5238095238095233E-2</v>
      </c>
    </row>
    <row r="63" spans="1:10" x14ac:dyDescent="0.25">
      <c r="A63" s="7" t="s">
        <v>68</v>
      </c>
      <c r="B63" s="40"/>
      <c r="C63">
        <v>0</v>
      </c>
      <c r="D63" s="42"/>
      <c r="E63" s="58" t="s">
        <v>68</v>
      </c>
      <c r="F63" s="51">
        <f t="shared" si="0"/>
        <v>0</v>
      </c>
      <c r="G63" s="39"/>
      <c r="H63" s="57" t="s">
        <v>152</v>
      </c>
      <c r="I63" s="59">
        <v>9</v>
      </c>
      <c r="J63" s="51">
        <f t="shared" si="1"/>
        <v>0.42857142857142855</v>
      </c>
    </row>
    <row r="64" spans="1:10" ht="15.75" thickBot="1" x14ac:dyDescent="0.3">
      <c r="A64" s="7" t="s">
        <v>69</v>
      </c>
      <c r="B64" s="40"/>
      <c r="C64">
        <v>10</v>
      </c>
      <c r="D64" s="42"/>
      <c r="E64" s="60" t="s">
        <v>69</v>
      </c>
      <c r="F64" s="56">
        <f t="shared" si="0"/>
        <v>0.14285714285714285</v>
      </c>
      <c r="G64" s="42" t="s">
        <v>81</v>
      </c>
      <c r="H64" s="61" t="s">
        <v>153</v>
      </c>
      <c r="I64" s="59">
        <v>2</v>
      </c>
      <c r="J64" s="51">
        <f t="shared" si="1"/>
        <v>9.5238095238095233E-2</v>
      </c>
    </row>
    <row r="65" spans="1:10" ht="15.75" thickBot="1" x14ac:dyDescent="0.3">
      <c r="A65" s="7" t="s">
        <v>154</v>
      </c>
      <c r="B65" s="40"/>
      <c r="C65">
        <f>SUM(C56:C64)</f>
        <v>70</v>
      </c>
      <c r="D65" s="42"/>
      <c r="E65" s="7"/>
      <c r="F65" s="14"/>
      <c r="G65" s="39"/>
      <c r="H65" s="61" t="s">
        <v>155</v>
      </c>
      <c r="I65" s="59">
        <v>1</v>
      </c>
      <c r="J65" s="51">
        <f t="shared" si="1"/>
        <v>4.7619047619047616E-2</v>
      </c>
    </row>
    <row r="66" spans="1:10" x14ac:dyDescent="0.25">
      <c r="A66" s="7"/>
      <c r="B66" s="40"/>
      <c r="D66" s="42"/>
      <c r="E66" s="62" t="s">
        <v>70</v>
      </c>
      <c r="F66" s="44"/>
      <c r="G66" s="39"/>
      <c r="H66" s="61" t="s">
        <v>156</v>
      </c>
      <c r="I66" s="59">
        <v>0</v>
      </c>
      <c r="J66" s="51">
        <f t="shared" si="1"/>
        <v>0</v>
      </c>
    </row>
    <row r="67" spans="1:10" x14ac:dyDescent="0.25">
      <c r="A67" s="7" t="s">
        <v>157</v>
      </c>
      <c r="B67" s="40"/>
      <c r="D67" s="42"/>
      <c r="E67" s="58" t="s">
        <v>71</v>
      </c>
      <c r="F67" s="51">
        <f>C68/C$78</f>
        <v>0.4375</v>
      </c>
      <c r="G67" s="39"/>
      <c r="H67" s="57" t="s">
        <v>158</v>
      </c>
      <c r="I67" s="59">
        <v>0</v>
      </c>
      <c r="J67" s="51">
        <f t="shared" si="1"/>
        <v>0</v>
      </c>
    </row>
    <row r="68" spans="1:10" x14ac:dyDescent="0.25">
      <c r="A68" s="7" t="s">
        <v>71</v>
      </c>
      <c r="B68" s="40"/>
      <c r="C68">
        <v>35</v>
      </c>
      <c r="D68" s="42"/>
      <c r="E68" s="58" t="s">
        <v>72</v>
      </c>
      <c r="F68" s="51">
        <f t="shared" ref="F68:F76" si="2">C69/C$78</f>
        <v>0.1125</v>
      </c>
      <c r="G68" s="39"/>
      <c r="H68" s="61" t="s">
        <v>159</v>
      </c>
      <c r="I68" s="59">
        <v>0</v>
      </c>
      <c r="J68" s="51">
        <f t="shared" si="1"/>
        <v>0</v>
      </c>
    </row>
    <row r="69" spans="1:10" ht="15.75" thickBot="1" x14ac:dyDescent="0.3">
      <c r="A69" s="7" t="s">
        <v>72</v>
      </c>
      <c r="B69" s="40"/>
      <c r="C69">
        <v>9</v>
      </c>
      <c r="D69" s="42"/>
      <c r="E69" s="58" t="s">
        <v>73</v>
      </c>
      <c r="F69" s="51">
        <f t="shared" si="2"/>
        <v>0.1</v>
      </c>
      <c r="G69" s="39"/>
      <c r="H69" s="63" t="s">
        <v>160</v>
      </c>
      <c r="I69" s="55">
        <v>0</v>
      </c>
      <c r="J69" s="56">
        <f t="shared" si="1"/>
        <v>0</v>
      </c>
    </row>
    <row r="70" spans="1:10" x14ac:dyDescent="0.25">
      <c r="A70" s="7" t="s">
        <v>73</v>
      </c>
      <c r="B70" s="40"/>
      <c r="C70">
        <v>8</v>
      </c>
      <c r="D70" s="42"/>
      <c r="E70" s="58" t="s">
        <v>74</v>
      </c>
      <c r="F70" s="51">
        <f t="shared" si="2"/>
        <v>0.21249999999999999</v>
      </c>
      <c r="G70" s="39"/>
    </row>
    <row r="71" spans="1:10" ht="15.75" thickBot="1" x14ac:dyDescent="0.3">
      <c r="A71" s="7" t="s">
        <v>74</v>
      </c>
      <c r="B71" s="40"/>
      <c r="C71">
        <v>17</v>
      </c>
      <c r="D71" s="42"/>
      <c r="E71" s="58" t="s">
        <v>75</v>
      </c>
      <c r="F71" s="51">
        <f t="shared" si="2"/>
        <v>1.2500000000000001E-2</v>
      </c>
      <c r="G71" s="42" t="s">
        <v>81</v>
      </c>
    </row>
    <row r="72" spans="1:10" x14ac:dyDescent="0.25">
      <c r="A72" s="7" t="s">
        <v>75</v>
      </c>
      <c r="B72" s="40"/>
      <c r="C72">
        <v>1</v>
      </c>
      <c r="D72" s="42"/>
      <c r="E72" s="58" t="s">
        <v>76</v>
      </c>
      <c r="F72" s="51">
        <f t="shared" si="2"/>
        <v>0</v>
      </c>
      <c r="G72" s="39"/>
      <c r="H72" s="45" t="s">
        <v>65</v>
      </c>
      <c r="I72" s="46">
        <v>7</v>
      </c>
      <c r="J72" s="47"/>
    </row>
    <row r="73" spans="1:10" x14ac:dyDescent="0.25">
      <c r="A73" s="7" t="s">
        <v>76</v>
      </c>
      <c r="B73" s="40"/>
      <c r="C73">
        <v>0</v>
      </c>
      <c r="D73" s="42"/>
      <c r="E73" s="58" t="s">
        <v>77</v>
      </c>
      <c r="F73" s="51">
        <f t="shared" si="2"/>
        <v>0</v>
      </c>
      <c r="G73" s="39"/>
      <c r="H73" s="57" t="s">
        <v>161</v>
      </c>
      <c r="I73" s="50">
        <v>1</v>
      </c>
      <c r="J73" s="51">
        <f>I73/I$72</f>
        <v>0.14285714285714285</v>
      </c>
    </row>
    <row r="74" spans="1:10" ht="15.75" thickBot="1" x14ac:dyDescent="0.3">
      <c r="A74" s="7" t="s">
        <v>77</v>
      </c>
      <c r="B74" s="40"/>
      <c r="C74">
        <v>0</v>
      </c>
      <c r="D74" s="42"/>
      <c r="E74" s="58" t="s">
        <v>78</v>
      </c>
      <c r="F74" s="51">
        <f t="shared" si="2"/>
        <v>0</v>
      </c>
      <c r="G74" s="39"/>
      <c r="H74" s="22" t="s">
        <v>103</v>
      </c>
      <c r="I74" s="55">
        <v>6</v>
      </c>
      <c r="J74" s="56">
        <f>I74/I$72</f>
        <v>0.8571428571428571</v>
      </c>
    </row>
    <row r="75" spans="1:10" x14ac:dyDescent="0.25">
      <c r="A75" s="7" t="s">
        <v>78</v>
      </c>
      <c r="B75" s="40"/>
      <c r="C75">
        <v>0</v>
      </c>
      <c r="D75" s="42"/>
      <c r="E75" s="58" t="s">
        <v>79</v>
      </c>
      <c r="F75" s="51">
        <f t="shared" si="2"/>
        <v>0</v>
      </c>
      <c r="G75" s="39"/>
    </row>
    <row r="76" spans="1:10" ht="15.75" thickBot="1" x14ac:dyDescent="0.3">
      <c r="A76" s="7" t="s">
        <v>79</v>
      </c>
      <c r="B76" s="40"/>
      <c r="C76">
        <v>0</v>
      </c>
      <c r="D76" s="42"/>
      <c r="E76" s="60" t="s">
        <v>80</v>
      </c>
      <c r="F76" s="56">
        <f t="shared" si="2"/>
        <v>0.125</v>
      </c>
      <c r="G76" s="39"/>
    </row>
    <row r="77" spans="1:10" ht="15.75" thickBot="1" x14ac:dyDescent="0.3">
      <c r="A77" s="7" t="s">
        <v>80</v>
      </c>
      <c r="B77" s="40"/>
      <c r="C77">
        <v>10</v>
      </c>
      <c r="D77" s="42"/>
      <c r="E77" s="7"/>
      <c r="F77" s="14"/>
      <c r="G77" s="39"/>
      <c r="H77" s="45" t="s">
        <v>162</v>
      </c>
      <c r="I77" s="46">
        <v>1</v>
      </c>
      <c r="J77" s="47"/>
    </row>
    <row r="78" spans="1:10" x14ac:dyDescent="0.25">
      <c r="A78" s="7" t="s">
        <v>163</v>
      </c>
      <c r="B78" s="40"/>
      <c r="C78">
        <f>SUM(C68:C77)</f>
        <v>80</v>
      </c>
      <c r="D78" s="42"/>
      <c r="E78" s="62" t="s">
        <v>44</v>
      </c>
      <c r="F78" s="44"/>
      <c r="G78" s="39"/>
      <c r="H78" s="57" t="s">
        <v>164</v>
      </c>
      <c r="I78" s="59">
        <v>0</v>
      </c>
      <c r="J78" s="51">
        <f t="shared" ref="J78:J83" si="3">I78/I$77</f>
        <v>0</v>
      </c>
    </row>
    <row r="79" spans="1:10" x14ac:dyDescent="0.25">
      <c r="A79" s="7"/>
      <c r="B79" s="40"/>
      <c r="D79" s="42"/>
      <c r="E79" s="64" t="s">
        <v>165</v>
      </c>
      <c r="F79" s="51">
        <f>C80/C$50</f>
        <v>0.69767441860465118</v>
      </c>
      <c r="G79" s="39"/>
      <c r="H79" s="57" t="s">
        <v>166</v>
      </c>
      <c r="I79" s="59">
        <v>0</v>
      </c>
      <c r="J79" s="51">
        <f t="shared" si="3"/>
        <v>0</v>
      </c>
    </row>
    <row r="80" spans="1:10" x14ac:dyDescent="0.25">
      <c r="A80" s="7" t="s">
        <v>167</v>
      </c>
      <c r="B80" s="40"/>
      <c r="C80">
        <v>30</v>
      </c>
      <c r="D80" s="42"/>
      <c r="E80" s="64" t="s">
        <v>168</v>
      </c>
      <c r="F80" s="51">
        <f>C81/C$50</f>
        <v>6.9767441860465115E-2</v>
      </c>
      <c r="G80" s="39"/>
      <c r="H80" s="57" t="s">
        <v>169</v>
      </c>
      <c r="I80" s="59">
        <v>0</v>
      </c>
      <c r="J80" s="51">
        <f t="shared" si="3"/>
        <v>0</v>
      </c>
    </row>
    <row r="81" spans="1:10" ht="15.75" thickBot="1" x14ac:dyDescent="0.3">
      <c r="A81" s="7" t="s">
        <v>170</v>
      </c>
      <c r="B81" s="40"/>
      <c r="C81">
        <v>3</v>
      </c>
      <c r="D81" s="42"/>
      <c r="E81" s="65" t="s">
        <v>171</v>
      </c>
      <c r="F81" s="56">
        <f>C82/C$50</f>
        <v>0.23255813953488372</v>
      </c>
      <c r="G81" s="39"/>
      <c r="H81" s="57" t="s">
        <v>172</v>
      </c>
      <c r="I81" s="59">
        <v>0</v>
      </c>
      <c r="J81" s="51">
        <f t="shared" si="3"/>
        <v>0</v>
      </c>
    </row>
    <row r="82" spans="1:10" ht="15.75" thickBot="1" x14ac:dyDescent="0.3">
      <c r="A82" s="7" t="s">
        <v>173</v>
      </c>
      <c r="B82" s="40"/>
      <c r="C82">
        <v>10</v>
      </c>
      <c r="D82" s="42"/>
      <c r="E82" s="66"/>
      <c r="F82" s="14"/>
      <c r="G82" s="42" t="s">
        <v>81</v>
      </c>
      <c r="H82" s="57" t="s">
        <v>174</v>
      </c>
      <c r="I82" s="59">
        <v>0</v>
      </c>
      <c r="J82" s="51">
        <f t="shared" si="3"/>
        <v>0</v>
      </c>
    </row>
    <row r="83" spans="1:10" ht="15.75" thickBot="1" x14ac:dyDescent="0.3">
      <c r="A83" s="7"/>
      <c r="B83" s="40"/>
      <c r="D83" s="42"/>
      <c r="E83" s="67" t="s">
        <v>137</v>
      </c>
      <c r="F83" s="44"/>
      <c r="G83" s="39"/>
      <c r="H83" s="22" t="s">
        <v>175</v>
      </c>
      <c r="I83" s="55">
        <v>1</v>
      </c>
      <c r="J83" s="56">
        <f t="shared" si="3"/>
        <v>1</v>
      </c>
    </row>
    <row r="84" spans="1:10" x14ac:dyDescent="0.25">
      <c r="A84" s="7" t="s">
        <v>137</v>
      </c>
      <c r="B84" s="40"/>
      <c r="D84" s="42"/>
      <c r="E84" s="58" t="s">
        <v>176</v>
      </c>
      <c r="F84" s="51">
        <f>C85/C$50</f>
        <v>0.62790697674418605</v>
      </c>
      <c r="G84" s="39"/>
    </row>
    <row r="85" spans="1:10" ht="15.75" thickBot="1" x14ac:dyDescent="0.3">
      <c r="A85" s="7" t="s">
        <v>177</v>
      </c>
      <c r="B85" s="40"/>
      <c r="C85">
        <v>27</v>
      </c>
      <c r="D85" s="42"/>
      <c r="E85" s="60" t="s">
        <v>178</v>
      </c>
      <c r="F85" s="56">
        <f>C86/C$50</f>
        <v>0.37209302325581395</v>
      </c>
      <c r="G85" s="39"/>
    </row>
    <row r="86" spans="1:10" ht="15.75" thickBot="1" x14ac:dyDescent="0.3">
      <c r="A86" s="7" t="s">
        <v>178</v>
      </c>
      <c r="B86" s="40"/>
      <c r="C86">
        <v>16</v>
      </c>
      <c r="D86" s="42"/>
      <c r="E86" s="68"/>
      <c r="F86" s="69"/>
      <c r="G86" s="39"/>
      <c r="H86" s="45" t="s">
        <v>67</v>
      </c>
      <c r="I86" s="46">
        <v>10</v>
      </c>
      <c r="J86" s="47"/>
    </row>
    <row r="87" spans="1:10" x14ac:dyDescent="0.25">
      <c r="A87" s="7"/>
      <c r="B87" s="40"/>
      <c r="D87" s="42"/>
      <c r="E87" s="45" t="s">
        <v>179</v>
      </c>
      <c r="F87" s="44"/>
      <c r="G87" s="39"/>
      <c r="H87" s="57" t="s">
        <v>104</v>
      </c>
      <c r="I87" s="59">
        <v>0</v>
      </c>
      <c r="J87" s="51">
        <f>I87/I$86</f>
        <v>0</v>
      </c>
    </row>
    <row r="88" spans="1:10" x14ac:dyDescent="0.25">
      <c r="A88" t="s">
        <v>179</v>
      </c>
      <c r="D88" s="42"/>
      <c r="E88" s="57" t="s">
        <v>180</v>
      </c>
      <c r="F88" s="51">
        <f>C89/C$86</f>
        <v>0.875</v>
      </c>
      <c r="G88" s="39"/>
      <c r="H88" s="57" t="s">
        <v>105</v>
      </c>
      <c r="I88" s="59">
        <v>1</v>
      </c>
      <c r="J88" s="51">
        <f>I88/I$86</f>
        <v>0.1</v>
      </c>
    </row>
    <row r="89" spans="1:10" ht="15.75" thickBot="1" x14ac:dyDescent="0.3">
      <c r="A89" t="s">
        <v>180</v>
      </c>
      <c r="C89">
        <v>14</v>
      </c>
      <c r="D89" s="42"/>
      <c r="E89" s="22" t="s">
        <v>181</v>
      </c>
      <c r="F89" s="56">
        <f>C90/C$86</f>
        <v>0.125</v>
      </c>
      <c r="G89" s="39"/>
      <c r="H89" s="57" t="s">
        <v>106</v>
      </c>
      <c r="I89" s="59">
        <v>4</v>
      </c>
      <c r="J89" s="51">
        <f>I89/I$86</f>
        <v>0.4</v>
      </c>
    </row>
    <row r="90" spans="1:10" ht="15.75" thickBot="1" x14ac:dyDescent="0.3">
      <c r="A90" t="s">
        <v>181</v>
      </c>
      <c r="C90">
        <v>2</v>
      </c>
      <c r="D90" s="42"/>
      <c r="E90" s="68"/>
      <c r="F90" s="69"/>
      <c r="G90" s="39"/>
      <c r="H90" s="57" t="s">
        <v>107</v>
      </c>
      <c r="I90" s="59">
        <v>1</v>
      </c>
      <c r="J90" s="51">
        <f>I90/I$86</f>
        <v>0.1</v>
      </c>
    </row>
    <row r="91" spans="1:10" ht="15.75" thickBot="1" x14ac:dyDescent="0.3">
      <c r="A91" s="7"/>
      <c r="B91" s="40"/>
      <c r="D91" s="42"/>
      <c r="E91" s="62" t="s">
        <v>182</v>
      </c>
      <c r="F91" s="44"/>
      <c r="G91" s="39"/>
      <c r="H91" s="22" t="s">
        <v>108</v>
      </c>
      <c r="I91" s="55">
        <v>4</v>
      </c>
      <c r="J91" s="56">
        <f>I91/I$86</f>
        <v>0.4</v>
      </c>
    </row>
    <row r="92" spans="1:10" x14ac:dyDescent="0.25">
      <c r="A92" s="7" t="s">
        <v>183</v>
      </c>
      <c r="B92" s="40"/>
      <c r="D92" s="42"/>
      <c r="E92" s="58" t="s">
        <v>121</v>
      </c>
      <c r="F92" s="51">
        <f t="shared" ref="F92:F97" si="4">C93/C$50</f>
        <v>0.48837209302325579</v>
      </c>
      <c r="G92" s="39"/>
    </row>
    <row r="93" spans="1:10" ht="15.75" thickBot="1" x14ac:dyDescent="0.3">
      <c r="A93" s="7" t="s">
        <v>121</v>
      </c>
      <c r="B93" s="40"/>
      <c r="C93">
        <v>21</v>
      </c>
      <c r="D93" s="42"/>
      <c r="E93" s="48" t="s">
        <v>122</v>
      </c>
      <c r="F93" s="51">
        <f t="shared" si="4"/>
        <v>9.3023255813953487E-2</v>
      </c>
      <c r="G93" s="39"/>
    </row>
    <row r="94" spans="1:10" x14ac:dyDescent="0.25">
      <c r="A94" s="7" t="s">
        <v>122</v>
      </c>
      <c r="B94" s="40"/>
      <c r="C94">
        <v>4</v>
      </c>
      <c r="D94" s="42"/>
      <c r="E94" s="48" t="s">
        <v>123</v>
      </c>
      <c r="F94" s="51">
        <f t="shared" si="4"/>
        <v>0</v>
      </c>
      <c r="G94" s="39"/>
      <c r="H94" s="45" t="s">
        <v>69</v>
      </c>
      <c r="I94" s="46">
        <v>10</v>
      </c>
      <c r="J94" s="47"/>
    </row>
    <row r="95" spans="1:10" x14ac:dyDescent="0.25">
      <c r="A95" s="7" t="s">
        <v>123</v>
      </c>
      <c r="B95" s="40"/>
      <c r="C95">
        <v>0</v>
      </c>
      <c r="D95" s="42"/>
      <c r="E95" s="48" t="s">
        <v>124</v>
      </c>
      <c r="F95" s="51">
        <f t="shared" si="4"/>
        <v>0</v>
      </c>
      <c r="G95" s="39"/>
      <c r="H95" s="57" t="s">
        <v>109</v>
      </c>
      <c r="I95" s="59">
        <v>1</v>
      </c>
      <c r="J95" s="51">
        <f>I95/I$94</f>
        <v>0.1</v>
      </c>
    </row>
    <row r="96" spans="1:10" x14ac:dyDescent="0.25">
      <c r="A96" s="7" t="s">
        <v>124</v>
      </c>
      <c r="B96" s="40"/>
      <c r="C96">
        <v>0</v>
      </c>
      <c r="D96" s="42"/>
      <c r="E96" s="48" t="s">
        <v>125</v>
      </c>
      <c r="F96" s="51">
        <f t="shared" si="4"/>
        <v>0.37209302325581395</v>
      </c>
      <c r="G96" s="39"/>
      <c r="H96" s="57" t="s">
        <v>110</v>
      </c>
      <c r="I96" s="59">
        <v>2</v>
      </c>
      <c r="J96" s="51">
        <f t="shared" ref="J96:J104" si="5">I96/I$94</f>
        <v>0.2</v>
      </c>
    </row>
    <row r="97" spans="1:10" ht="15.75" thickBot="1" x14ac:dyDescent="0.3">
      <c r="A97" s="7" t="s">
        <v>125</v>
      </c>
      <c r="B97" s="40"/>
      <c r="C97">
        <v>16</v>
      </c>
      <c r="D97" s="42"/>
      <c r="E97" s="53" t="s">
        <v>69</v>
      </c>
      <c r="F97" s="56">
        <f t="shared" si="4"/>
        <v>4.6511627906976744E-2</v>
      </c>
      <c r="G97" s="39"/>
      <c r="H97" s="57" t="s">
        <v>111</v>
      </c>
      <c r="I97" s="59">
        <v>0</v>
      </c>
      <c r="J97" s="51">
        <f t="shared" si="5"/>
        <v>0</v>
      </c>
    </row>
    <row r="98" spans="1:10" ht="15.75" thickBot="1" x14ac:dyDescent="0.3">
      <c r="A98" s="7" t="s">
        <v>69</v>
      </c>
      <c r="B98" s="40"/>
      <c r="C98">
        <v>2</v>
      </c>
      <c r="D98" s="42"/>
      <c r="E98" s="42"/>
      <c r="F98" s="14"/>
      <c r="G98" s="39"/>
      <c r="H98" s="57" t="s">
        <v>112</v>
      </c>
      <c r="I98" s="59">
        <v>0</v>
      </c>
      <c r="J98" s="51">
        <f t="shared" si="5"/>
        <v>0</v>
      </c>
    </row>
    <row r="99" spans="1:10" x14ac:dyDescent="0.25">
      <c r="A99" s="7"/>
      <c r="B99" s="40"/>
      <c r="D99" s="42"/>
      <c r="E99" s="43" t="s">
        <v>184</v>
      </c>
      <c r="F99" s="44"/>
      <c r="G99" s="39"/>
      <c r="H99" s="57" t="s">
        <v>113</v>
      </c>
      <c r="I99" s="59">
        <v>1</v>
      </c>
      <c r="J99" s="51">
        <f t="shared" si="5"/>
        <v>0.1</v>
      </c>
    </row>
    <row r="100" spans="1:10" x14ac:dyDescent="0.25">
      <c r="A100" s="7" t="s">
        <v>185</v>
      </c>
      <c r="B100" s="40"/>
      <c r="D100" s="42"/>
      <c r="E100" s="48" t="s">
        <v>186</v>
      </c>
      <c r="F100" s="51">
        <f>C101/C$50</f>
        <v>0.7441860465116279</v>
      </c>
      <c r="G100" s="39"/>
      <c r="H100" s="70" t="s">
        <v>114</v>
      </c>
      <c r="I100" s="59">
        <v>2</v>
      </c>
      <c r="J100" s="51">
        <f t="shared" si="5"/>
        <v>0.2</v>
      </c>
    </row>
    <row r="101" spans="1:10" x14ac:dyDescent="0.25">
      <c r="A101" s="7" t="s">
        <v>186</v>
      </c>
      <c r="B101" s="40"/>
      <c r="C101">
        <v>32</v>
      </c>
      <c r="D101" s="42"/>
      <c r="E101" s="48" t="s">
        <v>187</v>
      </c>
      <c r="F101" s="51">
        <f>C102/C$50</f>
        <v>0.16279069767441862</v>
      </c>
      <c r="G101" s="39"/>
      <c r="H101" s="70" t="s">
        <v>115</v>
      </c>
      <c r="I101" s="59">
        <v>1</v>
      </c>
      <c r="J101" s="51">
        <f t="shared" si="5"/>
        <v>0.1</v>
      </c>
    </row>
    <row r="102" spans="1:10" x14ac:dyDescent="0.25">
      <c r="A102" s="7" t="s">
        <v>187</v>
      </c>
      <c r="B102" s="40"/>
      <c r="C102">
        <v>7</v>
      </c>
      <c r="D102" s="42"/>
      <c r="E102" s="48" t="s">
        <v>188</v>
      </c>
      <c r="F102" s="51">
        <f>C103/C$50</f>
        <v>2.3255813953488372E-2</v>
      </c>
      <c r="G102" s="39"/>
      <c r="H102" s="70" t="s">
        <v>116</v>
      </c>
      <c r="I102" s="59">
        <v>1</v>
      </c>
      <c r="J102" s="51">
        <f t="shared" si="5"/>
        <v>0.1</v>
      </c>
    </row>
    <row r="103" spans="1:10" x14ac:dyDescent="0.25">
      <c r="A103" s="7" t="s">
        <v>188</v>
      </c>
      <c r="B103" s="40"/>
      <c r="C103">
        <v>1</v>
      </c>
      <c r="D103" s="42"/>
      <c r="E103" s="48" t="s">
        <v>189</v>
      </c>
      <c r="F103" s="51">
        <f>C104/C$50</f>
        <v>0</v>
      </c>
      <c r="G103" s="39"/>
      <c r="H103" s="70" t="s">
        <v>117</v>
      </c>
      <c r="I103" s="59">
        <v>0</v>
      </c>
      <c r="J103" s="51">
        <f t="shared" si="5"/>
        <v>0</v>
      </c>
    </row>
    <row r="104" spans="1:10" ht="15.75" thickBot="1" x14ac:dyDescent="0.3">
      <c r="A104" s="7" t="s">
        <v>189</v>
      </c>
      <c r="B104" s="40"/>
      <c r="C104">
        <v>0</v>
      </c>
      <c r="E104" s="53" t="s">
        <v>190</v>
      </c>
      <c r="F104" s="56">
        <f>C105/C$50</f>
        <v>6.9767441860465115E-2</v>
      </c>
      <c r="H104" s="71" t="s">
        <v>118</v>
      </c>
      <c r="I104" s="55">
        <v>2</v>
      </c>
      <c r="J104" s="56">
        <f t="shared" si="5"/>
        <v>0.2</v>
      </c>
    </row>
    <row r="105" spans="1:10" x14ac:dyDescent="0.25">
      <c r="A105" s="7" t="s">
        <v>190</v>
      </c>
      <c r="B105" s="40"/>
      <c r="C105">
        <v>3</v>
      </c>
      <c r="E105" s="42"/>
      <c r="F105" s="14"/>
    </row>
    <row r="106" spans="1:10" x14ac:dyDescent="0.25">
      <c r="A106" s="7" t="s">
        <v>191</v>
      </c>
      <c r="B106" s="40"/>
      <c r="C106">
        <v>0</v>
      </c>
      <c r="E106" s="42"/>
      <c r="F106" s="14"/>
    </row>
    <row r="107" spans="1:10" x14ac:dyDescent="0.25">
      <c r="A107" s="7"/>
      <c r="B107" s="40"/>
      <c r="E107" s="42"/>
      <c r="F107" s="14"/>
    </row>
    <row r="108" spans="1:10" ht="15.75" thickBot="1" x14ac:dyDescent="0.3"/>
    <row r="109" spans="1:10" x14ac:dyDescent="0.25">
      <c r="A109" s="72" t="s">
        <v>7</v>
      </c>
      <c r="B109" s="88">
        <f>SUM(B110:B113)</f>
        <v>100641.41000000002</v>
      </c>
    </row>
    <row r="110" spans="1:10" x14ac:dyDescent="0.25">
      <c r="A110" s="74" t="s">
        <v>121</v>
      </c>
      <c r="B110" s="75">
        <f>SUM(F2,F4:F6,F16,F19:F20,F24:F30,F33,F35:F36,F38:F40,F43)</f>
        <v>32339.66</v>
      </c>
    </row>
    <row r="111" spans="1:10" x14ac:dyDescent="0.25">
      <c r="A111" s="74" t="s">
        <v>192</v>
      </c>
      <c r="B111" s="75">
        <f>SUM(F9:F14,F18,F21:F23,F31:F32,F34,F41:F42,F44,)</f>
        <v>35593.160000000003</v>
      </c>
    </row>
    <row r="112" spans="1:10" x14ac:dyDescent="0.25">
      <c r="A112" s="74" t="s">
        <v>193</v>
      </c>
      <c r="B112" s="75">
        <f>SUM(F3,F7,F15,F17,)</f>
        <v>11206.57</v>
      </c>
    </row>
    <row r="113" spans="1:2" x14ac:dyDescent="0.25">
      <c r="A113" s="74" t="s">
        <v>69</v>
      </c>
      <c r="B113" s="76">
        <f>SUM(F8,F37,C48)</f>
        <v>21502.02</v>
      </c>
    </row>
    <row r="114" spans="1:2" ht="15.75" thickBot="1" x14ac:dyDescent="0.3">
      <c r="A114" s="77"/>
      <c r="B114" s="78"/>
    </row>
  </sheetData>
  <mergeCells count="1">
    <mergeCell ref="A46:F4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3"/>
  <sheetViews>
    <sheetView topLeftCell="A97" workbookViewId="0">
      <selection activeCell="F58" sqref="F58"/>
    </sheetView>
  </sheetViews>
  <sheetFormatPr baseColWidth="10" defaultRowHeight="15" x14ac:dyDescent="0.25"/>
  <cols>
    <col min="2" max="2" width="34.140625" customWidth="1"/>
    <col min="3" max="3" width="11.42578125" customWidth="1"/>
    <col min="4" max="4" width="5.7109375" customWidth="1"/>
    <col min="5" max="5" width="7.5703125" customWidth="1"/>
    <col min="7" max="7" width="46" customWidth="1"/>
  </cols>
  <sheetData>
    <row r="1" spans="1:8" ht="15" customHeight="1" x14ac:dyDescent="0.25">
      <c r="A1" s="3" t="s">
        <v>2</v>
      </c>
      <c r="B1" s="4" t="s">
        <v>3</v>
      </c>
      <c r="C1" s="4" t="s">
        <v>5</v>
      </c>
      <c r="D1" s="4" t="s">
        <v>22</v>
      </c>
      <c r="E1" s="8" t="s">
        <v>6</v>
      </c>
      <c r="F1" s="5" t="s">
        <v>8</v>
      </c>
      <c r="G1" s="6" t="s">
        <v>9</v>
      </c>
      <c r="H1" s="1" t="s">
        <v>10</v>
      </c>
    </row>
    <row r="2" spans="1:8" x14ac:dyDescent="0.25">
      <c r="A2" s="40">
        <v>45078</v>
      </c>
      <c r="B2" s="89" t="s">
        <v>1258</v>
      </c>
      <c r="C2" s="89" t="s">
        <v>186</v>
      </c>
      <c r="D2" s="89" t="s">
        <v>139</v>
      </c>
      <c r="E2" s="89" t="s">
        <v>192</v>
      </c>
      <c r="F2" s="38">
        <v>3450</v>
      </c>
      <c r="G2" s="89" t="s">
        <v>1261</v>
      </c>
      <c r="H2" s="89" t="s">
        <v>1277</v>
      </c>
    </row>
    <row r="3" spans="1:8" x14ac:dyDescent="0.25">
      <c r="A3" s="40">
        <v>45080</v>
      </c>
      <c r="B3" s="89" t="s">
        <v>985</v>
      </c>
      <c r="C3" s="89" t="s">
        <v>408</v>
      </c>
      <c r="D3" s="89" t="s">
        <v>139</v>
      </c>
      <c r="E3" s="89" t="s">
        <v>192</v>
      </c>
      <c r="F3" s="38">
        <v>2866</v>
      </c>
      <c r="G3" s="89" t="s">
        <v>1276</v>
      </c>
      <c r="H3" s="89" t="s">
        <v>219</v>
      </c>
    </row>
    <row r="4" spans="1:8" s="89" customFormat="1" x14ac:dyDescent="0.25">
      <c r="A4" s="40">
        <v>45082</v>
      </c>
      <c r="B4" s="89" t="s">
        <v>1285</v>
      </c>
      <c r="C4" s="89" t="s">
        <v>186</v>
      </c>
      <c r="D4" s="89" t="s">
        <v>139</v>
      </c>
      <c r="E4" s="89" t="s">
        <v>192</v>
      </c>
      <c r="F4" s="38">
        <v>1160</v>
      </c>
      <c r="G4" s="89" t="s">
        <v>1287</v>
      </c>
      <c r="H4" s="89" t="s">
        <v>1288</v>
      </c>
    </row>
    <row r="5" spans="1:8" s="89" customFormat="1" x14ac:dyDescent="0.25">
      <c r="A5" s="40">
        <v>45082</v>
      </c>
      <c r="B5" s="89" t="s">
        <v>1289</v>
      </c>
      <c r="C5" s="89" t="s">
        <v>186</v>
      </c>
      <c r="D5" s="89" t="s">
        <v>139</v>
      </c>
      <c r="E5" s="89" t="s">
        <v>1292</v>
      </c>
      <c r="F5" s="38">
        <v>1560</v>
      </c>
      <c r="G5" s="89" t="s">
        <v>1293</v>
      </c>
      <c r="H5" s="89" t="s">
        <v>219</v>
      </c>
    </row>
    <row r="6" spans="1:8" s="89" customFormat="1" x14ac:dyDescent="0.25">
      <c r="A6" s="40">
        <v>45083</v>
      </c>
      <c r="B6" s="89" t="s">
        <v>1294</v>
      </c>
      <c r="C6" s="89" t="s">
        <v>186</v>
      </c>
      <c r="D6" s="89" t="s">
        <v>139</v>
      </c>
      <c r="E6" s="89" t="s">
        <v>197</v>
      </c>
      <c r="F6" s="38">
        <v>1678</v>
      </c>
      <c r="G6" s="89" t="s">
        <v>1296</v>
      </c>
      <c r="H6" s="89" t="s">
        <v>1297</v>
      </c>
    </row>
    <row r="7" spans="1:8" s="89" customFormat="1" x14ac:dyDescent="0.25">
      <c r="A7" s="40">
        <v>45083</v>
      </c>
      <c r="B7" s="89" t="s">
        <v>1298</v>
      </c>
      <c r="C7" s="89" t="s">
        <v>186</v>
      </c>
      <c r="D7" s="89" t="s">
        <v>139</v>
      </c>
      <c r="E7" s="89" t="s">
        <v>197</v>
      </c>
      <c r="F7" s="38">
        <v>2574</v>
      </c>
      <c r="G7" s="89" t="s">
        <v>1301</v>
      </c>
      <c r="H7" s="89" t="s">
        <v>219</v>
      </c>
    </row>
    <row r="8" spans="1:8" s="89" customFormat="1" x14ac:dyDescent="0.25">
      <c r="A8" s="40">
        <v>45078</v>
      </c>
      <c r="B8" s="89" t="s">
        <v>1306</v>
      </c>
      <c r="C8" s="89" t="s">
        <v>186</v>
      </c>
      <c r="D8" s="89" t="s">
        <v>139</v>
      </c>
      <c r="E8" s="89" t="s">
        <v>197</v>
      </c>
      <c r="F8" s="38">
        <v>3541</v>
      </c>
      <c r="G8" s="89" t="s">
        <v>1309</v>
      </c>
      <c r="H8" s="89" t="s">
        <v>1314</v>
      </c>
    </row>
    <row r="9" spans="1:8" s="89" customFormat="1" x14ac:dyDescent="0.25">
      <c r="A9" s="40">
        <v>45084</v>
      </c>
      <c r="B9" s="89" t="s">
        <v>1310</v>
      </c>
      <c r="C9" s="89" t="s">
        <v>186</v>
      </c>
      <c r="D9" s="89" t="s">
        <v>139</v>
      </c>
      <c r="E9" s="89" t="s">
        <v>192</v>
      </c>
      <c r="F9" s="38">
        <v>1421</v>
      </c>
      <c r="G9" s="89" t="s">
        <v>1313</v>
      </c>
      <c r="H9" s="89" t="s">
        <v>733</v>
      </c>
    </row>
    <row r="10" spans="1:8" s="89" customFormat="1" x14ac:dyDescent="0.25">
      <c r="A10" s="40">
        <v>45084</v>
      </c>
      <c r="B10" s="89" t="s">
        <v>1315</v>
      </c>
      <c r="C10" s="89" t="s">
        <v>408</v>
      </c>
      <c r="D10" s="89" t="s">
        <v>139</v>
      </c>
      <c r="E10" s="89" t="s">
        <v>197</v>
      </c>
      <c r="F10" s="38">
        <v>1365</v>
      </c>
      <c r="G10" s="89" t="s">
        <v>641</v>
      </c>
      <c r="H10" s="89" t="s">
        <v>1318</v>
      </c>
    </row>
    <row r="11" spans="1:8" s="89" customFormat="1" x14ac:dyDescent="0.25">
      <c r="A11" s="40">
        <v>45086</v>
      </c>
      <c r="B11" s="89" t="s">
        <v>318</v>
      </c>
      <c r="C11" s="89" t="s">
        <v>186</v>
      </c>
      <c r="D11" s="89" t="s">
        <v>139</v>
      </c>
      <c r="E11" s="89" t="s">
        <v>192</v>
      </c>
      <c r="F11" s="38">
        <v>2200.1999999999998</v>
      </c>
      <c r="G11" s="89" t="s">
        <v>1323</v>
      </c>
      <c r="H11" s="89" t="s">
        <v>1324</v>
      </c>
    </row>
    <row r="12" spans="1:8" s="89" customFormat="1" x14ac:dyDescent="0.25">
      <c r="A12" s="40">
        <v>45087</v>
      </c>
      <c r="B12" s="89" t="s">
        <v>1325</v>
      </c>
      <c r="C12" s="89" t="s">
        <v>186</v>
      </c>
      <c r="D12" s="89" t="s">
        <v>139</v>
      </c>
      <c r="E12" s="89" t="s">
        <v>193</v>
      </c>
      <c r="F12" s="38">
        <v>1894.3</v>
      </c>
      <c r="G12" s="89" t="s">
        <v>1328</v>
      </c>
      <c r="H12" s="89" t="s">
        <v>1336</v>
      </c>
    </row>
    <row r="13" spans="1:8" s="89" customFormat="1" x14ac:dyDescent="0.25">
      <c r="A13" s="40">
        <v>45089</v>
      </c>
      <c r="B13" s="89" t="s">
        <v>1337</v>
      </c>
      <c r="C13" s="89" t="s">
        <v>186</v>
      </c>
      <c r="D13" s="89" t="s">
        <v>139</v>
      </c>
      <c r="E13" s="89" t="s">
        <v>192</v>
      </c>
      <c r="F13" s="38">
        <v>2693</v>
      </c>
      <c r="G13" s="89" t="s">
        <v>1340</v>
      </c>
      <c r="H13" s="89" t="s">
        <v>1345</v>
      </c>
    </row>
    <row r="14" spans="1:8" s="89" customFormat="1" x14ac:dyDescent="0.25">
      <c r="A14" s="40">
        <v>45090</v>
      </c>
      <c r="B14" s="89" t="s">
        <v>1341</v>
      </c>
      <c r="C14" s="89" t="s">
        <v>186</v>
      </c>
      <c r="D14" s="89" t="s">
        <v>139</v>
      </c>
      <c r="E14" s="89" t="s">
        <v>197</v>
      </c>
      <c r="F14" s="38">
        <v>3012</v>
      </c>
      <c r="G14" s="89" t="s">
        <v>1344</v>
      </c>
      <c r="H14" s="89" t="s">
        <v>219</v>
      </c>
    </row>
    <row r="15" spans="1:8" s="89" customFormat="1" x14ac:dyDescent="0.25">
      <c r="A15" s="40">
        <v>45079</v>
      </c>
      <c r="B15" s="89" t="s">
        <v>1346</v>
      </c>
      <c r="C15" s="89" t="s">
        <v>408</v>
      </c>
      <c r="D15" s="89" t="s">
        <v>141</v>
      </c>
      <c r="E15" s="89" t="s">
        <v>197</v>
      </c>
      <c r="F15" s="38">
        <v>2069.7600000000002</v>
      </c>
      <c r="G15" s="89" t="s">
        <v>1281</v>
      </c>
      <c r="H15" s="89" t="s">
        <v>1349</v>
      </c>
    </row>
    <row r="16" spans="1:8" s="89" customFormat="1" x14ac:dyDescent="0.25">
      <c r="A16" s="40">
        <v>45091</v>
      </c>
      <c r="B16" s="89" t="s">
        <v>1350</v>
      </c>
      <c r="C16" s="89" t="s">
        <v>190</v>
      </c>
      <c r="D16" s="89" t="s">
        <v>139</v>
      </c>
      <c r="E16" s="89" t="s">
        <v>197</v>
      </c>
      <c r="F16" s="38">
        <v>1250</v>
      </c>
      <c r="G16" s="89" t="s">
        <v>1353</v>
      </c>
      <c r="H16" s="89" t="s">
        <v>1354</v>
      </c>
    </row>
    <row r="17" spans="1:8" s="89" customFormat="1" x14ac:dyDescent="0.25">
      <c r="A17" s="40">
        <v>45085</v>
      </c>
      <c r="B17" s="89" t="s">
        <v>724</v>
      </c>
      <c r="C17" s="89" t="s">
        <v>186</v>
      </c>
      <c r="D17" s="89" t="s">
        <v>139</v>
      </c>
      <c r="E17" s="89" t="s">
        <v>192</v>
      </c>
      <c r="F17" s="38">
        <v>2749</v>
      </c>
      <c r="G17" s="89" t="s">
        <v>1359</v>
      </c>
      <c r="H17" s="89" t="s">
        <v>545</v>
      </c>
    </row>
    <row r="18" spans="1:8" s="89" customFormat="1" x14ac:dyDescent="0.25">
      <c r="A18" s="40">
        <v>45089</v>
      </c>
      <c r="B18" s="89" t="s">
        <v>1360</v>
      </c>
      <c r="C18" s="89" t="s">
        <v>186</v>
      </c>
      <c r="D18" s="89" t="s">
        <v>139</v>
      </c>
      <c r="E18" s="89" t="s">
        <v>192</v>
      </c>
      <c r="F18" s="38">
        <v>1965</v>
      </c>
      <c r="G18" s="89" t="s">
        <v>1363</v>
      </c>
      <c r="H18" s="89" t="s">
        <v>219</v>
      </c>
    </row>
    <row r="19" spans="1:8" s="89" customFormat="1" x14ac:dyDescent="0.25">
      <c r="A19" s="40">
        <v>45092</v>
      </c>
      <c r="B19" s="89" t="s">
        <v>1364</v>
      </c>
      <c r="C19" s="89" t="s">
        <v>186</v>
      </c>
      <c r="D19" s="89" t="s">
        <v>139</v>
      </c>
      <c r="E19" s="89" t="s">
        <v>192</v>
      </c>
      <c r="F19" s="38">
        <v>975</v>
      </c>
      <c r="G19" s="89" t="s">
        <v>1367</v>
      </c>
      <c r="H19" s="89" t="s">
        <v>733</v>
      </c>
    </row>
    <row r="20" spans="1:8" s="89" customFormat="1" x14ac:dyDescent="0.25">
      <c r="A20" s="40">
        <v>45085</v>
      </c>
      <c r="B20" s="89" t="s">
        <v>1368</v>
      </c>
      <c r="C20" s="89" t="s">
        <v>186</v>
      </c>
      <c r="D20" s="89" t="s">
        <v>139</v>
      </c>
      <c r="E20" s="89" t="s">
        <v>192</v>
      </c>
      <c r="F20" s="38">
        <v>2008</v>
      </c>
      <c r="G20" s="89" t="s">
        <v>1371</v>
      </c>
      <c r="H20" s="89" t="s">
        <v>545</v>
      </c>
    </row>
    <row r="21" spans="1:8" s="89" customFormat="1" x14ac:dyDescent="0.25">
      <c r="A21" s="40">
        <v>45085</v>
      </c>
      <c r="B21" s="89" t="s">
        <v>1372</v>
      </c>
      <c r="C21" s="89" t="s">
        <v>186</v>
      </c>
      <c r="D21" s="89" t="s">
        <v>139</v>
      </c>
      <c r="E21" s="89" t="s">
        <v>197</v>
      </c>
      <c r="F21" s="38">
        <v>381</v>
      </c>
      <c r="G21" s="89" t="s">
        <v>449</v>
      </c>
      <c r="H21" s="89" t="s">
        <v>582</v>
      </c>
    </row>
    <row r="22" spans="1:8" s="89" customFormat="1" x14ac:dyDescent="0.25">
      <c r="A22" s="40">
        <v>45093</v>
      </c>
      <c r="B22" s="89" t="s">
        <v>1375</v>
      </c>
      <c r="C22" s="89" t="s">
        <v>408</v>
      </c>
      <c r="D22" s="89" t="s">
        <v>139</v>
      </c>
      <c r="E22" s="89" t="s">
        <v>197</v>
      </c>
      <c r="F22" s="38">
        <v>1340</v>
      </c>
      <c r="G22" s="89" t="s">
        <v>1378</v>
      </c>
      <c r="H22" s="89" t="s">
        <v>219</v>
      </c>
    </row>
    <row r="23" spans="1:8" s="89" customFormat="1" x14ac:dyDescent="0.25">
      <c r="A23" s="40">
        <v>45093</v>
      </c>
      <c r="B23" s="89" t="s">
        <v>1379</v>
      </c>
      <c r="C23" s="89" t="s">
        <v>186</v>
      </c>
      <c r="D23" s="89" t="s">
        <v>139</v>
      </c>
      <c r="E23" s="89" t="s">
        <v>197</v>
      </c>
      <c r="F23" s="38">
        <v>1223</v>
      </c>
      <c r="G23" s="89" t="s">
        <v>1382</v>
      </c>
      <c r="H23" s="89" t="s">
        <v>348</v>
      </c>
    </row>
    <row r="24" spans="1:8" s="89" customFormat="1" x14ac:dyDescent="0.25">
      <c r="A24" s="40">
        <v>45093</v>
      </c>
      <c r="B24" s="89" t="s">
        <v>1383</v>
      </c>
      <c r="C24" s="89" t="s">
        <v>190</v>
      </c>
      <c r="D24" s="89" t="s">
        <v>139</v>
      </c>
      <c r="E24" s="89" t="s">
        <v>197</v>
      </c>
      <c r="F24" s="38">
        <v>968</v>
      </c>
      <c r="G24" s="89" t="s">
        <v>1386</v>
      </c>
      <c r="H24" s="89" t="s">
        <v>300</v>
      </c>
    </row>
    <row r="25" spans="1:8" x14ac:dyDescent="0.25">
      <c r="A25" s="40">
        <v>45094</v>
      </c>
      <c r="B25" s="89" t="s">
        <v>1387</v>
      </c>
      <c r="C25" s="89" t="s">
        <v>409</v>
      </c>
      <c r="D25" s="89" t="s">
        <v>139</v>
      </c>
      <c r="E25" s="89" t="s">
        <v>192</v>
      </c>
      <c r="F25" s="38">
        <v>1809</v>
      </c>
      <c r="G25" s="89" t="s">
        <v>1390</v>
      </c>
      <c r="H25" s="89" t="s">
        <v>545</v>
      </c>
    </row>
    <row r="26" spans="1:8" x14ac:dyDescent="0.25">
      <c r="A26" s="40">
        <v>45078</v>
      </c>
      <c r="B26" s="89" t="s">
        <v>1393</v>
      </c>
      <c r="C26" s="89" t="s">
        <v>186</v>
      </c>
      <c r="D26" s="89" t="s">
        <v>139</v>
      </c>
      <c r="E26" s="89" t="s">
        <v>197</v>
      </c>
      <c r="F26" s="38">
        <v>3039</v>
      </c>
      <c r="G26" s="89" t="s">
        <v>1396</v>
      </c>
      <c r="H26" s="89" t="s">
        <v>1420</v>
      </c>
    </row>
    <row r="27" spans="1:8" x14ac:dyDescent="0.25">
      <c r="A27" s="40">
        <v>45089</v>
      </c>
      <c r="B27" s="89" t="s">
        <v>1397</v>
      </c>
      <c r="C27" s="89" t="s">
        <v>186</v>
      </c>
      <c r="D27" s="89" t="s">
        <v>139</v>
      </c>
      <c r="E27" s="89" t="s">
        <v>197</v>
      </c>
      <c r="F27" s="38">
        <v>989</v>
      </c>
      <c r="G27" s="89" t="s">
        <v>1400</v>
      </c>
      <c r="H27" s="89" t="s">
        <v>1401</v>
      </c>
    </row>
    <row r="28" spans="1:8" x14ac:dyDescent="0.25">
      <c r="A28" s="40">
        <v>45096</v>
      </c>
      <c r="B28" s="89" t="s">
        <v>551</v>
      </c>
      <c r="C28" s="89" t="s">
        <v>186</v>
      </c>
      <c r="D28" s="89" t="s">
        <v>139</v>
      </c>
      <c r="E28" s="89" t="s">
        <v>192</v>
      </c>
      <c r="F28" s="38">
        <v>1390</v>
      </c>
      <c r="G28" s="89" t="s">
        <v>1403</v>
      </c>
      <c r="H28" s="89" t="s">
        <v>219</v>
      </c>
    </row>
    <row r="29" spans="1:8" x14ac:dyDescent="0.25">
      <c r="A29" s="40">
        <v>45096</v>
      </c>
      <c r="B29" s="89" t="s">
        <v>1404</v>
      </c>
      <c r="C29" s="89" t="s">
        <v>186</v>
      </c>
      <c r="D29" s="89" t="s">
        <v>139</v>
      </c>
      <c r="E29" s="89" t="s">
        <v>197</v>
      </c>
      <c r="F29" s="38">
        <v>1356</v>
      </c>
      <c r="G29" s="89" t="s">
        <v>1407</v>
      </c>
      <c r="H29" s="89" t="s">
        <v>749</v>
      </c>
    </row>
    <row r="30" spans="1:8" x14ac:dyDescent="0.25">
      <c r="A30" s="40">
        <v>45098</v>
      </c>
      <c r="B30" s="89" t="s">
        <v>1408</v>
      </c>
      <c r="C30" s="89" t="s">
        <v>186</v>
      </c>
      <c r="D30" s="89" t="s">
        <v>139</v>
      </c>
      <c r="E30" s="89" t="s">
        <v>192</v>
      </c>
      <c r="F30" s="38">
        <v>2712.6</v>
      </c>
      <c r="G30" s="89" t="s">
        <v>1409</v>
      </c>
      <c r="H30" s="89" t="s">
        <v>1410</v>
      </c>
    </row>
    <row r="31" spans="1:8" x14ac:dyDescent="0.25">
      <c r="A31" s="40">
        <v>45098</v>
      </c>
      <c r="B31" s="89" t="s">
        <v>1411</v>
      </c>
      <c r="C31" s="89" t="s">
        <v>186</v>
      </c>
      <c r="D31" s="89" t="s">
        <v>141</v>
      </c>
      <c r="E31" s="89" t="s">
        <v>192</v>
      </c>
      <c r="F31" s="38">
        <v>1392</v>
      </c>
      <c r="G31" s="89" t="s">
        <v>1414</v>
      </c>
      <c r="H31" s="89" t="s">
        <v>1421</v>
      </c>
    </row>
    <row r="32" spans="1:8" x14ac:dyDescent="0.25">
      <c r="A32" s="40">
        <v>45091</v>
      </c>
      <c r="B32" s="89" t="s">
        <v>1415</v>
      </c>
      <c r="C32" s="89" t="s">
        <v>186</v>
      </c>
      <c r="D32" s="89" t="s">
        <v>139</v>
      </c>
      <c r="E32" s="89" t="s">
        <v>197</v>
      </c>
      <c r="F32" s="38">
        <v>1077</v>
      </c>
      <c r="G32" s="89" t="s">
        <v>1418</v>
      </c>
      <c r="H32" s="89" t="s">
        <v>1419</v>
      </c>
    </row>
    <row r="33" spans="1:8" x14ac:dyDescent="0.25">
      <c r="A33" s="40">
        <v>45099</v>
      </c>
      <c r="B33" s="89" t="s">
        <v>1422</v>
      </c>
      <c r="C33" s="89" t="s">
        <v>408</v>
      </c>
      <c r="D33" s="89" t="s">
        <v>139</v>
      </c>
      <c r="E33" s="89" t="s">
        <v>197</v>
      </c>
      <c r="F33" s="38">
        <v>993</v>
      </c>
      <c r="G33" s="89" t="s">
        <v>1425</v>
      </c>
      <c r="H33" s="89" t="s">
        <v>204</v>
      </c>
    </row>
    <row r="34" spans="1:8" x14ac:dyDescent="0.25">
      <c r="A34" s="40">
        <v>45099</v>
      </c>
      <c r="B34" s="89" t="s">
        <v>1427</v>
      </c>
      <c r="C34" s="89" t="s">
        <v>190</v>
      </c>
      <c r="D34" s="89" t="s">
        <v>139</v>
      </c>
      <c r="E34" s="89" t="s">
        <v>197</v>
      </c>
      <c r="F34" s="38">
        <v>1120</v>
      </c>
      <c r="G34" s="89" t="s">
        <v>1130</v>
      </c>
      <c r="H34" s="89" t="s">
        <v>1438</v>
      </c>
    </row>
    <row r="35" spans="1:8" x14ac:dyDescent="0.25">
      <c r="A35" s="40">
        <v>45094</v>
      </c>
      <c r="B35" s="89" t="s">
        <v>617</v>
      </c>
      <c r="C35" s="89" t="s">
        <v>186</v>
      </c>
      <c r="D35" s="89" t="s">
        <v>139</v>
      </c>
      <c r="E35" s="89" t="s">
        <v>192</v>
      </c>
      <c r="F35" s="38">
        <v>2104.4</v>
      </c>
      <c r="G35" s="89" t="s">
        <v>1437</v>
      </c>
      <c r="H35" s="89" t="s">
        <v>1454</v>
      </c>
    </row>
    <row r="36" spans="1:8" x14ac:dyDescent="0.25">
      <c r="A36" s="40">
        <v>45100</v>
      </c>
      <c r="B36" s="89" t="s">
        <v>1439</v>
      </c>
      <c r="C36" s="89" t="s">
        <v>186</v>
      </c>
      <c r="D36" s="89" t="s">
        <v>139</v>
      </c>
      <c r="E36" s="89" t="s">
        <v>192</v>
      </c>
      <c r="F36" s="38">
        <v>880</v>
      </c>
      <c r="G36" s="89" t="s">
        <v>1442</v>
      </c>
      <c r="H36" s="89" t="s">
        <v>1473</v>
      </c>
    </row>
    <row r="37" spans="1:8" x14ac:dyDescent="0.25">
      <c r="A37" s="40">
        <v>45100</v>
      </c>
      <c r="B37" s="89" t="s">
        <v>1443</v>
      </c>
      <c r="C37" s="89" t="s">
        <v>186</v>
      </c>
      <c r="D37" s="89" t="s">
        <v>141</v>
      </c>
      <c r="E37" s="89" t="s">
        <v>197</v>
      </c>
      <c r="F37" s="38">
        <v>8581.84</v>
      </c>
      <c r="G37" s="89" t="s">
        <v>309</v>
      </c>
      <c r="H37" s="89" t="s">
        <v>1446</v>
      </c>
    </row>
    <row r="38" spans="1:8" x14ac:dyDescent="0.25">
      <c r="A38" s="40">
        <v>45101</v>
      </c>
      <c r="B38" s="89" t="s">
        <v>824</v>
      </c>
      <c r="C38" s="89" t="s">
        <v>186</v>
      </c>
      <c r="D38" s="89" t="s">
        <v>139</v>
      </c>
      <c r="E38" s="89" t="s">
        <v>192</v>
      </c>
      <c r="F38" s="38">
        <v>1064</v>
      </c>
      <c r="G38" s="89" t="s">
        <v>1130</v>
      </c>
      <c r="H38" s="89" t="s">
        <v>1454</v>
      </c>
    </row>
    <row r="39" spans="1:8" x14ac:dyDescent="0.25">
      <c r="A39" s="40">
        <v>45101</v>
      </c>
      <c r="B39" s="89" t="s">
        <v>1448</v>
      </c>
      <c r="C39" s="89" t="s">
        <v>186</v>
      </c>
      <c r="D39" s="89" t="s">
        <v>139</v>
      </c>
      <c r="E39" s="89" t="s">
        <v>1450</v>
      </c>
      <c r="F39" s="38">
        <v>481</v>
      </c>
      <c r="G39" s="89" t="s">
        <v>1451</v>
      </c>
      <c r="H39" s="89" t="s">
        <v>1452</v>
      </c>
    </row>
    <row r="40" spans="1:8" x14ac:dyDescent="0.25">
      <c r="A40" s="40">
        <v>45097</v>
      </c>
      <c r="B40" s="89" t="s">
        <v>735</v>
      </c>
      <c r="C40" s="89" t="s">
        <v>625</v>
      </c>
      <c r="D40" s="89" t="s">
        <v>139</v>
      </c>
      <c r="E40" s="89" t="s">
        <v>192</v>
      </c>
      <c r="F40" s="38">
        <v>2053.1999999999998</v>
      </c>
      <c r="G40" s="89" t="s">
        <v>1453</v>
      </c>
      <c r="H40" s="89" t="s">
        <v>219</v>
      </c>
    </row>
    <row r="41" spans="1:8" x14ac:dyDescent="0.25">
      <c r="A41" s="40">
        <v>45103</v>
      </c>
      <c r="B41" s="89" t="s">
        <v>1455</v>
      </c>
      <c r="C41" s="89" t="s">
        <v>186</v>
      </c>
      <c r="D41" s="89" t="s">
        <v>139</v>
      </c>
      <c r="E41" s="89" t="s">
        <v>197</v>
      </c>
      <c r="F41" s="38">
        <v>1051</v>
      </c>
      <c r="G41" s="89" t="s">
        <v>1458</v>
      </c>
      <c r="H41" s="89" t="s">
        <v>219</v>
      </c>
    </row>
    <row r="42" spans="1:8" x14ac:dyDescent="0.25">
      <c r="A42" s="40">
        <v>45104</v>
      </c>
      <c r="B42" s="89" t="s">
        <v>1470</v>
      </c>
      <c r="C42" s="89" t="s">
        <v>186</v>
      </c>
      <c r="D42" s="89" t="s">
        <v>141</v>
      </c>
      <c r="E42" s="89" t="s">
        <v>192</v>
      </c>
      <c r="F42" s="38">
        <v>1224.96</v>
      </c>
      <c r="G42" s="89" t="s">
        <v>1414</v>
      </c>
      <c r="H42" s="89" t="s">
        <v>999</v>
      </c>
    </row>
    <row r="43" spans="1:8" x14ac:dyDescent="0.25">
      <c r="A43" s="40">
        <v>45105</v>
      </c>
      <c r="B43" s="89" t="s">
        <v>1478</v>
      </c>
      <c r="C43" s="89" t="s">
        <v>408</v>
      </c>
      <c r="D43" s="89" t="s">
        <v>139</v>
      </c>
      <c r="E43" s="89" t="s">
        <v>197</v>
      </c>
      <c r="F43" s="38">
        <v>975</v>
      </c>
      <c r="G43" s="89" t="s">
        <v>1367</v>
      </c>
      <c r="H43" s="89" t="s">
        <v>1503</v>
      </c>
    </row>
    <row r="44" spans="1:8" x14ac:dyDescent="0.25">
      <c r="A44" s="40">
        <v>45105</v>
      </c>
      <c r="B44" s="89" t="s">
        <v>1481</v>
      </c>
      <c r="C44" s="89" t="s">
        <v>186</v>
      </c>
      <c r="D44" s="89" t="s">
        <v>139</v>
      </c>
      <c r="E44" s="89" t="s">
        <v>197</v>
      </c>
      <c r="F44" s="38">
        <v>1240</v>
      </c>
      <c r="G44" s="89" t="s">
        <v>1484</v>
      </c>
      <c r="H44" s="89" t="s">
        <v>1504</v>
      </c>
    </row>
    <row r="45" spans="1:8" s="89" customFormat="1" x14ac:dyDescent="0.25">
      <c r="A45" s="40">
        <v>45106</v>
      </c>
      <c r="B45" s="89" t="s">
        <v>1499</v>
      </c>
      <c r="C45" s="89" t="s">
        <v>190</v>
      </c>
      <c r="D45" s="89" t="s">
        <v>139</v>
      </c>
      <c r="E45" s="89" t="s">
        <v>197</v>
      </c>
      <c r="F45" s="38">
        <v>1812</v>
      </c>
      <c r="G45" s="89" t="s">
        <v>1502</v>
      </c>
      <c r="H45" s="89" t="s">
        <v>219</v>
      </c>
    </row>
    <row r="46" spans="1:8" s="89" customFormat="1" x14ac:dyDescent="0.25">
      <c r="A46" s="40">
        <v>45103</v>
      </c>
      <c r="B46" s="89" t="s">
        <v>604</v>
      </c>
      <c r="C46" s="89" t="s">
        <v>186</v>
      </c>
      <c r="D46" s="89" t="s">
        <v>141</v>
      </c>
      <c r="E46" s="38" t="s">
        <v>192</v>
      </c>
      <c r="F46" s="38">
        <v>1392</v>
      </c>
      <c r="G46" s="89" t="s">
        <v>309</v>
      </c>
      <c r="H46" s="89" t="s">
        <v>1662</v>
      </c>
    </row>
    <row r="47" spans="1:8" x14ac:dyDescent="0.25">
      <c r="A47" s="40">
        <v>45107</v>
      </c>
      <c r="B47" s="89" t="s">
        <v>339</v>
      </c>
      <c r="C47" t="s">
        <v>186</v>
      </c>
      <c r="D47" t="s">
        <v>139</v>
      </c>
      <c r="E47" t="s">
        <v>192</v>
      </c>
      <c r="F47" s="38">
        <v>1378</v>
      </c>
      <c r="G47" s="89" t="s">
        <v>342</v>
      </c>
      <c r="H47" s="89" t="s">
        <v>348</v>
      </c>
    </row>
    <row r="48" spans="1:8" s="89" customFormat="1" x14ac:dyDescent="0.25">
      <c r="A48" s="40">
        <v>45107</v>
      </c>
      <c r="B48" s="89" t="s">
        <v>1555</v>
      </c>
      <c r="C48" s="89" t="s">
        <v>186</v>
      </c>
      <c r="D48" s="89" t="s">
        <v>139</v>
      </c>
      <c r="E48" s="89" t="s">
        <v>197</v>
      </c>
      <c r="F48" s="38">
        <v>5029</v>
      </c>
      <c r="G48" s="89" t="s">
        <v>1558</v>
      </c>
      <c r="H48" s="89" t="s">
        <v>1559</v>
      </c>
    </row>
    <row r="49" spans="1:10" s="89" customFormat="1" x14ac:dyDescent="0.25">
      <c r="A49" s="40">
        <v>45104</v>
      </c>
      <c r="B49" s="89" t="s">
        <v>1565</v>
      </c>
      <c r="C49" s="89" t="s">
        <v>186</v>
      </c>
      <c r="D49" s="89" t="s">
        <v>141</v>
      </c>
      <c r="E49" s="89" t="s">
        <v>197</v>
      </c>
      <c r="F49" s="38">
        <v>1979</v>
      </c>
      <c r="G49" s="89" t="s">
        <v>564</v>
      </c>
      <c r="H49" s="89" t="s">
        <v>1569</v>
      </c>
    </row>
    <row r="50" spans="1:10" s="89" customFormat="1" x14ac:dyDescent="0.25">
      <c r="A50" s="40">
        <v>45107</v>
      </c>
      <c r="B50" s="89" t="s">
        <v>1654</v>
      </c>
      <c r="C50" s="89" t="s">
        <v>186</v>
      </c>
      <c r="D50" s="89" t="s">
        <v>139</v>
      </c>
      <c r="E50" s="89" t="s">
        <v>193</v>
      </c>
      <c r="F50" s="38">
        <v>7286</v>
      </c>
      <c r="G50" s="89" t="s">
        <v>1657</v>
      </c>
      <c r="H50" s="89" t="s">
        <v>337</v>
      </c>
    </row>
    <row r="51" spans="1:10" s="89" customFormat="1" x14ac:dyDescent="0.25">
      <c r="A51" s="40"/>
      <c r="F51" s="38"/>
    </row>
    <row r="52" spans="1:10" s="89" customFormat="1" x14ac:dyDescent="0.25">
      <c r="A52" s="40"/>
    </row>
    <row r="55" spans="1:10" ht="15.75" thickBot="1" x14ac:dyDescent="0.3">
      <c r="A55" s="99" t="s">
        <v>130</v>
      </c>
      <c r="B55" s="99"/>
      <c r="C55" s="99"/>
      <c r="D55" s="99"/>
      <c r="E55" s="99"/>
      <c r="F55" s="99"/>
      <c r="G55" s="39"/>
    </row>
    <row r="56" spans="1:10" x14ac:dyDescent="0.25">
      <c r="A56" s="7" t="s">
        <v>131</v>
      </c>
      <c r="B56" s="40"/>
      <c r="C56" s="41">
        <f>SUM(F2:F53)</f>
        <v>98752.260000000009</v>
      </c>
      <c r="D56" s="42"/>
      <c r="E56" s="43" t="s">
        <v>132</v>
      </c>
      <c r="F56" s="44"/>
      <c r="G56" s="39"/>
      <c r="H56" s="45" t="s">
        <v>62</v>
      </c>
      <c r="I56" s="46">
        <v>25</v>
      </c>
      <c r="J56" s="47"/>
    </row>
    <row r="57" spans="1:10" x14ac:dyDescent="0.25">
      <c r="A57" s="7"/>
      <c r="B57" s="40"/>
      <c r="C57" s="41"/>
      <c r="D57" s="42"/>
      <c r="E57" s="48" t="s">
        <v>133</v>
      </c>
      <c r="F57" s="49">
        <v>98752.260000000009</v>
      </c>
      <c r="G57" s="39"/>
      <c r="H57" s="48" t="s">
        <v>99</v>
      </c>
      <c r="I57" s="50">
        <v>3</v>
      </c>
      <c r="J57" s="51">
        <f>I57/I$56</f>
        <v>0.12</v>
      </c>
    </row>
    <row r="58" spans="1:10" ht="15.75" thickBot="1" x14ac:dyDescent="0.3">
      <c r="A58" s="7" t="s">
        <v>134</v>
      </c>
      <c r="B58" s="40"/>
      <c r="C58" s="52">
        <v>26</v>
      </c>
      <c r="D58" s="42"/>
      <c r="E58" s="53" t="s">
        <v>135</v>
      </c>
      <c r="F58" s="54">
        <f>C56/C58</f>
        <v>3798.1638461538464</v>
      </c>
      <c r="G58" s="39"/>
      <c r="H58" s="48" t="s">
        <v>100</v>
      </c>
      <c r="I58" s="50">
        <v>21</v>
      </c>
      <c r="J58" s="51">
        <f>I58/I$56</f>
        <v>0.84</v>
      </c>
    </row>
    <row r="59" spans="1:10" ht="15.75" thickBot="1" x14ac:dyDescent="0.3">
      <c r="A59" s="7" t="s">
        <v>136</v>
      </c>
      <c r="B59" s="40"/>
      <c r="C59">
        <v>49</v>
      </c>
      <c r="D59" s="42"/>
      <c r="E59" s="42"/>
      <c r="F59" s="14"/>
      <c r="G59" s="39"/>
      <c r="H59" s="53" t="s">
        <v>101</v>
      </c>
      <c r="I59" s="55">
        <v>1</v>
      </c>
      <c r="J59" s="56">
        <f>I59/I$56</f>
        <v>0.04</v>
      </c>
    </row>
    <row r="60" spans="1:10" x14ac:dyDescent="0.25">
      <c r="A60" s="7"/>
      <c r="B60" s="40"/>
      <c r="D60" s="42" t="s">
        <v>81</v>
      </c>
      <c r="E60" s="43" t="s">
        <v>137</v>
      </c>
      <c r="F60" s="44"/>
      <c r="G60" s="39"/>
    </row>
    <row r="61" spans="1:10" ht="15.75" thickBot="1" x14ac:dyDescent="0.3">
      <c r="A61" s="7" t="s">
        <v>138</v>
      </c>
      <c r="B61" s="40"/>
      <c r="C61">
        <v>43</v>
      </c>
      <c r="D61" s="42" t="s">
        <v>81</v>
      </c>
      <c r="E61" s="48" t="s">
        <v>139</v>
      </c>
      <c r="F61" s="51">
        <f>C61/C$59</f>
        <v>0.87755102040816324</v>
      </c>
      <c r="G61" s="39"/>
    </row>
    <row r="62" spans="1:10" ht="15.75" thickBot="1" x14ac:dyDescent="0.3">
      <c r="A62" s="7" t="s">
        <v>140</v>
      </c>
      <c r="B62" s="40"/>
      <c r="C62">
        <v>6</v>
      </c>
      <c r="D62" s="42"/>
      <c r="E62" s="53" t="s">
        <v>141</v>
      </c>
      <c r="F62" s="56">
        <f>C62/C$59</f>
        <v>0.12244897959183673</v>
      </c>
      <c r="G62" s="39"/>
      <c r="H62" s="45" t="s">
        <v>142</v>
      </c>
      <c r="I62" s="46">
        <v>30</v>
      </c>
      <c r="J62" s="47"/>
    </row>
    <row r="63" spans="1:10" ht="15.75" thickBot="1" x14ac:dyDescent="0.3">
      <c r="A63" s="7"/>
      <c r="B63" s="40"/>
      <c r="D63" s="42"/>
      <c r="E63" s="42"/>
      <c r="F63" s="14"/>
      <c r="G63" s="39"/>
      <c r="H63" s="57" t="s">
        <v>143</v>
      </c>
      <c r="I63" s="50">
        <v>17</v>
      </c>
      <c r="J63" s="51">
        <f>I63/I$62</f>
        <v>0.56666666666666665</v>
      </c>
    </row>
    <row r="64" spans="1:10" x14ac:dyDescent="0.25">
      <c r="A64" s="7" t="s">
        <v>144</v>
      </c>
      <c r="B64" s="40"/>
      <c r="D64" s="42"/>
      <c r="E64" s="43" t="s">
        <v>48</v>
      </c>
      <c r="F64" s="44"/>
      <c r="G64" s="39"/>
      <c r="H64" s="57" t="s">
        <v>145</v>
      </c>
      <c r="I64" s="59">
        <v>0</v>
      </c>
      <c r="J64" s="51">
        <f>I64/I$62</f>
        <v>0</v>
      </c>
    </row>
    <row r="65" spans="1:10" ht="15.75" thickBot="1" x14ac:dyDescent="0.3">
      <c r="A65" s="7" t="s">
        <v>61</v>
      </c>
      <c r="B65" s="40"/>
      <c r="C65">
        <v>3</v>
      </c>
      <c r="D65" s="42"/>
      <c r="E65" s="58" t="s">
        <v>61</v>
      </c>
      <c r="F65" s="51">
        <f>C65/C$74</f>
        <v>3.2608695652173912E-2</v>
      </c>
      <c r="G65" s="39"/>
      <c r="H65" s="22" t="s">
        <v>146</v>
      </c>
      <c r="I65" s="55">
        <v>13</v>
      </c>
      <c r="J65" s="56">
        <f>I65/I$62</f>
        <v>0.43333333333333335</v>
      </c>
    </row>
    <row r="66" spans="1:10" ht="15.75" thickBot="1" x14ac:dyDescent="0.3">
      <c r="A66" s="7" t="s">
        <v>62</v>
      </c>
      <c r="B66" s="40"/>
      <c r="C66">
        <v>25</v>
      </c>
      <c r="D66" s="42"/>
      <c r="E66" s="58" t="s">
        <v>62</v>
      </c>
      <c r="F66" s="51">
        <f t="shared" ref="F66:F73" si="0">C66/C$74</f>
        <v>0.27173913043478259</v>
      </c>
      <c r="G66" s="39"/>
    </row>
    <row r="67" spans="1:10" x14ac:dyDescent="0.25">
      <c r="A67" s="7" t="s">
        <v>63</v>
      </c>
      <c r="B67" s="40"/>
      <c r="C67">
        <v>30</v>
      </c>
      <c r="D67" s="42"/>
      <c r="E67" s="58" t="s">
        <v>63</v>
      </c>
      <c r="F67" s="51">
        <f t="shared" si="0"/>
        <v>0.32608695652173914</v>
      </c>
      <c r="G67" s="42" t="s">
        <v>81</v>
      </c>
      <c r="H67" s="45" t="s">
        <v>147</v>
      </c>
      <c r="I67" s="46">
        <v>2</v>
      </c>
      <c r="J67" s="44">
        <f t="shared" ref="J67:J78" si="1">I67/I$62</f>
        <v>6.6666666666666666E-2</v>
      </c>
    </row>
    <row r="68" spans="1:10" x14ac:dyDescent="0.25">
      <c r="A68" s="7" t="s">
        <v>64</v>
      </c>
      <c r="B68" s="40"/>
      <c r="C68">
        <v>0</v>
      </c>
      <c r="D68" s="42"/>
      <c r="E68" s="58" t="s">
        <v>64</v>
      </c>
      <c r="F68" s="51">
        <f t="shared" si="0"/>
        <v>0</v>
      </c>
      <c r="G68" s="39"/>
      <c r="H68" s="57" t="s">
        <v>148</v>
      </c>
      <c r="I68" s="59">
        <v>0</v>
      </c>
      <c r="J68" s="51">
        <f t="shared" si="1"/>
        <v>0</v>
      </c>
    </row>
    <row r="69" spans="1:10" x14ac:dyDescent="0.25">
      <c r="A69" s="7" t="s">
        <v>65</v>
      </c>
      <c r="B69" s="40"/>
      <c r="C69">
        <v>6</v>
      </c>
      <c r="D69" s="42"/>
      <c r="E69" s="58" t="s">
        <v>65</v>
      </c>
      <c r="F69" s="51">
        <f t="shared" si="0"/>
        <v>6.5217391304347824E-2</v>
      </c>
      <c r="G69" s="39"/>
      <c r="H69" s="57" t="s">
        <v>149</v>
      </c>
      <c r="I69" s="59">
        <v>8</v>
      </c>
      <c r="J69" s="51">
        <f t="shared" si="1"/>
        <v>0.26666666666666666</v>
      </c>
    </row>
    <row r="70" spans="1:10" x14ac:dyDescent="0.25">
      <c r="A70" s="7" t="s">
        <v>66</v>
      </c>
      <c r="B70" s="40"/>
      <c r="C70">
        <v>2</v>
      </c>
      <c r="D70" s="42"/>
      <c r="E70" s="58" t="s">
        <v>66</v>
      </c>
      <c r="F70" s="51">
        <f t="shared" si="0"/>
        <v>2.1739130434782608E-2</v>
      </c>
      <c r="G70" s="39"/>
      <c r="H70" s="57" t="s">
        <v>150</v>
      </c>
      <c r="I70" s="59">
        <v>5</v>
      </c>
      <c r="J70" s="51">
        <f t="shared" si="1"/>
        <v>0.16666666666666666</v>
      </c>
    </row>
    <row r="71" spans="1:10" x14ac:dyDescent="0.25">
      <c r="A71" s="7" t="s">
        <v>67</v>
      </c>
      <c r="B71" s="40"/>
      <c r="C71">
        <v>16</v>
      </c>
      <c r="D71" s="42"/>
      <c r="E71" s="58" t="s">
        <v>67</v>
      </c>
      <c r="F71" s="51">
        <f t="shared" si="0"/>
        <v>0.17391304347826086</v>
      </c>
      <c r="G71" s="39"/>
      <c r="H71" s="57" t="s">
        <v>151</v>
      </c>
      <c r="I71" s="59">
        <v>6</v>
      </c>
      <c r="J71" s="51">
        <f t="shared" si="1"/>
        <v>0.2</v>
      </c>
    </row>
    <row r="72" spans="1:10" x14ac:dyDescent="0.25">
      <c r="A72" s="7" t="s">
        <v>68</v>
      </c>
      <c r="B72" s="40"/>
      <c r="C72">
        <v>1</v>
      </c>
      <c r="D72" s="42"/>
      <c r="E72" s="58" t="s">
        <v>68</v>
      </c>
      <c r="F72" s="51">
        <f t="shared" si="0"/>
        <v>1.0869565217391304E-2</v>
      </c>
      <c r="G72" s="39"/>
      <c r="H72" s="57" t="s">
        <v>152</v>
      </c>
      <c r="I72" s="59">
        <v>4</v>
      </c>
      <c r="J72" s="51">
        <f t="shared" si="1"/>
        <v>0.13333333333333333</v>
      </c>
    </row>
    <row r="73" spans="1:10" ht="15.75" thickBot="1" x14ac:dyDescent="0.3">
      <c r="A73" s="7" t="s">
        <v>69</v>
      </c>
      <c r="B73" s="40"/>
      <c r="C73">
        <v>9</v>
      </c>
      <c r="D73" s="42"/>
      <c r="E73" s="60" t="s">
        <v>69</v>
      </c>
      <c r="F73" s="56">
        <f t="shared" si="0"/>
        <v>9.7826086956521743E-2</v>
      </c>
      <c r="G73" s="42" t="s">
        <v>81</v>
      </c>
      <c r="H73" s="61" t="s">
        <v>153</v>
      </c>
      <c r="I73" s="59">
        <v>5</v>
      </c>
      <c r="J73" s="51">
        <f t="shared" si="1"/>
        <v>0.16666666666666666</v>
      </c>
    </row>
    <row r="74" spans="1:10" ht="15.75" thickBot="1" x14ac:dyDescent="0.3">
      <c r="A74" s="7" t="s">
        <v>154</v>
      </c>
      <c r="B74" s="40"/>
      <c r="C74">
        <f>SUM(C65:C73)</f>
        <v>92</v>
      </c>
      <c r="D74" s="42"/>
      <c r="E74" s="7"/>
      <c r="F74" s="14"/>
      <c r="G74" s="39"/>
      <c r="H74" s="61" t="s">
        <v>155</v>
      </c>
      <c r="I74" s="59">
        <v>0</v>
      </c>
      <c r="J74" s="51">
        <f t="shared" si="1"/>
        <v>0</v>
      </c>
    </row>
    <row r="75" spans="1:10" x14ac:dyDescent="0.25">
      <c r="A75" s="7"/>
      <c r="B75" s="40"/>
      <c r="D75" s="42"/>
      <c r="E75" s="62" t="s">
        <v>70</v>
      </c>
      <c r="F75" s="44"/>
      <c r="G75" s="39"/>
      <c r="H75" s="61" t="s">
        <v>156</v>
      </c>
      <c r="I75" s="59">
        <v>0</v>
      </c>
      <c r="J75" s="51">
        <f t="shared" si="1"/>
        <v>0</v>
      </c>
    </row>
    <row r="76" spans="1:10" x14ac:dyDescent="0.25">
      <c r="A76" s="7" t="s">
        <v>157</v>
      </c>
      <c r="B76" s="40"/>
      <c r="D76" s="42"/>
      <c r="E76" s="58" t="s">
        <v>71</v>
      </c>
      <c r="F76" s="51">
        <f>C77/C$87</f>
        <v>0.45283018867924529</v>
      </c>
      <c r="G76" s="39"/>
      <c r="H76" s="57" t="s">
        <v>158</v>
      </c>
      <c r="I76" s="59">
        <v>0</v>
      </c>
      <c r="J76" s="51">
        <f t="shared" si="1"/>
        <v>0</v>
      </c>
    </row>
    <row r="77" spans="1:10" x14ac:dyDescent="0.25">
      <c r="A77" s="7" t="s">
        <v>71</v>
      </c>
      <c r="B77" s="40"/>
      <c r="C77">
        <v>48</v>
      </c>
      <c r="D77" s="42"/>
      <c r="E77" s="58" t="s">
        <v>72</v>
      </c>
      <c r="F77" s="51">
        <f t="shared" ref="F77:F85" si="2">C78/C$87</f>
        <v>0.22641509433962265</v>
      </c>
      <c r="G77" s="39"/>
      <c r="H77" s="61" t="s">
        <v>159</v>
      </c>
      <c r="I77" s="59">
        <v>0</v>
      </c>
      <c r="J77" s="51">
        <f t="shared" si="1"/>
        <v>0</v>
      </c>
    </row>
    <row r="78" spans="1:10" ht="15.75" thickBot="1" x14ac:dyDescent="0.3">
      <c r="A78" s="7" t="s">
        <v>72</v>
      </c>
      <c r="B78" s="40"/>
      <c r="C78">
        <v>24</v>
      </c>
      <c r="D78" s="42"/>
      <c r="E78" s="58" t="s">
        <v>73</v>
      </c>
      <c r="F78" s="51">
        <f t="shared" si="2"/>
        <v>9.4339622641509441E-2</v>
      </c>
      <c r="G78" s="39"/>
      <c r="H78" s="63" t="s">
        <v>160</v>
      </c>
      <c r="I78" s="55">
        <v>0</v>
      </c>
      <c r="J78" s="56">
        <f t="shared" si="1"/>
        <v>0</v>
      </c>
    </row>
    <row r="79" spans="1:10" x14ac:dyDescent="0.25">
      <c r="A79" s="7" t="s">
        <v>73</v>
      </c>
      <c r="B79" s="40"/>
      <c r="C79">
        <v>10</v>
      </c>
      <c r="D79" s="42"/>
      <c r="E79" s="58" t="s">
        <v>74</v>
      </c>
      <c r="F79" s="51">
        <f t="shared" si="2"/>
        <v>9.4339622641509441E-2</v>
      </c>
      <c r="G79" s="39"/>
    </row>
    <row r="80" spans="1:10" ht="15.75" thickBot="1" x14ac:dyDescent="0.3">
      <c r="A80" s="7" t="s">
        <v>74</v>
      </c>
      <c r="B80" s="40"/>
      <c r="C80">
        <v>10</v>
      </c>
      <c r="D80" s="42"/>
      <c r="E80" s="58" t="s">
        <v>75</v>
      </c>
      <c r="F80" s="51">
        <f t="shared" si="2"/>
        <v>0</v>
      </c>
      <c r="G80" s="42" t="s">
        <v>81</v>
      </c>
    </row>
    <row r="81" spans="1:10" x14ac:dyDescent="0.25">
      <c r="A81" s="7" t="s">
        <v>75</v>
      </c>
      <c r="B81" s="40"/>
      <c r="C81">
        <v>0</v>
      </c>
      <c r="D81" s="42"/>
      <c r="E81" s="58" t="s">
        <v>76</v>
      </c>
      <c r="F81" s="51">
        <f t="shared" si="2"/>
        <v>0</v>
      </c>
      <c r="G81" s="39"/>
      <c r="H81" s="45" t="s">
        <v>65</v>
      </c>
      <c r="I81" s="46">
        <v>6</v>
      </c>
      <c r="J81" s="47"/>
    </row>
    <row r="82" spans="1:10" x14ac:dyDescent="0.25">
      <c r="A82" s="7" t="s">
        <v>76</v>
      </c>
      <c r="B82" s="40"/>
      <c r="C82">
        <v>0</v>
      </c>
      <c r="D82" s="42"/>
      <c r="E82" s="58" t="s">
        <v>77</v>
      </c>
      <c r="F82" s="51">
        <f t="shared" si="2"/>
        <v>0</v>
      </c>
      <c r="G82" s="39"/>
      <c r="H82" s="57" t="s">
        <v>161</v>
      </c>
      <c r="I82" s="59">
        <v>2</v>
      </c>
      <c r="J82" s="51">
        <f>I82/I$81</f>
        <v>0.33333333333333331</v>
      </c>
    </row>
    <row r="83" spans="1:10" ht="15.75" thickBot="1" x14ac:dyDescent="0.3">
      <c r="A83" s="7" t="s">
        <v>77</v>
      </c>
      <c r="B83" s="40"/>
      <c r="C83">
        <v>0</v>
      </c>
      <c r="D83" s="42"/>
      <c r="E83" s="58" t="s">
        <v>78</v>
      </c>
      <c r="F83" s="51">
        <f t="shared" si="2"/>
        <v>0</v>
      </c>
      <c r="G83" s="39"/>
      <c r="H83" s="22" t="s">
        <v>103</v>
      </c>
      <c r="I83" s="55">
        <v>4</v>
      </c>
      <c r="J83" s="56">
        <f>I83/I$81</f>
        <v>0.66666666666666663</v>
      </c>
    </row>
    <row r="84" spans="1:10" x14ac:dyDescent="0.25">
      <c r="A84" s="7" t="s">
        <v>78</v>
      </c>
      <c r="B84" s="40"/>
      <c r="C84">
        <v>0</v>
      </c>
      <c r="D84" s="42"/>
      <c r="E84" s="58" t="s">
        <v>79</v>
      </c>
      <c r="F84" s="51">
        <f t="shared" si="2"/>
        <v>0</v>
      </c>
      <c r="G84" s="39"/>
    </row>
    <row r="85" spans="1:10" ht="15.75" thickBot="1" x14ac:dyDescent="0.3">
      <c r="A85" s="7" t="s">
        <v>79</v>
      </c>
      <c r="B85" s="40"/>
      <c r="C85">
        <v>0</v>
      </c>
      <c r="D85" s="42"/>
      <c r="E85" s="60" t="s">
        <v>80</v>
      </c>
      <c r="F85" s="56">
        <f t="shared" si="2"/>
        <v>0.13207547169811321</v>
      </c>
      <c r="G85" s="39"/>
    </row>
    <row r="86" spans="1:10" ht="15.75" thickBot="1" x14ac:dyDescent="0.3">
      <c r="A86" s="7" t="s">
        <v>80</v>
      </c>
      <c r="B86" s="40"/>
      <c r="C86">
        <v>14</v>
      </c>
      <c r="D86" s="42"/>
      <c r="E86" s="7"/>
      <c r="F86" s="14"/>
      <c r="G86" s="39"/>
      <c r="H86" s="45" t="s">
        <v>162</v>
      </c>
      <c r="I86" s="46">
        <v>2</v>
      </c>
      <c r="J86" s="47"/>
    </row>
    <row r="87" spans="1:10" x14ac:dyDescent="0.25">
      <c r="A87" s="7" t="s">
        <v>163</v>
      </c>
      <c r="B87" s="40"/>
      <c r="C87">
        <f>SUM(C77:C86)</f>
        <v>106</v>
      </c>
      <c r="D87" s="42"/>
      <c r="E87" s="62" t="s">
        <v>44</v>
      </c>
      <c r="F87" s="44"/>
      <c r="G87" s="39"/>
      <c r="H87" s="57" t="s">
        <v>164</v>
      </c>
      <c r="I87" s="59">
        <v>1</v>
      </c>
      <c r="J87" s="51">
        <f t="shared" ref="J87:J92" si="3">I87/I$86</f>
        <v>0.5</v>
      </c>
    </row>
    <row r="88" spans="1:10" x14ac:dyDescent="0.25">
      <c r="A88" s="7"/>
      <c r="B88" s="40"/>
      <c r="D88" s="42"/>
      <c r="E88" s="64" t="s">
        <v>165</v>
      </c>
      <c r="F88" s="51">
        <f>C89/C$59</f>
        <v>0.7142857142857143</v>
      </c>
      <c r="G88" s="39"/>
      <c r="H88" s="57" t="s">
        <v>166</v>
      </c>
      <c r="I88" s="59">
        <v>1</v>
      </c>
      <c r="J88" s="51">
        <f t="shared" si="3"/>
        <v>0.5</v>
      </c>
    </row>
    <row r="89" spans="1:10" x14ac:dyDescent="0.25">
      <c r="A89" s="7" t="s">
        <v>167</v>
      </c>
      <c r="B89" s="40"/>
      <c r="C89">
        <v>35</v>
      </c>
      <c r="D89" s="42"/>
      <c r="E89" s="64" t="s">
        <v>168</v>
      </c>
      <c r="F89" s="51">
        <f>C90/C$59</f>
        <v>0</v>
      </c>
      <c r="G89" s="39"/>
      <c r="H89" s="57" t="s">
        <v>169</v>
      </c>
      <c r="I89" s="59">
        <v>0</v>
      </c>
      <c r="J89" s="51">
        <f t="shared" si="3"/>
        <v>0</v>
      </c>
    </row>
    <row r="90" spans="1:10" ht="15.75" thickBot="1" x14ac:dyDescent="0.3">
      <c r="A90" s="7" t="s">
        <v>170</v>
      </c>
      <c r="B90" s="40"/>
      <c r="C90">
        <v>0</v>
      </c>
      <c r="D90" s="42"/>
      <c r="E90" s="65" t="s">
        <v>171</v>
      </c>
      <c r="F90" s="56">
        <f>C91/C$59</f>
        <v>0.2857142857142857</v>
      </c>
      <c r="G90" s="39"/>
      <c r="H90" s="57" t="s">
        <v>172</v>
      </c>
      <c r="I90" s="59">
        <v>0</v>
      </c>
      <c r="J90" s="51">
        <f t="shared" si="3"/>
        <v>0</v>
      </c>
    </row>
    <row r="91" spans="1:10" ht="15.75" thickBot="1" x14ac:dyDescent="0.3">
      <c r="A91" s="7" t="s">
        <v>173</v>
      </c>
      <c r="B91" s="40"/>
      <c r="C91">
        <v>14</v>
      </c>
      <c r="D91" s="42"/>
      <c r="E91" s="66"/>
      <c r="F91" s="14"/>
      <c r="G91" s="42" t="s">
        <v>81</v>
      </c>
      <c r="H91" s="57" t="s">
        <v>174</v>
      </c>
      <c r="I91" s="59">
        <v>0</v>
      </c>
      <c r="J91" s="51">
        <f t="shared" si="3"/>
        <v>0</v>
      </c>
    </row>
    <row r="92" spans="1:10" ht="15.75" thickBot="1" x14ac:dyDescent="0.3">
      <c r="A92" s="7"/>
      <c r="B92" s="40"/>
      <c r="D92" s="42"/>
      <c r="E92" s="67" t="s">
        <v>137</v>
      </c>
      <c r="F92" s="44"/>
      <c r="G92" s="39"/>
      <c r="H92" s="22" t="s">
        <v>175</v>
      </c>
      <c r="I92" s="55">
        <v>0</v>
      </c>
      <c r="J92" s="56">
        <f t="shared" si="3"/>
        <v>0</v>
      </c>
    </row>
    <row r="93" spans="1:10" x14ac:dyDescent="0.25">
      <c r="A93" s="7" t="s">
        <v>137</v>
      </c>
      <c r="B93" s="40"/>
      <c r="D93" s="42"/>
      <c r="E93" s="58" t="s">
        <v>176</v>
      </c>
      <c r="F93" s="51">
        <f>C94/C$59</f>
        <v>0.5714285714285714</v>
      </c>
      <c r="G93" s="39"/>
    </row>
    <row r="94" spans="1:10" ht="15.75" thickBot="1" x14ac:dyDescent="0.3">
      <c r="A94" s="7" t="s">
        <v>177</v>
      </c>
      <c r="B94" s="40"/>
      <c r="C94">
        <v>28</v>
      </c>
      <c r="D94" s="42"/>
      <c r="E94" s="60" t="s">
        <v>178</v>
      </c>
      <c r="F94" s="56">
        <f>C95/C$59</f>
        <v>0.42857142857142855</v>
      </c>
      <c r="G94" s="39"/>
    </row>
    <row r="95" spans="1:10" ht="15.75" thickBot="1" x14ac:dyDescent="0.3">
      <c r="A95" s="7" t="s">
        <v>178</v>
      </c>
      <c r="B95" s="40"/>
      <c r="C95">
        <v>21</v>
      </c>
      <c r="D95" s="42"/>
      <c r="E95" s="68"/>
      <c r="F95" s="69"/>
      <c r="G95" s="39"/>
      <c r="H95" s="45" t="s">
        <v>67</v>
      </c>
      <c r="I95" s="46">
        <v>16</v>
      </c>
      <c r="J95" s="47"/>
    </row>
    <row r="96" spans="1:10" x14ac:dyDescent="0.25">
      <c r="A96" s="7"/>
      <c r="B96" s="40"/>
      <c r="D96" s="42"/>
      <c r="E96" s="45" t="s">
        <v>179</v>
      </c>
      <c r="F96" s="44"/>
      <c r="G96" s="39"/>
      <c r="H96" s="57" t="s">
        <v>104</v>
      </c>
      <c r="I96" s="59">
        <v>1</v>
      </c>
      <c r="J96" s="51">
        <f>I96/I$95</f>
        <v>6.25E-2</v>
      </c>
    </row>
    <row r="97" spans="1:10" x14ac:dyDescent="0.25">
      <c r="A97" t="s">
        <v>179</v>
      </c>
      <c r="D97" s="42"/>
      <c r="E97" s="57" t="s">
        <v>180</v>
      </c>
      <c r="F97" s="51">
        <f>C98/C$95</f>
        <v>0.5714285714285714</v>
      </c>
      <c r="G97" s="39"/>
      <c r="H97" s="57" t="s">
        <v>105</v>
      </c>
      <c r="I97" s="50">
        <v>8</v>
      </c>
      <c r="J97" s="51">
        <f>I97/I$95</f>
        <v>0.5</v>
      </c>
    </row>
    <row r="98" spans="1:10" ht="15.75" thickBot="1" x14ac:dyDescent="0.3">
      <c r="A98" t="s">
        <v>180</v>
      </c>
      <c r="C98">
        <v>12</v>
      </c>
      <c r="D98" s="42"/>
      <c r="E98" s="22" t="s">
        <v>181</v>
      </c>
      <c r="F98" s="56">
        <f>C99/C$95</f>
        <v>0.42857142857142855</v>
      </c>
      <c r="G98" s="39"/>
      <c r="H98" s="57" t="s">
        <v>106</v>
      </c>
      <c r="I98" s="50">
        <v>3</v>
      </c>
      <c r="J98" s="51">
        <f>I98/I$95</f>
        <v>0.1875</v>
      </c>
    </row>
    <row r="99" spans="1:10" ht="15.75" thickBot="1" x14ac:dyDescent="0.3">
      <c r="A99" t="s">
        <v>181</v>
      </c>
      <c r="C99">
        <v>9</v>
      </c>
      <c r="D99" s="42"/>
      <c r="E99" s="68"/>
      <c r="F99" s="69"/>
      <c r="G99" s="39"/>
      <c r="H99" s="57" t="s">
        <v>107</v>
      </c>
      <c r="I99" s="59">
        <v>4</v>
      </c>
      <c r="J99" s="51">
        <f>I99/I$95</f>
        <v>0.25</v>
      </c>
    </row>
    <row r="100" spans="1:10" ht="15.75" thickBot="1" x14ac:dyDescent="0.3">
      <c r="A100" s="7"/>
      <c r="B100" s="40"/>
      <c r="D100" s="42"/>
      <c r="E100" s="62" t="s">
        <v>182</v>
      </c>
      <c r="F100" s="44"/>
      <c r="G100" s="39"/>
      <c r="H100" s="22" t="s">
        <v>108</v>
      </c>
      <c r="I100" s="55">
        <v>0</v>
      </c>
      <c r="J100" s="56">
        <f>I100/I$95</f>
        <v>0</v>
      </c>
    </row>
    <row r="101" spans="1:10" x14ac:dyDescent="0.25">
      <c r="A101" s="7" t="s">
        <v>183</v>
      </c>
      <c r="B101" s="40"/>
      <c r="D101" s="42"/>
      <c r="E101" s="58" t="s">
        <v>121</v>
      </c>
      <c r="F101" s="51">
        <f t="shared" ref="F101:F106" si="4">C102/C$59</f>
        <v>0.48979591836734693</v>
      </c>
      <c r="G101" s="39"/>
    </row>
    <row r="102" spans="1:10" ht="15.75" thickBot="1" x14ac:dyDescent="0.3">
      <c r="A102" s="7" t="s">
        <v>121</v>
      </c>
      <c r="B102" s="40"/>
      <c r="C102">
        <v>24</v>
      </c>
      <c r="D102" s="42"/>
      <c r="E102" s="48" t="s">
        <v>122</v>
      </c>
      <c r="F102" s="51">
        <f t="shared" si="4"/>
        <v>4.0816326530612242E-2</v>
      </c>
      <c r="G102" s="39"/>
    </row>
    <row r="103" spans="1:10" x14ac:dyDescent="0.25">
      <c r="A103" s="7" t="s">
        <v>122</v>
      </c>
      <c r="B103" s="40"/>
      <c r="C103">
        <v>2</v>
      </c>
      <c r="D103" s="42"/>
      <c r="E103" s="48" t="s">
        <v>123</v>
      </c>
      <c r="F103" s="51">
        <f t="shared" si="4"/>
        <v>0</v>
      </c>
      <c r="G103" s="39"/>
      <c r="H103" s="45" t="s">
        <v>69</v>
      </c>
      <c r="I103" s="46">
        <v>9</v>
      </c>
      <c r="J103" s="47"/>
    </row>
    <row r="104" spans="1:10" x14ac:dyDescent="0.25">
      <c r="A104" s="7" t="s">
        <v>123</v>
      </c>
      <c r="B104" s="40"/>
      <c r="C104">
        <v>0</v>
      </c>
      <c r="D104" s="42"/>
      <c r="E104" s="48" t="s">
        <v>124</v>
      </c>
      <c r="F104" s="51">
        <f t="shared" si="4"/>
        <v>0</v>
      </c>
      <c r="G104" s="39"/>
      <c r="H104" s="57" t="s">
        <v>109</v>
      </c>
      <c r="I104" s="50">
        <v>1</v>
      </c>
      <c r="J104" s="51">
        <f>I104/I$103</f>
        <v>0.1111111111111111</v>
      </c>
    </row>
    <row r="105" spans="1:10" x14ac:dyDescent="0.25">
      <c r="A105" s="7" t="s">
        <v>124</v>
      </c>
      <c r="B105" s="40"/>
      <c r="C105">
        <v>0</v>
      </c>
      <c r="D105" s="42"/>
      <c r="E105" s="48" t="s">
        <v>125</v>
      </c>
      <c r="F105" s="51">
        <f t="shared" si="4"/>
        <v>0.42857142857142855</v>
      </c>
      <c r="G105" s="39"/>
      <c r="H105" s="57" t="s">
        <v>110</v>
      </c>
      <c r="I105" s="50">
        <v>1</v>
      </c>
      <c r="J105" s="51">
        <f t="shared" ref="J105:J113" si="5">I105/I$103</f>
        <v>0.1111111111111111</v>
      </c>
    </row>
    <row r="106" spans="1:10" ht="15.75" thickBot="1" x14ac:dyDescent="0.3">
      <c r="A106" s="7" t="s">
        <v>125</v>
      </c>
      <c r="B106" s="40"/>
      <c r="C106">
        <v>21</v>
      </c>
      <c r="D106" s="42"/>
      <c r="E106" s="53" t="s">
        <v>69</v>
      </c>
      <c r="F106" s="56">
        <f t="shared" si="4"/>
        <v>4.0816326530612242E-2</v>
      </c>
      <c r="G106" s="39"/>
      <c r="H106" s="57" t="s">
        <v>111</v>
      </c>
      <c r="I106" s="50">
        <v>0</v>
      </c>
      <c r="J106" s="51">
        <f t="shared" si="5"/>
        <v>0</v>
      </c>
    </row>
    <row r="107" spans="1:10" ht="15.75" thickBot="1" x14ac:dyDescent="0.3">
      <c r="A107" s="7" t="s">
        <v>69</v>
      </c>
      <c r="B107" s="40"/>
      <c r="C107">
        <v>2</v>
      </c>
      <c r="D107" s="42"/>
      <c r="E107" s="42"/>
      <c r="F107" s="14"/>
      <c r="G107" s="39"/>
      <c r="H107" s="57" t="s">
        <v>112</v>
      </c>
      <c r="I107" s="59">
        <v>2</v>
      </c>
      <c r="J107" s="51">
        <f t="shared" si="5"/>
        <v>0.22222222222222221</v>
      </c>
    </row>
    <row r="108" spans="1:10" x14ac:dyDescent="0.25">
      <c r="A108" s="7"/>
      <c r="B108" s="40"/>
      <c r="D108" s="42"/>
      <c r="E108" s="43" t="s">
        <v>184</v>
      </c>
      <c r="F108" s="44"/>
      <c r="G108" s="39"/>
      <c r="H108" s="57" t="s">
        <v>113</v>
      </c>
      <c r="I108" s="59">
        <v>1</v>
      </c>
      <c r="J108" s="51">
        <f t="shared" si="5"/>
        <v>0.1111111111111111</v>
      </c>
    </row>
    <row r="109" spans="1:10" x14ac:dyDescent="0.25">
      <c r="A109" s="7" t="s">
        <v>185</v>
      </c>
      <c r="B109" s="40"/>
      <c r="D109" s="42"/>
      <c r="E109" s="48" t="s">
        <v>186</v>
      </c>
      <c r="F109" s="51">
        <f>C110/C$59</f>
        <v>0.75510204081632648</v>
      </c>
      <c r="G109" s="39"/>
      <c r="H109" s="70" t="s">
        <v>114</v>
      </c>
      <c r="I109" s="59">
        <v>0</v>
      </c>
      <c r="J109" s="51">
        <f t="shared" si="5"/>
        <v>0</v>
      </c>
    </row>
    <row r="110" spans="1:10" x14ac:dyDescent="0.25">
      <c r="A110" s="7" t="s">
        <v>186</v>
      </c>
      <c r="B110" s="40"/>
      <c r="C110">
        <v>37</v>
      </c>
      <c r="D110" s="42"/>
      <c r="E110" s="48" t="s">
        <v>187</v>
      </c>
      <c r="F110" s="51">
        <f>C111/C$59</f>
        <v>0.12244897959183673</v>
      </c>
      <c r="G110" s="39"/>
      <c r="H110" s="70" t="s">
        <v>115</v>
      </c>
      <c r="I110" s="59">
        <v>1</v>
      </c>
      <c r="J110" s="51">
        <f t="shared" si="5"/>
        <v>0.1111111111111111</v>
      </c>
    </row>
    <row r="111" spans="1:10" x14ac:dyDescent="0.25">
      <c r="A111" s="7" t="s">
        <v>187</v>
      </c>
      <c r="B111" s="40"/>
      <c r="C111">
        <v>6</v>
      </c>
      <c r="D111" s="42"/>
      <c r="E111" s="48" t="s">
        <v>188</v>
      </c>
      <c r="F111" s="51">
        <f>C112/C$59</f>
        <v>2.0408163265306121E-2</v>
      </c>
      <c r="G111" s="39"/>
      <c r="H111" s="70" t="s">
        <v>116</v>
      </c>
      <c r="I111" s="59">
        <v>0</v>
      </c>
      <c r="J111" s="51">
        <f t="shared" si="5"/>
        <v>0</v>
      </c>
    </row>
    <row r="112" spans="1:10" x14ac:dyDescent="0.25">
      <c r="A112" s="7" t="s">
        <v>188</v>
      </c>
      <c r="B112" s="40"/>
      <c r="C112">
        <v>1</v>
      </c>
      <c r="D112" s="42"/>
      <c r="E112" s="48" t="s">
        <v>189</v>
      </c>
      <c r="F112" s="51">
        <f>C113/C$59</f>
        <v>2.0408163265306121E-2</v>
      </c>
      <c r="G112" s="39"/>
      <c r="H112" s="70" t="s">
        <v>117</v>
      </c>
      <c r="I112" s="59">
        <v>2</v>
      </c>
      <c r="J112" s="51">
        <f t="shared" si="5"/>
        <v>0.22222222222222221</v>
      </c>
    </row>
    <row r="113" spans="1:10" ht="15.75" thickBot="1" x14ac:dyDescent="0.3">
      <c r="A113" s="7" t="s">
        <v>189</v>
      </c>
      <c r="B113" s="40"/>
      <c r="C113">
        <v>1</v>
      </c>
      <c r="E113" s="53" t="s">
        <v>190</v>
      </c>
      <c r="F113" s="56">
        <f>C114/C$59</f>
        <v>8.1632653061224483E-2</v>
      </c>
      <c r="H113" s="71" t="s">
        <v>118</v>
      </c>
      <c r="I113" s="55">
        <v>1</v>
      </c>
      <c r="J113" s="56">
        <f t="shared" si="5"/>
        <v>0.1111111111111111</v>
      </c>
    </row>
    <row r="114" spans="1:10" x14ac:dyDescent="0.25">
      <c r="A114" s="7" t="s">
        <v>190</v>
      </c>
      <c r="B114" s="40"/>
      <c r="C114">
        <v>4</v>
      </c>
      <c r="E114" s="42"/>
      <c r="F114" s="14"/>
    </row>
    <row r="115" spans="1:10" x14ac:dyDescent="0.25">
      <c r="A115" s="7" t="s">
        <v>191</v>
      </c>
      <c r="B115" s="40"/>
      <c r="C115">
        <v>0</v>
      </c>
      <c r="E115" s="42"/>
      <c r="F115" s="14"/>
    </row>
    <row r="116" spans="1:10" x14ac:dyDescent="0.25">
      <c r="A116" s="7"/>
      <c r="B116" s="40"/>
      <c r="E116" s="42"/>
      <c r="F116" s="14"/>
    </row>
    <row r="117" spans="1:10" ht="15.75" thickBot="1" x14ac:dyDescent="0.3"/>
    <row r="118" spans="1:10" x14ac:dyDescent="0.25">
      <c r="A118" s="72" t="s">
        <v>7</v>
      </c>
      <c r="B118" s="91">
        <f>SUM(B119:B122)</f>
        <v>98752.26</v>
      </c>
    </row>
    <row r="119" spans="1:10" x14ac:dyDescent="0.25">
      <c r="A119" s="74" t="s">
        <v>121</v>
      </c>
      <c r="B119" s="75">
        <f>SUM(F6:F8,F10,F14:F16,F21:F24,F26:F27,F29,F32:F34,F37,F41,F43:F45,F48:F49)</f>
        <v>48643.600000000006</v>
      </c>
    </row>
    <row r="120" spans="1:10" x14ac:dyDescent="0.25">
      <c r="A120" s="74" t="s">
        <v>192</v>
      </c>
      <c r="B120" s="75">
        <f>SUM(F2:F4,F9,F11,F13,F17:F20,F25,F28,F30:F31,F35:F36,F38,F40,F42,F46:F47,)</f>
        <v>38887.359999999993</v>
      </c>
    </row>
    <row r="121" spans="1:10" x14ac:dyDescent="0.25">
      <c r="A121" s="74" t="s">
        <v>193</v>
      </c>
      <c r="B121" s="75">
        <f>SUM(F12,F50)</f>
        <v>9180.2999999999993</v>
      </c>
    </row>
    <row r="122" spans="1:10" x14ac:dyDescent="0.25">
      <c r="A122" s="74" t="s">
        <v>69</v>
      </c>
      <c r="B122" s="76">
        <f>SUM(F39,F5)</f>
        <v>2041</v>
      </c>
    </row>
    <row r="123" spans="1:10" ht="15.75" thickBot="1" x14ac:dyDescent="0.3">
      <c r="A123" s="77"/>
      <c r="B123" s="78"/>
    </row>
  </sheetData>
  <mergeCells count="1">
    <mergeCell ref="A55:F5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3"/>
  <sheetViews>
    <sheetView topLeftCell="A99" workbookViewId="0">
      <selection activeCell="B119" sqref="B119"/>
    </sheetView>
  </sheetViews>
  <sheetFormatPr baseColWidth="10" defaultRowHeight="15" x14ac:dyDescent="0.25"/>
  <cols>
    <col min="2" max="2" width="34.140625" customWidth="1"/>
    <col min="3" max="3" width="12.85546875" customWidth="1"/>
    <col min="4" max="4" width="5.7109375" customWidth="1"/>
    <col min="5" max="5" width="7.5703125" customWidth="1"/>
    <col min="6" max="6" width="12.42578125" customWidth="1"/>
    <col min="7" max="7" width="39.28515625" customWidth="1"/>
  </cols>
  <sheetData>
    <row r="1" spans="1:8" ht="15" customHeight="1" x14ac:dyDescent="0.25">
      <c r="A1" s="3" t="s">
        <v>2</v>
      </c>
      <c r="B1" s="4" t="s">
        <v>3</v>
      </c>
      <c r="C1" s="4" t="s">
        <v>5</v>
      </c>
      <c r="D1" s="4" t="s">
        <v>22</v>
      </c>
      <c r="E1" s="8" t="s">
        <v>6</v>
      </c>
      <c r="F1" s="5" t="s">
        <v>8</v>
      </c>
      <c r="G1" s="6" t="s">
        <v>9</v>
      </c>
      <c r="H1" s="1" t="s">
        <v>10</v>
      </c>
    </row>
    <row r="2" spans="1:8" x14ac:dyDescent="0.25">
      <c r="A2" s="40">
        <v>45108</v>
      </c>
      <c r="B2" s="89" t="s">
        <v>1506</v>
      </c>
      <c r="C2" s="89" t="s">
        <v>186</v>
      </c>
      <c r="D2" s="89" t="s">
        <v>139</v>
      </c>
      <c r="E2" s="89" t="s">
        <v>806</v>
      </c>
      <c r="F2" s="38">
        <v>432</v>
      </c>
      <c r="G2" s="89" t="s">
        <v>878</v>
      </c>
      <c r="H2" s="89" t="s">
        <v>1513</v>
      </c>
    </row>
    <row r="3" spans="1:8" x14ac:dyDescent="0.25">
      <c r="A3" s="40">
        <v>45110</v>
      </c>
      <c r="B3" s="89" t="s">
        <v>1509</v>
      </c>
      <c r="C3" s="89" t="s">
        <v>186</v>
      </c>
      <c r="D3" s="89" t="s">
        <v>139</v>
      </c>
      <c r="E3" s="89" t="s">
        <v>192</v>
      </c>
      <c r="F3" s="38">
        <v>2460</v>
      </c>
      <c r="G3" s="89" t="s">
        <v>1511</v>
      </c>
      <c r="H3" s="89" t="s">
        <v>1518</v>
      </c>
    </row>
    <row r="4" spans="1:8" x14ac:dyDescent="0.25">
      <c r="A4" s="40">
        <v>45111</v>
      </c>
      <c r="B4" s="89" t="s">
        <v>1514</v>
      </c>
      <c r="C4" s="89" t="s">
        <v>409</v>
      </c>
      <c r="D4" s="89" t="s">
        <v>139</v>
      </c>
      <c r="E4" s="89" t="s">
        <v>197</v>
      </c>
      <c r="F4" s="38">
        <v>1710</v>
      </c>
      <c r="G4" s="89" t="s">
        <v>1868</v>
      </c>
      <c r="H4" s="89" t="s">
        <v>1523</v>
      </c>
    </row>
    <row r="5" spans="1:8" x14ac:dyDescent="0.25">
      <c r="A5" s="40">
        <v>45111</v>
      </c>
      <c r="B5" s="89" t="s">
        <v>1519</v>
      </c>
      <c r="C5" s="89" t="s">
        <v>408</v>
      </c>
      <c r="D5" s="89" t="s">
        <v>139</v>
      </c>
      <c r="E5" s="89" t="s">
        <v>197</v>
      </c>
      <c r="F5" s="38">
        <v>3456.1</v>
      </c>
      <c r="G5" s="89" t="s">
        <v>1522</v>
      </c>
      <c r="H5" s="89" t="s">
        <v>219</v>
      </c>
    </row>
    <row r="6" spans="1:8" x14ac:dyDescent="0.25">
      <c r="A6" s="40">
        <v>45112</v>
      </c>
      <c r="B6" s="89" t="s">
        <v>1524</v>
      </c>
      <c r="C6" s="89" t="s">
        <v>408</v>
      </c>
      <c r="D6" s="89" t="s">
        <v>139</v>
      </c>
      <c r="E6" s="89" t="s">
        <v>197</v>
      </c>
      <c r="F6" s="38">
        <v>960</v>
      </c>
      <c r="G6" s="89" t="s">
        <v>526</v>
      </c>
      <c r="H6" s="89" t="s">
        <v>1527</v>
      </c>
    </row>
    <row r="7" spans="1:8" x14ac:dyDescent="0.25">
      <c r="A7" s="40">
        <v>45112</v>
      </c>
      <c r="B7" s="89" t="s">
        <v>1528</v>
      </c>
      <c r="C7" s="89" t="s">
        <v>186</v>
      </c>
      <c r="D7" s="89" t="s">
        <v>139</v>
      </c>
      <c r="E7" s="89" t="s">
        <v>1292</v>
      </c>
      <c r="F7" s="38">
        <v>4438.8</v>
      </c>
      <c r="G7" s="89" t="s">
        <v>1531</v>
      </c>
      <c r="H7" s="89" t="s">
        <v>582</v>
      </c>
    </row>
    <row r="8" spans="1:8" x14ac:dyDescent="0.25">
      <c r="A8" s="40">
        <v>45113</v>
      </c>
      <c r="B8" s="89" t="s">
        <v>1532</v>
      </c>
      <c r="C8" s="89" t="s">
        <v>186</v>
      </c>
      <c r="D8" s="89" t="s">
        <v>139</v>
      </c>
      <c r="E8" s="89" t="s">
        <v>197</v>
      </c>
      <c r="F8" s="38">
        <v>1748</v>
      </c>
      <c r="G8" s="89" t="s">
        <v>1535</v>
      </c>
      <c r="H8" s="89" t="s">
        <v>349</v>
      </c>
    </row>
    <row r="9" spans="1:8" x14ac:dyDescent="0.25">
      <c r="A9" s="40">
        <v>45113</v>
      </c>
      <c r="B9" s="89" t="s">
        <v>1536</v>
      </c>
      <c r="C9" s="89" t="s">
        <v>186</v>
      </c>
      <c r="D9" s="89" t="s">
        <v>139</v>
      </c>
      <c r="E9" s="89" t="s">
        <v>192</v>
      </c>
      <c r="F9" s="38">
        <v>3591</v>
      </c>
      <c r="G9" s="89" t="s">
        <v>1539</v>
      </c>
      <c r="H9" s="89" t="s">
        <v>1540</v>
      </c>
    </row>
    <row r="10" spans="1:8" x14ac:dyDescent="0.25">
      <c r="A10" s="40">
        <v>45114</v>
      </c>
      <c r="B10" s="89" t="s">
        <v>1541</v>
      </c>
      <c r="C10" s="89" t="s">
        <v>1722</v>
      </c>
      <c r="D10" s="89" t="s">
        <v>139</v>
      </c>
      <c r="E10" s="89" t="s">
        <v>197</v>
      </c>
      <c r="F10" s="38">
        <v>3356</v>
      </c>
      <c r="G10" s="89" t="s">
        <v>1544</v>
      </c>
      <c r="H10" s="89" t="s">
        <v>1545</v>
      </c>
    </row>
    <row r="11" spans="1:8" x14ac:dyDescent="0.25">
      <c r="A11" s="40">
        <v>45114</v>
      </c>
      <c r="B11" s="89" t="s">
        <v>1546</v>
      </c>
      <c r="C11" s="89" t="s">
        <v>186</v>
      </c>
      <c r="D11" s="89" t="s">
        <v>139</v>
      </c>
      <c r="E11" s="89" t="s">
        <v>197</v>
      </c>
      <c r="F11" s="38">
        <v>1448</v>
      </c>
      <c r="G11" s="89" t="s">
        <v>1549</v>
      </c>
      <c r="H11" s="89" t="s">
        <v>901</v>
      </c>
    </row>
    <row r="12" spans="1:8" x14ac:dyDescent="0.25">
      <c r="A12" s="40">
        <v>45115</v>
      </c>
      <c r="B12" s="89" t="s">
        <v>1550</v>
      </c>
      <c r="C12" s="89" t="s">
        <v>186</v>
      </c>
      <c r="D12" s="89" t="s">
        <v>139</v>
      </c>
      <c r="E12" s="89" t="s">
        <v>192</v>
      </c>
      <c r="F12" s="38">
        <v>2402</v>
      </c>
      <c r="G12" s="89" t="s">
        <v>1553</v>
      </c>
      <c r="H12" s="89" t="s">
        <v>1554</v>
      </c>
    </row>
    <row r="13" spans="1:8" x14ac:dyDescent="0.25">
      <c r="A13" s="40">
        <v>45117</v>
      </c>
      <c r="B13" s="89" t="s">
        <v>1560</v>
      </c>
      <c r="C13" s="89" t="s">
        <v>186</v>
      </c>
      <c r="D13" s="89" t="s">
        <v>139</v>
      </c>
      <c r="E13" s="89" t="s">
        <v>197</v>
      </c>
      <c r="F13" s="38">
        <v>1160</v>
      </c>
      <c r="G13" s="89" t="s">
        <v>1563</v>
      </c>
      <c r="H13" s="89" t="s">
        <v>1564</v>
      </c>
    </row>
    <row r="14" spans="1:8" s="89" customFormat="1" x14ac:dyDescent="0.25">
      <c r="A14" s="40">
        <v>45118</v>
      </c>
      <c r="B14" s="89" t="s">
        <v>1570</v>
      </c>
      <c r="C14" s="89" t="s">
        <v>186</v>
      </c>
      <c r="D14" s="89" t="s">
        <v>139</v>
      </c>
      <c r="E14" s="89" t="s">
        <v>197</v>
      </c>
      <c r="F14" s="38">
        <v>968</v>
      </c>
      <c r="G14" s="89" t="s">
        <v>1573</v>
      </c>
      <c r="H14" s="89" t="s">
        <v>1574</v>
      </c>
    </row>
    <row r="15" spans="1:8" s="89" customFormat="1" x14ac:dyDescent="0.25">
      <c r="A15" s="40">
        <v>45118</v>
      </c>
      <c r="B15" s="89" t="s">
        <v>1575</v>
      </c>
      <c r="C15" s="89" t="s">
        <v>186</v>
      </c>
      <c r="D15" s="89" t="s">
        <v>139</v>
      </c>
      <c r="E15" s="89" t="s">
        <v>197</v>
      </c>
      <c r="F15" s="38">
        <v>1425</v>
      </c>
      <c r="G15" s="89" t="s">
        <v>1578</v>
      </c>
      <c r="H15" s="89" t="s">
        <v>1574</v>
      </c>
    </row>
    <row r="16" spans="1:8" s="89" customFormat="1" x14ac:dyDescent="0.25">
      <c r="A16" s="40">
        <v>45118</v>
      </c>
      <c r="B16" s="89" t="s">
        <v>1579</v>
      </c>
      <c r="C16" s="89" t="s">
        <v>408</v>
      </c>
      <c r="D16" s="89" t="s">
        <v>139</v>
      </c>
      <c r="E16" s="89" t="s">
        <v>197</v>
      </c>
      <c r="F16" s="38">
        <v>1183</v>
      </c>
      <c r="G16" s="89" t="s">
        <v>1582</v>
      </c>
      <c r="H16" s="89" t="s">
        <v>1574</v>
      </c>
    </row>
    <row r="17" spans="1:8" s="89" customFormat="1" x14ac:dyDescent="0.25">
      <c r="A17" s="40">
        <v>45119</v>
      </c>
      <c r="B17" s="89" t="s">
        <v>1583</v>
      </c>
      <c r="C17" s="89" t="s">
        <v>408</v>
      </c>
      <c r="D17" s="89" t="s">
        <v>139</v>
      </c>
      <c r="E17" s="89" t="s">
        <v>197</v>
      </c>
      <c r="F17" s="38">
        <v>1186</v>
      </c>
      <c r="G17" s="89" t="s">
        <v>1586</v>
      </c>
      <c r="H17" s="89" t="s">
        <v>994</v>
      </c>
    </row>
    <row r="18" spans="1:8" s="89" customFormat="1" x14ac:dyDescent="0.25">
      <c r="A18" s="40">
        <v>45120</v>
      </c>
      <c r="B18" s="89" t="s">
        <v>1602</v>
      </c>
      <c r="C18" s="89" t="s">
        <v>186</v>
      </c>
      <c r="D18" s="89" t="s">
        <v>139</v>
      </c>
      <c r="E18" s="89" t="s">
        <v>197</v>
      </c>
      <c r="F18" s="38">
        <v>3925.4</v>
      </c>
      <c r="G18" s="89" t="s">
        <v>1605</v>
      </c>
      <c r="H18" s="89" t="s">
        <v>219</v>
      </c>
    </row>
    <row r="19" spans="1:8" s="89" customFormat="1" x14ac:dyDescent="0.25">
      <c r="A19" s="40">
        <v>45121</v>
      </c>
      <c r="B19" s="89" t="s">
        <v>1606</v>
      </c>
      <c r="C19" s="89" t="s">
        <v>408</v>
      </c>
      <c r="D19" s="89" t="s">
        <v>141</v>
      </c>
      <c r="E19" s="89" t="s">
        <v>197</v>
      </c>
      <c r="F19" s="38">
        <v>3215.52</v>
      </c>
      <c r="G19" s="89" t="s">
        <v>1609</v>
      </c>
      <c r="H19" s="89" t="s">
        <v>305</v>
      </c>
    </row>
    <row r="20" spans="1:8" s="89" customFormat="1" x14ac:dyDescent="0.25">
      <c r="A20" s="40">
        <v>45122</v>
      </c>
      <c r="B20" s="89" t="s">
        <v>1610</v>
      </c>
      <c r="C20" s="89" t="s">
        <v>186</v>
      </c>
      <c r="D20" s="89" t="s">
        <v>141</v>
      </c>
      <c r="E20" s="89" t="s">
        <v>197</v>
      </c>
      <c r="F20" s="38">
        <v>2867.52</v>
      </c>
      <c r="G20" s="89" t="s">
        <v>1869</v>
      </c>
      <c r="H20" s="89" t="s">
        <v>1568</v>
      </c>
    </row>
    <row r="21" spans="1:8" s="89" customFormat="1" x14ac:dyDescent="0.25">
      <c r="A21" s="40">
        <v>45117</v>
      </c>
      <c r="B21" s="89" t="s">
        <v>1614</v>
      </c>
      <c r="C21" s="89" t="s">
        <v>186</v>
      </c>
      <c r="D21" s="89" t="s">
        <v>139</v>
      </c>
      <c r="E21" s="89" t="s">
        <v>192</v>
      </c>
      <c r="F21" s="38">
        <v>1476.16</v>
      </c>
      <c r="G21" s="89" t="s">
        <v>1617</v>
      </c>
      <c r="H21" s="89" t="s">
        <v>1568</v>
      </c>
    </row>
    <row r="22" spans="1:8" s="89" customFormat="1" x14ac:dyDescent="0.25">
      <c r="A22" s="40">
        <v>45110</v>
      </c>
      <c r="B22" s="89" t="s">
        <v>1618</v>
      </c>
      <c r="C22" s="89" t="s">
        <v>186</v>
      </c>
      <c r="D22" s="89" t="s">
        <v>139</v>
      </c>
      <c r="E22" s="89" t="s">
        <v>192</v>
      </c>
      <c r="F22" s="38">
        <v>3890</v>
      </c>
      <c r="G22" s="89" t="s">
        <v>1620</v>
      </c>
      <c r="H22" s="89" t="s">
        <v>1621</v>
      </c>
    </row>
    <row r="23" spans="1:8" s="89" customFormat="1" x14ac:dyDescent="0.25">
      <c r="A23" s="40">
        <v>45112</v>
      </c>
      <c r="B23" s="89" t="s">
        <v>1622</v>
      </c>
      <c r="C23" s="89" t="s">
        <v>408</v>
      </c>
      <c r="D23" s="89" t="s">
        <v>139</v>
      </c>
      <c r="E23" s="89" t="s">
        <v>197</v>
      </c>
      <c r="F23" s="38">
        <v>1516.62</v>
      </c>
      <c r="G23" s="89" t="s">
        <v>1625</v>
      </c>
      <c r="H23" s="89" t="s">
        <v>1568</v>
      </c>
    </row>
    <row r="24" spans="1:8" s="89" customFormat="1" x14ac:dyDescent="0.25">
      <c r="A24" s="40">
        <v>45124</v>
      </c>
      <c r="B24" s="89" t="s">
        <v>1626</v>
      </c>
      <c r="C24" s="89" t="s">
        <v>186</v>
      </c>
      <c r="D24" s="89" t="s">
        <v>139</v>
      </c>
      <c r="E24" s="89" t="s">
        <v>197</v>
      </c>
      <c r="F24" s="38">
        <v>1940</v>
      </c>
      <c r="G24" s="89" t="s">
        <v>252</v>
      </c>
      <c r="H24" s="89" t="s">
        <v>1628</v>
      </c>
    </row>
    <row r="25" spans="1:8" s="89" customFormat="1" x14ac:dyDescent="0.25">
      <c r="A25" s="40">
        <v>45126</v>
      </c>
      <c r="B25" s="89" t="s">
        <v>1629</v>
      </c>
      <c r="C25" s="89" t="s">
        <v>186</v>
      </c>
      <c r="D25" s="89" t="s">
        <v>139</v>
      </c>
      <c r="E25" s="89" t="s">
        <v>192</v>
      </c>
      <c r="F25" s="38">
        <v>2128</v>
      </c>
      <c r="G25" s="89" t="s">
        <v>1632</v>
      </c>
      <c r="H25" s="89" t="s">
        <v>1633</v>
      </c>
    </row>
    <row r="26" spans="1:8" s="89" customFormat="1" x14ac:dyDescent="0.25">
      <c r="A26" s="40">
        <v>45126</v>
      </c>
      <c r="B26" s="89" t="s">
        <v>1634</v>
      </c>
      <c r="C26" s="89" t="s">
        <v>408</v>
      </c>
      <c r="D26" s="89" t="s">
        <v>139</v>
      </c>
      <c r="E26" s="89" t="s">
        <v>192</v>
      </c>
      <c r="F26" s="38">
        <v>1716</v>
      </c>
      <c r="G26" s="89" t="s">
        <v>1645</v>
      </c>
      <c r="H26" s="89" t="s">
        <v>349</v>
      </c>
    </row>
    <row r="27" spans="1:8" s="89" customFormat="1" x14ac:dyDescent="0.25">
      <c r="A27" s="40">
        <v>45120</v>
      </c>
      <c r="B27" s="89" t="s">
        <v>1637</v>
      </c>
      <c r="C27" s="89" t="s">
        <v>186</v>
      </c>
      <c r="D27" s="89" t="s">
        <v>139</v>
      </c>
      <c r="E27" s="89" t="s">
        <v>806</v>
      </c>
      <c r="F27" s="38">
        <v>589</v>
      </c>
      <c r="G27" s="89" t="s">
        <v>514</v>
      </c>
      <c r="H27" s="89" t="s">
        <v>1640</v>
      </c>
    </row>
    <row r="28" spans="1:8" s="89" customFormat="1" x14ac:dyDescent="0.25">
      <c r="A28" s="40">
        <v>45127</v>
      </c>
      <c r="B28" s="89" t="s">
        <v>1641</v>
      </c>
      <c r="C28" s="89" t="s">
        <v>186</v>
      </c>
      <c r="D28" s="89" t="s">
        <v>141</v>
      </c>
      <c r="E28" s="89" t="s">
        <v>197</v>
      </c>
      <c r="F28" s="38">
        <v>1560</v>
      </c>
      <c r="G28" s="89" t="s">
        <v>1644</v>
      </c>
      <c r="H28" s="89" t="s">
        <v>1646</v>
      </c>
    </row>
    <row r="29" spans="1:8" s="89" customFormat="1" x14ac:dyDescent="0.25">
      <c r="A29" s="40">
        <v>45128</v>
      </c>
      <c r="B29" s="89" t="s">
        <v>1647</v>
      </c>
      <c r="C29" s="89" t="s">
        <v>625</v>
      </c>
      <c r="D29" s="89" t="s">
        <v>139</v>
      </c>
      <c r="E29" s="89" t="s">
        <v>197</v>
      </c>
      <c r="F29" s="38">
        <v>2182</v>
      </c>
      <c r="G29" s="89" t="s">
        <v>1650</v>
      </c>
      <c r="H29" s="89" t="s">
        <v>219</v>
      </c>
    </row>
    <row r="30" spans="1:8" s="89" customFormat="1" x14ac:dyDescent="0.25">
      <c r="A30" s="40">
        <v>45128</v>
      </c>
      <c r="B30" s="89" t="s">
        <v>1651</v>
      </c>
      <c r="C30" s="89" t="s">
        <v>408</v>
      </c>
      <c r="D30" s="89" t="s">
        <v>141</v>
      </c>
      <c r="E30" s="89" t="s">
        <v>197</v>
      </c>
      <c r="F30" s="38">
        <v>16356</v>
      </c>
      <c r="G30" s="89" t="s">
        <v>754</v>
      </c>
      <c r="H30" s="89" t="s">
        <v>300</v>
      </c>
    </row>
    <row r="31" spans="1:8" s="89" customFormat="1" x14ac:dyDescent="0.25">
      <c r="A31" s="40">
        <v>45131</v>
      </c>
      <c r="B31" s="89" t="s">
        <v>1658</v>
      </c>
      <c r="C31" s="89" t="s">
        <v>186</v>
      </c>
      <c r="D31" s="89" t="s">
        <v>139</v>
      </c>
      <c r="E31" s="89" t="s">
        <v>197</v>
      </c>
      <c r="F31" s="38">
        <v>1453</v>
      </c>
      <c r="G31" s="89" t="s">
        <v>1661</v>
      </c>
      <c r="H31" s="89" t="s">
        <v>219</v>
      </c>
    </row>
    <row r="32" spans="1:8" s="89" customFormat="1" x14ac:dyDescent="0.25">
      <c r="A32" s="40">
        <v>45122</v>
      </c>
      <c r="B32" s="89" t="s">
        <v>1670</v>
      </c>
      <c r="C32" s="89" t="s">
        <v>408</v>
      </c>
      <c r="D32" s="89" t="s">
        <v>139</v>
      </c>
      <c r="E32" s="89" t="s">
        <v>197</v>
      </c>
      <c r="F32" s="38">
        <v>2348</v>
      </c>
      <c r="G32" s="89" t="s">
        <v>1673</v>
      </c>
      <c r="H32" s="89" t="s">
        <v>1680</v>
      </c>
    </row>
    <row r="33" spans="1:8" s="89" customFormat="1" x14ac:dyDescent="0.25">
      <c r="A33" s="40">
        <v>45124</v>
      </c>
      <c r="B33" s="89" t="s">
        <v>913</v>
      </c>
      <c r="C33" s="89" t="s">
        <v>186</v>
      </c>
      <c r="D33" s="89" t="s">
        <v>141</v>
      </c>
      <c r="E33" s="89" t="s">
        <v>192</v>
      </c>
      <c r="F33" s="38">
        <v>1345.22</v>
      </c>
      <c r="G33" s="89" t="s">
        <v>514</v>
      </c>
      <c r="H33" s="89" t="s">
        <v>219</v>
      </c>
    </row>
    <row r="34" spans="1:8" s="89" customFormat="1" x14ac:dyDescent="0.25">
      <c r="A34" s="40">
        <v>45132</v>
      </c>
      <c r="B34" s="89" t="s">
        <v>1675</v>
      </c>
      <c r="C34" s="89" t="s">
        <v>408</v>
      </c>
      <c r="D34" s="89" t="s">
        <v>139</v>
      </c>
      <c r="E34" s="89" t="s">
        <v>197</v>
      </c>
      <c r="F34" s="38">
        <v>1960</v>
      </c>
      <c r="G34" s="89" t="s">
        <v>1678</v>
      </c>
      <c r="H34" s="89" t="s">
        <v>1679</v>
      </c>
    </row>
    <row r="35" spans="1:8" s="89" customFormat="1" x14ac:dyDescent="0.25">
      <c r="A35" s="40">
        <v>45132</v>
      </c>
      <c r="B35" s="89" t="s">
        <v>1681</v>
      </c>
      <c r="C35" s="89" t="s">
        <v>408</v>
      </c>
      <c r="D35" s="89" t="s">
        <v>139</v>
      </c>
      <c r="E35" s="89" t="s">
        <v>197</v>
      </c>
      <c r="F35" s="38">
        <v>975</v>
      </c>
      <c r="G35" s="89" t="s">
        <v>406</v>
      </c>
      <c r="H35" s="89" t="s">
        <v>349</v>
      </c>
    </row>
    <row r="36" spans="1:8" s="89" customFormat="1" x14ac:dyDescent="0.25">
      <c r="A36" s="40">
        <v>45133</v>
      </c>
      <c r="B36" s="89" t="s">
        <v>1684</v>
      </c>
      <c r="C36" s="89" t="s">
        <v>408</v>
      </c>
      <c r="D36" s="89" t="s">
        <v>141</v>
      </c>
      <c r="E36" s="89" t="s">
        <v>192</v>
      </c>
      <c r="F36" s="38">
        <v>4268.8</v>
      </c>
      <c r="G36" s="89" t="s">
        <v>1687</v>
      </c>
      <c r="H36" s="89" t="s">
        <v>1688</v>
      </c>
    </row>
    <row r="37" spans="1:8" s="89" customFormat="1" x14ac:dyDescent="0.25">
      <c r="A37" s="40">
        <v>45133</v>
      </c>
      <c r="B37" s="89" t="s">
        <v>1689</v>
      </c>
      <c r="C37" s="89" t="s">
        <v>186</v>
      </c>
      <c r="D37" s="89" t="s">
        <v>139</v>
      </c>
      <c r="E37" s="89" t="s">
        <v>197</v>
      </c>
      <c r="F37" s="38">
        <v>975</v>
      </c>
      <c r="G37" s="89" t="s">
        <v>406</v>
      </c>
      <c r="H37" s="89" t="s">
        <v>349</v>
      </c>
    </row>
    <row r="38" spans="1:8" x14ac:dyDescent="0.25">
      <c r="A38" s="40">
        <v>45126</v>
      </c>
      <c r="B38" s="89" t="s">
        <v>1706</v>
      </c>
      <c r="C38" s="89" t="s">
        <v>186</v>
      </c>
      <c r="D38" s="89" t="s">
        <v>139</v>
      </c>
      <c r="E38" s="89" t="s">
        <v>197</v>
      </c>
      <c r="F38" s="38">
        <v>1362</v>
      </c>
      <c r="G38" s="89" t="s">
        <v>1012</v>
      </c>
      <c r="H38" s="89" t="s">
        <v>1633</v>
      </c>
    </row>
    <row r="39" spans="1:8" x14ac:dyDescent="0.25">
      <c r="A39" s="40">
        <v>45135</v>
      </c>
      <c r="B39" s="89" t="s">
        <v>1714</v>
      </c>
      <c r="C39" s="89" t="s">
        <v>186</v>
      </c>
      <c r="D39" s="89" t="s">
        <v>139</v>
      </c>
      <c r="E39" s="89" t="s">
        <v>197</v>
      </c>
      <c r="F39" s="38">
        <v>1241</v>
      </c>
      <c r="G39" s="89" t="s">
        <v>1717</v>
      </c>
      <c r="H39" s="89" t="s">
        <v>598</v>
      </c>
    </row>
    <row r="40" spans="1:8" x14ac:dyDescent="0.25">
      <c r="A40" s="40">
        <v>45135</v>
      </c>
      <c r="B40" s="89" t="s">
        <v>1718</v>
      </c>
      <c r="C40" s="89" t="s">
        <v>408</v>
      </c>
      <c r="D40" s="89" t="s">
        <v>141</v>
      </c>
      <c r="E40" s="89" t="s">
        <v>197</v>
      </c>
      <c r="F40" s="38">
        <v>5547.12</v>
      </c>
      <c r="G40" s="89" t="s">
        <v>1721</v>
      </c>
      <c r="H40" s="89" t="s">
        <v>219</v>
      </c>
    </row>
    <row r="41" spans="1:8" s="89" customFormat="1" x14ac:dyDescent="0.25">
      <c r="A41" s="40">
        <v>45122</v>
      </c>
      <c r="B41" s="89" t="s">
        <v>1723</v>
      </c>
      <c r="C41" s="89" t="s">
        <v>186</v>
      </c>
      <c r="D41" s="89" t="s">
        <v>139</v>
      </c>
      <c r="E41" s="89" t="s">
        <v>197</v>
      </c>
      <c r="F41" s="38">
        <v>1038</v>
      </c>
      <c r="G41" s="89" t="s">
        <v>898</v>
      </c>
      <c r="H41" s="89" t="s">
        <v>219</v>
      </c>
    </row>
    <row r="42" spans="1:8" s="89" customFormat="1" x14ac:dyDescent="0.25">
      <c r="A42" s="40">
        <v>45136</v>
      </c>
      <c r="B42" s="89" t="s">
        <v>1728</v>
      </c>
      <c r="C42" s="89" t="s">
        <v>408</v>
      </c>
      <c r="D42" s="89" t="s">
        <v>139</v>
      </c>
      <c r="E42" s="89" t="s">
        <v>192</v>
      </c>
      <c r="F42" s="38">
        <v>1476</v>
      </c>
      <c r="G42" s="89" t="s">
        <v>1739</v>
      </c>
      <c r="H42" s="89" t="s">
        <v>582</v>
      </c>
    </row>
    <row r="43" spans="1:8" s="89" customFormat="1" x14ac:dyDescent="0.25">
      <c r="A43" s="40">
        <v>45138</v>
      </c>
      <c r="B43" s="89" t="s">
        <v>1731</v>
      </c>
      <c r="C43" s="89" t="s">
        <v>186</v>
      </c>
      <c r="D43" s="89" t="s">
        <v>139</v>
      </c>
      <c r="E43" s="89" t="s">
        <v>197</v>
      </c>
      <c r="F43" s="38">
        <v>1472</v>
      </c>
      <c r="G43" s="89" t="s">
        <v>1734</v>
      </c>
      <c r="H43" s="89" t="s">
        <v>582</v>
      </c>
    </row>
    <row r="44" spans="1:8" s="89" customFormat="1" x14ac:dyDescent="0.25">
      <c r="A44" s="40">
        <v>45138</v>
      </c>
      <c r="B44" s="89" t="s">
        <v>1333</v>
      </c>
      <c r="D44" s="89" t="s">
        <v>141</v>
      </c>
      <c r="E44" s="89" t="s">
        <v>192</v>
      </c>
      <c r="F44" s="38">
        <v>6402.05</v>
      </c>
      <c r="G44" s="89" t="s">
        <v>1764</v>
      </c>
      <c r="H44" s="89" t="s">
        <v>125</v>
      </c>
    </row>
    <row r="45" spans="1:8" x14ac:dyDescent="0.25">
      <c r="A45" s="40">
        <v>45125</v>
      </c>
      <c r="B45" s="89" t="s">
        <v>1735</v>
      </c>
      <c r="C45" t="s">
        <v>625</v>
      </c>
      <c r="D45" t="s">
        <v>139</v>
      </c>
      <c r="E45" t="s">
        <v>197</v>
      </c>
      <c r="F45" s="38">
        <v>1950</v>
      </c>
      <c r="G45" s="89" t="s">
        <v>1738</v>
      </c>
      <c r="H45" s="89" t="s">
        <v>1754</v>
      </c>
    </row>
    <row r="46" spans="1:8" x14ac:dyDescent="0.25">
      <c r="A46" s="40">
        <v>45127</v>
      </c>
      <c r="B46" s="89" t="s">
        <v>1740</v>
      </c>
      <c r="C46" t="s">
        <v>408</v>
      </c>
      <c r="D46" t="s">
        <v>139</v>
      </c>
      <c r="E46" t="s">
        <v>197</v>
      </c>
      <c r="F46" s="38">
        <v>4541.95</v>
      </c>
      <c r="G46" s="89" t="s">
        <v>1870</v>
      </c>
      <c r="H46" s="89" t="s">
        <v>1866</v>
      </c>
    </row>
    <row r="47" spans="1:8" x14ac:dyDescent="0.25">
      <c r="A47" s="40">
        <v>45131</v>
      </c>
      <c r="B47" s="89" t="s">
        <v>1759</v>
      </c>
      <c r="C47" t="s">
        <v>408</v>
      </c>
      <c r="D47" t="s">
        <v>139</v>
      </c>
      <c r="E47" t="s">
        <v>197</v>
      </c>
      <c r="F47" s="38">
        <v>1666</v>
      </c>
      <c r="G47" s="89" t="s">
        <v>1762</v>
      </c>
      <c r="H47" s="89" t="s">
        <v>1763</v>
      </c>
    </row>
    <row r="48" spans="1:8" x14ac:dyDescent="0.25">
      <c r="A48" s="40">
        <v>45121</v>
      </c>
      <c r="B48" s="89" t="s">
        <v>1781</v>
      </c>
      <c r="C48" t="s">
        <v>409</v>
      </c>
      <c r="D48" t="s">
        <v>139</v>
      </c>
      <c r="E48" t="s">
        <v>192</v>
      </c>
      <c r="F48" s="38">
        <v>555</v>
      </c>
      <c r="G48" s="89" t="s">
        <v>1784</v>
      </c>
      <c r="H48" s="89" t="s">
        <v>582</v>
      </c>
    </row>
    <row r="49" spans="1:10" x14ac:dyDescent="0.25">
      <c r="A49" s="40">
        <v>45134</v>
      </c>
      <c r="B49" s="89" t="s">
        <v>1785</v>
      </c>
      <c r="C49" t="s">
        <v>186</v>
      </c>
      <c r="D49" t="s">
        <v>139</v>
      </c>
      <c r="E49" t="s">
        <v>192</v>
      </c>
      <c r="F49" s="38">
        <v>1419.56</v>
      </c>
      <c r="G49" s="89" t="s">
        <v>1788</v>
      </c>
      <c r="H49" s="89" t="s">
        <v>1867</v>
      </c>
    </row>
    <row r="50" spans="1:10" x14ac:dyDescent="0.25">
      <c r="A50" s="40">
        <v>45133</v>
      </c>
      <c r="B50" s="89" t="s">
        <v>533</v>
      </c>
      <c r="C50" t="s">
        <v>186</v>
      </c>
      <c r="D50" t="s">
        <v>141</v>
      </c>
      <c r="E50" t="s">
        <v>192</v>
      </c>
      <c r="F50" s="38">
        <v>1318.68</v>
      </c>
      <c r="G50" t="s">
        <v>1802</v>
      </c>
      <c r="H50" t="s">
        <v>1633</v>
      </c>
    </row>
    <row r="51" spans="1:10" x14ac:dyDescent="0.25">
      <c r="A51" s="40">
        <v>45138</v>
      </c>
      <c r="B51" s="89" t="s">
        <v>1830</v>
      </c>
      <c r="C51" t="s">
        <v>186</v>
      </c>
      <c r="D51" t="s">
        <v>139</v>
      </c>
      <c r="E51" t="s">
        <v>192</v>
      </c>
      <c r="F51" s="38">
        <v>1662</v>
      </c>
      <c r="G51" s="89" t="s">
        <v>1833</v>
      </c>
      <c r="H51" s="89" t="s">
        <v>1834</v>
      </c>
    </row>
    <row r="52" spans="1:10" x14ac:dyDescent="0.25">
      <c r="A52" s="40">
        <v>45131</v>
      </c>
      <c r="B52" s="89" t="s">
        <v>1841</v>
      </c>
      <c r="C52" t="s">
        <v>186</v>
      </c>
      <c r="D52" t="s">
        <v>139</v>
      </c>
      <c r="E52" t="s">
        <v>197</v>
      </c>
      <c r="F52" s="38">
        <v>1072</v>
      </c>
      <c r="G52" s="89" t="s">
        <v>1844</v>
      </c>
      <c r="H52" s="89" t="s">
        <v>1845</v>
      </c>
    </row>
    <row r="55" spans="1:10" ht="15.75" thickBot="1" x14ac:dyDescent="0.3">
      <c r="A55" s="99" t="s">
        <v>130</v>
      </c>
      <c r="B55" s="99"/>
      <c r="C55" s="99"/>
      <c r="D55" s="99"/>
      <c r="E55" s="99"/>
      <c r="F55" s="99"/>
      <c r="G55" s="39"/>
    </row>
    <row r="56" spans="1:10" x14ac:dyDescent="0.25">
      <c r="A56" s="7" t="s">
        <v>131</v>
      </c>
      <c r="B56" s="40"/>
      <c r="C56" s="41">
        <f>SUM(F2:F53)</f>
        <v>121334.49999999999</v>
      </c>
      <c r="D56" s="42"/>
      <c r="E56" s="43" t="s">
        <v>132</v>
      </c>
      <c r="F56" s="44"/>
      <c r="G56" s="39"/>
      <c r="H56" s="45" t="s">
        <v>62</v>
      </c>
      <c r="I56" s="46">
        <v>22</v>
      </c>
      <c r="J56" s="47"/>
    </row>
    <row r="57" spans="1:10" x14ac:dyDescent="0.25">
      <c r="A57" s="7"/>
      <c r="B57" s="40"/>
      <c r="C57" s="41"/>
      <c r="D57" s="42"/>
      <c r="E57" s="48" t="s">
        <v>133</v>
      </c>
      <c r="F57" s="49">
        <v>121334.49999999999</v>
      </c>
      <c r="G57" s="39"/>
      <c r="H57" s="48" t="s">
        <v>99</v>
      </c>
      <c r="I57" s="50">
        <v>5</v>
      </c>
      <c r="J57" s="51">
        <f>I57/I$56</f>
        <v>0.22727272727272727</v>
      </c>
    </row>
    <row r="58" spans="1:10" ht="15.75" thickBot="1" x14ac:dyDescent="0.3">
      <c r="A58" s="7" t="s">
        <v>134</v>
      </c>
      <c r="B58" s="40"/>
      <c r="C58" s="52">
        <v>26</v>
      </c>
      <c r="D58" s="42"/>
      <c r="E58" s="53" t="s">
        <v>135</v>
      </c>
      <c r="F58" s="54">
        <f>C56/C58</f>
        <v>4666.7115384615381</v>
      </c>
      <c r="G58" s="39"/>
      <c r="H58" s="48" t="s">
        <v>100</v>
      </c>
      <c r="I58" s="50">
        <v>17</v>
      </c>
      <c r="J58" s="51">
        <f>I58/I$56</f>
        <v>0.77272727272727271</v>
      </c>
    </row>
    <row r="59" spans="1:10" ht="15.75" thickBot="1" x14ac:dyDescent="0.3">
      <c r="A59" s="7" t="s">
        <v>136</v>
      </c>
      <c r="B59" s="40"/>
      <c r="C59">
        <v>51</v>
      </c>
      <c r="D59" s="42"/>
      <c r="E59" s="42"/>
      <c r="F59" s="14"/>
      <c r="G59" s="39"/>
      <c r="H59" s="53" t="s">
        <v>101</v>
      </c>
      <c r="I59" s="55">
        <v>0</v>
      </c>
      <c r="J59" s="56">
        <f>I59/I$56</f>
        <v>0</v>
      </c>
    </row>
    <row r="60" spans="1:10" x14ac:dyDescent="0.25">
      <c r="A60" s="7"/>
      <c r="B60" s="40"/>
      <c r="D60" s="42" t="s">
        <v>81</v>
      </c>
      <c r="E60" s="43" t="s">
        <v>137</v>
      </c>
      <c r="F60" s="44"/>
      <c r="G60" s="39"/>
    </row>
    <row r="61" spans="1:10" ht="15.75" thickBot="1" x14ac:dyDescent="0.3">
      <c r="A61" s="7" t="s">
        <v>138</v>
      </c>
      <c r="B61" s="40"/>
      <c r="C61">
        <v>42</v>
      </c>
      <c r="D61" s="42" t="s">
        <v>81</v>
      </c>
      <c r="E61" s="48" t="s">
        <v>139</v>
      </c>
      <c r="F61" s="51">
        <f>C61/C$59</f>
        <v>0.82352941176470584</v>
      </c>
      <c r="G61" s="39"/>
    </row>
    <row r="62" spans="1:10" ht="15.75" thickBot="1" x14ac:dyDescent="0.3">
      <c r="A62" s="7" t="s">
        <v>140</v>
      </c>
      <c r="B62" s="40"/>
      <c r="C62">
        <v>9</v>
      </c>
      <c r="D62" s="42"/>
      <c r="E62" s="53" t="s">
        <v>141</v>
      </c>
      <c r="F62" s="56">
        <f>C62/C$59</f>
        <v>0.17647058823529413</v>
      </c>
      <c r="G62" s="39"/>
      <c r="H62" s="45" t="s">
        <v>142</v>
      </c>
      <c r="I62" s="46">
        <v>59</v>
      </c>
      <c r="J62" s="47"/>
    </row>
    <row r="63" spans="1:10" ht="15.75" thickBot="1" x14ac:dyDescent="0.3">
      <c r="A63" s="7"/>
      <c r="B63" s="40"/>
      <c r="D63" s="42"/>
      <c r="E63" s="42"/>
      <c r="F63" s="14"/>
      <c r="G63" s="39"/>
      <c r="H63" s="57" t="s">
        <v>143</v>
      </c>
      <c r="I63" s="59">
        <v>42</v>
      </c>
      <c r="J63" s="51">
        <f>I63/I$62</f>
        <v>0.71186440677966101</v>
      </c>
    </row>
    <row r="64" spans="1:10" x14ac:dyDescent="0.25">
      <c r="A64" s="7" t="s">
        <v>144</v>
      </c>
      <c r="B64" s="40"/>
      <c r="D64" s="42"/>
      <c r="E64" s="43" t="s">
        <v>48</v>
      </c>
      <c r="F64" s="44"/>
      <c r="G64" s="39"/>
      <c r="H64" s="57" t="s">
        <v>145</v>
      </c>
      <c r="I64" s="59">
        <v>10</v>
      </c>
      <c r="J64" s="51">
        <f>I64/I$62</f>
        <v>0.16949152542372881</v>
      </c>
    </row>
    <row r="65" spans="1:10" ht="15.75" thickBot="1" x14ac:dyDescent="0.3">
      <c r="A65" s="7" t="s">
        <v>61</v>
      </c>
      <c r="B65" s="40"/>
      <c r="C65">
        <v>1</v>
      </c>
      <c r="D65" s="42"/>
      <c r="E65" s="58" t="s">
        <v>61</v>
      </c>
      <c r="F65" s="51">
        <f>C65/C$74</f>
        <v>7.6923076923076927E-3</v>
      </c>
      <c r="G65" s="39"/>
      <c r="H65" s="22" t="s">
        <v>146</v>
      </c>
      <c r="I65" s="55">
        <v>7</v>
      </c>
      <c r="J65" s="56">
        <f>I65/I$62</f>
        <v>0.11864406779661017</v>
      </c>
    </row>
    <row r="66" spans="1:10" ht="15.75" thickBot="1" x14ac:dyDescent="0.3">
      <c r="A66" s="7" t="s">
        <v>62</v>
      </c>
      <c r="B66" s="40"/>
      <c r="C66">
        <v>22</v>
      </c>
      <c r="D66" s="42"/>
      <c r="E66" s="58" t="s">
        <v>62</v>
      </c>
      <c r="F66" s="51">
        <f t="shared" ref="F66:F73" si="0">C66/C$74</f>
        <v>0.16923076923076924</v>
      </c>
      <c r="G66" s="39"/>
    </row>
    <row r="67" spans="1:10" x14ac:dyDescent="0.25">
      <c r="A67" s="7" t="s">
        <v>63</v>
      </c>
      <c r="B67" s="40"/>
      <c r="C67">
        <v>59</v>
      </c>
      <c r="D67" s="42"/>
      <c r="E67" s="58" t="s">
        <v>63</v>
      </c>
      <c r="F67" s="51">
        <f t="shared" si="0"/>
        <v>0.45384615384615384</v>
      </c>
      <c r="G67" s="42" t="s">
        <v>81</v>
      </c>
      <c r="H67" s="45" t="s">
        <v>147</v>
      </c>
      <c r="I67" s="46">
        <v>21</v>
      </c>
      <c r="J67" s="44">
        <f t="shared" ref="J67:J78" si="1">I67/I$62</f>
        <v>0.3559322033898305</v>
      </c>
    </row>
    <row r="68" spans="1:10" x14ac:dyDescent="0.25">
      <c r="A68" s="7" t="s">
        <v>64</v>
      </c>
      <c r="B68" s="40"/>
      <c r="C68">
        <v>0</v>
      </c>
      <c r="D68" s="42"/>
      <c r="E68" s="58" t="s">
        <v>64</v>
      </c>
      <c r="F68" s="51">
        <f t="shared" si="0"/>
        <v>0</v>
      </c>
      <c r="G68" s="39"/>
      <c r="H68" s="57" t="s">
        <v>148</v>
      </c>
      <c r="I68" s="59">
        <v>7</v>
      </c>
      <c r="J68" s="51">
        <f t="shared" si="1"/>
        <v>0.11864406779661017</v>
      </c>
    </row>
    <row r="69" spans="1:10" x14ac:dyDescent="0.25">
      <c r="A69" s="7" t="s">
        <v>65</v>
      </c>
      <c r="B69" s="40"/>
      <c r="C69">
        <v>19</v>
      </c>
      <c r="D69" s="42"/>
      <c r="E69" s="58" t="s">
        <v>65</v>
      </c>
      <c r="F69" s="51">
        <f t="shared" si="0"/>
        <v>0.14615384615384616</v>
      </c>
      <c r="G69" s="39"/>
      <c r="H69" s="57" t="s">
        <v>149</v>
      </c>
      <c r="I69" s="59">
        <v>10</v>
      </c>
      <c r="J69" s="51">
        <f t="shared" si="1"/>
        <v>0.16949152542372881</v>
      </c>
    </row>
    <row r="70" spans="1:10" x14ac:dyDescent="0.25">
      <c r="A70" s="7" t="s">
        <v>66</v>
      </c>
      <c r="B70" s="40"/>
      <c r="C70">
        <v>0</v>
      </c>
      <c r="D70" s="42"/>
      <c r="E70" s="58" t="s">
        <v>66</v>
      </c>
      <c r="F70" s="51">
        <f t="shared" si="0"/>
        <v>0</v>
      </c>
      <c r="G70" s="39"/>
      <c r="H70" s="57" t="s">
        <v>150</v>
      </c>
      <c r="I70" s="59">
        <v>8</v>
      </c>
      <c r="J70" s="51">
        <f t="shared" si="1"/>
        <v>0.13559322033898305</v>
      </c>
    </row>
    <row r="71" spans="1:10" x14ac:dyDescent="0.25">
      <c r="A71" s="7" t="s">
        <v>67</v>
      </c>
      <c r="B71" s="40"/>
      <c r="C71">
        <v>13</v>
      </c>
      <c r="D71" s="42"/>
      <c r="E71" s="58" t="s">
        <v>67</v>
      </c>
      <c r="F71" s="51">
        <f t="shared" si="0"/>
        <v>0.1</v>
      </c>
      <c r="G71" s="39"/>
      <c r="H71" s="57" t="s">
        <v>151</v>
      </c>
      <c r="I71" s="59">
        <v>5</v>
      </c>
      <c r="J71" s="51">
        <f t="shared" si="1"/>
        <v>8.4745762711864403E-2</v>
      </c>
    </row>
    <row r="72" spans="1:10" x14ac:dyDescent="0.25">
      <c r="A72" s="7" t="s">
        <v>68</v>
      </c>
      <c r="B72" s="40"/>
      <c r="C72">
        <v>1</v>
      </c>
      <c r="D72" s="42"/>
      <c r="E72" s="58" t="s">
        <v>68</v>
      </c>
      <c r="F72" s="51">
        <f t="shared" si="0"/>
        <v>7.6923076923076927E-3</v>
      </c>
      <c r="G72" s="39"/>
      <c r="H72" s="57" t="s">
        <v>152</v>
      </c>
      <c r="I72" s="59">
        <v>3</v>
      </c>
      <c r="J72" s="51">
        <f t="shared" si="1"/>
        <v>5.0847457627118647E-2</v>
      </c>
    </row>
    <row r="73" spans="1:10" ht="15.75" thickBot="1" x14ac:dyDescent="0.3">
      <c r="A73" s="7" t="s">
        <v>69</v>
      </c>
      <c r="B73" s="40"/>
      <c r="C73">
        <v>15</v>
      </c>
      <c r="D73" s="42"/>
      <c r="E73" s="60" t="s">
        <v>69</v>
      </c>
      <c r="F73" s="56">
        <f t="shared" si="0"/>
        <v>0.11538461538461539</v>
      </c>
      <c r="G73" s="42" t="s">
        <v>81</v>
      </c>
      <c r="H73" s="61" t="s">
        <v>153</v>
      </c>
      <c r="I73" s="59">
        <v>0</v>
      </c>
      <c r="J73" s="51">
        <f t="shared" si="1"/>
        <v>0</v>
      </c>
    </row>
    <row r="74" spans="1:10" ht="15.75" thickBot="1" x14ac:dyDescent="0.3">
      <c r="A74" s="7" t="s">
        <v>154</v>
      </c>
      <c r="B74" s="40"/>
      <c r="C74">
        <f>SUM(C65:C73)</f>
        <v>130</v>
      </c>
      <c r="D74" s="42"/>
      <c r="E74" s="7"/>
      <c r="F74" s="14"/>
      <c r="G74" s="39"/>
      <c r="H74" s="61" t="s">
        <v>155</v>
      </c>
      <c r="I74" s="59">
        <v>3</v>
      </c>
      <c r="J74" s="51">
        <f t="shared" si="1"/>
        <v>5.0847457627118647E-2</v>
      </c>
    </row>
    <row r="75" spans="1:10" x14ac:dyDescent="0.25">
      <c r="A75" s="7"/>
      <c r="B75" s="40"/>
      <c r="D75" s="42"/>
      <c r="E75" s="62" t="s">
        <v>70</v>
      </c>
      <c r="F75" s="44"/>
      <c r="G75" s="39"/>
      <c r="H75" s="61" t="s">
        <v>156</v>
      </c>
      <c r="I75" s="59">
        <v>0</v>
      </c>
      <c r="J75" s="51">
        <f t="shared" si="1"/>
        <v>0</v>
      </c>
    </row>
    <row r="76" spans="1:10" x14ac:dyDescent="0.25">
      <c r="A76" s="7" t="s">
        <v>157</v>
      </c>
      <c r="B76" s="40"/>
      <c r="D76" s="42"/>
      <c r="E76" s="58" t="s">
        <v>71</v>
      </c>
      <c r="F76" s="51">
        <f>C77/C$87</f>
        <v>0.3971631205673759</v>
      </c>
      <c r="G76" s="39"/>
      <c r="H76" s="57" t="s">
        <v>158</v>
      </c>
      <c r="I76" s="59">
        <v>1</v>
      </c>
      <c r="J76" s="51">
        <f t="shared" si="1"/>
        <v>1.6949152542372881E-2</v>
      </c>
    </row>
    <row r="77" spans="1:10" x14ac:dyDescent="0.25">
      <c r="A77" s="7" t="s">
        <v>71</v>
      </c>
      <c r="B77" s="40"/>
      <c r="C77">
        <v>56</v>
      </c>
      <c r="D77" s="42"/>
      <c r="E77" s="58" t="s">
        <v>72</v>
      </c>
      <c r="F77" s="51">
        <f t="shared" ref="F77:F85" si="2">C78/C$87</f>
        <v>0.14184397163120568</v>
      </c>
      <c r="G77" s="39"/>
      <c r="H77" s="61" t="s">
        <v>159</v>
      </c>
      <c r="I77" s="59">
        <v>0</v>
      </c>
      <c r="J77" s="51">
        <f t="shared" si="1"/>
        <v>0</v>
      </c>
    </row>
    <row r="78" spans="1:10" ht="15.75" thickBot="1" x14ac:dyDescent="0.3">
      <c r="A78" s="7" t="s">
        <v>72</v>
      </c>
      <c r="B78" s="40"/>
      <c r="C78">
        <v>20</v>
      </c>
      <c r="D78" s="42"/>
      <c r="E78" s="58" t="s">
        <v>73</v>
      </c>
      <c r="F78" s="51">
        <f t="shared" si="2"/>
        <v>0.14893617021276595</v>
      </c>
      <c r="G78" s="39"/>
      <c r="H78" s="63" t="s">
        <v>160</v>
      </c>
      <c r="I78" s="55">
        <v>1</v>
      </c>
      <c r="J78" s="56">
        <f t="shared" si="1"/>
        <v>1.6949152542372881E-2</v>
      </c>
    </row>
    <row r="79" spans="1:10" x14ac:dyDescent="0.25">
      <c r="A79" s="7" t="s">
        <v>73</v>
      </c>
      <c r="B79" s="40"/>
      <c r="C79">
        <v>21</v>
      </c>
      <c r="D79" s="42"/>
      <c r="E79" s="58" t="s">
        <v>74</v>
      </c>
      <c r="F79" s="51">
        <f t="shared" si="2"/>
        <v>0.1773049645390071</v>
      </c>
      <c r="G79" s="39"/>
    </row>
    <row r="80" spans="1:10" ht="15.75" thickBot="1" x14ac:dyDescent="0.3">
      <c r="A80" s="7" t="s">
        <v>74</v>
      </c>
      <c r="B80" s="40"/>
      <c r="C80">
        <v>25</v>
      </c>
      <c r="D80" s="42"/>
      <c r="E80" s="58" t="s">
        <v>75</v>
      </c>
      <c r="F80" s="51">
        <f t="shared" si="2"/>
        <v>4.2553191489361701E-2</v>
      </c>
      <c r="G80" s="42" t="s">
        <v>81</v>
      </c>
    </row>
    <row r="81" spans="1:10" x14ac:dyDescent="0.25">
      <c r="A81" s="7" t="s">
        <v>75</v>
      </c>
      <c r="B81" s="40"/>
      <c r="C81">
        <v>6</v>
      </c>
      <c r="D81" s="42"/>
      <c r="E81" s="58" t="s">
        <v>76</v>
      </c>
      <c r="F81" s="51">
        <f t="shared" si="2"/>
        <v>0</v>
      </c>
      <c r="G81" s="39"/>
      <c r="H81" s="45" t="s">
        <v>65</v>
      </c>
      <c r="I81" s="46">
        <v>19</v>
      </c>
      <c r="J81" s="47"/>
    </row>
    <row r="82" spans="1:10" x14ac:dyDescent="0.25">
      <c r="A82" s="7" t="s">
        <v>76</v>
      </c>
      <c r="B82" s="40"/>
      <c r="C82">
        <v>0</v>
      </c>
      <c r="D82" s="42"/>
      <c r="E82" s="58" t="s">
        <v>77</v>
      </c>
      <c r="F82" s="51">
        <f t="shared" si="2"/>
        <v>0</v>
      </c>
      <c r="G82" s="39"/>
      <c r="H82" s="57" t="s">
        <v>161</v>
      </c>
      <c r="I82" s="59">
        <v>7</v>
      </c>
      <c r="J82" s="51">
        <f>I82/I$81</f>
        <v>0.36842105263157893</v>
      </c>
    </row>
    <row r="83" spans="1:10" ht="15.75" thickBot="1" x14ac:dyDescent="0.3">
      <c r="A83" s="7" t="s">
        <v>77</v>
      </c>
      <c r="B83" s="40"/>
      <c r="C83">
        <v>0</v>
      </c>
      <c r="D83" s="42"/>
      <c r="E83" s="58" t="s">
        <v>78</v>
      </c>
      <c r="F83" s="51">
        <f t="shared" si="2"/>
        <v>0</v>
      </c>
      <c r="G83" s="39"/>
      <c r="H83" s="22" t="s">
        <v>103</v>
      </c>
      <c r="I83" s="55">
        <v>12</v>
      </c>
      <c r="J83" s="56">
        <f>I83/I$81</f>
        <v>0.63157894736842102</v>
      </c>
    </row>
    <row r="84" spans="1:10" x14ac:dyDescent="0.25">
      <c r="A84" s="7" t="s">
        <v>78</v>
      </c>
      <c r="B84" s="40"/>
      <c r="C84">
        <v>0</v>
      </c>
      <c r="D84" s="42"/>
      <c r="E84" s="58" t="s">
        <v>79</v>
      </c>
      <c r="F84" s="51">
        <f t="shared" si="2"/>
        <v>7.0921985815602835E-3</v>
      </c>
      <c r="G84" s="39"/>
    </row>
    <row r="85" spans="1:10" ht="15.75" thickBot="1" x14ac:dyDescent="0.3">
      <c r="A85" s="7" t="s">
        <v>79</v>
      </c>
      <c r="B85" s="40"/>
      <c r="C85">
        <v>1</v>
      </c>
      <c r="D85" s="42"/>
      <c r="E85" s="60" t="s">
        <v>80</v>
      </c>
      <c r="F85" s="56">
        <f t="shared" si="2"/>
        <v>8.5106382978723402E-2</v>
      </c>
      <c r="G85" s="39"/>
    </row>
    <row r="86" spans="1:10" ht="15.75" thickBot="1" x14ac:dyDescent="0.3">
      <c r="A86" s="7" t="s">
        <v>80</v>
      </c>
      <c r="B86" s="40"/>
      <c r="C86">
        <v>12</v>
      </c>
      <c r="D86" s="42"/>
      <c r="E86" s="7"/>
      <c r="F86" s="14"/>
      <c r="G86" s="39"/>
      <c r="H86" s="45" t="s">
        <v>162</v>
      </c>
      <c r="I86" s="46">
        <v>0</v>
      </c>
      <c r="J86" s="47"/>
    </row>
    <row r="87" spans="1:10" x14ac:dyDescent="0.25">
      <c r="A87" s="7" t="s">
        <v>163</v>
      </c>
      <c r="B87" s="40"/>
      <c r="C87">
        <f>SUM(C77:C86)</f>
        <v>141</v>
      </c>
      <c r="D87" s="42"/>
      <c r="E87" s="62" t="s">
        <v>44</v>
      </c>
      <c r="F87" s="44"/>
      <c r="G87" s="39"/>
      <c r="H87" s="57" t="s">
        <v>164</v>
      </c>
      <c r="I87" s="59">
        <v>0</v>
      </c>
      <c r="J87" s="51" t="e">
        <f t="shared" ref="J87:J92" si="3">I87/I$86</f>
        <v>#DIV/0!</v>
      </c>
    </row>
    <row r="88" spans="1:10" x14ac:dyDescent="0.25">
      <c r="A88" s="7"/>
      <c r="B88" s="40"/>
      <c r="D88" s="42"/>
      <c r="E88" s="64" t="s">
        <v>165</v>
      </c>
      <c r="F88" s="51">
        <f>C89/C$59</f>
        <v>0.68627450980392157</v>
      </c>
      <c r="G88" s="39"/>
      <c r="H88" s="57" t="s">
        <v>166</v>
      </c>
      <c r="I88" s="59">
        <v>0</v>
      </c>
      <c r="J88" s="51" t="e">
        <f t="shared" si="3"/>
        <v>#DIV/0!</v>
      </c>
    </row>
    <row r="89" spans="1:10" x14ac:dyDescent="0.25">
      <c r="A89" s="7" t="s">
        <v>167</v>
      </c>
      <c r="B89" s="40"/>
      <c r="C89">
        <v>35</v>
      </c>
      <c r="D89" s="42"/>
      <c r="E89" s="64" t="s">
        <v>168</v>
      </c>
      <c r="F89" s="51">
        <f>C90/C$59</f>
        <v>0.15686274509803921</v>
      </c>
      <c r="G89" s="39"/>
      <c r="H89" s="57" t="s">
        <v>169</v>
      </c>
      <c r="I89" s="59">
        <v>0</v>
      </c>
      <c r="J89" s="51" t="e">
        <f t="shared" si="3"/>
        <v>#DIV/0!</v>
      </c>
    </row>
    <row r="90" spans="1:10" ht="15.75" thickBot="1" x14ac:dyDescent="0.3">
      <c r="A90" s="7" t="s">
        <v>170</v>
      </c>
      <c r="B90" s="40"/>
      <c r="C90">
        <v>8</v>
      </c>
      <c r="D90" s="42"/>
      <c r="E90" s="65" t="s">
        <v>171</v>
      </c>
      <c r="F90" s="56">
        <f>C91/C$59</f>
        <v>0.15686274509803921</v>
      </c>
      <c r="G90" s="39"/>
      <c r="H90" s="57" t="s">
        <v>172</v>
      </c>
      <c r="I90" s="59">
        <v>0</v>
      </c>
      <c r="J90" s="51" t="e">
        <f t="shared" si="3"/>
        <v>#DIV/0!</v>
      </c>
    </row>
    <row r="91" spans="1:10" ht="15.75" thickBot="1" x14ac:dyDescent="0.3">
      <c r="A91" s="7" t="s">
        <v>173</v>
      </c>
      <c r="B91" s="40"/>
      <c r="C91">
        <v>8</v>
      </c>
      <c r="D91" s="42"/>
      <c r="E91" s="66"/>
      <c r="F91" s="14"/>
      <c r="G91" s="42" t="s">
        <v>81</v>
      </c>
      <c r="H91" s="57" t="s">
        <v>174</v>
      </c>
      <c r="I91" s="59">
        <v>0</v>
      </c>
      <c r="J91" s="51" t="e">
        <f t="shared" si="3"/>
        <v>#DIV/0!</v>
      </c>
    </row>
    <row r="92" spans="1:10" ht="15.75" thickBot="1" x14ac:dyDescent="0.3">
      <c r="A92" s="7"/>
      <c r="B92" s="40"/>
      <c r="D92" s="42"/>
      <c r="E92" s="67" t="s">
        <v>137</v>
      </c>
      <c r="F92" s="44"/>
      <c r="G92" s="39"/>
      <c r="H92" s="22" t="s">
        <v>175</v>
      </c>
      <c r="I92" s="55">
        <v>0</v>
      </c>
      <c r="J92" s="56" t="e">
        <f t="shared" si="3"/>
        <v>#DIV/0!</v>
      </c>
    </row>
    <row r="93" spans="1:10" x14ac:dyDescent="0.25">
      <c r="A93" s="7" t="s">
        <v>137</v>
      </c>
      <c r="B93" s="40"/>
      <c r="D93" s="42"/>
      <c r="E93" s="58" t="s">
        <v>176</v>
      </c>
      <c r="F93" s="51">
        <f>C94/C$59</f>
        <v>0.70588235294117652</v>
      </c>
      <c r="G93" s="39"/>
    </row>
    <row r="94" spans="1:10" ht="15.75" thickBot="1" x14ac:dyDescent="0.3">
      <c r="A94" s="7" t="s">
        <v>177</v>
      </c>
      <c r="B94" s="40"/>
      <c r="C94">
        <v>36</v>
      </c>
      <c r="D94" s="42"/>
      <c r="E94" s="60" t="s">
        <v>178</v>
      </c>
      <c r="F94" s="56">
        <f>C95/C$59</f>
        <v>0.29411764705882354</v>
      </c>
      <c r="G94" s="39"/>
    </row>
    <row r="95" spans="1:10" ht="15.75" thickBot="1" x14ac:dyDescent="0.3">
      <c r="A95" s="7" t="s">
        <v>178</v>
      </c>
      <c r="B95" s="40"/>
      <c r="C95">
        <v>15</v>
      </c>
      <c r="D95" s="42"/>
      <c r="E95" s="68"/>
      <c r="F95" s="69"/>
      <c r="G95" s="39"/>
      <c r="H95" s="45" t="s">
        <v>67</v>
      </c>
      <c r="I95" s="46">
        <v>13</v>
      </c>
      <c r="J95" s="47"/>
    </row>
    <row r="96" spans="1:10" x14ac:dyDescent="0.25">
      <c r="A96" s="7"/>
      <c r="B96" s="40"/>
      <c r="D96" s="42"/>
      <c r="E96" s="45" t="s">
        <v>179</v>
      </c>
      <c r="F96" s="44"/>
      <c r="G96" s="39"/>
      <c r="H96" s="57" t="s">
        <v>104</v>
      </c>
      <c r="I96" s="59">
        <v>0</v>
      </c>
      <c r="J96" s="51">
        <f>I96/I$95</f>
        <v>0</v>
      </c>
    </row>
    <row r="97" spans="1:10" x14ac:dyDescent="0.25">
      <c r="A97" t="s">
        <v>179</v>
      </c>
      <c r="D97" s="42"/>
      <c r="E97" s="57" t="s">
        <v>180</v>
      </c>
      <c r="F97" s="51">
        <f>C98/C$95</f>
        <v>0.93333333333333335</v>
      </c>
      <c r="G97" s="39"/>
      <c r="H97" s="57" t="s">
        <v>105</v>
      </c>
      <c r="I97" s="59">
        <v>4</v>
      </c>
      <c r="J97" s="51">
        <f>I97/I$95</f>
        <v>0.30769230769230771</v>
      </c>
    </row>
    <row r="98" spans="1:10" ht="15.75" thickBot="1" x14ac:dyDescent="0.3">
      <c r="A98" t="s">
        <v>180</v>
      </c>
      <c r="C98">
        <v>14</v>
      </c>
      <c r="D98" s="42"/>
      <c r="E98" s="22" t="s">
        <v>181</v>
      </c>
      <c r="F98" s="56">
        <f>C99/C$95</f>
        <v>6.6666666666666666E-2</v>
      </c>
      <c r="G98" s="39"/>
      <c r="H98" s="57" t="s">
        <v>106</v>
      </c>
      <c r="I98" s="59">
        <v>2</v>
      </c>
      <c r="J98" s="51">
        <f>I98/I$95</f>
        <v>0.15384615384615385</v>
      </c>
    </row>
    <row r="99" spans="1:10" ht="15.75" thickBot="1" x14ac:dyDescent="0.3">
      <c r="A99" t="s">
        <v>181</v>
      </c>
      <c r="C99">
        <v>1</v>
      </c>
      <c r="D99" s="42"/>
      <c r="E99" s="68"/>
      <c r="F99" s="69"/>
      <c r="G99" s="39"/>
      <c r="H99" s="57" t="s">
        <v>107</v>
      </c>
      <c r="I99" s="59">
        <v>2</v>
      </c>
      <c r="J99" s="51">
        <f>I99/I$95</f>
        <v>0.15384615384615385</v>
      </c>
    </row>
    <row r="100" spans="1:10" ht="15.75" thickBot="1" x14ac:dyDescent="0.3">
      <c r="A100" s="7"/>
      <c r="B100" s="40"/>
      <c r="D100" s="42"/>
      <c r="E100" s="62" t="s">
        <v>182</v>
      </c>
      <c r="F100" s="44"/>
      <c r="G100" s="39"/>
      <c r="H100" s="22" t="s">
        <v>108</v>
      </c>
      <c r="I100" s="55">
        <v>5</v>
      </c>
      <c r="J100" s="56">
        <f>I100/I$95</f>
        <v>0.38461538461538464</v>
      </c>
    </row>
    <row r="101" spans="1:10" x14ac:dyDescent="0.25">
      <c r="A101" s="7" t="s">
        <v>183</v>
      </c>
      <c r="B101" s="40"/>
      <c r="D101" s="42"/>
      <c r="E101" s="58" t="s">
        <v>121</v>
      </c>
      <c r="F101" s="51">
        <f t="shared" ref="F101:F106" si="4">C102/C$59</f>
        <v>0.68627450980392157</v>
      </c>
      <c r="G101" s="39"/>
    </row>
    <row r="102" spans="1:10" ht="15.75" thickBot="1" x14ac:dyDescent="0.3">
      <c r="A102" s="7" t="s">
        <v>121</v>
      </c>
      <c r="B102" s="40"/>
      <c r="C102">
        <v>35</v>
      </c>
      <c r="D102" s="42"/>
      <c r="E102" s="48" t="s">
        <v>122</v>
      </c>
      <c r="F102" s="51">
        <f t="shared" si="4"/>
        <v>0</v>
      </c>
      <c r="G102" s="39"/>
    </row>
    <row r="103" spans="1:10" x14ac:dyDescent="0.25">
      <c r="A103" s="7" t="s">
        <v>122</v>
      </c>
      <c r="B103" s="40"/>
      <c r="C103">
        <v>0</v>
      </c>
      <c r="D103" s="42"/>
      <c r="E103" s="48" t="s">
        <v>123</v>
      </c>
      <c r="F103" s="51">
        <f t="shared" si="4"/>
        <v>0</v>
      </c>
      <c r="G103" s="39"/>
      <c r="H103" s="45" t="s">
        <v>69</v>
      </c>
      <c r="I103" s="46">
        <v>15</v>
      </c>
      <c r="J103" s="47"/>
    </row>
    <row r="104" spans="1:10" x14ac:dyDescent="0.25">
      <c r="A104" s="7" t="s">
        <v>123</v>
      </c>
      <c r="B104" s="40"/>
      <c r="C104">
        <v>0</v>
      </c>
      <c r="D104" s="42"/>
      <c r="E104" s="48" t="s">
        <v>124</v>
      </c>
      <c r="F104" s="51">
        <f t="shared" si="4"/>
        <v>0</v>
      </c>
      <c r="G104" s="39"/>
      <c r="H104" s="57" t="s">
        <v>109</v>
      </c>
      <c r="I104" s="50">
        <v>1</v>
      </c>
      <c r="J104" s="51">
        <f>I104/I$103</f>
        <v>6.6666666666666666E-2</v>
      </c>
    </row>
    <row r="105" spans="1:10" x14ac:dyDescent="0.25">
      <c r="A105" s="7" t="s">
        <v>124</v>
      </c>
      <c r="B105" s="40"/>
      <c r="C105">
        <v>0</v>
      </c>
      <c r="D105" s="42"/>
      <c r="E105" s="48" t="s">
        <v>125</v>
      </c>
      <c r="F105" s="51">
        <f t="shared" si="4"/>
        <v>0.29411764705882354</v>
      </c>
      <c r="G105" s="39"/>
      <c r="H105" s="57" t="s">
        <v>110</v>
      </c>
      <c r="I105" s="50">
        <v>1</v>
      </c>
      <c r="J105" s="51">
        <f t="shared" ref="J105:J113" si="5">I105/I$103</f>
        <v>6.6666666666666666E-2</v>
      </c>
    </row>
    <row r="106" spans="1:10" ht="15.75" thickBot="1" x14ac:dyDescent="0.3">
      <c r="A106" s="7" t="s">
        <v>125</v>
      </c>
      <c r="B106" s="40"/>
      <c r="C106">
        <v>15</v>
      </c>
      <c r="D106" s="42"/>
      <c r="E106" s="53" t="s">
        <v>69</v>
      </c>
      <c r="F106" s="56">
        <f t="shared" si="4"/>
        <v>5.8823529411764705E-2</v>
      </c>
      <c r="G106" s="39"/>
      <c r="H106" s="57" t="s">
        <v>111</v>
      </c>
      <c r="I106" s="50">
        <v>2</v>
      </c>
      <c r="J106" s="51">
        <f t="shared" si="5"/>
        <v>0.13333333333333333</v>
      </c>
    </row>
    <row r="107" spans="1:10" ht="15.75" thickBot="1" x14ac:dyDescent="0.3">
      <c r="A107" s="7" t="s">
        <v>69</v>
      </c>
      <c r="B107" s="40"/>
      <c r="C107">
        <v>3</v>
      </c>
      <c r="D107" s="42"/>
      <c r="E107" s="42"/>
      <c r="F107" s="14"/>
      <c r="G107" s="39"/>
      <c r="H107" s="57" t="s">
        <v>112</v>
      </c>
      <c r="I107" s="59">
        <v>0</v>
      </c>
      <c r="J107" s="51">
        <f t="shared" si="5"/>
        <v>0</v>
      </c>
    </row>
    <row r="108" spans="1:10" x14ac:dyDescent="0.25">
      <c r="A108" s="7"/>
      <c r="B108" s="40"/>
      <c r="D108" s="42"/>
      <c r="E108" s="43" t="s">
        <v>184</v>
      </c>
      <c r="F108" s="44"/>
      <c r="G108" s="39"/>
      <c r="H108" s="57" t="s">
        <v>113</v>
      </c>
      <c r="I108" s="59">
        <v>6</v>
      </c>
      <c r="J108" s="51">
        <f t="shared" si="5"/>
        <v>0.4</v>
      </c>
    </row>
    <row r="109" spans="1:10" x14ac:dyDescent="0.25">
      <c r="A109" s="7" t="s">
        <v>185</v>
      </c>
      <c r="B109" s="40"/>
      <c r="D109" s="42"/>
      <c r="E109" s="48" t="s">
        <v>186</v>
      </c>
      <c r="F109" s="51">
        <f>C110/C$59</f>
        <v>0.60784313725490191</v>
      </c>
      <c r="G109" s="39"/>
      <c r="H109" s="70" t="s">
        <v>114</v>
      </c>
      <c r="I109" s="59">
        <v>1</v>
      </c>
      <c r="J109" s="51">
        <f t="shared" si="5"/>
        <v>6.6666666666666666E-2</v>
      </c>
    </row>
    <row r="110" spans="1:10" x14ac:dyDescent="0.25">
      <c r="A110" s="7" t="s">
        <v>186</v>
      </c>
      <c r="B110" s="40"/>
      <c r="C110">
        <v>31</v>
      </c>
      <c r="D110" s="42"/>
      <c r="E110" s="48" t="s">
        <v>187</v>
      </c>
      <c r="F110" s="51">
        <f>C111/C$59</f>
        <v>0.31372549019607843</v>
      </c>
      <c r="G110" s="39"/>
      <c r="H110" s="70" t="s">
        <v>115</v>
      </c>
      <c r="I110" s="59">
        <v>2</v>
      </c>
      <c r="J110" s="51">
        <f t="shared" si="5"/>
        <v>0.13333333333333333</v>
      </c>
    </row>
    <row r="111" spans="1:10" x14ac:dyDescent="0.25">
      <c r="A111" s="7" t="s">
        <v>187</v>
      </c>
      <c r="B111" s="40"/>
      <c r="C111">
        <v>16</v>
      </c>
      <c r="D111" s="42"/>
      <c r="E111" s="48" t="s">
        <v>188</v>
      </c>
      <c r="F111" s="51">
        <f>C112/C$59</f>
        <v>3.9215686274509803E-2</v>
      </c>
      <c r="G111" s="39"/>
      <c r="H111" s="70" t="s">
        <v>116</v>
      </c>
      <c r="I111" s="59">
        <v>1</v>
      </c>
      <c r="J111" s="51">
        <f t="shared" si="5"/>
        <v>6.6666666666666666E-2</v>
      </c>
    </row>
    <row r="112" spans="1:10" x14ac:dyDescent="0.25">
      <c r="A112" s="7" t="s">
        <v>188</v>
      </c>
      <c r="B112" s="40"/>
      <c r="C112">
        <v>2</v>
      </c>
      <c r="D112" s="42"/>
      <c r="E112" s="48" t="s">
        <v>189</v>
      </c>
      <c r="F112" s="51">
        <f>C113/C$59</f>
        <v>3.9215686274509803E-2</v>
      </c>
      <c r="G112" s="39"/>
      <c r="H112" s="70" t="s">
        <v>117</v>
      </c>
      <c r="I112" s="59"/>
      <c r="J112" s="51">
        <f t="shared" si="5"/>
        <v>0</v>
      </c>
    </row>
    <row r="113" spans="1:10" ht="15.75" thickBot="1" x14ac:dyDescent="0.3">
      <c r="A113" s="7" t="s">
        <v>189</v>
      </c>
      <c r="B113" s="40"/>
      <c r="C113">
        <v>2</v>
      </c>
      <c r="E113" s="53" t="s">
        <v>190</v>
      </c>
      <c r="F113" s="56">
        <f>C114/C$59</f>
        <v>0</v>
      </c>
      <c r="H113" s="71" t="s">
        <v>118</v>
      </c>
      <c r="I113" s="55"/>
      <c r="J113" s="56">
        <f t="shared" si="5"/>
        <v>0</v>
      </c>
    </row>
    <row r="114" spans="1:10" x14ac:dyDescent="0.25">
      <c r="A114" s="7" t="s">
        <v>190</v>
      </c>
      <c r="B114" s="40"/>
      <c r="C114">
        <v>0</v>
      </c>
      <c r="E114" s="42"/>
      <c r="F114" s="14"/>
    </row>
    <row r="115" spans="1:10" x14ac:dyDescent="0.25">
      <c r="A115" s="7" t="s">
        <v>191</v>
      </c>
      <c r="B115" s="40"/>
      <c r="C115">
        <v>0</v>
      </c>
      <c r="E115" s="42"/>
      <c r="F115" s="14"/>
    </row>
    <row r="116" spans="1:10" x14ac:dyDescent="0.25">
      <c r="A116" s="7"/>
      <c r="B116" s="40"/>
      <c r="E116" s="42"/>
      <c r="F116" s="14"/>
    </row>
    <row r="117" spans="1:10" ht="15.75" thickBot="1" x14ac:dyDescent="0.3"/>
    <row r="118" spans="1:10" x14ac:dyDescent="0.25">
      <c r="A118" s="72" t="s">
        <v>7</v>
      </c>
      <c r="B118" s="91">
        <f>SUM(B119:B122)</f>
        <v>121334.5</v>
      </c>
    </row>
    <row r="119" spans="1:10" x14ac:dyDescent="0.25">
      <c r="A119" s="74" t="s">
        <v>121</v>
      </c>
      <c r="B119" s="75">
        <f>SUM(F4:F6,F8,F10:F11,F13:F20,F23:F24,F28:F32,F34:F35,F37:F41,F43,F45:F47,F52)</f>
        <v>79764.23</v>
      </c>
    </row>
    <row r="120" spans="1:10" x14ac:dyDescent="0.25">
      <c r="A120" s="74" t="s">
        <v>192</v>
      </c>
      <c r="B120" s="75">
        <f>SUM(F3,F9,F12,F21:F22,F25:F26,F33,F36,F42,F44,F48:F51)</f>
        <v>36110.47</v>
      </c>
    </row>
    <row r="121" spans="1:10" x14ac:dyDescent="0.25">
      <c r="A121" s="74" t="s">
        <v>193</v>
      </c>
      <c r="B121" s="75">
        <f>SUM(F2,F27,)</f>
        <v>1021</v>
      </c>
    </row>
    <row r="122" spans="1:10" x14ac:dyDescent="0.25">
      <c r="A122" s="74" t="s">
        <v>69</v>
      </c>
      <c r="B122" s="76">
        <v>4438.8</v>
      </c>
    </row>
    <row r="123" spans="1:10" ht="15.75" thickBot="1" x14ac:dyDescent="0.3">
      <c r="A123" s="77"/>
      <c r="B123" s="78"/>
    </row>
  </sheetData>
  <mergeCells count="1">
    <mergeCell ref="A55:F5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8"/>
  <sheetViews>
    <sheetView topLeftCell="A98" workbookViewId="0">
      <selection activeCell="B114" sqref="B114"/>
    </sheetView>
  </sheetViews>
  <sheetFormatPr baseColWidth="10" defaultRowHeight="15" x14ac:dyDescent="0.25"/>
  <cols>
    <col min="2" max="2" width="34.140625" customWidth="1"/>
    <col min="3" max="3" width="12.7109375" customWidth="1"/>
    <col min="4" max="4" width="5.7109375" customWidth="1"/>
    <col min="5" max="5" width="7.5703125" customWidth="1"/>
    <col min="7" max="7" width="40.85546875" customWidth="1"/>
  </cols>
  <sheetData>
    <row r="1" spans="1:8" ht="15" customHeight="1" x14ac:dyDescent="0.25">
      <c r="A1" s="3" t="s">
        <v>2</v>
      </c>
      <c r="B1" s="4" t="s">
        <v>3</v>
      </c>
      <c r="C1" s="4" t="s">
        <v>5</v>
      </c>
      <c r="D1" s="4" t="s">
        <v>22</v>
      </c>
      <c r="E1" s="8" t="s">
        <v>6</v>
      </c>
      <c r="F1" s="5" t="s">
        <v>8</v>
      </c>
      <c r="G1" s="6" t="s">
        <v>9</v>
      </c>
      <c r="H1" s="1" t="s">
        <v>10</v>
      </c>
    </row>
    <row r="2" spans="1:8" x14ac:dyDescent="0.25">
      <c r="A2" s="40">
        <v>45139</v>
      </c>
      <c r="B2" s="89" t="s">
        <v>1744</v>
      </c>
      <c r="C2" s="89" t="s">
        <v>625</v>
      </c>
      <c r="D2" t="s">
        <v>141</v>
      </c>
      <c r="E2" s="89" t="s">
        <v>1747</v>
      </c>
      <c r="F2" s="38">
        <v>2674.25</v>
      </c>
      <c r="G2" s="89" t="s">
        <v>1748</v>
      </c>
      <c r="H2" s="89" t="s">
        <v>219</v>
      </c>
    </row>
    <row r="3" spans="1:8" x14ac:dyDescent="0.25">
      <c r="A3" s="40">
        <v>45140</v>
      </c>
      <c r="B3" s="89" t="s">
        <v>1749</v>
      </c>
      <c r="C3" s="89" t="s">
        <v>186</v>
      </c>
      <c r="D3" t="s">
        <v>139</v>
      </c>
      <c r="E3" s="89" t="s">
        <v>806</v>
      </c>
      <c r="F3" s="38">
        <v>1329</v>
      </c>
      <c r="G3" s="89" t="s">
        <v>1752</v>
      </c>
      <c r="H3" s="89" t="s">
        <v>582</v>
      </c>
    </row>
    <row r="4" spans="1:8" x14ac:dyDescent="0.25">
      <c r="A4" s="40">
        <v>45140</v>
      </c>
      <c r="B4" s="89" t="s">
        <v>1755</v>
      </c>
      <c r="C4" s="89" t="s">
        <v>186</v>
      </c>
      <c r="D4" s="89" t="s">
        <v>139</v>
      </c>
      <c r="E4" s="89" t="s">
        <v>192</v>
      </c>
      <c r="F4" s="38">
        <v>7323.36</v>
      </c>
      <c r="G4" s="89" t="s">
        <v>1758</v>
      </c>
      <c r="H4" s="89" t="s">
        <v>1633</v>
      </c>
    </row>
    <row r="5" spans="1:8" x14ac:dyDescent="0.25">
      <c r="A5" s="40">
        <v>45139</v>
      </c>
      <c r="B5" s="89" t="s">
        <v>1765</v>
      </c>
      <c r="C5" s="89" t="s">
        <v>186</v>
      </c>
      <c r="D5" s="89" t="s">
        <v>139</v>
      </c>
      <c r="E5" s="89" t="s">
        <v>380</v>
      </c>
      <c r="F5" s="38">
        <v>2148.9</v>
      </c>
      <c r="G5" s="89" t="s">
        <v>1768</v>
      </c>
      <c r="H5" s="89" t="s">
        <v>1769</v>
      </c>
    </row>
    <row r="6" spans="1:8" x14ac:dyDescent="0.25">
      <c r="A6" s="40">
        <v>45141</v>
      </c>
      <c r="B6" s="89" t="s">
        <v>1770</v>
      </c>
      <c r="C6" s="89" t="s">
        <v>186</v>
      </c>
      <c r="D6" s="89" t="s">
        <v>139</v>
      </c>
      <c r="E6" s="89" t="s">
        <v>380</v>
      </c>
      <c r="F6" s="38">
        <v>896</v>
      </c>
      <c r="G6" s="89" t="s">
        <v>1772</v>
      </c>
      <c r="H6" s="89" t="s">
        <v>1769</v>
      </c>
    </row>
    <row r="7" spans="1:8" x14ac:dyDescent="0.25">
      <c r="A7" s="40">
        <v>45141</v>
      </c>
      <c r="B7" s="89" t="s">
        <v>1773</v>
      </c>
      <c r="C7" s="89" t="s">
        <v>186</v>
      </c>
      <c r="D7" s="89" t="s">
        <v>139</v>
      </c>
      <c r="E7" s="89" t="s">
        <v>1775</v>
      </c>
      <c r="F7" s="38">
        <v>840</v>
      </c>
      <c r="G7" s="89" t="s">
        <v>1776</v>
      </c>
      <c r="H7" s="89" t="s">
        <v>1777</v>
      </c>
    </row>
    <row r="8" spans="1:8" x14ac:dyDescent="0.25">
      <c r="A8" s="40">
        <v>45141</v>
      </c>
      <c r="B8" s="89" t="s">
        <v>1778</v>
      </c>
      <c r="C8" s="89" t="s">
        <v>186</v>
      </c>
      <c r="D8" t="s">
        <v>141</v>
      </c>
      <c r="E8" s="89" t="s">
        <v>197</v>
      </c>
      <c r="F8" s="38">
        <v>1153.8499999999999</v>
      </c>
      <c r="G8" s="89" t="s">
        <v>227</v>
      </c>
      <c r="H8" s="89" t="s">
        <v>1780</v>
      </c>
    </row>
    <row r="9" spans="1:8" x14ac:dyDescent="0.25">
      <c r="A9" s="40">
        <v>45142</v>
      </c>
      <c r="B9" s="89" t="s">
        <v>1789</v>
      </c>
      <c r="C9" s="89" t="s">
        <v>186</v>
      </c>
      <c r="D9" s="89" t="s">
        <v>139</v>
      </c>
      <c r="E9" s="89" t="s">
        <v>192</v>
      </c>
      <c r="F9" s="38">
        <v>1866</v>
      </c>
      <c r="G9" s="89" t="s">
        <v>1792</v>
      </c>
      <c r="H9" s="89" t="s">
        <v>1793</v>
      </c>
    </row>
    <row r="10" spans="1:8" x14ac:dyDescent="0.25">
      <c r="A10" s="40">
        <v>45145</v>
      </c>
      <c r="B10" s="89" t="s">
        <v>268</v>
      </c>
      <c r="C10" s="89" t="s">
        <v>186</v>
      </c>
      <c r="D10" s="89" t="s">
        <v>139</v>
      </c>
      <c r="E10" s="89" t="s">
        <v>192</v>
      </c>
      <c r="F10" s="38">
        <v>2338</v>
      </c>
      <c r="G10" s="89" t="s">
        <v>1807</v>
      </c>
      <c r="H10" s="89" t="s">
        <v>1808</v>
      </c>
    </row>
    <row r="11" spans="1:8" x14ac:dyDescent="0.25">
      <c r="A11" s="40">
        <v>45146</v>
      </c>
      <c r="B11" s="89" t="s">
        <v>1809</v>
      </c>
      <c r="C11" s="89" t="s">
        <v>408</v>
      </c>
      <c r="D11" s="89" t="s">
        <v>139</v>
      </c>
      <c r="E11" s="89" t="s">
        <v>197</v>
      </c>
      <c r="F11" s="38">
        <v>1678</v>
      </c>
      <c r="G11" s="89" t="s">
        <v>1812</v>
      </c>
      <c r="H11" s="89" t="s">
        <v>219</v>
      </c>
    </row>
    <row r="12" spans="1:8" s="89" customFormat="1" x14ac:dyDescent="0.25">
      <c r="A12" s="40">
        <v>45146</v>
      </c>
      <c r="B12" s="89" t="s">
        <v>1744</v>
      </c>
      <c r="C12" s="89" t="s">
        <v>625</v>
      </c>
      <c r="D12" s="89" t="s">
        <v>141</v>
      </c>
      <c r="E12" s="89" t="s">
        <v>192</v>
      </c>
      <c r="F12" s="38">
        <v>1607.76</v>
      </c>
      <c r="G12" s="89" t="s">
        <v>1813</v>
      </c>
      <c r="H12" s="89" t="s">
        <v>349</v>
      </c>
    </row>
    <row r="13" spans="1:8" s="89" customFormat="1" x14ac:dyDescent="0.25">
      <c r="A13" s="40">
        <v>45147</v>
      </c>
      <c r="B13" s="89" t="s">
        <v>1814</v>
      </c>
      <c r="C13" s="89" t="s">
        <v>409</v>
      </c>
      <c r="D13" s="89" t="s">
        <v>139</v>
      </c>
      <c r="E13" s="89" t="s">
        <v>197</v>
      </c>
      <c r="F13" s="38">
        <v>1500</v>
      </c>
      <c r="G13" s="89" t="s">
        <v>1817</v>
      </c>
      <c r="H13" s="89" t="s">
        <v>1823</v>
      </c>
    </row>
    <row r="14" spans="1:8" s="89" customFormat="1" x14ac:dyDescent="0.25">
      <c r="A14" s="40">
        <v>45148</v>
      </c>
      <c r="B14" s="89" t="s">
        <v>1820</v>
      </c>
      <c r="C14" s="89" t="s">
        <v>408</v>
      </c>
      <c r="D14" s="89" t="s">
        <v>139</v>
      </c>
      <c r="E14" s="89" t="s">
        <v>192</v>
      </c>
      <c r="F14" s="38">
        <v>1171</v>
      </c>
      <c r="G14" s="89" t="s">
        <v>1822</v>
      </c>
      <c r="H14" s="89" t="s">
        <v>1835</v>
      </c>
    </row>
    <row r="15" spans="1:8" s="89" customFormat="1" x14ac:dyDescent="0.25">
      <c r="A15" s="40">
        <v>45148</v>
      </c>
      <c r="B15" s="89" t="s">
        <v>1824</v>
      </c>
      <c r="C15" s="89" t="s">
        <v>408</v>
      </c>
      <c r="D15" s="89" t="s">
        <v>139</v>
      </c>
      <c r="E15" s="89" t="s">
        <v>192</v>
      </c>
      <c r="F15" s="38">
        <v>622</v>
      </c>
      <c r="G15" s="89" t="s">
        <v>1827</v>
      </c>
      <c r="H15" s="89" t="s">
        <v>219</v>
      </c>
    </row>
    <row r="16" spans="1:8" s="89" customFormat="1" x14ac:dyDescent="0.25">
      <c r="A16" s="40">
        <v>45140</v>
      </c>
      <c r="B16" s="89" t="s">
        <v>724</v>
      </c>
      <c r="C16" s="89" t="s">
        <v>186</v>
      </c>
      <c r="D16" s="89" t="s">
        <v>139</v>
      </c>
      <c r="E16" s="89" t="s">
        <v>192</v>
      </c>
      <c r="F16" s="38">
        <v>1260</v>
      </c>
      <c r="G16" s="89" t="s">
        <v>1837</v>
      </c>
      <c r="H16" s="89" t="s">
        <v>349</v>
      </c>
    </row>
    <row r="17" spans="1:8" s="89" customFormat="1" x14ac:dyDescent="0.25">
      <c r="A17" s="40">
        <v>45145</v>
      </c>
      <c r="B17" s="89" t="s">
        <v>1846</v>
      </c>
      <c r="C17" s="89" t="s">
        <v>186</v>
      </c>
      <c r="D17" s="89" t="s">
        <v>139</v>
      </c>
      <c r="E17" s="89" t="s">
        <v>192</v>
      </c>
      <c r="F17" s="38">
        <v>1947</v>
      </c>
      <c r="G17" s="89" t="s">
        <v>1848</v>
      </c>
      <c r="H17" s="89" t="s">
        <v>348</v>
      </c>
    </row>
    <row r="18" spans="1:8" s="89" customFormat="1" x14ac:dyDescent="0.25">
      <c r="A18" s="40">
        <v>45153</v>
      </c>
      <c r="B18" s="89" t="s">
        <v>1849</v>
      </c>
      <c r="C18" s="89" t="s">
        <v>186</v>
      </c>
      <c r="D18" s="89" t="s">
        <v>139</v>
      </c>
      <c r="E18" s="89" t="s">
        <v>197</v>
      </c>
      <c r="F18" s="38">
        <v>3446</v>
      </c>
      <c r="G18" s="89" t="s">
        <v>1852</v>
      </c>
      <c r="H18" s="89" t="s">
        <v>348</v>
      </c>
    </row>
    <row r="19" spans="1:8" s="89" customFormat="1" x14ac:dyDescent="0.25">
      <c r="A19" s="40">
        <v>45154</v>
      </c>
      <c r="B19" s="89" t="s">
        <v>1861</v>
      </c>
      <c r="C19" s="89" t="s">
        <v>186</v>
      </c>
      <c r="D19" s="89" t="s">
        <v>139</v>
      </c>
      <c r="E19" s="89" t="s">
        <v>197</v>
      </c>
      <c r="F19" s="38">
        <v>2200</v>
      </c>
      <c r="G19" s="89" t="s">
        <v>1864</v>
      </c>
      <c r="H19" s="89" t="s">
        <v>1865</v>
      </c>
    </row>
    <row r="20" spans="1:8" s="89" customFormat="1" x14ac:dyDescent="0.25">
      <c r="A20" s="40">
        <v>45139</v>
      </c>
      <c r="B20" s="89" t="s">
        <v>1877</v>
      </c>
      <c r="C20" s="89" t="s">
        <v>186</v>
      </c>
      <c r="D20" s="89" t="s">
        <v>139</v>
      </c>
      <c r="E20" s="89" t="s">
        <v>197</v>
      </c>
      <c r="F20" s="38">
        <v>1540</v>
      </c>
      <c r="G20" s="89" t="s">
        <v>1880</v>
      </c>
      <c r="H20" s="89" t="s">
        <v>348</v>
      </c>
    </row>
    <row r="21" spans="1:8" s="89" customFormat="1" x14ac:dyDescent="0.25">
      <c r="A21" s="40">
        <v>45143</v>
      </c>
      <c r="B21" s="89" t="s">
        <v>1881</v>
      </c>
      <c r="C21" s="89" t="s">
        <v>186</v>
      </c>
      <c r="D21" s="89" t="s">
        <v>139</v>
      </c>
      <c r="E21" s="89" t="s">
        <v>192</v>
      </c>
      <c r="F21" s="38">
        <v>2790</v>
      </c>
      <c r="G21" s="89" t="s">
        <v>1884</v>
      </c>
      <c r="H21" s="89" t="s">
        <v>219</v>
      </c>
    </row>
    <row r="22" spans="1:8" s="89" customFormat="1" x14ac:dyDescent="0.25">
      <c r="A22" s="40">
        <v>45149</v>
      </c>
      <c r="B22" s="89" t="s">
        <v>1885</v>
      </c>
      <c r="C22" s="89" t="s">
        <v>186</v>
      </c>
      <c r="D22" s="89" t="s">
        <v>139</v>
      </c>
      <c r="E22" s="89" t="s">
        <v>197</v>
      </c>
      <c r="F22" s="38">
        <v>2808</v>
      </c>
      <c r="G22" s="89" t="s">
        <v>1888</v>
      </c>
      <c r="H22" s="89" t="s">
        <v>1933</v>
      </c>
    </row>
    <row r="23" spans="1:8" s="89" customFormat="1" x14ac:dyDescent="0.25">
      <c r="A23" s="40">
        <v>45155</v>
      </c>
      <c r="B23" s="89" t="s">
        <v>1889</v>
      </c>
      <c r="C23" s="89" t="s">
        <v>408</v>
      </c>
      <c r="D23" s="89" t="s">
        <v>139</v>
      </c>
      <c r="E23" s="89" t="s">
        <v>197</v>
      </c>
      <c r="F23" s="38">
        <v>1392</v>
      </c>
      <c r="G23" s="89" t="s">
        <v>1892</v>
      </c>
      <c r="H23" s="89" t="s">
        <v>733</v>
      </c>
    </row>
    <row r="24" spans="1:8" s="89" customFormat="1" x14ac:dyDescent="0.25">
      <c r="A24" s="40">
        <v>45155</v>
      </c>
      <c r="B24" s="89" t="s">
        <v>1893</v>
      </c>
      <c r="C24" s="89" t="s">
        <v>186</v>
      </c>
      <c r="D24" s="89" t="s">
        <v>139</v>
      </c>
      <c r="E24" s="89" t="s">
        <v>192</v>
      </c>
      <c r="F24" s="38">
        <v>1098</v>
      </c>
      <c r="G24" s="89" t="s">
        <v>1895</v>
      </c>
      <c r="H24" s="89" t="s">
        <v>1904</v>
      </c>
    </row>
    <row r="25" spans="1:8" s="89" customFormat="1" x14ac:dyDescent="0.25">
      <c r="A25" s="40">
        <v>45143</v>
      </c>
      <c r="B25" s="89" t="s">
        <v>740</v>
      </c>
      <c r="C25" s="89" t="s">
        <v>186</v>
      </c>
      <c r="D25" s="89" t="s">
        <v>139</v>
      </c>
      <c r="E25" s="89" t="s">
        <v>192</v>
      </c>
      <c r="F25" s="38">
        <v>1180.3</v>
      </c>
      <c r="G25" s="89" t="s">
        <v>1903</v>
      </c>
      <c r="H25" s="89" t="s">
        <v>349</v>
      </c>
    </row>
    <row r="26" spans="1:8" s="89" customFormat="1" x14ac:dyDescent="0.25">
      <c r="A26" s="40">
        <v>45156</v>
      </c>
      <c r="B26" s="89" t="s">
        <v>1905</v>
      </c>
      <c r="C26" s="89" t="s">
        <v>409</v>
      </c>
      <c r="D26" s="89" t="s">
        <v>141</v>
      </c>
      <c r="E26" s="89" t="s">
        <v>197</v>
      </c>
      <c r="F26" s="38">
        <v>4419.6000000000004</v>
      </c>
      <c r="G26" s="89" t="s">
        <v>2034</v>
      </c>
      <c r="H26" s="89" t="s">
        <v>1633</v>
      </c>
    </row>
    <row r="27" spans="1:8" s="89" customFormat="1" x14ac:dyDescent="0.25">
      <c r="A27" s="40">
        <v>45156</v>
      </c>
      <c r="B27" s="89" t="s">
        <v>1909</v>
      </c>
      <c r="C27" s="89" t="s">
        <v>186</v>
      </c>
      <c r="D27" s="89" t="s">
        <v>139</v>
      </c>
      <c r="E27" s="89" t="s">
        <v>197</v>
      </c>
      <c r="F27" s="38">
        <v>3516</v>
      </c>
      <c r="G27" s="89" t="s">
        <v>1912</v>
      </c>
      <c r="H27" s="89" t="s">
        <v>1923</v>
      </c>
    </row>
    <row r="28" spans="1:8" s="89" customFormat="1" x14ac:dyDescent="0.25">
      <c r="A28" s="40">
        <v>45156</v>
      </c>
      <c r="B28" s="89" t="s">
        <v>740</v>
      </c>
      <c r="C28" s="89" t="s">
        <v>186</v>
      </c>
      <c r="D28" s="89" t="s">
        <v>139</v>
      </c>
      <c r="E28" s="89" t="s">
        <v>192</v>
      </c>
      <c r="F28" s="38">
        <v>2184.3000000000002</v>
      </c>
      <c r="G28" s="89" t="s">
        <v>1913</v>
      </c>
      <c r="H28" s="89" t="s">
        <v>349</v>
      </c>
    </row>
    <row r="29" spans="1:8" s="89" customFormat="1" x14ac:dyDescent="0.25">
      <c r="A29" s="40">
        <v>45139</v>
      </c>
      <c r="B29" s="89" t="s">
        <v>1919</v>
      </c>
      <c r="C29" s="89" t="s">
        <v>625</v>
      </c>
      <c r="D29" s="89" t="s">
        <v>139</v>
      </c>
      <c r="E29" s="89" t="s">
        <v>192</v>
      </c>
      <c r="F29" s="38">
        <v>1113</v>
      </c>
      <c r="G29" s="89" t="s">
        <v>1922</v>
      </c>
      <c r="H29" s="89" t="s">
        <v>219</v>
      </c>
    </row>
    <row r="30" spans="1:8" s="89" customFormat="1" x14ac:dyDescent="0.25">
      <c r="A30" s="40">
        <v>45142</v>
      </c>
      <c r="B30" s="89" t="s">
        <v>1924</v>
      </c>
      <c r="C30" s="89" t="s">
        <v>186</v>
      </c>
      <c r="D30" s="89" t="s">
        <v>139</v>
      </c>
      <c r="E30" s="89" t="s">
        <v>192</v>
      </c>
      <c r="F30" s="38">
        <v>1294.17</v>
      </c>
      <c r="G30" s="89" t="s">
        <v>2035</v>
      </c>
      <c r="H30" s="89" t="s">
        <v>219</v>
      </c>
    </row>
    <row r="31" spans="1:8" s="89" customFormat="1" x14ac:dyDescent="0.25">
      <c r="A31" s="40">
        <v>45160</v>
      </c>
      <c r="B31" s="89" t="s">
        <v>1928</v>
      </c>
      <c r="C31" s="89" t="s">
        <v>625</v>
      </c>
      <c r="D31" s="89" t="s">
        <v>139</v>
      </c>
      <c r="E31" s="89" t="s">
        <v>197</v>
      </c>
      <c r="F31" s="38">
        <v>1842</v>
      </c>
      <c r="G31" s="89" t="s">
        <v>1931</v>
      </c>
      <c r="H31" s="89" t="s">
        <v>1932</v>
      </c>
    </row>
    <row r="32" spans="1:8" s="89" customFormat="1" x14ac:dyDescent="0.25">
      <c r="A32" s="40">
        <v>45152</v>
      </c>
      <c r="B32" s="89" t="s">
        <v>1934</v>
      </c>
      <c r="C32" s="89" t="s">
        <v>408</v>
      </c>
      <c r="D32" s="89" t="s">
        <v>141</v>
      </c>
      <c r="E32" s="89" t="s">
        <v>197</v>
      </c>
      <c r="F32" s="38">
        <v>2824.6</v>
      </c>
      <c r="G32" s="89" t="s">
        <v>1937</v>
      </c>
      <c r="H32" s="89" t="s">
        <v>219</v>
      </c>
    </row>
    <row r="33" spans="1:8" s="89" customFormat="1" x14ac:dyDescent="0.25">
      <c r="A33" s="40">
        <v>45162</v>
      </c>
      <c r="B33" s="89" t="s">
        <v>1938</v>
      </c>
      <c r="C33" s="89" t="s">
        <v>186</v>
      </c>
      <c r="D33" s="89" t="s">
        <v>139</v>
      </c>
      <c r="E33" s="89" t="s">
        <v>197</v>
      </c>
      <c r="F33" s="38">
        <v>1160</v>
      </c>
      <c r="G33" s="89" t="s">
        <v>1563</v>
      </c>
      <c r="H33" s="89" t="s">
        <v>545</v>
      </c>
    </row>
    <row r="34" spans="1:8" s="89" customFormat="1" x14ac:dyDescent="0.25">
      <c r="A34" s="40">
        <v>45152</v>
      </c>
      <c r="B34" s="89" t="s">
        <v>1830</v>
      </c>
      <c r="C34" s="89" t="s">
        <v>186</v>
      </c>
      <c r="D34" s="89" t="s">
        <v>139</v>
      </c>
      <c r="E34" s="89" t="s">
        <v>192</v>
      </c>
      <c r="F34" s="38">
        <v>2493</v>
      </c>
      <c r="G34" s="89" t="s">
        <v>1833</v>
      </c>
      <c r="H34" s="89" t="s">
        <v>1633</v>
      </c>
    </row>
    <row r="35" spans="1:8" s="89" customFormat="1" x14ac:dyDescent="0.25">
      <c r="A35" s="40">
        <v>45152</v>
      </c>
      <c r="B35" s="89" t="s">
        <v>1954</v>
      </c>
      <c r="C35" s="89" t="s">
        <v>186</v>
      </c>
      <c r="D35" s="89" t="s">
        <v>139</v>
      </c>
      <c r="E35" s="89" t="s">
        <v>192</v>
      </c>
      <c r="F35" s="38">
        <v>805.5</v>
      </c>
      <c r="G35" s="89" t="s">
        <v>1957</v>
      </c>
      <c r="H35" s="89" t="s">
        <v>1973</v>
      </c>
    </row>
    <row r="36" spans="1:8" s="89" customFormat="1" x14ac:dyDescent="0.25">
      <c r="A36" s="40">
        <v>45159</v>
      </c>
      <c r="B36" s="89" t="s">
        <v>1958</v>
      </c>
      <c r="C36" s="89" t="s">
        <v>186</v>
      </c>
      <c r="D36" s="89" t="s">
        <v>139</v>
      </c>
      <c r="E36" s="89" t="s">
        <v>197</v>
      </c>
      <c r="F36" s="38">
        <v>2246.5</v>
      </c>
      <c r="G36" s="89" t="s">
        <v>898</v>
      </c>
      <c r="H36" s="89" t="s">
        <v>219</v>
      </c>
    </row>
    <row r="37" spans="1:8" s="89" customFormat="1" x14ac:dyDescent="0.25">
      <c r="A37" s="40">
        <v>45164</v>
      </c>
      <c r="B37" s="89" t="s">
        <v>1961</v>
      </c>
      <c r="C37" s="89" t="s">
        <v>408</v>
      </c>
      <c r="D37" s="89" t="s">
        <v>139</v>
      </c>
      <c r="E37" s="89" t="s">
        <v>192</v>
      </c>
      <c r="F37" s="38">
        <v>1146</v>
      </c>
      <c r="G37" s="89" t="s">
        <v>1964</v>
      </c>
      <c r="H37" s="89" t="s">
        <v>661</v>
      </c>
    </row>
    <row r="38" spans="1:8" s="89" customFormat="1" x14ac:dyDescent="0.25">
      <c r="A38" s="40">
        <v>45164</v>
      </c>
      <c r="B38" s="89" t="s">
        <v>1965</v>
      </c>
      <c r="C38" s="89" t="s">
        <v>186</v>
      </c>
      <c r="D38" s="89" t="s">
        <v>139</v>
      </c>
      <c r="E38" s="89" t="s">
        <v>197</v>
      </c>
      <c r="F38" s="38">
        <v>1944</v>
      </c>
      <c r="G38" s="89" t="s">
        <v>1968</v>
      </c>
      <c r="H38" s="89" t="s">
        <v>582</v>
      </c>
    </row>
    <row r="39" spans="1:8" s="89" customFormat="1" x14ac:dyDescent="0.25">
      <c r="A39" s="40">
        <v>45159</v>
      </c>
      <c r="B39" s="89" t="s">
        <v>1969</v>
      </c>
      <c r="C39" s="89" t="s">
        <v>186</v>
      </c>
      <c r="D39" s="89" t="s">
        <v>139</v>
      </c>
      <c r="E39" s="89" t="s">
        <v>197</v>
      </c>
      <c r="F39" s="38">
        <v>4566.55</v>
      </c>
      <c r="G39" s="89" t="s">
        <v>1972</v>
      </c>
      <c r="H39" s="89" t="s">
        <v>1996</v>
      </c>
    </row>
    <row r="40" spans="1:8" s="89" customFormat="1" x14ac:dyDescent="0.25">
      <c r="A40" s="40">
        <v>45161</v>
      </c>
      <c r="B40" s="89" t="s">
        <v>1333</v>
      </c>
      <c r="C40" s="89" t="s">
        <v>186</v>
      </c>
      <c r="D40" s="89" t="s">
        <v>141</v>
      </c>
      <c r="E40" s="89" t="s">
        <v>192</v>
      </c>
      <c r="F40" s="38">
        <v>5369.4</v>
      </c>
      <c r="G40" s="89" t="s">
        <v>1975</v>
      </c>
      <c r="H40" s="89" t="s">
        <v>178</v>
      </c>
    </row>
    <row r="41" spans="1:8" s="89" customFormat="1" x14ac:dyDescent="0.25">
      <c r="A41" s="40">
        <v>45167</v>
      </c>
      <c r="B41" s="89" t="s">
        <v>533</v>
      </c>
      <c r="C41" s="89" t="s">
        <v>186</v>
      </c>
      <c r="D41" s="89" t="s">
        <v>141</v>
      </c>
      <c r="E41" s="89" t="s">
        <v>192</v>
      </c>
      <c r="F41" s="38">
        <v>2628.56</v>
      </c>
      <c r="G41" s="89" t="s">
        <v>1977</v>
      </c>
      <c r="H41" s="89" t="s">
        <v>1982</v>
      </c>
    </row>
    <row r="42" spans="1:8" s="89" customFormat="1" x14ac:dyDescent="0.25">
      <c r="A42" s="40">
        <v>45168</v>
      </c>
      <c r="B42" s="89" t="s">
        <v>1978</v>
      </c>
      <c r="C42" s="89" t="s">
        <v>186</v>
      </c>
      <c r="D42" s="89" t="s">
        <v>139</v>
      </c>
      <c r="E42" s="89" t="s">
        <v>192</v>
      </c>
      <c r="F42" s="38">
        <v>910</v>
      </c>
      <c r="G42" s="89" t="s">
        <v>1981</v>
      </c>
      <c r="H42" s="89" t="s">
        <v>1823</v>
      </c>
    </row>
    <row r="43" spans="1:8" x14ac:dyDescent="0.25">
      <c r="A43" s="40">
        <v>45161</v>
      </c>
      <c r="B43" s="89" t="s">
        <v>1992</v>
      </c>
      <c r="C43" t="s">
        <v>186</v>
      </c>
      <c r="D43" t="s">
        <v>139</v>
      </c>
      <c r="E43" t="s">
        <v>192</v>
      </c>
      <c r="F43" s="38">
        <v>2391.65</v>
      </c>
      <c r="G43" s="89" t="s">
        <v>1995</v>
      </c>
      <c r="H43" s="89" t="s">
        <v>315</v>
      </c>
    </row>
    <row r="44" spans="1:8" x14ac:dyDescent="0.25">
      <c r="A44" s="40">
        <v>45166</v>
      </c>
      <c r="B44" s="89" t="s">
        <v>1997</v>
      </c>
      <c r="C44" t="s">
        <v>186</v>
      </c>
      <c r="D44" t="s">
        <v>139</v>
      </c>
      <c r="E44" t="s">
        <v>192</v>
      </c>
      <c r="F44" s="38">
        <v>2703</v>
      </c>
      <c r="G44" s="89" t="s">
        <v>2000</v>
      </c>
      <c r="H44" s="89" t="s">
        <v>219</v>
      </c>
    </row>
    <row r="45" spans="1:8" x14ac:dyDescent="0.25">
      <c r="A45" s="40">
        <v>45169</v>
      </c>
      <c r="B45" s="89" t="s">
        <v>2001</v>
      </c>
      <c r="C45" t="s">
        <v>186</v>
      </c>
      <c r="D45" t="s">
        <v>139</v>
      </c>
      <c r="E45" t="s">
        <v>197</v>
      </c>
      <c r="F45" s="38">
        <v>1755</v>
      </c>
      <c r="G45" s="89" t="s">
        <v>2004</v>
      </c>
      <c r="H45" s="89" t="s">
        <v>1554</v>
      </c>
    </row>
    <row r="46" spans="1:8" x14ac:dyDescent="0.25">
      <c r="A46" s="40">
        <v>45161</v>
      </c>
      <c r="B46" s="89" t="s">
        <v>2027</v>
      </c>
      <c r="C46" t="s">
        <v>186</v>
      </c>
      <c r="D46" t="s">
        <v>139</v>
      </c>
      <c r="E46" t="s">
        <v>197</v>
      </c>
      <c r="F46" s="38">
        <v>1497.6</v>
      </c>
      <c r="G46" s="89" t="s">
        <v>2030</v>
      </c>
      <c r="H46" s="89" t="s">
        <v>348</v>
      </c>
    </row>
    <row r="47" spans="1:8" x14ac:dyDescent="0.25">
      <c r="A47" s="40">
        <v>45163</v>
      </c>
      <c r="B47" s="89" t="s">
        <v>1830</v>
      </c>
      <c r="C47" t="s">
        <v>186</v>
      </c>
      <c r="D47" t="s">
        <v>139</v>
      </c>
      <c r="E47" t="s">
        <v>192</v>
      </c>
      <c r="F47" s="38">
        <v>3813.6</v>
      </c>
      <c r="G47" s="89" t="s">
        <v>2032</v>
      </c>
      <c r="H47" s="89" t="s">
        <v>2033</v>
      </c>
    </row>
    <row r="50" spans="1:10" ht="15.75" thickBot="1" x14ac:dyDescent="0.3">
      <c r="A50" s="99" t="s">
        <v>130</v>
      </c>
      <c r="B50" s="99"/>
      <c r="C50" s="99"/>
      <c r="D50" s="99"/>
      <c r="E50" s="99"/>
      <c r="F50" s="99"/>
      <c r="G50" s="39"/>
    </row>
    <row r="51" spans="1:10" x14ac:dyDescent="0.25">
      <c r="A51" s="7" t="s">
        <v>131</v>
      </c>
      <c r="B51" s="40"/>
      <c r="C51" s="41">
        <f>SUM(F2:F48)</f>
        <v>99433.45</v>
      </c>
      <c r="D51" s="42"/>
      <c r="E51" s="43" t="s">
        <v>132</v>
      </c>
      <c r="F51" s="44"/>
      <c r="G51" s="39"/>
      <c r="H51" s="45" t="s">
        <v>62</v>
      </c>
      <c r="I51" s="46">
        <v>31</v>
      </c>
      <c r="J51" s="47" t="s">
        <v>81</v>
      </c>
    </row>
    <row r="52" spans="1:10" x14ac:dyDescent="0.25">
      <c r="A52" s="7"/>
      <c r="B52" s="40"/>
      <c r="C52" s="41"/>
      <c r="D52" s="42"/>
      <c r="E52" s="48" t="s">
        <v>133</v>
      </c>
      <c r="F52" s="49">
        <v>99433.45</v>
      </c>
      <c r="G52" s="39"/>
      <c r="H52" s="48" t="s">
        <v>99</v>
      </c>
      <c r="I52" s="50">
        <v>5</v>
      </c>
      <c r="J52" s="51">
        <f>I52/I$51</f>
        <v>0.16129032258064516</v>
      </c>
    </row>
    <row r="53" spans="1:10" ht="15.75" thickBot="1" x14ac:dyDescent="0.3">
      <c r="A53" s="7" t="s">
        <v>134</v>
      </c>
      <c r="B53" s="40"/>
      <c r="C53" s="52">
        <v>27</v>
      </c>
      <c r="D53" s="42"/>
      <c r="E53" s="53" t="s">
        <v>135</v>
      </c>
      <c r="F53" s="54">
        <f>C51/C53</f>
        <v>3682.7203703703703</v>
      </c>
      <c r="G53" s="39"/>
      <c r="H53" s="48" t="s">
        <v>100</v>
      </c>
      <c r="I53" s="50">
        <v>26</v>
      </c>
      <c r="J53" s="51">
        <f>I53/I$51</f>
        <v>0.83870967741935487</v>
      </c>
    </row>
    <row r="54" spans="1:10" ht="15.75" thickBot="1" x14ac:dyDescent="0.3">
      <c r="A54" s="7" t="s">
        <v>136</v>
      </c>
      <c r="B54" s="40"/>
      <c r="C54">
        <v>46</v>
      </c>
      <c r="D54" s="42"/>
      <c r="E54" s="42"/>
      <c r="F54" s="14"/>
      <c r="G54" s="39"/>
      <c r="H54" s="53" t="s">
        <v>101</v>
      </c>
      <c r="I54" s="55">
        <v>0</v>
      </c>
      <c r="J54" s="56">
        <f>I54/I$51</f>
        <v>0</v>
      </c>
    </row>
    <row r="55" spans="1:10" x14ac:dyDescent="0.25">
      <c r="A55" s="7"/>
      <c r="B55" s="40"/>
      <c r="D55" s="42" t="s">
        <v>81</v>
      </c>
      <c r="E55" s="43" t="s">
        <v>137</v>
      </c>
      <c r="F55" s="44"/>
      <c r="G55" s="39"/>
    </row>
    <row r="56" spans="1:10" ht="15.75" thickBot="1" x14ac:dyDescent="0.3">
      <c r="A56" s="7" t="s">
        <v>138</v>
      </c>
      <c r="B56" s="40"/>
      <c r="C56">
        <v>39</v>
      </c>
      <c r="D56" s="42" t="s">
        <v>81</v>
      </c>
      <c r="E56" s="48" t="s">
        <v>139</v>
      </c>
      <c r="F56" s="51">
        <f>C56/C54</f>
        <v>0.84782608695652173</v>
      </c>
      <c r="G56" s="39"/>
    </row>
    <row r="57" spans="1:10" ht="15.75" thickBot="1" x14ac:dyDescent="0.3">
      <c r="A57" s="7" t="s">
        <v>140</v>
      </c>
      <c r="B57" s="40"/>
      <c r="C57">
        <v>7</v>
      </c>
      <c r="D57" s="42"/>
      <c r="E57" s="53" t="s">
        <v>141</v>
      </c>
      <c r="F57" s="56">
        <f>C57/C54</f>
        <v>0.15217391304347827</v>
      </c>
      <c r="G57" s="39"/>
      <c r="H57" s="45" t="s">
        <v>142</v>
      </c>
      <c r="I57" s="46">
        <v>44</v>
      </c>
      <c r="J57" s="47"/>
    </row>
    <row r="58" spans="1:10" ht="15.75" thickBot="1" x14ac:dyDescent="0.3">
      <c r="A58" s="7"/>
      <c r="B58" s="40"/>
      <c r="D58" s="42"/>
      <c r="E58" s="42"/>
      <c r="F58" s="14"/>
      <c r="G58" s="39"/>
      <c r="H58" s="57" t="s">
        <v>143</v>
      </c>
      <c r="I58" s="59">
        <v>35</v>
      </c>
      <c r="J58" s="51">
        <f>I58/I$57</f>
        <v>0.79545454545454541</v>
      </c>
    </row>
    <row r="59" spans="1:10" x14ac:dyDescent="0.25">
      <c r="A59" s="7" t="s">
        <v>144</v>
      </c>
      <c r="B59" s="40"/>
      <c r="D59" s="42"/>
      <c r="E59" s="43" t="s">
        <v>48</v>
      </c>
      <c r="F59" s="44"/>
      <c r="G59" s="39"/>
      <c r="H59" s="57" t="s">
        <v>145</v>
      </c>
      <c r="I59" s="59">
        <v>6</v>
      </c>
      <c r="J59" s="51">
        <f>I59/I$57</f>
        <v>0.13636363636363635</v>
      </c>
    </row>
    <row r="60" spans="1:10" ht="15.75" thickBot="1" x14ac:dyDescent="0.3">
      <c r="A60" s="7" t="s">
        <v>61</v>
      </c>
      <c r="B60" s="40"/>
      <c r="C60">
        <v>1</v>
      </c>
      <c r="D60" s="42"/>
      <c r="E60" s="58" t="s">
        <v>61</v>
      </c>
      <c r="F60" s="51">
        <f>C60/C$69</f>
        <v>8.9285714285714281E-3</v>
      </c>
      <c r="G60" s="39"/>
      <c r="H60" s="22" t="s">
        <v>146</v>
      </c>
      <c r="I60" s="55">
        <v>3</v>
      </c>
      <c r="J60" s="56">
        <f>I60/I$57</f>
        <v>6.8181818181818177E-2</v>
      </c>
    </row>
    <row r="61" spans="1:10" ht="15.75" thickBot="1" x14ac:dyDescent="0.3">
      <c r="A61" s="7" t="s">
        <v>62</v>
      </c>
      <c r="B61" s="40"/>
      <c r="C61">
        <v>31</v>
      </c>
      <c r="D61" s="42"/>
      <c r="E61" s="58" t="s">
        <v>62</v>
      </c>
      <c r="F61" s="51">
        <f t="shared" ref="F61:F68" si="0">C61/C$69</f>
        <v>0.2767857142857143</v>
      </c>
      <c r="G61" s="39"/>
    </row>
    <row r="62" spans="1:10" x14ac:dyDescent="0.25">
      <c r="A62" s="7" t="s">
        <v>63</v>
      </c>
      <c r="B62" s="40"/>
      <c r="C62">
        <v>44</v>
      </c>
      <c r="D62" s="42"/>
      <c r="E62" s="58" t="s">
        <v>63</v>
      </c>
      <c r="F62" s="51">
        <f t="shared" si="0"/>
        <v>0.39285714285714285</v>
      </c>
      <c r="G62" s="42" t="s">
        <v>81</v>
      </c>
      <c r="H62" s="45" t="s">
        <v>147</v>
      </c>
      <c r="I62" s="46">
        <v>20</v>
      </c>
      <c r="J62" s="44">
        <f t="shared" ref="J62:J73" si="1">I62/I$57</f>
        <v>0.45454545454545453</v>
      </c>
    </row>
    <row r="63" spans="1:10" x14ac:dyDescent="0.25">
      <c r="A63" s="7" t="s">
        <v>64</v>
      </c>
      <c r="B63" s="40"/>
      <c r="C63">
        <v>0</v>
      </c>
      <c r="D63" s="42"/>
      <c r="E63" s="58" t="s">
        <v>64</v>
      </c>
      <c r="F63" s="51">
        <f t="shared" si="0"/>
        <v>0</v>
      </c>
      <c r="G63" s="39"/>
      <c r="H63" s="57" t="s">
        <v>148</v>
      </c>
      <c r="I63" s="59">
        <v>3</v>
      </c>
      <c r="J63" s="51">
        <f t="shared" si="1"/>
        <v>6.8181818181818177E-2</v>
      </c>
    </row>
    <row r="64" spans="1:10" x14ac:dyDescent="0.25">
      <c r="A64" s="7" t="s">
        <v>65</v>
      </c>
      <c r="B64" s="40"/>
      <c r="C64">
        <v>10</v>
      </c>
      <c r="D64" s="42"/>
      <c r="E64" s="58" t="s">
        <v>65</v>
      </c>
      <c r="F64" s="51">
        <f t="shared" si="0"/>
        <v>8.9285714285714288E-2</v>
      </c>
      <c r="G64" s="39"/>
      <c r="H64" s="57" t="s">
        <v>149</v>
      </c>
      <c r="I64" s="59">
        <v>2</v>
      </c>
      <c r="J64" s="51">
        <f t="shared" si="1"/>
        <v>4.5454545454545456E-2</v>
      </c>
    </row>
    <row r="65" spans="1:10" x14ac:dyDescent="0.25">
      <c r="A65" s="7" t="s">
        <v>66</v>
      </c>
      <c r="B65" s="40"/>
      <c r="C65">
        <v>3</v>
      </c>
      <c r="D65" s="42"/>
      <c r="E65" s="58" t="s">
        <v>66</v>
      </c>
      <c r="F65" s="51">
        <f t="shared" si="0"/>
        <v>2.6785714285714284E-2</v>
      </c>
      <c r="G65" s="39"/>
      <c r="H65" s="57" t="s">
        <v>150</v>
      </c>
      <c r="I65" s="59">
        <v>4</v>
      </c>
      <c r="J65" s="51">
        <f t="shared" si="1"/>
        <v>9.0909090909090912E-2</v>
      </c>
    </row>
    <row r="66" spans="1:10" x14ac:dyDescent="0.25">
      <c r="A66" s="7" t="s">
        <v>67</v>
      </c>
      <c r="B66" s="40"/>
      <c r="C66">
        <v>11</v>
      </c>
      <c r="D66" s="42"/>
      <c r="E66" s="58" t="s">
        <v>67</v>
      </c>
      <c r="F66" s="51">
        <f t="shared" si="0"/>
        <v>9.8214285714285712E-2</v>
      </c>
      <c r="G66" s="39"/>
      <c r="H66" s="57" t="s">
        <v>151</v>
      </c>
      <c r="I66" s="59">
        <v>3</v>
      </c>
      <c r="J66" s="51">
        <f t="shared" si="1"/>
        <v>6.8181818181818177E-2</v>
      </c>
    </row>
    <row r="67" spans="1:10" x14ac:dyDescent="0.25">
      <c r="A67" s="7" t="s">
        <v>68</v>
      </c>
      <c r="B67" s="40"/>
      <c r="C67">
        <v>1</v>
      </c>
      <c r="D67" s="42"/>
      <c r="E67" s="58" t="s">
        <v>68</v>
      </c>
      <c r="F67" s="51">
        <f t="shared" si="0"/>
        <v>8.9285714285714281E-3</v>
      </c>
      <c r="G67" s="39"/>
      <c r="H67" s="57" t="s">
        <v>152</v>
      </c>
      <c r="I67" s="59">
        <v>11</v>
      </c>
      <c r="J67" s="51">
        <f t="shared" si="1"/>
        <v>0.25</v>
      </c>
    </row>
    <row r="68" spans="1:10" ht="15.75" thickBot="1" x14ac:dyDescent="0.3">
      <c r="A68" s="7" t="s">
        <v>69</v>
      </c>
      <c r="B68" s="40"/>
      <c r="C68">
        <v>11</v>
      </c>
      <c r="D68" s="42"/>
      <c r="E68" s="60" t="s">
        <v>69</v>
      </c>
      <c r="F68" s="56">
        <f t="shared" si="0"/>
        <v>9.8214285714285712E-2</v>
      </c>
      <c r="G68" s="42" t="s">
        <v>81</v>
      </c>
      <c r="H68" s="61" t="s">
        <v>153</v>
      </c>
      <c r="I68" s="59">
        <v>0</v>
      </c>
      <c r="J68" s="51">
        <f t="shared" si="1"/>
        <v>0</v>
      </c>
    </row>
    <row r="69" spans="1:10" ht="15.75" thickBot="1" x14ac:dyDescent="0.3">
      <c r="A69" s="7" t="s">
        <v>154</v>
      </c>
      <c r="B69" s="40"/>
      <c r="C69">
        <f>SUM(C60:C68)</f>
        <v>112</v>
      </c>
      <c r="D69" s="42"/>
      <c r="E69" s="7"/>
      <c r="F69" s="14"/>
      <c r="G69" s="39"/>
      <c r="H69" s="61" t="s">
        <v>155</v>
      </c>
      <c r="I69" s="59">
        <v>1</v>
      </c>
      <c r="J69" s="51">
        <f t="shared" si="1"/>
        <v>2.2727272727272728E-2</v>
      </c>
    </row>
    <row r="70" spans="1:10" x14ac:dyDescent="0.25">
      <c r="A70" s="7"/>
      <c r="B70" s="40"/>
      <c r="D70" s="42"/>
      <c r="E70" s="62" t="s">
        <v>70</v>
      </c>
      <c r="F70" s="44"/>
      <c r="G70" s="39"/>
      <c r="H70" s="61" t="s">
        <v>156</v>
      </c>
      <c r="I70" s="59">
        <v>0</v>
      </c>
      <c r="J70" s="51">
        <f t="shared" si="1"/>
        <v>0</v>
      </c>
    </row>
    <row r="71" spans="1:10" x14ac:dyDescent="0.25">
      <c r="A71" s="7" t="s">
        <v>157</v>
      </c>
      <c r="B71" s="40"/>
      <c r="D71" s="42"/>
      <c r="E71" s="58" t="s">
        <v>71</v>
      </c>
      <c r="F71" s="51">
        <f>C72/C$82</f>
        <v>0.20161290322580644</v>
      </c>
      <c r="G71" s="39"/>
      <c r="H71" s="57" t="s">
        <v>158</v>
      </c>
      <c r="I71" s="59">
        <v>0</v>
      </c>
      <c r="J71" s="51">
        <f t="shared" si="1"/>
        <v>0</v>
      </c>
    </row>
    <row r="72" spans="1:10" x14ac:dyDescent="0.25">
      <c r="A72" s="7" t="s">
        <v>71</v>
      </c>
      <c r="B72" s="40"/>
      <c r="C72">
        <v>25</v>
      </c>
      <c r="D72" s="42"/>
      <c r="E72" s="58" t="s">
        <v>72</v>
      </c>
      <c r="F72" s="51">
        <f t="shared" ref="F72:F80" si="2">C73/C$82</f>
        <v>0.29032258064516131</v>
      </c>
      <c r="G72" s="39"/>
      <c r="H72" s="61" t="s">
        <v>159</v>
      </c>
      <c r="I72" s="59">
        <v>0</v>
      </c>
      <c r="J72" s="51">
        <f t="shared" si="1"/>
        <v>0</v>
      </c>
    </row>
    <row r="73" spans="1:10" ht="15.75" thickBot="1" x14ac:dyDescent="0.3">
      <c r="A73" s="7" t="s">
        <v>72</v>
      </c>
      <c r="B73" s="40"/>
      <c r="C73">
        <v>36</v>
      </c>
      <c r="D73" s="42"/>
      <c r="E73" s="58" t="s">
        <v>73</v>
      </c>
      <c r="F73" s="51">
        <f t="shared" si="2"/>
        <v>0.11290322580645161</v>
      </c>
      <c r="G73" s="39"/>
      <c r="H73" s="63" t="s">
        <v>160</v>
      </c>
      <c r="I73" s="55">
        <v>0</v>
      </c>
      <c r="J73" s="56">
        <f t="shared" si="1"/>
        <v>0</v>
      </c>
    </row>
    <row r="74" spans="1:10" x14ac:dyDescent="0.25">
      <c r="A74" s="7" t="s">
        <v>73</v>
      </c>
      <c r="B74" s="40"/>
      <c r="C74">
        <v>14</v>
      </c>
      <c r="D74" s="42"/>
      <c r="E74" s="58" t="s">
        <v>74</v>
      </c>
      <c r="F74" s="51">
        <f t="shared" si="2"/>
        <v>0.16935483870967741</v>
      </c>
      <c r="G74" s="39"/>
    </row>
    <row r="75" spans="1:10" ht="15.75" thickBot="1" x14ac:dyDescent="0.3">
      <c r="A75" s="7" t="s">
        <v>74</v>
      </c>
      <c r="B75" s="40"/>
      <c r="C75">
        <v>21</v>
      </c>
      <c r="D75" s="42"/>
      <c r="E75" s="58" t="s">
        <v>75</v>
      </c>
      <c r="F75" s="51">
        <f t="shared" si="2"/>
        <v>0.12096774193548387</v>
      </c>
      <c r="G75" s="42" t="s">
        <v>81</v>
      </c>
    </row>
    <row r="76" spans="1:10" x14ac:dyDescent="0.25">
      <c r="A76" s="7" t="s">
        <v>75</v>
      </c>
      <c r="B76" s="40"/>
      <c r="C76">
        <v>15</v>
      </c>
      <c r="D76" s="42"/>
      <c r="E76" s="58" t="s">
        <v>76</v>
      </c>
      <c r="F76" s="51">
        <f t="shared" si="2"/>
        <v>0</v>
      </c>
      <c r="G76" s="39"/>
      <c r="H76" s="45" t="s">
        <v>65</v>
      </c>
      <c r="I76" s="46">
        <v>10</v>
      </c>
      <c r="J76" s="47"/>
    </row>
    <row r="77" spans="1:10" x14ac:dyDescent="0.25">
      <c r="A77" s="7" t="s">
        <v>76</v>
      </c>
      <c r="B77" s="40"/>
      <c r="C77">
        <v>0</v>
      </c>
      <c r="D77" s="42"/>
      <c r="E77" s="58" t="s">
        <v>77</v>
      </c>
      <c r="F77" s="51">
        <f t="shared" si="2"/>
        <v>0</v>
      </c>
      <c r="G77" s="39"/>
      <c r="H77" s="57" t="s">
        <v>161</v>
      </c>
      <c r="I77" s="59">
        <v>3</v>
      </c>
      <c r="J77" s="51">
        <f>I77/I$76</f>
        <v>0.3</v>
      </c>
    </row>
    <row r="78" spans="1:10" ht="15.75" thickBot="1" x14ac:dyDescent="0.3">
      <c r="A78" s="7" t="s">
        <v>77</v>
      </c>
      <c r="B78" s="40"/>
      <c r="C78">
        <v>0</v>
      </c>
      <c r="D78" s="42"/>
      <c r="E78" s="58" t="s">
        <v>78</v>
      </c>
      <c r="F78" s="51">
        <f t="shared" si="2"/>
        <v>0</v>
      </c>
      <c r="G78" s="39"/>
      <c r="H78" s="22" t="s">
        <v>103</v>
      </c>
      <c r="I78" s="55">
        <v>7</v>
      </c>
      <c r="J78" s="56">
        <f>I78/I$76</f>
        <v>0.7</v>
      </c>
    </row>
    <row r="79" spans="1:10" x14ac:dyDescent="0.25">
      <c r="A79" s="7" t="s">
        <v>78</v>
      </c>
      <c r="B79" s="40"/>
      <c r="C79">
        <v>0</v>
      </c>
      <c r="D79" s="42"/>
      <c r="E79" s="58" t="s">
        <v>79</v>
      </c>
      <c r="F79" s="51">
        <f t="shared" si="2"/>
        <v>8.0645161290322578E-3</v>
      </c>
      <c r="G79" s="39"/>
    </row>
    <row r="80" spans="1:10" ht="15.75" thickBot="1" x14ac:dyDescent="0.3">
      <c r="A80" s="7" t="s">
        <v>79</v>
      </c>
      <c r="B80" s="40"/>
      <c r="C80">
        <v>1</v>
      </c>
      <c r="D80" s="42"/>
      <c r="E80" s="60" t="s">
        <v>80</v>
      </c>
      <c r="F80" s="56">
        <f t="shared" si="2"/>
        <v>9.6774193548387094E-2</v>
      </c>
      <c r="G80" s="39"/>
    </row>
    <row r="81" spans="1:10" ht="15.75" thickBot="1" x14ac:dyDescent="0.3">
      <c r="A81" s="7" t="s">
        <v>80</v>
      </c>
      <c r="B81" s="40"/>
      <c r="C81">
        <v>12</v>
      </c>
      <c r="D81" s="42"/>
      <c r="E81" s="7"/>
      <c r="F81" s="14"/>
      <c r="G81" s="39"/>
      <c r="H81" s="45" t="s">
        <v>162</v>
      </c>
      <c r="I81" s="46">
        <v>3</v>
      </c>
      <c r="J81" s="47"/>
    </row>
    <row r="82" spans="1:10" x14ac:dyDescent="0.25">
      <c r="A82" s="7" t="s">
        <v>163</v>
      </c>
      <c r="B82" s="40"/>
      <c r="C82">
        <f>SUM(C72:C81)</f>
        <v>124</v>
      </c>
      <c r="D82" s="42"/>
      <c r="E82" s="62" t="s">
        <v>44</v>
      </c>
      <c r="F82" s="44"/>
      <c r="G82" s="39"/>
      <c r="H82" s="57" t="s">
        <v>164</v>
      </c>
      <c r="I82" s="59">
        <v>0</v>
      </c>
      <c r="J82" s="51">
        <f t="shared" ref="J82:J87" si="3">I82/I$81</f>
        <v>0</v>
      </c>
    </row>
    <row r="83" spans="1:10" x14ac:dyDescent="0.25">
      <c r="A83" s="7"/>
      <c r="B83" s="40"/>
      <c r="D83" s="42"/>
      <c r="E83" s="64" t="s">
        <v>165</v>
      </c>
      <c r="F83" s="51">
        <f>C84/C$54</f>
        <v>0.67391304347826086</v>
      </c>
      <c r="G83" s="39"/>
      <c r="H83" s="57" t="s">
        <v>166</v>
      </c>
      <c r="I83" s="59">
        <v>2</v>
      </c>
      <c r="J83" s="51">
        <f t="shared" si="3"/>
        <v>0.66666666666666663</v>
      </c>
    </row>
    <row r="84" spans="1:10" x14ac:dyDescent="0.25">
      <c r="A84" s="7" t="s">
        <v>167</v>
      </c>
      <c r="B84" s="40"/>
      <c r="C84">
        <v>31</v>
      </c>
      <c r="D84" s="42"/>
      <c r="E84" s="64" t="s">
        <v>168</v>
      </c>
      <c r="F84" s="51">
        <f>C85/C$54</f>
        <v>4.3478260869565216E-2</v>
      </c>
      <c r="G84" s="39"/>
      <c r="H84" s="57" t="s">
        <v>169</v>
      </c>
      <c r="I84" s="59">
        <v>0</v>
      </c>
      <c r="J84" s="51">
        <f t="shared" si="3"/>
        <v>0</v>
      </c>
    </row>
    <row r="85" spans="1:10" ht="15.75" thickBot="1" x14ac:dyDescent="0.3">
      <c r="A85" s="7" t="s">
        <v>170</v>
      </c>
      <c r="B85" s="40"/>
      <c r="C85">
        <v>2</v>
      </c>
      <c r="D85" s="42"/>
      <c r="E85" s="65" t="s">
        <v>171</v>
      </c>
      <c r="F85" s="56">
        <f>C86/C$54</f>
        <v>0.28260869565217389</v>
      </c>
      <c r="G85" s="39"/>
      <c r="H85" s="57" t="s">
        <v>172</v>
      </c>
      <c r="I85" s="59">
        <v>0</v>
      </c>
      <c r="J85" s="51">
        <f t="shared" si="3"/>
        <v>0</v>
      </c>
    </row>
    <row r="86" spans="1:10" ht="15.75" thickBot="1" x14ac:dyDescent="0.3">
      <c r="A86" s="7" t="s">
        <v>173</v>
      </c>
      <c r="B86" s="40"/>
      <c r="C86">
        <v>13</v>
      </c>
      <c r="D86" s="42"/>
      <c r="E86" s="66"/>
      <c r="F86" s="14"/>
      <c r="G86" s="42" t="s">
        <v>81</v>
      </c>
      <c r="H86" s="57" t="s">
        <v>174</v>
      </c>
      <c r="I86" s="59">
        <v>0</v>
      </c>
      <c r="J86" s="51">
        <f t="shared" si="3"/>
        <v>0</v>
      </c>
    </row>
    <row r="87" spans="1:10" ht="15.75" thickBot="1" x14ac:dyDescent="0.3">
      <c r="A87" s="7"/>
      <c r="B87" s="40"/>
      <c r="D87" s="42"/>
      <c r="E87" s="67" t="s">
        <v>137</v>
      </c>
      <c r="F87" s="44"/>
      <c r="G87" s="39"/>
      <c r="H87" s="22" t="s">
        <v>175</v>
      </c>
      <c r="I87" s="55">
        <v>1</v>
      </c>
      <c r="J87" s="56">
        <f t="shared" si="3"/>
        <v>0.33333333333333331</v>
      </c>
    </row>
    <row r="88" spans="1:10" x14ac:dyDescent="0.25">
      <c r="A88" s="7" t="s">
        <v>137</v>
      </c>
      <c r="B88" s="40"/>
      <c r="D88" s="42"/>
      <c r="E88" s="58" t="s">
        <v>176</v>
      </c>
      <c r="F88" s="51">
        <f>C89/C$54</f>
        <v>0.5</v>
      </c>
      <c r="G88" s="39"/>
    </row>
    <row r="89" spans="1:10" ht="15.75" thickBot="1" x14ac:dyDescent="0.3">
      <c r="A89" s="7" t="s">
        <v>177</v>
      </c>
      <c r="B89" s="40"/>
      <c r="C89">
        <v>23</v>
      </c>
      <c r="D89" s="42"/>
      <c r="E89" s="60" t="s">
        <v>178</v>
      </c>
      <c r="F89" s="56">
        <f>C90/C$54</f>
        <v>0.5</v>
      </c>
      <c r="G89" s="39"/>
    </row>
    <row r="90" spans="1:10" ht="15.75" thickBot="1" x14ac:dyDescent="0.3">
      <c r="A90" s="7" t="s">
        <v>178</v>
      </c>
      <c r="B90" s="40"/>
      <c r="C90">
        <v>23</v>
      </c>
      <c r="D90" s="42"/>
      <c r="E90" s="68"/>
      <c r="F90" s="69"/>
      <c r="G90" s="39"/>
      <c r="H90" s="45" t="s">
        <v>67</v>
      </c>
      <c r="I90" s="46">
        <v>11</v>
      </c>
      <c r="J90" s="47"/>
    </row>
    <row r="91" spans="1:10" x14ac:dyDescent="0.25">
      <c r="A91" s="7"/>
      <c r="B91" s="40"/>
      <c r="D91" s="42"/>
      <c r="E91" s="45" t="s">
        <v>179</v>
      </c>
      <c r="F91" s="44"/>
      <c r="G91" s="39"/>
      <c r="H91" s="57" t="s">
        <v>104</v>
      </c>
      <c r="I91" s="59">
        <v>0</v>
      </c>
      <c r="J91" s="51">
        <f>I91/I$90</f>
        <v>0</v>
      </c>
    </row>
    <row r="92" spans="1:10" x14ac:dyDescent="0.25">
      <c r="A92" t="s">
        <v>179</v>
      </c>
      <c r="D92" s="42"/>
      <c r="E92" s="57" t="s">
        <v>180</v>
      </c>
      <c r="F92" s="51">
        <f>C93/C$90</f>
        <v>0.78260869565217395</v>
      </c>
      <c r="G92" s="39"/>
      <c r="H92" s="57" t="s">
        <v>105</v>
      </c>
      <c r="I92" s="59">
        <v>0</v>
      </c>
      <c r="J92" s="51">
        <f>I92/I$90</f>
        <v>0</v>
      </c>
    </row>
    <row r="93" spans="1:10" ht="15.75" thickBot="1" x14ac:dyDescent="0.3">
      <c r="A93" t="s">
        <v>180</v>
      </c>
      <c r="C93">
        <v>18</v>
      </c>
      <c r="D93" s="42"/>
      <c r="E93" s="22" t="s">
        <v>181</v>
      </c>
      <c r="F93" s="56">
        <f>C94/C$90</f>
        <v>0.21739130434782608</v>
      </c>
      <c r="G93" s="39"/>
      <c r="H93" s="57" t="s">
        <v>106</v>
      </c>
      <c r="I93" s="59">
        <v>5</v>
      </c>
      <c r="J93" s="51">
        <f>I93/I$90</f>
        <v>0.45454545454545453</v>
      </c>
    </row>
    <row r="94" spans="1:10" ht="15.75" thickBot="1" x14ac:dyDescent="0.3">
      <c r="A94" t="s">
        <v>181</v>
      </c>
      <c r="C94">
        <v>5</v>
      </c>
      <c r="D94" s="42"/>
      <c r="E94" s="68"/>
      <c r="F94" s="69"/>
      <c r="G94" s="39"/>
      <c r="H94" s="57" t="s">
        <v>107</v>
      </c>
      <c r="I94" s="59">
        <v>2</v>
      </c>
      <c r="J94" s="51">
        <f>I94/I$90</f>
        <v>0.18181818181818182</v>
      </c>
    </row>
    <row r="95" spans="1:10" ht="15.75" thickBot="1" x14ac:dyDescent="0.3">
      <c r="A95" s="7"/>
      <c r="B95" s="40"/>
      <c r="D95" s="42"/>
      <c r="E95" s="62" t="s">
        <v>182</v>
      </c>
      <c r="F95" s="44"/>
      <c r="G95" s="39"/>
      <c r="H95" s="22" t="s">
        <v>108</v>
      </c>
      <c r="I95" s="55">
        <v>4</v>
      </c>
      <c r="J95" s="56">
        <f>I95/I$90</f>
        <v>0.36363636363636365</v>
      </c>
    </row>
    <row r="96" spans="1:10" x14ac:dyDescent="0.25">
      <c r="A96" s="7" t="s">
        <v>183</v>
      </c>
      <c r="B96" s="40"/>
      <c r="D96" s="42"/>
      <c r="E96" s="58" t="s">
        <v>121</v>
      </c>
      <c r="F96" s="51">
        <f t="shared" ref="F96:F101" si="4">C97/C$54</f>
        <v>0.39130434782608697</v>
      </c>
      <c r="G96" s="39"/>
    </row>
    <row r="97" spans="1:10" ht="15.75" thickBot="1" x14ac:dyDescent="0.3">
      <c r="A97" s="7" t="s">
        <v>121</v>
      </c>
      <c r="B97" s="40"/>
      <c r="C97">
        <v>18</v>
      </c>
      <c r="D97" s="42"/>
      <c r="E97" s="48" t="s">
        <v>122</v>
      </c>
      <c r="F97" s="51">
        <f t="shared" si="4"/>
        <v>0</v>
      </c>
      <c r="G97" s="39"/>
    </row>
    <row r="98" spans="1:10" x14ac:dyDescent="0.25">
      <c r="A98" s="7" t="s">
        <v>122</v>
      </c>
      <c r="B98" s="40"/>
      <c r="C98">
        <v>0</v>
      </c>
      <c r="D98" s="42"/>
      <c r="E98" s="48" t="s">
        <v>123</v>
      </c>
      <c r="F98" s="51">
        <f t="shared" si="4"/>
        <v>0</v>
      </c>
      <c r="G98" s="39"/>
      <c r="H98" s="45" t="s">
        <v>69</v>
      </c>
      <c r="I98" s="46">
        <v>11</v>
      </c>
      <c r="J98" s="47"/>
    </row>
    <row r="99" spans="1:10" x14ac:dyDescent="0.25">
      <c r="A99" s="7" t="s">
        <v>123</v>
      </c>
      <c r="B99" s="40"/>
      <c r="C99">
        <v>0</v>
      </c>
      <c r="D99" s="42"/>
      <c r="E99" s="48" t="s">
        <v>124</v>
      </c>
      <c r="F99" s="51">
        <f t="shared" si="4"/>
        <v>0</v>
      </c>
      <c r="G99" s="39"/>
      <c r="H99" s="57" t="s">
        <v>109</v>
      </c>
      <c r="I99" s="50">
        <v>2</v>
      </c>
      <c r="J99" s="51">
        <f>I99/I$98</f>
        <v>0.18181818181818182</v>
      </c>
    </row>
    <row r="100" spans="1:10" x14ac:dyDescent="0.25">
      <c r="A100" s="7" t="s">
        <v>124</v>
      </c>
      <c r="B100" s="40"/>
      <c r="C100">
        <v>0</v>
      </c>
      <c r="D100" s="42"/>
      <c r="E100" s="48" t="s">
        <v>125</v>
      </c>
      <c r="F100" s="51">
        <f t="shared" si="4"/>
        <v>0.5</v>
      </c>
      <c r="G100" s="39"/>
      <c r="H100" s="57" t="s">
        <v>110</v>
      </c>
      <c r="I100" s="50">
        <v>1</v>
      </c>
      <c r="J100" s="51">
        <f t="shared" ref="J100:J108" si="5">I100/I$98</f>
        <v>9.0909090909090912E-2</v>
      </c>
    </row>
    <row r="101" spans="1:10" ht="15.75" thickBot="1" x14ac:dyDescent="0.3">
      <c r="A101" s="7" t="s">
        <v>125</v>
      </c>
      <c r="B101" s="40"/>
      <c r="C101">
        <v>23</v>
      </c>
      <c r="D101" s="42"/>
      <c r="E101" s="53" t="s">
        <v>69</v>
      </c>
      <c r="F101" s="56">
        <f t="shared" si="4"/>
        <v>0.10869565217391304</v>
      </c>
      <c r="G101" s="39"/>
      <c r="H101" s="57" t="s">
        <v>111</v>
      </c>
      <c r="I101" s="59">
        <v>0</v>
      </c>
      <c r="J101" s="51">
        <f t="shared" si="5"/>
        <v>0</v>
      </c>
    </row>
    <row r="102" spans="1:10" ht="15.75" thickBot="1" x14ac:dyDescent="0.3">
      <c r="A102" s="7" t="s">
        <v>69</v>
      </c>
      <c r="B102" s="40"/>
      <c r="C102">
        <v>5</v>
      </c>
      <c r="D102" s="42"/>
      <c r="E102" s="42"/>
      <c r="F102" s="14"/>
      <c r="G102" s="39"/>
      <c r="H102" s="57" t="s">
        <v>112</v>
      </c>
      <c r="I102" s="59">
        <v>0</v>
      </c>
      <c r="J102" s="51">
        <f t="shared" si="5"/>
        <v>0</v>
      </c>
    </row>
    <row r="103" spans="1:10" x14ac:dyDescent="0.25">
      <c r="A103" s="7"/>
      <c r="B103" s="40"/>
      <c r="C103" t="s">
        <v>81</v>
      </c>
      <c r="D103" s="42"/>
      <c r="E103" s="43" t="s">
        <v>184</v>
      </c>
      <c r="F103" s="44"/>
      <c r="G103" s="39"/>
      <c r="H103" s="57" t="s">
        <v>113</v>
      </c>
      <c r="I103" s="50">
        <v>5</v>
      </c>
      <c r="J103" s="51">
        <f t="shared" si="5"/>
        <v>0.45454545454545453</v>
      </c>
    </row>
    <row r="104" spans="1:10" x14ac:dyDescent="0.25">
      <c r="A104" s="7" t="s">
        <v>185</v>
      </c>
      <c r="B104" s="40"/>
      <c r="D104" s="42"/>
      <c r="E104" s="48" t="s">
        <v>186</v>
      </c>
      <c r="F104" s="51">
        <f>C105/C$54</f>
        <v>0.73913043478260865</v>
      </c>
      <c r="G104" s="39"/>
      <c r="H104" s="70" t="s">
        <v>114</v>
      </c>
      <c r="I104" s="59">
        <v>0</v>
      </c>
      <c r="J104" s="51">
        <f t="shared" si="5"/>
        <v>0</v>
      </c>
    </row>
    <row r="105" spans="1:10" x14ac:dyDescent="0.25">
      <c r="A105" s="7" t="s">
        <v>186</v>
      </c>
      <c r="B105" s="40"/>
      <c r="C105">
        <v>34</v>
      </c>
      <c r="D105" s="42"/>
      <c r="E105" s="48" t="s">
        <v>187</v>
      </c>
      <c r="F105" s="51">
        <f>C106/C$54</f>
        <v>0.13043478260869565</v>
      </c>
      <c r="G105" s="39"/>
      <c r="H105" s="70" t="s">
        <v>115</v>
      </c>
      <c r="I105" s="59">
        <v>0</v>
      </c>
      <c r="J105" s="51">
        <f t="shared" si="5"/>
        <v>0</v>
      </c>
    </row>
    <row r="106" spans="1:10" x14ac:dyDescent="0.25">
      <c r="A106" s="7" t="s">
        <v>187</v>
      </c>
      <c r="B106" s="40"/>
      <c r="C106">
        <v>6</v>
      </c>
      <c r="D106" s="42"/>
      <c r="E106" s="48" t="s">
        <v>188</v>
      </c>
      <c r="F106" s="51">
        <f>C107/C$54</f>
        <v>4.3478260869565216E-2</v>
      </c>
      <c r="G106" s="39"/>
      <c r="H106" s="70" t="s">
        <v>116</v>
      </c>
      <c r="I106" s="59">
        <v>1</v>
      </c>
      <c r="J106" s="51">
        <f t="shared" si="5"/>
        <v>9.0909090909090912E-2</v>
      </c>
    </row>
    <row r="107" spans="1:10" x14ac:dyDescent="0.25">
      <c r="A107" s="7" t="s">
        <v>188</v>
      </c>
      <c r="B107" s="40"/>
      <c r="C107">
        <v>2</v>
      </c>
      <c r="D107" s="42"/>
      <c r="E107" s="48" t="s">
        <v>189</v>
      </c>
      <c r="F107" s="51">
        <f>C108/C$54</f>
        <v>8.6956521739130432E-2</v>
      </c>
      <c r="G107" s="39"/>
      <c r="H107" s="70" t="s">
        <v>117</v>
      </c>
      <c r="I107" s="59">
        <v>1</v>
      </c>
      <c r="J107" s="51">
        <f t="shared" si="5"/>
        <v>9.0909090909090912E-2</v>
      </c>
    </row>
    <row r="108" spans="1:10" ht="15.75" thickBot="1" x14ac:dyDescent="0.3">
      <c r="A108" s="7" t="s">
        <v>189</v>
      </c>
      <c r="B108" s="40"/>
      <c r="C108">
        <v>4</v>
      </c>
      <c r="E108" s="53" t="s">
        <v>190</v>
      </c>
      <c r="F108" s="56">
        <f>C109/C$54</f>
        <v>0</v>
      </c>
      <c r="H108" s="71" t="s">
        <v>118</v>
      </c>
      <c r="I108" s="55">
        <v>1</v>
      </c>
      <c r="J108" s="56">
        <f t="shared" si="5"/>
        <v>9.0909090909090912E-2</v>
      </c>
    </row>
    <row r="109" spans="1:10" x14ac:dyDescent="0.25">
      <c r="A109" s="7" t="s">
        <v>190</v>
      </c>
      <c r="B109" s="40"/>
      <c r="C109">
        <v>0</v>
      </c>
      <c r="E109" s="42"/>
      <c r="F109" s="14"/>
    </row>
    <row r="110" spans="1:10" x14ac:dyDescent="0.25">
      <c r="A110" s="7" t="s">
        <v>191</v>
      </c>
      <c r="B110" s="40"/>
      <c r="C110">
        <v>0</v>
      </c>
      <c r="E110" s="42"/>
      <c r="F110" s="14"/>
    </row>
    <row r="111" spans="1:10" x14ac:dyDescent="0.25">
      <c r="A111" s="7"/>
      <c r="B111" s="40"/>
      <c r="E111" s="42"/>
      <c r="F111" s="14"/>
    </row>
    <row r="112" spans="1:10" ht="15.75" thickBot="1" x14ac:dyDescent="0.3"/>
    <row r="113" spans="1:2" x14ac:dyDescent="0.25">
      <c r="A113" s="72" t="s">
        <v>7</v>
      </c>
      <c r="B113" s="91">
        <f>SUM(B114:B117)</f>
        <v>99433.45</v>
      </c>
    </row>
    <row r="114" spans="1:2" x14ac:dyDescent="0.25">
      <c r="A114" s="74" t="s">
        <v>121</v>
      </c>
      <c r="B114" s="75">
        <f>SUM(F8,F11,F13,F18:F20,F22:F23,F26:F27,F31:F33,F36,F38:F39,F45:F46)</f>
        <v>41489.700000000004</v>
      </c>
    </row>
    <row r="115" spans="1:2" x14ac:dyDescent="0.25">
      <c r="A115" s="74" t="s">
        <v>192</v>
      </c>
      <c r="B115" s="75">
        <f>SUM(F4,F9:F10,F12,F14:F17,F21,F24:F25,F28:F30,F34:F35,F37,F40:F44,F47)</f>
        <v>50055.6</v>
      </c>
    </row>
    <row r="116" spans="1:2" x14ac:dyDescent="0.25">
      <c r="A116" s="74" t="s">
        <v>193</v>
      </c>
      <c r="B116" s="75">
        <v>0</v>
      </c>
    </row>
    <row r="117" spans="1:2" x14ac:dyDescent="0.25">
      <c r="A117" s="74" t="s">
        <v>69</v>
      </c>
      <c r="B117" s="76">
        <f>SUM(F2:F3,F5:F7,)</f>
        <v>7888.15</v>
      </c>
    </row>
    <row r="118" spans="1:2" ht="15.75" thickBot="1" x14ac:dyDescent="0.3">
      <c r="A118" s="77"/>
      <c r="B118" s="78"/>
    </row>
  </sheetData>
  <mergeCells count="1">
    <mergeCell ref="A50:F5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15"/>
  <sheetViews>
    <sheetView topLeftCell="A101" workbookViewId="0">
      <selection activeCell="B111" sqref="B111"/>
    </sheetView>
  </sheetViews>
  <sheetFormatPr baseColWidth="10" defaultRowHeight="15" x14ac:dyDescent="0.25"/>
  <cols>
    <col min="2" max="2" width="34.42578125" customWidth="1"/>
    <col min="3" max="3" width="12.85546875" customWidth="1"/>
    <col min="4" max="4" width="4.85546875" customWidth="1"/>
    <col min="5" max="5" width="7.28515625" customWidth="1"/>
    <col min="6" max="6" width="12.7109375" customWidth="1"/>
    <col min="7" max="7" width="45.5703125" customWidth="1"/>
  </cols>
  <sheetData>
    <row r="1" spans="1:8" ht="15" customHeight="1" x14ac:dyDescent="0.25">
      <c r="A1" s="3" t="s">
        <v>2</v>
      </c>
      <c r="B1" s="4" t="s">
        <v>3</v>
      </c>
      <c r="C1" s="4" t="s">
        <v>5</v>
      </c>
      <c r="D1" s="4" t="s">
        <v>22</v>
      </c>
      <c r="E1" s="8" t="s">
        <v>6</v>
      </c>
      <c r="F1" s="5" t="s">
        <v>8</v>
      </c>
      <c r="G1" s="6" t="s">
        <v>9</v>
      </c>
      <c r="H1" s="1" t="s">
        <v>10</v>
      </c>
    </row>
    <row r="2" spans="1:8" x14ac:dyDescent="0.25">
      <c r="A2" s="40">
        <v>45171</v>
      </c>
      <c r="B2" s="89" t="s">
        <v>2015</v>
      </c>
      <c r="C2" s="89" t="s">
        <v>186</v>
      </c>
      <c r="D2" s="89" t="s">
        <v>139</v>
      </c>
      <c r="E2" s="89" t="s">
        <v>197</v>
      </c>
      <c r="F2" s="38">
        <v>1774</v>
      </c>
      <c r="G2" s="89" t="s">
        <v>2018</v>
      </c>
      <c r="H2" s="89" t="s">
        <v>463</v>
      </c>
    </row>
    <row r="3" spans="1:8" x14ac:dyDescent="0.25">
      <c r="A3" s="40">
        <v>45170</v>
      </c>
      <c r="B3" s="89" t="s">
        <v>2019</v>
      </c>
      <c r="C3" s="89" t="s">
        <v>186</v>
      </c>
      <c r="D3" s="89" t="s">
        <v>139</v>
      </c>
      <c r="E3" s="89" t="s">
        <v>197</v>
      </c>
      <c r="F3" s="38">
        <v>1440</v>
      </c>
      <c r="G3" s="89" t="s">
        <v>2022</v>
      </c>
      <c r="H3" s="89" t="s">
        <v>219</v>
      </c>
    </row>
    <row r="4" spans="1:8" s="89" customFormat="1" x14ac:dyDescent="0.25">
      <c r="A4" s="40">
        <v>45173</v>
      </c>
      <c r="B4" s="89" t="s">
        <v>2023</v>
      </c>
      <c r="C4" s="89" t="s">
        <v>186</v>
      </c>
      <c r="D4" s="89" t="s">
        <v>139</v>
      </c>
      <c r="E4" s="89" t="s">
        <v>197</v>
      </c>
      <c r="F4" s="38">
        <v>2784</v>
      </c>
      <c r="G4" s="89" t="s">
        <v>2026</v>
      </c>
      <c r="H4" s="89" t="s">
        <v>2031</v>
      </c>
    </row>
    <row r="5" spans="1:8" s="89" customFormat="1" x14ac:dyDescent="0.25">
      <c r="A5" s="40">
        <v>45175</v>
      </c>
      <c r="B5" s="89" t="s">
        <v>687</v>
      </c>
      <c r="C5" s="89" t="s">
        <v>186</v>
      </c>
      <c r="D5" s="89" t="s">
        <v>139</v>
      </c>
      <c r="E5" s="89" t="s">
        <v>192</v>
      </c>
      <c r="F5" s="38">
        <v>1171</v>
      </c>
      <c r="G5" s="89" t="s">
        <v>2037</v>
      </c>
      <c r="H5" s="89" t="s">
        <v>219</v>
      </c>
    </row>
    <row r="6" spans="1:8" s="89" customFormat="1" x14ac:dyDescent="0.25">
      <c r="A6" s="40">
        <v>45176</v>
      </c>
      <c r="B6" s="89" t="s">
        <v>318</v>
      </c>
      <c r="C6" s="89" t="s">
        <v>186</v>
      </c>
      <c r="D6" s="89" t="s">
        <v>139</v>
      </c>
      <c r="E6" s="89" t="s">
        <v>192</v>
      </c>
      <c r="F6" s="38">
        <v>4384.25</v>
      </c>
      <c r="G6" s="89" t="s">
        <v>2038</v>
      </c>
      <c r="H6" s="89" t="s">
        <v>2039</v>
      </c>
    </row>
    <row r="7" spans="1:8" s="89" customFormat="1" x14ac:dyDescent="0.25">
      <c r="A7" s="40">
        <v>45177</v>
      </c>
      <c r="B7" s="89" t="s">
        <v>2040</v>
      </c>
      <c r="C7" s="89" t="s">
        <v>186</v>
      </c>
      <c r="D7" s="89" t="s">
        <v>141</v>
      </c>
      <c r="E7" s="89" t="s">
        <v>197</v>
      </c>
      <c r="F7" s="38">
        <v>1234.24</v>
      </c>
      <c r="G7" s="89" t="s">
        <v>2042</v>
      </c>
      <c r="H7" s="89" t="s">
        <v>2043</v>
      </c>
    </row>
    <row r="8" spans="1:8" s="89" customFormat="1" x14ac:dyDescent="0.25">
      <c r="A8" s="40">
        <v>45180</v>
      </c>
      <c r="B8" s="89" t="s">
        <v>2044</v>
      </c>
      <c r="C8" s="89" t="s">
        <v>186</v>
      </c>
      <c r="D8" s="89" t="s">
        <v>139</v>
      </c>
      <c r="E8" s="89" t="s">
        <v>197</v>
      </c>
      <c r="F8" s="38">
        <v>960</v>
      </c>
      <c r="G8" s="89" t="s">
        <v>526</v>
      </c>
      <c r="H8" s="89" t="s">
        <v>733</v>
      </c>
    </row>
    <row r="9" spans="1:8" s="89" customFormat="1" x14ac:dyDescent="0.25">
      <c r="A9" s="40">
        <v>45180</v>
      </c>
      <c r="B9" s="89" t="s">
        <v>2048</v>
      </c>
      <c r="C9" s="89" t="s">
        <v>409</v>
      </c>
      <c r="D9" s="89" t="s">
        <v>139</v>
      </c>
      <c r="E9" s="89" t="s">
        <v>192</v>
      </c>
      <c r="F9" s="38">
        <v>960</v>
      </c>
      <c r="G9" s="89" t="s">
        <v>526</v>
      </c>
      <c r="H9" s="89" t="s">
        <v>733</v>
      </c>
    </row>
    <row r="10" spans="1:8" s="89" customFormat="1" x14ac:dyDescent="0.25">
      <c r="A10" s="40">
        <v>45180</v>
      </c>
      <c r="B10" s="89" t="s">
        <v>2050</v>
      </c>
      <c r="C10" s="89" t="s">
        <v>409</v>
      </c>
      <c r="D10" s="89" t="s">
        <v>139</v>
      </c>
      <c r="E10" s="89" t="s">
        <v>197</v>
      </c>
      <c r="F10" s="38">
        <v>1037</v>
      </c>
      <c r="G10" s="89" t="s">
        <v>2053</v>
      </c>
      <c r="H10" s="89" t="s">
        <v>348</v>
      </c>
    </row>
    <row r="11" spans="1:8" s="89" customFormat="1" x14ac:dyDescent="0.25">
      <c r="A11" s="40">
        <v>45170</v>
      </c>
      <c r="B11" s="89" t="s">
        <v>2054</v>
      </c>
      <c r="C11" s="89" t="s">
        <v>186</v>
      </c>
      <c r="D11" s="89" t="s">
        <v>139</v>
      </c>
      <c r="E11" s="89" t="s">
        <v>197</v>
      </c>
      <c r="F11" s="38">
        <v>895</v>
      </c>
      <c r="G11" s="89" t="s">
        <v>371</v>
      </c>
      <c r="H11" s="89" t="s">
        <v>2057</v>
      </c>
    </row>
    <row r="12" spans="1:8" s="89" customFormat="1" x14ac:dyDescent="0.25">
      <c r="A12" s="40">
        <v>45171</v>
      </c>
      <c r="B12" s="89" t="s">
        <v>583</v>
      </c>
      <c r="C12" s="89" t="s">
        <v>186</v>
      </c>
      <c r="D12" s="89" t="s">
        <v>139</v>
      </c>
      <c r="E12" s="89" t="s">
        <v>192</v>
      </c>
      <c r="F12" s="38">
        <v>1524</v>
      </c>
      <c r="G12" s="89" t="s">
        <v>437</v>
      </c>
      <c r="H12" s="89" t="s">
        <v>1633</v>
      </c>
    </row>
    <row r="13" spans="1:8" s="89" customFormat="1" x14ac:dyDescent="0.25">
      <c r="A13" s="40">
        <v>45173</v>
      </c>
      <c r="B13" s="89" t="s">
        <v>2059</v>
      </c>
      <c r="C13" s="89" t="s">
        <v>186</v>
      </c>
      <c r="D13" s="89" t="s">
        <v>139</v>
      </c>
      <c r="E13" s="89" t="s">
        <v>192</v>
      </c>
      <c r="F13" s="38">
        <v>652.32000000000005</v>
      </c>
      <c r="G13" s="89" t="s">
        <v>2062</v>
      </c>
      <c r="H13" s="89" t="s">
        <v>2063</v>
      </c>
    </row>
    <row r="14" spans="1:8" s="89" customFormat="1" x14ac:dyDescent="0.25">
      <c r="A14" s="40">
        <v>45177</v>
      </c>
      <c r="B14" s="89" t="s">
        <v>2064</v>
      </c>
      <c r="C14" s="89" t="s">
        <v>186</v>
      </c>
      <c r="D14" s="89" t="s">
        <v>139</v>
      </c>
      <c r="E14" s="89" t="s">
        <v>197</v>
      </c>
      <c r="F14" s="38">
        <v>974</v>
      </c>
      <c r="G14" s="89" t="s">
        <v>2067</v>
      </c>
      <c r="H14" s="89" t="s">
        <v>349</v>
      </c>
    </row>
    <row r="15" spans="1:8" s="89" customFormat="1" x14ac:dyDescent="0.25">
      <c r="A15" s="40">
        <v>45181</v>
      </c>
      <c r="B15" s="89" t="s">
        <v>2068</v>
      </c>
      <c r="C15" s="89" t="s">
        <v>625</v>
      </c>
      <c r="D15" s="89" t="s">
        <v>139</v>
      </c>
      <c r="E15" s="89" t="s">
        <v>197</v>
      </c>
      <c r="F15" s="38">
        <v>1300</v>
      </c>
      <c r="G15" s="89" t="s">
        <v>2071</v>
      </c>
      <c r="H15" s="89" t="s">
        <v>219</v>
      </c>
    </row>
    <row r="16" spans="1:8" s="89" customFormat="1" x14ac:dyDescent="0.25">
      <c r="A16" s="40">
        <v>45170</v>
      </c>
      <c r="B16" s="89" t="s">
        <v>2072</v>
      </c>
      <c r="C16" s="89" t="s">
        <v>186</v>
      </c>
      <c r="D16" s="89" t="s">
        <v>139</v>
      </c>
      <c r="E16" s="89" t="s">
        <v>192</v>
      </c>
      <c r="F16" s="38">
        <v>2260.9899999999998</v>
      </c>
      <c r="G16" s="89" t="s">
        <v>2075</v>
      </c>
      <c r="H16" s="89" t="s">
        <v>219</v>
      </c>
    </row>
    <row r="17" spans="1:8" s="89" customFormat="1" x14ac:dyDescent="0.25">
      <c r="A17" s="40">
        <v>45170</v>
      </c>
      <c r="B17" s="89" t="s">
        <v>2076</v>
      </c>
      <c r="C17" s="89" t="s">
        <v>186</v>
      </c>
      <c r="D17" s="89" t="s">
        <v>139</v>
      </c>
      <c r="E17" s="89" t="s">
        <v>197</v>
      </c>
      <c r="F17" s="38">
        <v>2072</v>
      </c>
      <c r="G17" s="89" t="s">
        <v>2079</v>
      </c>
      <c r="H17" s="89" t="s">
        <v>348</v>
      </c>
    </row>
    <row r="18" spans="1:8" s="89" customFormat="1" x14ac:dyDescent="0.25">
      <c r="A18" s="40">
        <v>45182</v>
      </c>
      <c r="B18" s="89" t="s">
        <v>2080</v>
      </c>
      <c r="C18" s="89" t="s">
        <v>186</v>
      </c>
      <c r="D18" s="89" t="s">
        <v>139</v>
      </c>
      <c r="E18" s="89" t="s">
        <v>193</v>
      </c>
      <c r="F18" s="38">
        <v>5689</v>
      </c>
      <c r="G18" s="89" t="s">
        <v>2083</v>
      </c>
      <c r="H18" s="89" t="s">
        <v>219</v>
      </c>
    </row>
    <row r="19" spans="1:8" s="89" customFormat="1" x14ac:dyDescent="0.25">
      <c r="A19" s="40">
        <v>45184</v>
      </c>
      <c r="B19" s="89" t="s">
        <v>2101</v>
      </c>
      <c r="C19" s="89" t="s">
        <v>186</v>
      </c>
      <c r="D19" s="89" t="s">
        <v>139</v>
      </c>
      <c r="E19" s="89" t="s">
        <v>197</v>
      </c>
      <c r="F19" s="38">
        <v>1169</v>
      </c>
      <c r="G19" s="89" t="s">
        <v>2104</v>
      </c>
      <c r="H19" s="89" t="s">
        <v>348</v>
      </c>
    </row>
    <row r="20" spans="1:8" s="89" customFormat="1" x14ac:dyDescent="0.25">
      <c r="A20" s="40">
        <v>45178</v>
      </c>
      <c r="B20" s="89" t="s">
        <v>2105</v>
      </c>
      <c r="C20" s="89" t="s">
        <v>186</v>
      </c>
      <c r="D20" s="89" t="s">
        <v>141</v>
      </c>
      <c r="E20" s="89" t="s">
        <v>197</v>
      </c>
      <c r="F20" s="38">
        <v>17350.2</v>
      </c>
      <c r="G20" s="89" t="s">
        <v>2108</v>
      </c>
      <c r="H20" s="89" t="s">
        <v>2109</v>
      </c>
    </row>
    <row r="21" spans="1:8" s="89" customFormat="1" x14ac:dyDescent="0.25">
      <c r="A21" s="40">
        <v>45189</v>
      </c>
      <c r="B21" s="89" t="s">
        <v>2110</v>
      </c>
      <c r="C21" s="89" t="s">
        <v>186</v>
      </c>
      <c r="D21" s="89" t="s">
        <v>139</v>
      </c>
      <c r="E21" s="89" t="s">
        <v>197</v>
      </c>
      <c r="F21" s="38">
        <v>975</v>
      </c>
      <c r="G21" s="89" t="s">
        <v>2113</v>
      </c>
      <c r="H21" s="89" t="s">
        <v>545</v>
      </c>
    </row>
    <row r="22" spans="1:8" s="89" customFormat="1" x14ac:dyDescent="0.25">
      <c r="A22" s="40">
        <v>45189</v>
      </c>
      <c r="B22" s="89" t="s">
        <v>2114</v>
      </c>
      <c r="C22" s="89" t="s">
        <v>186</v>
      </c>
      <c r="D22" s="89" t="s">
        <v>139</v>
      </c>
      <c r="E22" s="89" t="s">
        <v>197</v>
      </c>
      <c r="F22" s="38">
        <v>1583</v>
      </c>
      <c r="G22" s="89" t="s">
        <v>2117</v>
      </c>
      <c r="H22" s="89" t="s">
        <v>219</v>
      </c>
    </row>
    <row r="23" spans="1:8" s="89" customFormat="1" x14ac:dyDescent="0.25">
      <c r="A23" s="40">
        <v>45191</v>
      </c>
      <c r="B23" s="89" t="s">
        <v>2118</v>
      </c>
      <c r="C23" s="89" t="s">
        <v>409</v>
      </c>
      <c r="D23" s="89" t="s">
        <v>139</v>
      </c>
      <c r="E23" s="89" t="s">
        <v>197</v>
      </c>
      <c r="F23" s="38">
        <v>1150</v>
      </c>
      <c r="G23" s="89" t="s">
        <v>2121</v>
      </c>
      <c r="H23" s="89" t="s">
        <v>733</v>
      </c>
    </row>
    <row r="24" spans="1:8" s="89" customFormat="1" x14ac:dyDescent="0.25">
      <c r="A24" s="40">
        <v>45191</v>
      </c>
      <c r="B24" s="89" t="s">
        <v>2126</v>
      </c>
      <c r="C24" s="89" t="s">
        <v>186</v>
      </c>
      <c r="D24" s="89" t="s">
        <v>139</v>
      </c>
      <c r="E24" s="89" t="s">
        <v>197</v>
      </c>
      <c r="F24" s="38">
        <v>2238</v>
      </c>
      <c r="G24" s="89" t="s">
        <v>2129</v>
      </c>
      <c r="H24" s="89" t="s">
        <v>2131</v>
      </c>
    </row>
    <row r="25" spans="1:8" x14ac:dyDescent="0.25">
      <c r="A25" s="40">
        <v>45195</v>
      </c>
      <c r="B25" s="89" t="s">
        <v>1924</v>
      </c>
      <c r="C25" s="89" t="s">
        <v>186</v>
      </c>
      <c r="D25" s="89" t="s">
        <v>139</v>
      </c>
      <c r="E25" s="89" t="s">
        <v>192</v>
      </c>
      <c r="F25" s="38">
        <v>1836</v>
      </c>
      <c r="G25" s="89" t="s">
        <v>615</v>
      </c>
      <c r="H25" s="89" t="s">
        <v>2135</v>
      </c>
    </row>
    <row r="26" spans="1:8" x14ac:dyDescent="0.25">
      <c r="A26" s="40">
        <v>45196</v>
      </c>
      <c r="B26" s="89" t="s">
        <v>2132</v>
      </c>
      <c r="C26" s="89" t="s">
        <v>186</v>
      </c>
      <c r="D26" t="s">
        <v>141</v>
      </c>
      <c r="E26" s="89" t="s">
        <v>192</v>
      </c>
      <c r="F26" s="38">
        <v>16676.8</v>
      </c>
      <c r="G26" s="89" t="s">
        <v>2134</v>
      </c>
      <c r="H26" s="89" t="s">
        <v>582</v>
      </c>
    </row>
    <row r="27" spans="1:8" x14ac:dyDescent="0.25">
      <c r="A27" s="40">
        <v>45173</v>
      </c>
      <c r="B27" s="89" t="s">
        <v>2144</v>
      </c>
      <c r="C27" t="s">
        <v>409</v>
      </c>
      <c r="D27" t="s">
        <v>139</v>
      </c>
      <c r="E27" s="89" t="s">
        <v>197</v>
      </c>
      <c r="F27" s="38">
        <v>1175</v>
      </c>
      <c r="G27" s="89" t="s">
        <v>2147</v>
      </c>
      <c r="H27" s="89" t="s">
        <v>2148</v>
      </c>
    </row>
    <row r="28" spans="1:8" x14ac:dyDescent="0.25">
      <c r="A28" s="40">
        <v>45174</v>
      </c>
      <c r="B28" s="89" t="s">
        <v>2150</v>
      </c>
      <c r="C28" t="s">
        <v>186</v>
      </c>
      <c r="D28" t="s">
        <v>139</v>
      </c>
      <c r="E28" s="89" t="s">
        <v>197</v>
      </c>
      <c r="F28" s="38">
        <v>1016</v>
      </c>
      <c r="G28" s="89" t="s">
        <v>2062</v>
      </c>
      <c r="H28" s="89" t="s">
        <v>219</v>
      </c>
    </row>
    <row r="29" spans="1:8" x14ac:dyDescent="0.25">
      <c r="A29" s="40">
        <v>45183</v>
      </c>
      <c r="B29" s="89" t="s">
        <v>2153</v>
      </c>
      <c r="C29" t="s">
        <v>186</v>
      </c>
      <c r="D29" t="s">
        <v>141</v>
      </c>
      <c r="E29" s="89" t="s">
        <v>192</v>
      </c>
      <c r="F29" s="38">
        <v>7602.13</v>
      </c>
      <c r="G29" s="89" t="s">
        <v>2155</v>
      </c>
      <c r="H29" s="89" t="s">
        <v>348</v>
      </c>
    </row>
    <row r="30" spans="1:8" x14ac:dyDescent="0.25">
      <c r="A30" s="40">
        <v>45190</v>
      </c>
      <c r="B30" s="89" t="s">
        <v>2156</v>
      </c>
      <c r="C30" t="s">
        <v>186</v>
      </c>
      <c r="D30" t="s">
        <v>141</v>
      </c>
      <c r="E30" s="89" t="s">
        <v>197</v>
      </c>
      <c r="F30" s="38">
        <v>3409.34</v>
      </c>
      <c r="G30" s="89" t="s">
        <v>2159</v>
      </c>
      <c r="H30" s="89" t="s">
        <v>219</v>
      </c>
    </row>
    <row r="31" spans="1:8" x14ac:dyDescent="0.25">
      <c r="A31" s="40">
        <v>45190</v>
      </c>
      <c r="B31" s="89" t="s">
        <v>2160</v>
      </c>
      <c r="C31" t="s">
        <v>186</v>
      </c>
      <c r="D31" t="s">
        <v>139</v>
      </c>
      <c r="E31" s="89" t="s">
        <v>193</v>
      </c>
      <c r="F31" s="38">
        <v>333.04</v>
      </c>
      <c r="G31" s="89" t="s">
        <v>2163</v>
      </c>
      <c r="H31" s="89" t="s">
        <v>219</v>
      </c>
    </row>
    <row r="32" spans="1:8" x14ac:dyDescent="0.25">
      <c r="A32" s="40">
        <v>45198</v>
      </c>
      <c r="B32" s="89" t="s">
        <v>2164</v>
      </c>
      <c r="C32" t="s">
        <v>408</v>
      </c>
      <c r="D32" t="s">
        <v>139</v>
      </c>
      <c r="E32" s="89" t="s">
        <v>197</v>
      </c>
      <c r="F32" s="38">
        <v>1656</v>
      </c>
      <c r="G32" s="89" t="s">
        <v>2167</v>
      </c>
      <c r="H32" s="89" t="s">
        <v>2168</v>
      </c>
    </row>
    <row r="33" spans="1:10" x14ac:dyDescent="0.25">
      <c r="A33" s="40">
        <v>45192</v>
      </c>
      <c r="B33" s="89" t="s">
        <v>2153</v>
      </c>
      <c r="C33" t="s">
        <v>186</v>
      </c>
      <c r="D33" t="s">
        <v>141</v>
      </c>
      <c r="E33" s="89" t="s">
        <v>192</v>
      </c>
      <c r="F33" s="38">
        <v>10994.05</v>
      </c>
      <c r="G33" s="89" t="s">
        <v>309</v>
      </c>
      <c r="H33" s="89" t="s">
        <v>348</v>
      </c>
    </row>
    <row r="34" spans="1:10" x14ac:dyDescent="0.25">
      <c r="A34" s="40">
        <v>45188</v>
      </c>
      <c r="B34" s="89" t="s">
        <v>2182</v>
      </c>
      <c r="C34" t="s">
        <v>186</v>
      </c>
      <c r="D34" t="s">
        <v>139</v>
      </c>
      <c r="E34" t="s">
        <v>192</v>
      </c>
      <c r="F34" s="38">
        <v>13821.06</v>
      </c>
      <c r="G34" s="89" t="s">
        <v>2185</v>
      </c>
      <c r="H34" s="89" t="s">
        <v>348</v>
      </c>
    </row>
    <row r="35" spans="1:10" s="89" customFormat="1" x14ac:dyDescent="0.25">
      <c r="A35" s="40">
        <v>45190</v>
      </c>
      <c r="B35" s="89" t="s">
        <v>2204</v>
      </c>
      <c r="C35" s="89" t="s">
        <v>186</v>
      </c>
      <c r="D35" s="89" t="s">
        <v>139</v>
      </c>
      <c r="E35" s="89" t="s">
        <v>197</v>
      </c>
      <c r="F35" s="38">
        <v>3022</v>
      </c>
      <c r="G35" s="89" t="s">
        <v>2261</v>
      </c>
      <c r="H35" s="89" t="s">
        <v>2262</v>
      </c>
    </row>
    <row r="36" spans="1:10" s="89" customFormat="1" x14ac:dyDescent="0.25">
      <c r="A36" s="40">
        <v>45195</v>
      </c>
      <c r="B36" s="89" t="s">
        <v>2263</v>
      </c>
      <c r="C36" s="89" t="s">
        <v>625</v>
      </c>
      <c r="D36" s="89" t="s">
        <v>139</v>
      </c>
      <c r="E36" s="89" t="s">
        <v>197</v>
      </c>
      <c r="F36" s="38">
        <v>1230</v>
      </c>
      <c r="G36" s="89" t="s">
        <v>371</v>
      </c>
      <c r="H36" s="89" t="s">
        <v>2264</v>
      </c>
    </row>
    <row r="37" spans="1:10" s="89" customFormat="1" x14ac:dyDescent="0.25">
      <c r="A37" s="40">
        <v>45195</v>
      </c>
      <c r="B37" s="89" t="s">
        <v>2214</v>
      </c>
      <c r="C37" s="89" t="s">
        <v>409</v>
      </c>
      <c r="D37" s="89" t="s">
        <v>139</v>
      </c>
      <c r="E37" s="89" t="s">
        <v>197</v>
      </c>
      <c r="F37" s="38">
        <v>1648</v>
      </c>
      <c r="G37" s="89" t="s">
        <v>2265</v>
      </c>
      <c r="H37" s="89" t="s">
        <v>2266</v>
      </c>
    </row>
    <row r="38" spans="1:10" s="89" customFormat="1" x14ac:dyDescent="0.25">
      <c r="A38" s="40">
        <v>45197</v>
      </c>
      <c r="B38" s="89" t="s">
        <v>2218</v>
      </c>
      <c r="C38" s="89" t="s">
        <v>186</v>
      </c>
      <c r="D38" s="89" t="s">
        <v>139</v>
      </c>
      <c r="E38" s="89" t="s">
        <v>197</v>
      </c>
      <c r="F38" s="38">
        <v>2519.9</v>
      </c>
      <c r="G38" s="89" t="s">
        <v>2267</v>
      </c>
      <c r="H38" s="89" t="s">
        <v>2268</v>
      </c>
    </row>
    <row r="39" spans="1:10" x14ac:dyDescent="0.25">
      <c r="A39" s="40">
        <v>45181</v>
      </c>
      <c r="B39" s="89" t="s">
        <v>1877</v>
      </c>
      <c r="C39" t="s">
        <v>186</v>
      </c>
      <c r="D39" t="s">
        <v>139</v>
      </c>
      <c r="E39" t="s">
        <v>192</v>
      </c>
      <c r="F39" s="38">
        <v>1932</v>
      </c>
      <c r="G39" s="89" t="s">
        <v>2227</v>
      </c>
      <c r="H39" s="89" t="s">
        <v>348</v>
      </c>
    </row>
    <row r="40" spans="1:10" x14ac:dyDescent="0.25">
      <c r="A40" s="40">
        <v>45199</v>
      </c>
      <c r="B40" s="89" t="s">
        <v>2230</v>
      </c>
      <c r="C40" t="s">
        <v>408</v>
      </c>
      <c r="D40" t="s">
        <v>139</v>
      </c>
      <c r="E40" t="s">
        <v>193</v>
      </c>
      <c r="F40" s="38">
        <v>1781.86</v>
      </c>
      <c r="G40" s="89" t="s">
        <v>2233</v>
      </c>
      <c r="H40" s="89" t="s">
        <v>733</v>
      </c>
    </row>
    <row r="41" spans="1:10" x14ac:dyDescent="0.25">
      <c r="A41" s="40">
        <v>45187</v>
      </c>
      <c r="B41" s="89" t="s">
        <v>2249</v>
      </c>
      <c r="C41" t="s">
        <v>408</v>
      </c>
      <c r="D41" t="s">
        <v>139</v>
      </c>
      <c r="E41" t="s">
        <v>193</v>
      </c>
      <c r="F41" s="38">
        <v>2648</v>
      </c>
      <c r="G41" s="89" t="s">
        <v>2252</v>
      </c>
      <c r="H41" s="89" t="s">
        <v>2452</v>
      </c>
    </row>
    <row r="42" spans="1:10" x14ac:dyDescent="0.25">
      <c r="A42" s="40">
        <v>45189</v>
      </c>
      <c r="B42" s="89" t="s">
        <v>2253</v>
      </c>
      <c r="C42" t="s">
        <v>186</v>
      </c>
      <c r="D42" t="s">
        <v>139</v>
      </c>
      <c r="E42" t="s">
        <v>192</v>
      </c>
      <c r="F42" s="38">
        <v>1728.52</v>
      </c>
      <c r="G42" s="89" t="s">
        <v>2256</v>
      </c>
      <c r="H42" s="89" t="s">
        <v>219</v>
      </c>
    </row>
    <row r="43" spans="1:10" x14ac:dyDescent="0.25">
      <c r="A43" s="40">
        <v>45197</v>
      </c>
      <c r="B43" s="89" t="s">
        <v>2353</v>
      </c>
      <c r="C43" t="s">
        <v>186</v>
      </c>
      <c r="D43" t="s">
        <v>139</v>
      </c>
      <c r="E43" t="s">
        <v>197</v>
      </c>
      <c r="F43" s="38">
        <v>2257</v>
      </c>
      <c r="G43" t="s">
        <v>2356</v>
      </c>
      <c r="H43" t="s">
        <v>2364</v>
      </c>
    </row>
    <row r="44" spans="1:10" x14ac:dyDescent="0.25">
      <c r="A44" s="40">
        <v>45181</v>
      </c>
      <c r="B44" t="s">
        <v>2391</v>
      </c>
      <c r="C44" t="s">
        <v>186</v>
      </c>
      <c r="D44" t="s">
        <v>139</v>
      </c>
      <c r="E44" t="s">
        <v>197</v>
      </c>
      <c r="F44" s="38">
        <v>1091.4000000000001</v>
      </c>
      <c r="G44" t="s">
        <v>514</v>
      </c>
      <c r="H44" t="s">
        <v>2453</v>
      </c>
    </row>
    <row r="47" spans="1:10" ht="15.75" thickBot="1" x14ac:dyDescent="0.3">
      <c r="A47" s="99" t="s">
        <v>130</v>
      </c>
      <c r="B47" s="99"/>
      <c r="C47" s="99"/>
      <c r="D47" s="99"/>
      <c r="E47" s="99"/>
      <c r="F47" s="99"/>
      <c r="G47" s="39"/>
    </row>
    <row r="48" spans="1:10" x14ac:dyDescent="0.25">
      <c r="A48" s="7" t="s">
        <v>131</v>
      </c>
      <c r="B48" s="40"/>
      <c r="C48" s="41">
        <f>SUM(F2:F45,C49)</f>
        <v>139679.70000000001</v>
      </c>
      <c r="D48" s="42"/>
      <c r="E48" s="43" t="s">
        <v>132</v>
      </c>
      <c r="F48" s="44"/>
      <c r="G48" s="39"/>
      <c r="H48" s="45" t="s">
        <v>62</v>
      </c>
      <c r="I48" s="46">
        <v>51</v>
      </c>
      <c r="J48" s="47"/>
    </row>
    <row r="49" spans="1:10" x14ac:dyDescent="0.25">
      <c r="A49" s="7"/>
      <c r="B49" s="40"/>
      <c r="C49" s="95">
        <v>5724.6</v>
      </c>
      <c r="D49" s="42"/>
      <c r="E49" s="48" t="s">
        <v>133</v>
      </c>
      <c r="F49" s="49">
        <v>139679.70000000001</v>
      </c>
      <c r="G49" s="39"/>
      <c r="H49" s="48" t="s">
        <v>99</v>
      </c>
      <c r="I49" s="50">
        <v>11</v>
      </c>
      <c r="J49" s="51">
        <f>I49/I$48</f>
        <v>0.21568627450980393</v>
      </c>
    </row>
    <row r="50" spans="1:10" ht="15.75" thickBot="1" x14ac:dyDescent="0.3">
      <c r="A50" s="7" t="s">
        <v>134</v>
      </c>
      <c r="B50" s="40"/>
      <c r="C50" s="52">
        <v>25</v>
      </c>
      <c r="D50" s="42"/>
      <c r="E50" s="53" t="s">
        <v>135</v>
      </c>
      <c r="F50" s="54">
        <f>C48/C50</f>
        <v>5587.1880000000001</v>
      </c>
      <c r="G50" s="39"/>
      <c r="H50" s="48" t="s">
        <v>100</v>
      </c>
      <c r="I50" s="50">
        <v>40</v>
      </c>
      <c r="J50" s="51">
        <f>I50/I$48</f>
        <v>0.78431372549019607</v>
      </c>
    </row>
    <row r="51" spans="1:10" ht="15.75" thickBot="1" x14ac:dyDescent="0.3">
      <c r="A51" s="7" t="s">
        <v>136</v>
      </c>
      <c r="B51" s="40"/>
      <c r="C51">
        <v>43</v>
      </c>
      <c r="D51" s="42"/>
      <c r="E51" s="42"/>
      <c r="F51" s="14"/>
      <c r="G51" s="39"/>
      <c r="H51" s="53" t="s">
        <v>101</v>
      </c>
      <c r="I51" s="55">
        <v>0</v>
      </c>
      <c r="J51" s="56">
        <f>I51/I$48</f>
        <v>0</v>
      </c>
    </row>
    <row r="52" spans="1:10" x14ac:dyDescent="0.25">
      <c r="A52" s="7"/>
      <c r="B52" s="40"/>
      <c r="D52" s="42" t="s">
        <v>81</v>
      </c>
      <c r="E52" s="43" t="s">
        <v>137</v>
      </c>
      <c r="F52" s="44"/>
      <c r="G52" s="39"/>
    </row>
    <row r="53" spans="1:10" ht="15.75" thickBot="1" x14ac:dyDescent="0.3">
      <c r="A53" s="7" t="s">
        <v>138</v>
      </c>
      <c r="B53" s="40"/>
      <c r="C53">
        <v>37</v>
      </c>
      <c r="D53" s="42" t="s">
        <v>81</v>
      </c>
      <c r="E53" s="48" t="s">
        <v>139</v>
      </c>
      <c r="F53" s="51">
        <f>C53/C$51</f>
        <v>0.86046511627906974</v>
      </c>
      <c r="G53" s="39"/>
    </row>
    <row r="54" spans="1:10" ht="15.75" thickBot="1" x14ac:dyDescent="0.3">
      <c r="A54" s="7" t="s">
        <v>140</v>
      </c>
      <c r="B54" s="40"/>
      <c r="C54">
        <v>6</v>
      </c>
      <c r="D54" s="42"/>
      <c r="E54" s="53" t="s">
        <v>141</v>
      </c>
      <c r="F54" s="56">
        <f>C54/C$51</f>
        <v>0.13953488372093023</v>
      </c>
      <c r="G54" s="39"/>
      <c r="H54" s="45" t="s">
        <v>142</v>
      </c>
      <c r="I54" s="46">
        <v>22</v>
      </c>
      <c r="J54" s="47"/>
    </row>
    <row r="55" spans="1:10" ht="15.75" thickBot="1" x14ac:dyDescent="0.3">
      <c r="A55" s="7"/>
      <c r="B55" s="40"/>
      <c r="D55" s="42"/>
      <c r="E55" s="42"/>
      <c r="F55" s="14"/>
      <c r="G55" s="39"/>
      <c r="H55" s="57" t="s">
        <v>143</v>
      </c>
      <c r="I55" s="59">
        <v>11</v>
      </c>
      <c r="J55" s="51">
        <f>I55/I$54</f>
        <v>0.5</v>
      </c>
    </row>
    <row r="56" spans="1:10" x14ac:dyDescent="0.25">
      <c r="A56" s="7" t="s">
        <v>144</v>
      </c>
      <c r="B56" s="40"/>
      <c r="D56" s="42"/>
      <c r="E56" s="43" t="s">
        <v>48</v>
      </c>
      <c r="F56" s="44"/>
      <c r="G56" s="39"/>
      <c r="H56" s="57" t="s">
        <v>145</v>
      </c>
      <c r="I56" s="59">
        <v>5</v>
      </c>
      <c r="J56" s="51">
        <f>I56/I$54</f>
        <v>0.22727272727272727</v>
      </c>
    </row>
    <row r="57" spans="1:10" ht="15.75" thickBot="1" x14ac:dyDescent="0.3">
      <c r="A57" s="7" t="s">
        <v>61</v>
      </c>
      <c r="B57" s="40"/>
      <c r="C57">
        <v>3</v>
      </c>
      <c r="D57" s="42"/>
      <c r="E57" s="58" t="s">
        <v>61</v>
      </c>
      <c r="F57" s="51">
        <f>C57/C$66</f>
        <v>2.6548672566371681E-2</v>
      </c>
      <c r="G57" s="39"/>
      <c r="H57" s="22" t="s">
        <v>146</v>
      </c>
      <c r="I57" s="55">
        <v>6</v>
      </c>
      <c r="J57" s="56">
        <f>I57/I$54</f>
        <v>0.27272727272727271</v>
      </c>
    </row>
    <row r="58" spans="1:10" ht="15.75" thickBot="1" x14ac:dyDescent="0.3">
      <c r="A58" s="7" t="s">
        <v>62</v>
      </c>
      <c r="B58" s="40"/>
      <c r="C58">
        <v>51</v>
      </c>
      <c r="D58" s="42"/>
      <c r="E58" s="58" t="s">
        <v>62</v>
      </c>
      <c r="F58" s="51">
        <f t="shared" ref="F58:F65" si="0">C58/C$66</f>
        <v>0.45132743362831856</v>
      </c>
      <c r="G58" s="39"/>
    </row>
    <row r="59" spans="1:10" x14ac:dyDescent="0.25">
      <c r="A59" s="7" t="s">
        <v>63</v>
      </c>
      <c r="B59" s="40"/>
      <c r="C59">
        <v>22</v>
      </c>
      <c r="D59" s="42"/>
      <c r="E59" s="58" t="s">
        <v>63</v>
      </c>
      <c r="F59" s="51">
        <f t="shared" si="0"/>
        <v>0.19469026548672566</v>
      </c>
      <c r="G59" s="42" t="s">
        <v>81</v>
      </c>
      <c r="H59" s="45" t="s">
        <v>147</v>
      </c>
      <c r="I59" s="46">
        <v>0</v>
      </c>
      <c r="J59" s="44">
        <f t="shared" ref="J59:J70" si="1">I59/I$54</f>
        <v>0</v>
      </c>
    </row>
    <row r="60" spans="1:10" x14ac:dyDescent="0.25">
      <c r="A60" s="7" t="s">
        <v>64</v>
      </c>
      <c r="B60" s="40"/>
      <c r="C60">
        <v>1</v>
      </c>
      <c r="D60" s="42"/>
      <c r="E60" s="58" t="s">
        <v>64</v>
      </c>
      <c r="F60" s="51">
        <f t="shared" si="0"/>
        <v>8.8495575221238937E-3</v>
      </c>
      <c r="G60" s="39"/>
      <c r="H60" s="57" t="s">
        <v>148</v>
      </c>
      <c r="I60" s="59">
        <v>0</v>
      </c>
      <c r="J60" s="51">
        <f t="shared" si="1"/>
        <v>0</v>
      </c>
    </row>
    <row r="61" spans="1:10" x14ac:dyDescent="0.25">
      <c r="A61" s="7" t="s">
        <v>65</v>
      </c>
      <c r="B61" s="40"/>
      <c r="C61">
        <v>13</v>
      </c>
      <c r="D61" s="42"/>
      <c r="E61" s="58" t="s">
        <v>65</v>
      </c>
      <c r="F61" s="51">
        <f t="shared" si="0"/>
        <v>0.11504424778761062</v>
      </c>
      <c r="G61" s="39"/>
      <c r="H61" s="57" t="s">
        <v>149</v>
      </c>
      <c r="I61" s="59">
        <v>0</v>
      </c>
      <c r="J61" s="51">
        <f t="shared" si="1"/>
        <v>0</v>
      </c>
    </row>
    <row r="62" spans="1:10" x14ac:dyDescent="0.25">
      <c r="A62" s="7" t="s">
        <v>66</v>
      </c>
      <c r="B62" s="40"/>
      <c r="C62">
        <v>1</v>
      </c>
      <c r="D62" s="42"/>
      <c r="E62" s="58" t="s">
        <v>66</v>
      </c>
      <c r="F62" s="51">
        <f t="shared" si="0"/>
        <v>8.8495575221238937E-3</v>
      </c>
      <c r="G62" s="39"/>
      <c r="H62" s="57" t="s">
        <v>150</v>
      </c>
      <c r="I62" s="59">
        <v>3</v>
      </c>
      <c r="J62" s="51">
        <f t="shared" si="1"/>
        <v>0.13636363636363635</v>
      </c>
    </row>
    <row r="63" spans="1:10" x14ac:dyDescent="0.25">
      <c r="A63" s="7" t="s">
        <v>67</v>
      </c>
      <c r="B63" s="40"/>
      <c r="C63">
        <v>9</v>
      </c>
      <c r="D63" s="42"/>
      <c r="E63" s="58" t="s">
        <v>67</v>
      </c>
      <c r="F63" s="51">
        <f t="shared" si="0"/>
        <v>7.9646017699115043E-2</v>
      </c>
      <c r="G63" s="39"/>
      <c r="H63" s="57" t="s">
        <v>151</v>
      </c>
      <c r="I63" s="59">
        <v>5</v>
      </c>
      <c r="J63" s="51">
        <f t="shared" si="1"/>
        <v>0.22727272727272727</v>
      </c>
    </row>
    <row r="64" spans="1:10" x14ac:dyDescent="0.25">
      <c r="A64" s="7" t="s">
        <v>68</v>
      </c>
      <c r="B64" s="40"/>
      <c r="C64">
        <v>0</v>
      </c>
      <c r="D64" s="42"/>
      <c r="E64" s="58" t="s">
        <v>68</v>
      </c>
      <c r="F64" s="51">
        <f t="shared" si="0"/>
        <v>0</v>
      </c>
      <c r="G64" s="39"/>
      <c r="H64" s="57" t="s">
        <v>152</v>
      </c>
      <c r="I64" s="59">
        <v>7</v>
      </c>
      <c r="J64" s="51">
        <f t="shared" si="1"/>
        <v>0.31818181818181818</v>
      </c>
    </row>
    <row r="65" spans="1:10" ht="15.75" thickBot="1" x14ac:dyDescent="0.3">
      <c r="A65" s="7" t="s">
        <v>69</v>
      </c>
      <c r="B65" s="40"/>
      <c r="C65">
        <v>13</v>
      </c>
      <c r="D65" s="42"/>
      <c r="E65" s="60" t="s">
        <v>69</v>
      </c>
      <c r="F65" s="56">
        <f t="shared" si="0"/>
        <v>0.11504424778761062</v>
      </c>
      <c r="G65" s="42" t="s">
        <v>81</v>
      </c>
      <c r="H65" s="61" t="s">
        <v>153</v>
      </c>
      <c r="I65" s="59">
        <v>1</v>
      </c>
      <c r="J65" s="51">
        <f t="shared" si="1"/>
        <v>4.5454545454545456E-2</v>
      </c>
    </row>
    <row r="66" spans="1:10" ht="15.75" thickBot="1" x14ac:dyDescent="0.3">
      <c r="A66" s="7" t="s">
        <v>154</v>
      </c>
      <c r="B66" s="40"/>
      <c r="C66">
        <f>SUM(C57:C65)</f>
        <v>113</v>
      </c>
      <c r="D66" s="42"/>
      <c r="E66" s="7"/>
      <c r="F66" s="14"/>
      <c r="G66" s="39"/>
      <c r="H66" s="61" t="s">
        <v>155</v>
      </c>
      <c r="I66" s="59">
        <v>4</v>
      </c>
      <c r="J66" s="51">
        <f t="shared" si="1"/>
        <v>0.18181818181818182</v>
      </c>
    </row>
    <row r="67" spans="1:10" x14ac:dyDescent="0.25">
      <c r="A67" s="7"/>
      <c r="B67" s="40"/>
      <c r="D67" s="42"/>
      <c r="E67" s="62" t="s">
        <v>70</v>
      </c>
      <c r="F67" s="44"/>
      <c r="G67" s="39"/>
      <c r="H67" s="61" t="s">
        <v>156</v>
      </c>
      <c r="I67" s="59">
        <v>1</v>
      </c>
      <c r="J67" s="51">
        <f t="shared" si="1"/>
        <v>4.5454545454545456E-2</v>
      </c>
    </row>
    <row r="68" spans="1:10" x14ac:dyDescent="0.25">
      <c r="A68" s="7" t="s">
        <v>157</v>
      </c>
      <c r="B68" s="40"/>
      <c r="D68" s="42"/>
      <c r="E68" s="58" t="s">
        <v>71</v>
      </c>
      <c r="F68" s="51">
        <f>C69/C$79</f>
        <v>0.38211382113821141</v>
      </c>
      <c r="G68" s="39"/>
      <c r="H68" s="57" t="s">
        <v>158</v>
      </c>
      <c r="I68" s="59">
        <v>1</v>
      </c>
      <c r="J68" s="51">
        <f t="shared" si="1"/>
        <v>4.5454545454545456E-2</v>
      </c>
    </row>
    <row r="69" spans="1:10" x14ac:dyDescent="0.25">
      <c r="A69" s="7" t="s">
        <v>71</v>
      </c>
      <c r="B69" s="40"/>
      <c r="C69">
        <v>47</v>
      </c>
      <c r="D69" s="42"/>
      <c r="E69" s="58" t="s">
        <v>72</v>
      </c>
      <c r="F69" s="51">
        <f t="shared" ref="F69:F77" si="2">C70/C$79</f>
        <v>0.18699186991869918</v>
      </c>
      <c r="G69" s="39"/>
      <c r="H69" s="61" t="s">
        <v>159</v>
      </c>
      <c r="I69" s="59">
        <v>0</v>
      </c>
      <c r="J69" s="51">
        <f t="shared" si="1"/>
        <v>0</v>
      </c>
    </row>
    <row r="70" spans="1:10" ht="15.75" thickBot="1" x14ac:dyDescent="0.3">
      <c r="A70" s="7" t="s">
        <v>72</v>
      </c>
      <c r="B70" s="40"/>
      <c r="C70">
        <v>23</v>
      </c>
      <c r="D70" s="42"/>
      <c r="E70" s="58" t="s">
        <v>73</v>
      </c>
      <c r="F70" s="51">
        <f t="shared" si="2"/>
        <v>7.3170731707317069E-2</v>
      </c>
      <c r="G70" s="39"/>
      <c r="H70" s="63" t="s">
        <v>160</v>
      </c>
      <c r="I70" s="55">
        <v>0</v>
      </c>
      <c r="J70" s="56">
        <f t="shared" si="1"/>
        <v>0</v>
      </c>
    </row>
    <row r="71" spans="1:10" x14ac:dyDescent="0.25">
      <c r="A71" s="7" t="s">
        <v>73</v>
      </c>
      <c r="B71" s="40"/>
      <c r="C71">
        <v>9</v>
      </c>
      <c r="D71" s="42"/>
      <c r="E71" s="58" t="s">
        <v>74</v>
      </c>
      <c r="F71" s="51">
        <f t="shared" si="2"/>
        <v>0.13821138211382114</v>
      </c>
      <c r="G71" s="39"/>
    </row>
    <row r="72" spans="1:10" ht="15.75" thickBot="1" x14ac:dyDescent="0.3">
      <c r="A72" s="7" t="s">
        <v>74</v>
      </c>
      <c r="B72" s="40"/>
      <c r="C72">
        <v>17</v>
      </c>
      <c r="D72" s="42"/>
      <c r="E72" s="58" t="s">
        <v>75</v>
      </c>
      <c r="F72" s="51">
        <f t="shared" si="2"/>
        <v>0.12195121951219512</v>
      </c>
      <c r="G72" s="42" t="s">
        <v>81</v>
      </c>
    </row>
    <row r="73" spans="1:10" x14ac:dyDescent="0.25">
      <c r="A73" s="7" t="s">
        <v>75</v>
      </c>
      <c r="B73" s="40"/>
      <c r="C73">
        <v>15</v>
      </c>
      <c r="D73" s="42"/>
      <c r="E73" s="58" t="s">
        <v>76</v>
      </c>
      <c r="F73" s="51">
        <f t="shared" si="2"/>
        <v>0</v>
      </c>
      <c r="G73" s="39"/>
      <c r="H73" s="45" t="s">
        <v>65</v>
      </c>
      <c r="I73" s="46">
        <v>13</v>
      </c>
      <c r="J73" s="47"/>
    </row>
    <row r="74" spans="1:10" x14ac:dyDescent="0.25">
      <c r="A74" s="7" t="s">
        <v>76</v>
      </c>
      <c r="B74" s="40"/>
      <c r="C74">
        <v>0</v>
      </c>
      <c r="D74" s="42"/>
      <c r="E74" s="58" t="s">
        <v>77</v>
      </c>
      <c r="F74" s="51">
        <f t="shared" si="2"/>
        <v>0</v>
      </c>
      <c r="G74" s="39"/>
      <c r="H74" s="57" t="s">
        <v>161</v>
      </c>
      <c r="I74" s="59">
        <v>4</v>
      </c>
      <c r="J74" s="51">
        <f>I74/I$73</f>
        <v>0.30769230769230771</v>
      </c>
    </row>
    <row r="75" spans="1:10" ht="15.75" thickBot="1" x14ac:dyDescent="0.3">
      <c r="A75" s="7" t="s">
        <v>77</v>
      </c>
      <c r="B75" s="40"/>
      <c r="C75">
        <v>0</v>
      </c>
      <c r="D75" s="42"/>
      <c r="E75" s="58" t="s">
        <v>78</v>
      </c>
      <c r="F75" s="51">
        <f t="shared" si="2"/>
        <v>0</v>
      </c>
      <c r="G75" s="39"/>
      <c r="H75" s="22" t="s">
        <v>103</v>
      </c>
      <c r="I75" s="55">
        <v>9</v>
      </c>
      <c r="J75" s="56">
        <f>I75/I$73</f>
        <v>0.69230769230769229</v>
      </c>
    </row>
    <row r="76" spans="1:10" x14ac:dyDescent="0.25">
      <c r="A76" s="7" t="s">
        <v>78</v>
      </c>
      <c r="B76" s="40"/>
      <c r="C76">
        <v>0</v>
      </c>
      <c r="D76" s="42"/>
      <c r="E76" s="58" t="s">
        <v>79</v>
      </c>
      <c r="F76" s="51">
        <f t="shared" si="2"/>
        <v>1.6260162601626018E-2</v>
      </c>
      <c r="G76" s="39"/>
    </row>
    <row r="77" spans="1:10" ht="15.75" thickBot="1" x14ac:dyDescent="0.3">
      <c r="A77" s="7" t="s">
        <v>79</v>
      </c>
      <c r="B77" s="40"/>
      <c r="C77">
        <v>2</v>
      </c>
      <c r="D77" s="42"/>
      <c r="E77" s="60" t="s">
        <v>80</v>
      </c>
      <c r="F77" s="56">
        <f t="shared" si="2"/>
        <v>8.1300813008130079E-2</v>
      </c>
      <c r="G77" s="39"/>
    </row>
    <row r="78" spans="1:10" ht="15.75" thickBot="1" x14ac:dyDescent="0.3">
      <c r="A78" s="7" t="s">
        <v>80</v>
      </c>
      <c r="B78" s="40"/>
      <c r="C78">
        <v>10</v>
      </c>
      <c r="D78" s="42"/>
      <c r="E78" s="7"/>
      <c r="F78" s="14"/>
      <c r="G78" s="39"/>
      <c r="H78" s="45" t="s">
        <v>162</v>
      </c>
      <c r="I78" s="46">
        <v>1</v>
      </c>
      <c r="J78" s="47"/>
    </row>
    <row r="79" spans="1:10" x14ac:dyDescent="0.25">
      <c r="A79" s="7" t="s">
        <v>163</v>
      </c>
      <c r="B79" s="40"/>
      <c r="C79">
        <f>SUM(C69:C78)</f>
        <v>123</v>
      </c>
      <c r="D79" s="42"/>
      <c r="E79" s="62" t="s">
        <v>44</v>
      </c>
      <c r="F79" s="44"/>
      <c r="G79" s="39"/>
      <c r="H79" s="57" t="s">
        <v>164</v>
      </c>
      <c r="I79" s="59">
        <v>0</v>
      </c>
      <c r="J79" s="51">
        <f t="shared" ref="J79:J84" si="3">I79/I$78</f>
        <v>0</v>
      </c>
    </row>
    <row r="80" spans="1:10" x14ac:dyDescent="0.25">
      <c r="A80" s="7"/>
      <c r="B80" s="40"/>
      <c r="D80" s="42"/>
      <c r="E80" s="64" t="s">
        <v>165</v>
      </c>
      <c r="F80" s="51">
        <f>C81/C$51</f>
        <v>0.65116279069767447</v>
      </c>
      <c r="G80" s="39"/>
      <c r="H80" s="57" t="s">
        <v>166</v>
      </c>
      <c r="I80" s="59">
        <v>1</v>
      </c>
      <c r="J80" s="51">
        <f t="shared" si="3"/>
        <v>1</v>
      </c>
    </row>
    <row r="81" spans="1:10" x14ac:dyDescent="0.25">
      <c r="A81" s="7" t="s">
        <v>167</v>
      </c>
      <c r="B81" s="40"/>
      <c r="C81">
        <v>28</v>
      </c>
      <c r="D81" s="42"/>
      <c r="E81" s="64" t="s">
        <v>168</v>
      </c>
      <c r="F81" s="51">
        <f>C82/C$51</f>
        <v>9.3023255813953487E-2</v>
      </c>
      <c r="G81" s="39"/>
      <c r="H81" s="57" t="s">
        <v>169</v>
      </c>
      <c r="I81" s="59">
        <v>0</v>
      </c>
      <c r="J81" s="51">
        <f t="shared" si="3"/>
        <v>0</v>
      </c>
    </row>
    <row r="82" spans="1:10" ht="15.75" thickBot="1" x14ac:dyDescent="0.3">
      <c r="A82" s="7" t="s">
        <v>170</v>
      </c>
      <c r="B82" s="40"/>
      <c r="C82">
        <v>4</v>
      </c>
      <c r="D82" s="42"/>
      <c r="E82" s="65" t="s">
        <v>171</v>
      </c>
      <c r="F82" s="56">
        <f>C83/C$51</f>
        <v>0.2558139534883721</v>
      </c>
      <c r="G82" s="39"/>
      <c r="H82" s="57" t="s">
        <v>172</v>
      </c>
      <c r="I82" s="59">
        <v>0</v>
      </c>
      <c r="J82" s="51">
        <f t="shared" si="3"/>
        <v>0</v>
      </c>
    </row>
    <row r="83" spans="1:10" ht="15.75" thickBot="1" x14ac:dyDescent="0.3">
      <c r="A83" s="7" t="s">
        <v>173</v>
      </c>
      <c r="B83" s="40"/>
      <c r="C83">
        <v>11</v>
      </c>
      <c r="D83" s="42"/>
      <c r="E83" s="66"/>
      <c r="F83" s="14"/>
      <c r="G83" s="42" t="s">
        <v>81</v>
      </c>
      <c r="H83" s="57" t="s">
        <v>174</v>
      </c>
      <c r="I83" s="59">
        <v>0</v>
      </c>
      <c r="J83" s="51">
        <f t="shared" si="3"/>
        <v>0</v>
      </c>
    </row>
    <row r="84" spans="1:10" ht="15.75" thickBot="1" x14ac:dyDescent="0.3">
      <c r="A84" s="7"/>
      <c r="B84" s="40"/>
      <c r="D84" s="42"/>
      <c r="E84" s="67" t="s">
        <v>137</v>
      </c>
      <c r="F84" s="44"/>
      <c r="G84" s="39"/>
      <c r="H84" s="22" t="s">
        <v>175</v>
      </c>
      <c r="I84" s="55">
        <v>0</v>
      </c>
      <c r="J84" s="56">
        <f t="shared" si="3"/>
        <v>0</v>
      </c>
    </row>
    <row r="85" spans="1:10" x14ac:dyDescent="0.25">
      <c r="A85" s="7" t="s">
        <v>137</v>
      </c>
      <c r="B85" s="40"/>
      <c r="D85" s="42"/>
      <c r="E85" s="58" t="s">
        <v>176</v>
      </c>
      <c r="F85" s="51">
        <f>C86/C$51</f>
        <v>0.69767441860465118</v>
      </c>
      <c r="G85" s="39"/>
    </row>
    <row r="86" spans="1:10" ht="15.75" thickBot="1" x14ac:dyDescent="0.3">
      <c r="A86" s="7" t="s">
        <v>177</v>
      </c>
      <c r="B86" s="40"/>
      <c r="C86">
        <v>30</v>
      </c>
      <c r="D86" s="42"/>
      <c r="E86" s="60" t="s">
        <v>178</v>
      </c>
      <c r="F86" s="56">
        <f>C87/C$51</f>
        <v>0.30232558139534882</v>
      </c>
      <c r="G86" s="39"/>
    </row>
    <row r="87" spans="1:10" ht="15.75" thickBot="1" x14ac:dyDescent="0.3">
      <c r="A87" s="7" t="s">
        <v>178</v>
      </c>
      <c r="B87" s="40"/>
      <c r="C87">
        <v>13</v>
      </c>
      <c r="D87" s="42"/>
      <c r="E87" s="68"/>
      <c r="F87" s="69"/>
      <c r="G87" s="39"/>
      <c r="H87" s="45" t="s">
        <v>67</v>
      </c>
      <c r="I87" s="46">
        <v>9</v>
      </c>
      <c r="J87" s="47"/>
    </row>
    <row r="88" spans="1:10" x14ac:dyDescent="0.25">
      <c r="A88" s="7"/>
      <c r="B88" s="40"/>
      <c r="D88" s="42"/>
      <c r="E88" s="45" t="s">
        <v>179</v>
      </c>
      <c r="F88" s="44"/>
      <c r="G88" s="39"/>
      <c r="H88" s="57" t="s">
        <v>104</v>
      </c>
      <c r="I88" s="59">
        <v>1</v>
      </c>
      <c r="J88" s="51">
        <f>I88/I$87</f>
        <v>0.1111111111111111</v>
      </c>
    </row>
    <row r="89" spans="1:10" x14ac:dyDescent="0.25">
      <c r="A89" t="s">
        <v>179</v>
      </c>
      <c r="D89" s="42"/>
      <c r="E89" s="57" t="s">
        <v>180</v>
      </c>
      <c r="F89" s="51">
        <f>C90/C$87</f>
        <v>0.76923076923076927</v>
      </c>
      <c r="G89" s="39"/>
      <c r="H89" s="57" t="s">
        <v>105</v>
      </c>
      <c r="I89" s="59">
        <v>2</v>
      </c>
      <c r="J89" s="51">
        <f>I89/I$87</f>
        <v>0.22222222222222221</v>
      </c>
    </row>
    <row r="90" spans="1:10" ht="15.75" thickBot="1" x14ac:dyDescent="0.3">
      <c r="A90" t="s">
        <v>180</v>
      </c>
      <c r="C90">
        <v>10</v>
      </c>
      <c r="D90" s="42"/>
      <c r="E90" s="22" t="s">
        <v>181</v>
      </c>
      <c r="F90" s="56">
        <f>C91/C$87</f>
        <v>0.23076923076923078</v>
      </c>
      <c r="G90" s="39"/>
      <c r="H90" s="57" t="s">
        <v>106</v>
      </c>
      <c r="I90" s="59">
        <v>0</v>
      </c>
      <c r="J90" s="51">
        <f>I90/I$87</f>
        <v>0</v>
      </c>
    </row>
    <row r="91" spans="1:10" ht="15.75" thickBot="1" x14ac:dyDescent="0.3">
      <c r="A91" t="s">
        <v>181</v>
      </c>
      <c r="C91">
        <v>3</v>
      </c>
      <c r="D91" s="42"/>
      <c r="E91" s="68"/>
      <c r="F91" s="69"/>
      <c r="G91" s="39"/>
      <c r="H91" s="57" t="s">
        <v>107</v>
      </c>
      <c r="I91" s="59">
        <v>2</v>
      </c>
      <c r="J91" s="51">
        <f>I91/I$87</f>
        <v>0.22222222222222221</v>
      </c>
    </row>
    <row r="92" spans="1:10" ht="15.75" thickBot="1" x14ac:dyDescent="0.3">
      <c r="A92" s="7"/>
      <c r="B92" s="40"/>
      <c r="D92" s="42"/>
      <c r="E92" s="62" t="s">
        <v>182</v>
      </c>
      <c r="F92" s="44"/>
      <c r="G92" s="39"/>
      <c r="H92" s="22" t="s">
        <v>108</v>
      </c>
      <c r="I92" s="55">
        <v>4</v>
      </c>
      <c r="J92" s="56">
        <f>I92/I$87</f>
        <v>0.44444444444444442</v>
      </c>
    </row>
    <row r="93" spans="1:10" x14ac:dyDescent="0.25">
      <c r="A93" s="7" t="s">
        <v>183</v>
      </c>
      <c r="B93" s="40"/>
      <c r="D93" s="42"/>
      <c r="E93" s="58" t="s">
        <v>121</v>
      </c>
      <c r="F93" s="51">
        <f t="shared" ref="F93:F98" si="4">C94/C$51</f>
        <v>0.62790697674418605</v>
      </c>
      <c r="G93" s="39"/>
    </row>
    <row r="94" spans="1:10" ht="15.75" thickBot="1" x14ac:dyDescent="0.3">
      <c r="A94" s="7" t="s">
        <v>121</v>
      </c>
      <c r="B94" s="40"/>
      <c r="C94">
        <v>27</v>
      </c>
      <c r="D94" s="42"/>
      <c r="E94" s="48" t="s">
        <v>122</v>
      </c>
      <c r="F94" s="51">
        <f t="shared" si="4"/>
        <v>6.9767441860465115E-2</v>
      </c>
      <c r="G94" s="39"/>
    </row>
    <row r="95" spans="1:10" x14ac:dyDescent="0.25">
      <c r="A95" s="7" t="s">
        <v>122</v>
      </c>
      <c r="B95" s="40"/>
      <c r="C95">
        <v>3</v>
      </c>
      <c r="D95" s="42"/>
      <c r="E95" s="48" t="s">
        <v>123</v>
      </c>
      <c r="F95" s="51">
        <f t="shared" si="4"/>
        <v>0</v>
      </c>
      <c r="G95" s="39"/>
      <c r="H95" s="45" t="s">
        <v>69</v>
      </c>
      <c r="I95" s="46">
        <v>13</v>
      </c>
      <c r="J95" s="47"/>
    </row>
    <row r="96" spans="1:10" x14ac:dyDescent="0.25">
      <c r="A96" s="7" t="s">
        <v>123</v>
      </c>
      <c r="B96" s="40"/>
      <c r="C96">
        <v>0</v>
      </c>
      <c r="D96" s="42"/>
      <c r="E96" s="48" t="s">
        <v>124</v>
      </c>
      <c r="F96" s="51">
        <f t="shared" si="4"/>
        <v>0</v>
      </c>
      <c r="G96" s="39"/>
      <c r="H96" s="57" t="s">
        <v>109</v>
      </c>
      <c r="I96" s="59">
        <v>0</v>
      </c>
      <c r="J96" s="51">
        <f>I96/I$95</f>
        <v>0</v>
      </c>
    </row>
    <row r="97" spans="1:10" x14ac:dyDescent="0.25">
      <c r="A97" s="7" t="s">
        <v>124</v>
      </c>
      <c r="B97" s="40"/>
      <c r="C97">
        <v>0</v>
      </c>
      <c r="D97" s="42"/>
      <c r="E97" s="48" t="s">
        <v>125</v>
      </c>
      <c r="F97" s="51">
        <f t="shared" si="4"/>
        <v>0.30232558139534882</v>
      </c>
      <c r="G97" s="39"/>
      <c r="H97" s="57" t="s">
        <v>110</v>
      </c>
      <c r="I97" s="50">
        <v>4</v>
      </c>
      <c r="J97" s="51">
        <f t="shared" ref="J97:J105" si="5">I97/I$95</f>
        <v>0.30769230769230771</v>
      </c>
    </row>
    <row r="98" spans="1:10" ht="15.75" thickBot="1" x14ac:dyDescent="0.3">
      <c r="A98" s="7" t="s">
        <v>125</v>
      </c>
      <c r="B98" s="40"/>
      <c r="C98">
        <v>13</v>
      </c>
      <c r="D98" s="42"/>
      <c r="E98" s="53" t="s">
        <v>69</v>
      </c>
      <c r="F98" s="56">
        <f t="shared" si="4"/>
        <v>0</v>
      </c>
      <c r="G98" s="39"/>
      <c r="H98" s="57" t="s">
        <v>111</v>
      </c>
      <c r="I98" s="59">
        <v>0</v>
      </c>
      <c r="J98" s="51">
        <f t="shared" si="5"/>
        <v>0</v>
      </c>
    </row>
    <row r="99" spans="1:10" ht="15.75" thickBot="1" x14ac:dyDescent="0.3">
      <c r="A99" s="7" t="s">
        <v>69</v>
      </c>
      <c r="B99" s="40"/>
      <c r="C99">
        <v>0</v>
      </c>
      <c r="D99" s="42"/>
      <c r="E99" s="42"/>
      <c r="F99" s="14"/>
      <c r="G99" s="39"/>
      <c r="H99" s="57" t="s">
        <v>112</v>
      </c>
      <c r="I99" s="59">
        <v>0</v>
      </c>
      <c r="J99" s="51">
        <f t="shared" si="5"/>
        <v>0</v>
      </c>
    </row>
    <row r="100" spans="1:10" x14ac:dyDescent="0.25">
      <c r="A100" s="7"/>
      <c r="B100" s="40"/>
      <c r="D100" s="42"/>
      <c r="E100" s="43" t="s">
        <v>184</v>
      </c>
      <c r="F100" s="44"/>
      <c r="G100" s="39"/>
      <c r="H100" s="57" t="s">
        <v>113</v>
      </c>
      <c r="I100" s="50">
        <v>5</v>
      </c>
      <c r="J100" s="51">
        <f t="shared" si="5"/>
        <v>0.38461538461538464</v>
      </c>
    </row>
    <row r="101" spans="1:10" x14ac:dyDescent="0.25">
      <c r="A101" s="7" t="s">
        <v>185</v>
      </c>
      <c r="B101" s="40"/>
      <c r="D101" s="42"/>
      <c r="E101" s="48" t="s">
        <v>186</v>
      </c>
      <c r="F101" s="51">
        <f>C102/C$51</f>
        <v>0.79069767441860461</v>
      </c>
      <c r="G101" s="39"/>
      <c r="H101" s="70" t="s">
        <v>114</v>
      </c>
      <c r="I101" s="59">
        <v>3</v>
      </c>
      <c r="J101" s="51">
        <f t="shared" si="5"/>
        <v>0.23076923076923078</v>
      </c>
    </row>
    <row r="102" spans="1:10" x14ac:dyDescent="0.25">
      <c r="A102" s="7" t="s">
        <v>186</v>
      </c>
      <c r="B102" s="40"/>
      <c r="C102">
        <v>34</v>
      </c>
      <c r="D102" s="42"/>
      <c r="E102" s="48" t="s">
        <v>187</v>
      </c>
      <c r="F102" s="51">
        <f>C103/C$51</f>
        <v>6.9767441860465115E-2</v>
      </c>
      <c r="G102" s="39"/>
      <c r="H102" s="70" t="s">
        <v>115</v>
      </c>
      <c r="I102" s="59">
        <v>1</v>
      </c>
      <c r="J102" s="51">
        <f t="shared" si="5"/>
        <v>7.6923076923076927E-2</v>
      </c>
    </row>
    <row r="103" spans="1:10" x14ac:dyDescent="0.25">
      <c r="A103" s="7" t="s">
        <v>187</v>
      </c>
      <c r="B103" s="40"/>
      <c r="C103">
        <v>3</v>
      </c>
      <c r="D103" s="42"/>
      <c r="E103" s="48" t="s">
        <v>188</v>
      </c>
      <c r="F103" s="51">
        <f>C104/C$51</f>
        <v>9.3023255813953487E-2</v>
      </c>
      <c r="G103" s="39"/>
      <c r="H103" s="70" t="s">
        <v>116</v>
      </c>
      <c r="I103" s="59">
        <v>0</v>
      </c>
      <c r="J103" s="51">
        <f t="shared" si="5"/>
        <v>0</v>
      </c>
    </row>
    <row r="104" spans="1:10" x14ac:dyDescent="0.25">
      <c r="A104" s="7" t="s">
        <v>188</v>
      </c>
      <c r="B104" s="40"/>
      <c r="C104">
        <v>4</v>
      </c>
      <c r="D104" s="42"/>
      <c r="E104" s="48" t="s">
        <v>189</v>
      </c>
      <c r="F104" s="51">
        <f>C105/C$51</f>
        <v>4.6511627906976744E-2</v>
      </c>
      <c r="G104" s="39"/>
      <c r="H104" s="70" t="s">
        <v>117</v>
      </c>
      <c r="I104" s="59">
        <v>0</v>
      </c>
      <c r="J104" s="51">
        <f t="shared" si="5"/>
        <v>0</v>
      </c>
    </row>
    <row r="105" spans="1:10" ht="15.75" thickBot="1" x14ac:dyDescent="0.3">
      <c r="A105" s="7" t="s">
        <v>189</v>
      </c>
      <c r="B105" s="40"/>
      <c r="C105">
        <v>2</v>
      </c>
      <c r="E105" s="53" t="s">
        <v>190</v>
      </c>
      <c r="F105" s="56">
        <f>C106/C$51</f>
        <v>0</v>
      </c>
      <c r="H105" s="71" t="s">
        <v>118</v>
      </c>
      <c r="I105" s="55">
        <v>0</v>
      </c>
      <c r="J105" s="56">
        <f t="shared" si="5"/>
        <v>0</v>
      </c>
    </row>
    <row r="106" spans="1:10" x14ac:dyDescent="0.25">
      <c r="A106" s="7" t="s">
        <v>190</v>
      </c>
      <c r="B106" s="40"/>
      <c r="C106">
        <v>0</v>
      </c>
      <c r="E106" s="42"/>
      <c r="F106" s="14"/>
    </row>
    <row r="107" spans="1:10" x14ac:dyDescent="0.25">
      <c r="A107" s="7" t="s">
        <v>191</v>
      </c>
      <c r="B107" s="40"/>
      <c r="C107">
        <v>0</v>
      </c>
      <c r="E107" s="42"/>
      <c r="F107" s="14"/>
    </row>
    <row r="108" spans="1:10" x14ac:dyDescent="0.25">
      <c r="A108" s="7"/>
      <c r="B108" s="40"/>
      <c r="E108" s="42"/>
      <c r="F108" s="14"/>
    </row>
    <row r="109" spans="1:10" ht="15.75" thickBot="1" x14ac:dyDescent="0.3"/>
    <row r="110" spans="1:10" x14ac:dyDescent="0.25">
      <c r="A110" s="72" t="s">
        <v>7</v>
      </c>
      <c r="B110" s="88">
        <f>SUM(B111:B114)</f>
        <v>139679.70000000001</v>
      </c>
    </row>
    <row r="111" spans="1:10" x14ac:dyDescent="0.25">
      <c r="A111" s="74" t="s">
        <v>121</v>
      </c>
      <c r="B111" s="75">
        <f>SUM(F2:F4,F7:F8,F10:F11,F14:F15,F17,F19:F24,F27:F28,F30,F32,F35:F38,F43:F44)</f>
        <v>57960.08</v>
      </c>
    </row>
    <row r="112" spans="1:10" x14ac:dyDescent="0.25">
      <c r="A112" s="74" t="s">
        <v>192</v>
      </c>
      <c r="B112" s="75">
        <f>SUM(F5:F6,F9,F12:F13,F16,F25:F26,F29,F33:F34,F39,F42,)</f>
        <v>65543.12</v>
      </c>
    </row>
    <row r="113" spans="1:2" x14ac:dyDescent="0.25">
      <c r="A113" s="74" t="s">
        <v>193</v>
      </c>
      <c r="B113" s="75">
        <f>SUM(F18,F31,F40:F41,)</f>
        <v>10451.9</v>
      </c>
    </row>
    <row r="114" spans="1:2" x14ac:dyDescent="0.25">
      <c r="A114" s="74" t="s">
        <v>69</v>
      </c>
      <c r="B114" s="76">
        <v>5724.6</v>
      </c>
    </row>
    <row r="115" spans="1:2" ht="15.75" thickBot="1" x14ac:dyDescent="0.3">
      <c r="A115" s="77"/>
      <c r="B115" s="78"/>
    </row>
  </sheetData>
  <mergeCells count="1">
    <mergeCell ref="A47:F47"/>
  </mergeCells>
  <pageMargins left="0.7" right="0.7" top="0.75" bottom="0.75" header="0.3" footer="0.3"/>
  <pageSetup paperSize="9" orientation="portrait" horizontalDpi="200" verticalDpi="20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1"/>
  <sheetViews>
    <sheetView topLeftCell="A45" workbookViewId="0">
      <selection activeCell="F56" sqref="F56"/>
    </sheetView>
  </sheetViews>
  <sheetFormatPr baseColWidth="10" defaultRowHeight="15" x14ac:dyDescent="0.25"/>
  <cols>
    <col min="2" max="2" width="34.140625" customWidth="1"/>
    <col min="3" max="3" width="12.85546875" customWidth="1"/>
    <col min="4" max="4" width="5" customWidth="1"/>
    <col min="5" max="5" width="4.5703125" customWidth="1"/>
    <col min="6" max="6" width="12.42578125" customWidth="1"/>
    <col min="7" max="7" width="38.7109375" customWidth="1"/>
  </cols>
  <sheetData>
    <row r="1" spans="1:8" ht="15" customHeight="1" x14ac:dyDescent="0.25">
      <c r="A1" s="3" t="s">
        <v>2</v>
      </c>
      <c r="B1" s="4" t="s">
        <v>3</v>
      </c>
      <c r="C1" s="4" t="s">
        <v>5</v>
      </c>
      <c r="D1" s="4" t="s">
        <v>22</v>
      </c>
      <c r="E1" s="8" t="s">
        <v>6</v>
      </c>
      <c r="F1" s="5" t="s">
        <v>8</v>
      </c>
      <c r="G1" s="6" t="s">
        <v>9</v>
      </c>
      <c r="H1" s="1" t="s">
        <v>10</v>
      </c>
    </row>
    <row r="2" spans="1:8" x14ac:dyDescent="0.25">
      <c r="A2" s="40">
        <v>45201</v>
      </c>
      <c r="B2" s="89" t="s">
        <v>2132</v>
      </c>
      <c r="C2" s="89" t="s">
        <v>186</v>
      </c>
      <c r="D2" t="s">
        <v>141</v>
      </c>
      <c r="E2" s="89" t="s">
        <v>192</v>
      </c>
      <c r="F2" s="38">
        <v>9065.7199999999993</v>
      </c>
      <c r="G2" s="89" t="s">
        <v>2169</v>
      </c>
      <c r="H2" s="89" t="s">
        <v>733</v>
      </c>
    </row>
    <row r="3" spans="1:8" x14ac:dyDescent="0.25">
      <c r="A3" s="40">
        <v>45202</v>
      </c>
      <c r="B3" s="89" t="s">
        <v>2170</v>
      </c>
      <c r="C3" s="89" t="s">
        <v>186</v>
      </c>
      <c r="D3" t="s">
        <v>139</v>
      </c>
      <c r="E3" s="89" t="s">
        <v>192</v>
      </c>
      <c r="F3" s="38">
        <v>3040.95</v>
      </c>
      <c r="G3" s="89" t="s">
        <v>2173</v>
      </c>
      <c r="H3" s="89" t="s">
        <v>1249</v>
      </c>
    </row>
    <row r="4" spans="1:8" s="89" customFormat="1" x14ac:dyDescent="0.25">
      <c r="A4" s="40">
        <v>45202</v>
      </c>
      <c r="B4" s="89" t="s">
        <v>2186</v>
      </c>
      <c r="C4" s="89" t="s">
        <v>186</v>
      </c>
      <c r="D4" s="89" t="s">
        <v>139</v>
      </c>
      <c r="E4" s="89" t="s">
        <v>197</v>
      </c>
      <c r="F4" s="38">
        <v>1357</v>
      </c>
      <c r="G4" s="89" t="s">
        <v>2189</v>
      </c>
      <c r="H4" s="89" t="s">
        <v>2212</v>
      </c>
    </row>
    <row r="5" spans="1:8" s="89" customFormat="1" x14ac:dyDescent="0.25">
      <c r="A5" s="40">
        <v>45203</v>
      </c>
      <c r="B5" s="89" t="s">
        <v>2190</v>
      </c>
      <c r="C5" s="89" t="s">
        <v>186</v>
      </c>
      <c r="D5" s="89" t="s">
        <v>139</v>
      </c>
      <c r="E5" s="89" t="s">
        <v>197</v>
      </c>
      <c r="F5" s="38">
        <v>1531</v>
      </c>
      <c r="G5" s="89" t="s">
        <v>2193</v>
      </c>
      <c r="H5" s="89" t="s">
        <v>2194</v>
      </c>
    </row>
    <row r="6" spans="1:8" s="89" customFormat="1" x14ac:dyDescent="0.25">
      <c r="A6" s="40">
        <v>45203</v>
      </c>
      <c r="B6" s="89" t="s">
        <v>1333</v>
      </c>
      <c r="C6" s="89" t="s">
        <v>186</v>
      </c>
      <c r="D6" s="89" t="s">
        <v>141</v>
      </c>
      <c r="E6" s="89" t="s">
        <v>192</v>
      </c>
      <c r="F6" s="38">
        <v>4977.05</v>
      </c>
      <c r="G6" s="89" t="s">
        <v>2196</v>
      </c>
      <c r="H6" s="89" t="s">
        <v>178</v>
      </c>
    </row>
    <row r="7" spans="1:8" s="89" customFormat="1" x14ac:dyDescent="0.25">
      <c r="A7" s="40">
        <v>45204</v>
      </c>
      <c r="B7" s="89" t="s">
        <v>2197</v>
      </c>
      <c r="C7" s="89" t="s">
        <v>186</v>
      </c>
      <c r="D7" s="89" t="s">
        <v>139</v>
      </c>
      <c r="E7" s="89" t="s">
        <v>197</v>
      </c>
      <c r="F7" s="38">
        <v>5291.46</v>
      </c>
      <c r="G7" s="89" t="s">
        <v>2199</v>
      </c>
    </row>
    <row r="8" spans="1:8" s="89" customFormat="1" x14ac:dyDescent="0.25">
      <c r="A8" s="40">
        <v>45204</v>
      </c>
      <c r="B8" s="89" t="s">
        <v>2200</v>
      </c>
      <c r="C8" s="89" t="s">
        <v>186</v>
      </c>
      <c r="D8" s="89" t="s">
        <v>139</v>
      </c>
      <c r="E8" s="89" t="s">
        <v>192</v>
      </c>
      <c r="F8" s="38">
        <v>960</v>
      </c>
      <c r="G8" s="89" t="s">
        <v>2203</v>
      </c>
      <c r="H8" s="89" t="s">
        <v>2213</v>
      </c>
    </row>
    <row r="9" spans="1:8" s="89" customFormat="1" x14ac:dyDescent="0.25">
      <c r="A9" s="40">
        <v>45205</v>
      </c>
      <c r="B9" s="89" t="s">
        <v>2222</v>
      </c>
      <c r="C9" s="89" t="s">
        <v>186</v>
      </c>
      <c r="D9" s="89" t="s">
        <v>139</v>
      </c>
      <c r="E9" s="89" t="s">
        <v>197</v>
      </c>
      <c r="F9" s="38">
        <v>1490</v>
      </c>
      <c r="G9" s="89" t="s">
        <v>2225</v>
      </c>
      <c r="H9" s="89" t="s">
        <v>2229</v>
      </c>
    </row>
    <row r="10" spans="1:8" s="89" customFormat="1" x14ac:dyDescent="0.25">
      <c r="A10" s="40">
        <v>45205</v>
      </c>
      <c r="B10" s="89" t="s">
        <v>1934</v>
      </c>
      <c r="C10" s="89" t="s">
        <v>408</v>
      </c>
      <c r="D10" s="89" t="s">
        <v>139</v>
      </c>
      <c r="E10" s="89" t="s">
        <v>192</v>
      </c>
      <c r="F10" s="38">
        <v>1315.6</v>
      </c>
      <c r="G10" s="89" t="s">
        <v>2234</v>
      </c>
      <c r="H10" s="89" t="s">
        <v>582</v>
      </c>
    </row>
    <row r="11" spans="1:8" s="89" customFormat="1" x14ac:dyDescent="0.25">
      <c r="A11" s="40">
        <v>45206</v>
      </c>
      <c r="B11" s="89" t="s">
        <v>2235</v>
      </c>
      <c r="C11" s="89" t="s">
        <v>186</v>
      </c>
      <c r="D11" s="89" t="s">
        <v>139</v>
      </c>
      <c r="E11" s="89" t="s">
        <v>197</v>
      </c>
      <c r="F11" s="38">
        <v>1199</v>
      </c>
      <c r="G11" s="89" t="s">
        <v>2238</v>
      </c>
      <c r="H11" s="89" t="s">
        <v>2245</v>
      </c>
    </row>
    <row r="12" spans="1:8" s="89" customFormat="1" x14ac:dyDescent="0.25">
      <c r="A12" s="40">
        <v>45208</v>
      </c>
      <c r="B12" s="89" t="s">
        <v>669</v>
      </c>
      <c r="C12" s="89" t="s">
        <v>409</v>
      </c>
      <c r="D12" s="89" t="s">
        <v>139</v>
      </c>
      <c r="E12" s="89" t="s">
        <v>192</v>
      </c>
      <c r="F12" s="38">
        <v>1594</v>
      </c>
      <c r="G12" s="89" t="s">
        <v>2239</v>
      </c>
      <c r="H12" s="89" t="s">
        <v>219</v>
      </c>
    </row>
    <row r="13" spans="1:8" s="89" customFormat="1" x14ac:dyDescent="0.25">
      <c r="A13" s="40">
        <v>45208</v>
      </c>
      <c r="B13" s="89" t="s">
        <v>2240</v>
      </c>
      <c r="C13" s="89" t="s">
        <v>408</v>
      </c>
      <c r="D13" s="89" t="s">
        <v>139</v>
      </c>
      <c r="E13" s="89" t="s">
        <v>197</v>
      </c>
      <c r="F13" s="38">
        <v>1691</v>
      </c>
      <c r="G13" s="89" t="s">
        <v>2243</v>
      </c>
      <c r="H13" s="89" t="s">
        <v>348</v>
      </c>
    </row>
    <row r="14" spans="1:8" s="89" customFormat="1" x14ac:dyDescent="0.25">
      <c r="A14" s="40">
        <v>45209</v>
      </c>
      <c r="B14" s="89" t="s">
        <v>551</v>
      </c>
      <c r="C14" s="89" t="s">
        <v>186</v>
      </c>
      <c r="D14" s="89" t="s">
        <v>139</v>
      </c>
      <c r="E14" s="89" t="s">
        <v>192</v>
      </c>
      <c r="F14" s="38">
        <v>1472</v>
      </c>
      <c r="G14" s="89" t="s">
        <v>2244</v>
      </c>
      <c r="H14" s="89" t="s">
        <v>349</v>
      </c>
    </row>
    <row r="15" spans="1:8" s="89" customFormat="1" x14ac:dyDescent="0.25">
      <c r="A15" s="40">
        <v>45209</v>
      </c>
      <c r="B15" s="89" t="s">
        <v>2246</v>
      </c>
      <c r="C15" s="89" t="s">
        <v>186</v>
      </c>
      <c r="D15" s="89" t="s">
        <v>139</v>
      </c>
      <c r="E15" s="89" t="s">
        <v>192</v>
      </c>
      <c r="F15" s="38">
        <v>1425</v>
      </c>
      <c r="G15" s="89" t="s">
        <v>1578</v>
      </c>
      <c r="H15" s="89" t="s">
        <v>348</v>
      </c>
    </row>
    <row r="16" spans="1:8" s="89" customFormat="1" x14ac:dyDescent="0.25">
      <c r="A16" s="40">
        <v>45210</v>
      </c>
      <c r="B16" s="89" t="s">
        <v>2257</v>
      </c>
      <c r="C16" s="89" t="s">
        <v>408</v>
      </c>
      <c r="D16" s="89" t="s">
        <v>139</v>
      </c>
      <c r="E16" s="89" t="s">
        <v>197</v>
      </c>
      <c r="F16" s="38">
        <v>1776</v>
      </c>
      <c r="G16" s="89" t="s">
        <v>2260</v>
      </c>
      <c r="H16" s="89" t="s">
        <v>219</v>
      </c>
    </row>
    <row r="17" spans="1:8" s="89" customFormat="1" x14ac:dyDescent="0.25">
      <c r="A17" s="40">
        <v>45204</v>
      </c>
      <c r="B17" s="89" t="s">
        <v>1992</v>
      </c>
      <c r="C17" s="89" t="s">
        <v>186</v>
      </c>
      <c r="D17" s="89" t="s">
        <v>139</v>
      </c>
      <c r="E17" s="89" t="s">
        <v>192</v>
      </c>
      <c r="F17" s="38">
        <v>1450</v>
      </c>
      <c r="G17" s="89" t="s">
        <v>2275</v>
      </c>
      <c r="H17" s="89" t="s">
        <v>2276</v>
      </c>
    </row>
    <row r="18" spans="1:8" s="89" customFormat="1" x14ac:dyDescent="0.25">
      <c r="A18" s="40">
        <v>45211</v>
      </c>
      <c r="B18" s="89" t="s">
        <v>2277</v>
      </c>
      <c r="C18" s="89" t="s">
        <v>186</v>
      </c>
      <c r="D18" s="89" t="s">
        <v>139</v>
      </c>
      <c r="E18" s="89" t="s">
        <v>806</v>
      </c>
      <c r="F18" s="38">
        <v>1161.8499999999999</v>
      </c>
      <c r="G18" s="89" t="s">
        <v>1582</v>
      </c>
      <c r="H18" s="89" t="s">
        <v>582</v>
      </c>
    </row>
    <row r="19" spans="1:8" s="89" customFormat="1" x14ac:dyDescent="0.25">
      <c r="A19" s="40">
        <v>45212</v>
      </c>
      <c r="B19" s="89" t="s">
        <v>2280</v>
      </c>
      <c r="C19" s="89" t="s">
        <v>186</v>
      </c>
      <c r="D19" s="89" t="s">
        <v>139</v>
      </c>
      <c r="E19" s="89" t="s">
        <v>192</v>
      </c>
      <c r="F19" s="38">
        <v>1743</v>
      </c>
      <c r="G19" s="89" t="s">
        <v>2283</v>
      </c>
      <c r="H19" s="89" t="s">
        <v>582</v>
      </c>
    </row>
    <row r="20" spans="1:8" s="89" customFormat="1" x14ac:dyDescent="0.25">
      <c r="A20" s="40">
        <v>45212</v>
      </c>
      <c r="B20" s="89" t="s">
        <v>2284</v>
      </c>
      <c r="C20" s="89" t="s">
        <v>408</v>
      </c>
      <c r="D20" s="89" t="s">
        <v>139</v>
      </c>
      <c r="E20" s="89" t="s">
        <v>192</v>
      </c>
      <c r="F20" s="38">
        <v>1215.05</v>
      </c>
      <c r="G20" s="89" t="s">
        <v>2287</v>
      </c>
      <c r="H20" s="89" t="s">
        <v>219</v>
      </c>
    </row>
    <row r="21" spans="1:8" s="89" customFormat="1" x14ac:dyDescent="0.25">
      <c r="A21" s="40">
        <v>45213</v>
      </c>
      <c r="B21" s="89" t="s">
        <v>2288</v>
      </c>
      <c r="C21" s="89" t="s">
        <v>186</v>
      </c>
      <c r="D21" s="89" t="s">
        <v>139</v>
      </c>
      <c r="E21" s="89" t="s">
        <v>197</v>
      </c>
      <c r="F21" s="38">
        <v>998</v>
      </c>
      <c r="G21" s="89" t="s">
        <v>2290</v>
      </c>
      <c r="H21" s="89" t="s">
        <v>2291</v>
      </c>
    </row>
    <row r="22" spans="1:8" s="89" customFormat="1" x14ac:dyDescent="0.25">
      <c r="A22" s="40">
        <v>45210</v>
      </c>
      <c r="B22" s="89" t="s">
        <v>2297</v>
      </c>
      <c r="C22" s="89" t="s">
        <v>186</v>
      </c>
      <c r="D22" s="89" t="s">
        <v>139</v>
      </c>
      <c r="E22" s="89" t="s">
        <v>197</v>
      </c>
      <c r="F22" s="38">
        <v>1173.92</v>
      </c>
      <c r="G22" s="89" t="s">
        <v>2300</v>
      </c>
      <c r="H22" s="89" t="s">
        <v>2301</v>
      </c>
    </row>
    <row r="23" spans="1:8" s="89" customFormat="1" x14ac:dyDescent="0.25">
      <c r="A23" s="40">
        <v>45211</v>
      </c>
      <c r="B23" s="89" t="s">
        <v>2222</v>
      </c>
      <c r="C23" s="89" t="s">
        <v>186</v>
      </c>
      <c r="D23" s="89" t="s">
        <v>139</v>
      </c>
      <c r="E23" s="89" t="s">
        <v>192</v>
      </c>
      <c r="F23" s="38">
        <v>5183</v>
      </c>
      <c r="G23" s="89" t="s">
        <v>2302</v>
      </c>
      <c r="H23" s="89" t="s">
        <v>582</v>
      </c>
    </row>
    <row r="24" spans="1:8" s="89" customFormat="1" x14ac:dyDescent="0.25">
      <c r="A24" s="40">
        <v>45216</v>
      </c>
      <c r="B24" s="89" t="s">
        <v>2303</v>
      </c>
      <c r="C24" s="89" t="s">
        <v>186</v>
      </c>
      <c r="D24" s="89" t="s">
        <v>139</v>
      </c>
      <c r="E24" s="89" t="s">
        <v>197</v>
      </c>
      <c r="F24" s="38">
        <v>2834</v>
      </c>
      <c r="G24" s="89" t="s">
        <v>2306</v>
      </c>
      <c r="H24" s="89" t="s">
        <v>2320</v>
      </c>
    </row>
    <row r="25" spans="1:8" s="89" customFormat="1" x14ac:dyDescent="0.25">
      <c r="A25" s="40">
        <v>45217</v>
      </c>
      <c r="B25" s="89" t="s">
        <v>2307</v>
      </c>
      <c r="C25" s="89" t="s">
        <v>186</v>
      </c>
      <c r="D25" s="89" t="s">
        <v>139</v>
      </c>
      <c r="E25" s="89" t="s">
        <v>197</v>
      </c>
      <c r="F25" s="38">
        <v>4922.1000000000004</v>
      </c>
      <c r="G25" s="89" t="s">
        <v>2310</v>
      </c>
      <c r="H25" s="89" t="s">
        <v>999</v>
      </c>
    </row>
    <row r="26" spans="1:8" s="89" customFormat="1" x14ac:dyDescent="0.25">
      <c r="A26" s="40">
        <v>45217</v>
      </c>
      <c r="B26" s="89" t="s">
        <v>2311</v>
      </c>
      <c r="C26" s="89" t="s">
        <v>186</v>
      </c>
      <c r="D26" s="89" t="s">
        <v>139</v>
      </c>
      <c r="E26" s="89" t="s">
        <v>197</v>
      </c>
      <c r="F26" s="38">
        <v>1150</v>
      </c>
      <c r="G26" s="89" t="s">
        <v>2121</v>
      </c>
      <c r="H26" s="89" t="s">
        <v>2321</v>
      </c>
    </row>
    <row r="27" spans="1:8" s="89" customFormat="1" x14ac:dyDescent="0.25">
      <c r="A27" s="40">
        <v>45210</v>
      </c>
      <c r="B27" s="89" t="s">
        <v>2253</v>
      </c>
      <c r="C27" s="89" t="s">
        <v>186</v>
      </c>
      <c r="D27" s="89" t="s">
        <v>139</v>
      </c>
      <c r="E27" s="89" t="s">
        <v>192</v>
      </c>
      <c r="F27" s="38">
        <v>1074</v>
      </c>
      <c r="G27" s="89" t="s">
        <v>2319</v>
      </c>
      <c r="H27" s="89" t="s">
        <v>2331</v>
      </c>
    </row>
    <row r="28" spans="1:8" s="89" customFormat="1" x14ac:dyDescent="0.25">
      <c r="A28" s="40">
        <v>45218</v>
      </c>
      <c r="B28" s="89" t="s">
        <v>2322</v>
      </c>
      <c r="C28" s="89" t="s">
        <v>186</v>
      </c>
      <c r="D28" s="89" t="s">
        <v>139</v>
      </c>
      <c r="E28" s="89" t="s">
        <v>192</v>
      </c>
      <c r="F28" s="38">
        <v>1575</v>
      </c>
      <c r="G28" s="89" t="s">
        <v>2325</v>
      </c>
      <c r="H28" s="89" t="s">
        <v>2330</v>
      </c>
    </row>
    <row r="29" spans="1:8" s="89" customFormat="1" x14ac:dyDescent="0.25">
      <c r="A29" s="40">
        <v>45218</v>
      </c>
      <c r="B29" s="89" t="s">
        <v>2326</v>
      </c>
      <c r="C29" s="89" t="s">
        <v>186</v>
      </c>
      <c r="D29" s="89" t="s">
        <v>139</v>
      </c>
      <c r="E29" s="89" t="s">
        <v>197</v>
      </c>
      <c r="F29" s="38">
        <v>1717</v>
      </c>
      <c r="G29" s="89" t="s">
        <v>2329</v>
      </c>
      <c r="H29" s="89" t="s">
        <v>219</v>
      </c>
    </row>
    <row r="30" spans="1:8" s="89" customFormat="1" x14ac:dyDescent="0.25">
      <c r="A30" s="40">
        <v>45220</v>
      </c>
      <c r="B30" s="89" t="s">
        <v>2334</v>
      </c>
      <c r="C30" s="89" t="s">
        <v>186</v>
      </c>
      <c r="D30" s="89" t="s">
        <v>139</v>
      </c>
      <c r="E30" s="89" t="s">
        <v>197</v>
      </c>
      <c r="F30" s="38">
        <v>1425</v>
      </c>
      <c r="G30" s="89" t="s">
        <v>2337</v>
      </c>
      <c r="H30" s="89" t="s">
        <v>2343</v>
      </c>
    </row>
    <row r="31" spans="1:8" s="89" customFormat="1" x14ac:dyDescent="0.25">
      <c r="A31" s="40">
        <v>45220</v>
      </c>
      <c r="B31" s="89" t="s">
        <v>2311</v>
      </c>
      <c r="C31" s="89" t="s">
        <v>186</v>
      </c>
      <c r="D31" s="89" t="s">
        <v>139</v>
      </c>
      <c r="E31" s="89" t="s">
        <v>192</v>
      </c>
      <c r="F31" s="38">
        <v>956</v>
      </c>
      <c r="G31" s="89" t="s">
        <v>769</v>
      </c>
      <c r="H31" s="89" t="s">
        <v>582</v>
      </c>
    </row>
    <row r="32" spans="1:8" s="89" customFormat="1" x14ac:dyDescent="0.25">
      <c r="A32" s="40">
        <v>45201</v>
      </c>
      <c r="B32" s="89" t="s">
        <v>2132</v>
      </c>
      <c r="C32" s="89" t="s">
        <v>186</v>
      </c>
      <c r="D32" s="89" t="s">
        <v>141</v>
      </c>
      <c r="E32" s="89" t="s">
        <v>192</v>
      </c>
      <c r="F32" s="38">
        <v>7522.58</v>
      </c>
      <c r="G32" s="89" t="s">
        <v>2342</v>
      </c>
      <c r="H32" s="89" t="s">
        <v>219</v>
      </c>
    </row>
    <row r="33" spans="1:8" s="89" customFormat="1" x14ac:dyDescent="0.25">
      <c r="A33" s="40">
        <v>45222</v>
      </c>
      <c r="B33" s="89" t="s">
        <v>2344</v>
      </c>
      <c r="C33" s="89" t="s">
        <v>186</v>
      </c>
      <c r="D33" s="89" t="s">
        <v>139</v>
      </c>
      <c r="E33" s="89" t="s">
        <v>197</v>
      </c>
      <c r="F33" s="38">
        <v>1857</v>
      </c>
      <c r="G33" s="89" t="s">
        <v>2347</v>
      </c>
      <c r="H33" s="89" t="s">
        <v>2363</v>
      </c>
    </row>
    <row r="34" spans="1:8" x14ac:dyDescent="0.25">
      <c r="A34" s="40">
        <v>45222</v>
      </c>
      <c r="B34" s="89" t="s">
        <v>2348</v>
      </c>
      <c r="C34" s="89" t="s">
        <v>186</v>
      </c>
      <c r="D34" s="89" t="s">
        <v>139</v>
      </c>
      <c r="E34" s="89" t="s">
        <v>197</v>
      </c>
      <c r="F34" s="38">
        <v>2079</v>
      </c>
      <c r="G34" s="89" t="s">
        <v>2351</v>
      </c>
      <c r="H34" s="89" t="s">
        <v>310</v>
      </c>
    </row>
    <row r="35" spans="1:8" x14ac:dyDescent="0.25">
      <c r="A35" s="40">
        <v>45223</v>
      </c>
      <c r="B35" s="89" t="s">
        <v>2132</v>
      </c>
      <c r="C35" s="89" t="s">
        <v>186</v>
      </c>
      <c r="D35" t="s">
        <v>141</v>
      </c>
      <c r="E35" s="89" t="s">
        <v>192</v>
      </c>
      <c r="F35" s="38">
        <v>5724.64</v>
      </c>
      <c r="G35" s="89" t="s">
        <v>2360</v>
      </c>
      <c r="H35" s="89" t="s">
        <v>219</v>
      </c>
    </row>
    <row r="36" spans="1:8" x14ac:dyDescent="0.25">
      <c r="A36" s="40">
        <v>45224</v>
      </c>
      <c r="B36" s="89" t="s">
        <v>778</v>
      </c>
      <c r="C36" s="89" t="s">
        <v>186</v>
      </c>
      <c r="D36" s="89" t="s">
        <v>139</v>
      </c>
      <c r="E36" s="89" t="s">
        <v>192</v>
      </c>
      <c r="F36" s="38">
        <v>1170</v>
      </c>
      <c r="G36" s="89" t="s">
        <v>1163</v>
      </c>
      <c r="H36" s="89" t="s">
        <v>2365</v>
      </c>
    </row>
    <row r="37" spans="1:8" x14ac:dyDescent="0.25">
      <c r="A37" s="40">
        <v>45224</v>
      </c>
      <c r="B37" s="89" t="s">
        <v>1285</v>
      </c>
      <c r="C37" s="89" t="s">
        <v>186</v>
      </c>
      <c r="D37" s="89" t="s">
        <v>139</v>
      </c>
      <c r="E37" s="89" t="s">
        <v>192</v>
      </c>
      <c r="F37" s="38">
        <v>1652</v>
      </c>
      <c r="G37" s="89" t="s">
        <v>2362</v>
      </c>
      <c r="H37" s="89" t="s">
        <v>219</v>
      </c>
    </row>
    <row r="38" spans="1:8" x14ac:dyDescent="0.25">
      <c r="A38" s="40">
        <v>45225</v>
      </c>
      <c r="B38" s="89" t="s">
        <v>2367</v>
      </c>
      <c r="C38" s="89" t="s">
        <v>186</v>
      </c>
      <c r="D38" t="s">
        <v>141</v>
      </c>
      <c r="E38" s="89" t="s">
        <v>192</v>
      </c>
      <c r="F38" s="38">
        <v>1781.76</v>
      </c>
      <c r="G38" s="89" t="s">
        <v>2370</v>
      </c>
      <c r="H38" s="89" t="s">
        <v>2378</v>
      </c>
    </row>
    <row r="39" spans="1:8" x14ac:dyDescent="0.25">
      <c r="A39" s="40">
        <v>45222</v>
      </c>
      <c r="B39" s="89" t="s">
        <v>2374</v>
      </c>
      <c r="C39" s="89" t="s">
        <v>408</v>
      </c>
      <c r="D39" s="89" t="s">
        <v>139</v>
      </c>
      <c r="E39" s="89" t="s">
        <v>197</v>
      </c>
      <c r="F39" s="38">
        <v>1039</v>
      </c>
      <c r="G39" s="89" t="s">
        <v>2377</v>
      </c>
      <c r="H39" s="89" t="s">
        <v>2229</v>
      </c>
    </row>
    <row r="40" spans="1:8" x14ac:dyDescent="0.25">
      <c r="A40" s="40">
        <v>45226</v>
      </c>
      <c r="B40" s="89" t="s">
        <v>2379</v>
      </c>
      <c r="C40" s="89" t="s">
        <v>408</v>
      </c>
      <c r="D40" s="89" t="s">
        <v>139</v>
      </c>
      <c r="E40" s="89" t="s">
        <v>197</v>
      </c>
      <c r="F40" s="38">
        <v>960</v>
      </c>
      <c r="G40" s="89" t="s">
        <v>526</v>
      </c>
      <c r="H40" s="89" t="s">
        <v>2229</v>
      </c>
    </row>
    <row r="41" spans="1:8" x14ac:dyDescent="0.25">
      <c r="A41" s="40">
        <v>45227</v>
      </c>
      <c r="B41" s="89" t="s">
        <v>2382</v>
      </c>
      <c r="C41" s="89" t="s">
        <v>408</v>
      </c>
      <c r="D41" s="89" t="s">
        <v>139</v>
      </c>
      <c r="E41" s="89" t="s">
        <v>197</v>
      </c>
      <c r="F41" s="38">
        <v>1640</v>
      </c>
      <c r="G41" s="89" t="s">
        <v>2385</v>
      </c>
      <c r="H41" s="89" t="s">
        <v>582</v>
      </c>
    </row>
    <row r="42" spans="1:8" x14ac:dyDescent="0.25">
      <c r="A42" s="40">
        <v>45215</v>
      </c>
      <c r="B42" s="89" t="s">
        <v>272</v>
      </c>
      <c r="C42" s="89" t="s">
        <v>186</v>
      </c>
      <c r="D42" t="s">
        <v>139</v>
      </c>
      <c r="E42" s="89" t="s">
        <v>192</v>
      </c>
      <c r="F42" s="38">
        <v>3450.4</v>
      </c>
      <c r="G42" s="89" t="s">
        <v>2398</v>
      </c>
      <c r="H42" s="89" t="s">
        <v>219</v>
      </c>
    </row>
    <row r="43" spans="1:8" x14ac:dyDescent="0.25">
      <c r="A43" s="40">
        <v>45219</v>
      </c>
      <c r="B43" s="89" t="s">
        <v>2399</v>
      </c>
      <c r="C43" s="89" t="s">
        <v>186</v>
      </c>
      <c r="D43" t="s">
        <v>139</v>
      </c>
      <c r="E43" s="89" t="s">
        <v>197</v>
      </c>
      <c r="F43" s="38">
        <v>974</v>
      </c>
      <c r="G43" s="89" t="s">
        <v>2402</v>
      </c>
      <c r="H43" s="89" t="s">
        <v>2512</v>
      </c>
    </row>
    <row r="44" spans="1:8" x14ac:dyDescent="0.25">
      <c r="A44" s="40">
        <v>45223</v>
      </c>
      <c r="B44" s="89" t="s">
        <v>2230</v>
      </c>
      <c r="C44" s="89" t="s">
        <v>186</v>
      </c>
      <c r="D44" t="s">
        <v>139</v>
      </c>
      <c r="E44" s="89" t="s">
        <v>192</v>
      </c>
      <c r="F44" s="38">
        <v>1090</v>
      </c>
      <c r="G44" s="89" t="s">
        <v>2319</v>
      </c>
      <c r="H44" s="89" t="s">
        <v>310</v>
      </c>
    </row>
    <row r="45" spans="1:8" x14ac:dyDescent="0.25">
      <c r="A45" s="40">
        <v>45230</v>
      </c>
      <c r="B45" s="89" t="s">
        <v>2404</v>
      </c>
      <c r="C45" s="89" t="s">
        <v>186</v>
      </c>
      <c r="D45" t="s">
        <v>139</v>
      </c>
      <c r="E45" s="89" t="s">
        <v>197</v>
      </c>
      <c r="F45" s="38">
        <v>2689</v>
      </c>
      <c r="G45" s="89" t="s">
        <v>2407</v>
      </c>
      <c r="H45" s="89" t="s">
        <v>219</v>
      </c>
    </row>
    <row r="46" spans="1:8" x14ac:dyDescent="0.25">
      <c r="A46" s="40">
        <v>45216</v>
      </c>
      <c r="B46" s="89" t="s">
        <v>628</v>
      </c>
      <c r="C46" s="89" t="s">
        <v>186</v>
      </c>
      <c r="D46" t="s">
        <v>139</v>
      </c>
      <c r="E46" s="89" t="s">
        <v>192</v>
      </c>
      <c r="F46" s="38">
        <v>3410</v>
      </c>
      <c r="G46" s="89" t="s">
        <v>2414</v>
      </c>
      <c r="H46" s="89" t="s">
        <v>219</v>
      </c>
    </row>
    <row r="47" spans="1:8" x14ac:dyDescent="0.25">
      <c r="A47" s="40">
        <v>45229</v>
      </c>
      <c r="B47" s="89" t="s">
        <v>2423</v>
      </c>
      <c r="C47" t="s">
        <v>186</v>
      </c>
      <c r="D47" t="s">
        <v>139</v>
      </c>
      <c r="E47" t="s">
        <v>197</v>
      </c>
      <c r="F47" s="38">
        <v>956</v>
      </c>
      <c r="G47" t="s">
        <v>2426</v>
      </c>
      <c r="H47" t="s">
        <v>2432</v>
      </c>
    </row>
    <row r="48" spans="1:8" x14ac:dyDescent="0.25">
      <c r="A48" s="40">
        <v>45224</v>
      </c>
      <c r="B48" s="89" t="s">
        <v>2472</v>
      </c>
      <c r="C48" t="s">
        <v>186</v>
      </c>
      <c r="D48" t="s">
        <v>139</v>
      </c>
      <c r="E48" t="s">
        <v>192</v>
      </c>
      <c r="F48" s="38">
        <v>4781.7</v>
      </c>
      <c r="G48" s="89" t="s">
        <v>2475</v>
      </c>
      <c r="H48" s="89" t="s">
        <v>219</v>
      </c>
    </row>
    <row r="49" spans="1:10" x14ac:dyDescent="0.25">
      <c r="A49" s="40">
        <v>45226</v>
      </c>
      <c r="B49" s="89" t="s">
        <v>1306</v>
      </c>
      <c r="C49" t="s">
        <v>186</v>
      </c>
      <c r="D49" t="s">
        <v>139</v>
      </c>
      <c r="E49" t="s">
        <v>192</v>
      </c>
      <c r="F49" s="38">
        <v>1780</v>
      </c>
      <c r="G49" s="89" t="s">
        <v>2476</v>
      </c>
      <c r="H49" s="89" t="s">
        <v>348</v>
      </c>
    </row>
    <row r="50" spans="1:10" s="89" customFormat="1" x14ac:dyDescent="0.25">
      <c r="A50" s="40"/>
      <c r="F50" s="38"/>
    </row>
    <row r="53" spans="1:10" ht="15.75" thickBot="1" x14ac:dyDescent="0.3">
      <c r="A53" s="99" t="s">
        <v>130</v>
      </c>
      <c r="B53" s="99"/>
      <c r="C53" s="99"/>
      <c r="D53" s="99"/>
      <c r="E53" s="99"/>
      <c r="F53" s="99"/>
      <c r="G53" s="39"/>
    </row>
    <row r="54" spans="1:10" x14ac:dyDescent="0.25">
      <c r="A54" s="7" t="s">
        <v>131</v>
      </c>
      <c r="B54" s="40"/>
      <c r="C54" s="41">
        <f>SUM(F2:F49)</f>
        <v>111320.77999999998</v>
      </c>
      <c r="D54" s="42"/>
      <c r="E54" s="43" t="s">
        <v>132</v>
      </c>
      <c r="F54" s="44"/>
      <c r="G54" s="39"/>
      <c r="H54" s="45" t="s">
        <v>62</v>
      </c>
      <c r="I54" s="46">
        <v>24</v>
      </c>
      <c r="J54" s="47"/>
    </row>
    <row r="55" spans="1:10" x14ac:dyDescent="0.25">
      <c r="A55" s="7"/>
      <c r="B55" s="40"/>
      <c r="C55" s="41"/>
      <c r="D55" s="42"/>
      <c r="E55" s="48" t="s">
        <v>133</v>
      </c>
      <c r="F55" s="49">
        <v>111320.77999999998</v>
      </c>
      <c r="G55" s="39"/>
      <c r="H55" s="48" t="s">
        <v>99</v>
      </c>
      <c r="I55" s="50">
        <v>11</v>
      </c>
      <c r="J55" s="51">
        <f>I55/I$54</f>
        <v>0.45833333333333331</v>
      </c>
    </row>
    <row r="56" spans="1:10" ht="15.75" thickBot="1" x14ac:dyDescent="0.3">
      <c r="A56" s="7" t="s">
        <v>134</v>
      </c>
      <c r="B56" s="40"/>
      <c r="C56" s="52">
        <v>28</v>
      </c>
      <c r="D56" s="42"/>
      <c r="E56" s="53" t="s">
        <v>135</v>
      </c>
      <c r="F56" s="54">
        <f>C54/C56</f>
        <v>3975.7421428571424</v>
      </c>
      <c r="G56" s="39"/>
      <c r="H56" s="48" t="s">
        <v>100</v>
      </c>
      <c r="I56" s="50">
        <v>13</v>
      </c>
      <c r="J56" s="51">
        <f>I56/I$54</f>
        <v>0.54166666666666663</v>
      </c>
    </row>
    <row r="57" spans="1:10" ht="15.75" thickBot="1" x14ac:dyDescent="0.3">
      <c r="A57" s="7" t="s">
        <v>136</v>
      </c>
      <c r="B57" s="40"/>
      <c r="C57">
        <v>48</v>
      </c>
      <c r="D57" s="42"/>
      <c r="E57" s="42"/>
      <c r="F57" s="14"/>
      <c r="G57" s="39"/>
      <c r="H57" s="53" t="s">
        <v>101</v>
      </c>
      <c r="I57" s="55">
        <v>0</v>
      </c>
      <c r="J57" s="56">
        <f>I57/I$54</f>
        <v>0</v>
      </c>
    </row>
    <row r="58" spans="1:10" x14ac:dyDescent="0.25">
      <c r="A58" s="7"/>
      <c r="B58" s="40"/>
      <c r="D58" s="42" t="s">
        <v>81</v>
      </c>
      <c r="E58" s="43" t="s">
        <v>137</v>
      </c>
      <c r="F58" s="44"/>
      <c r="G58" s="39"/>
    </row>
    <row r="59" spans="1:10" ht="15.75" thickBot="1" x14ac:dyDescent="0.3">
      <c r="A59" s="7" t="s">
        <v>138</v>
      </c>
      <c r="B59" s="40"/>
      <c r="C59">
        <v>43</v>
      </c>
      <c r="D59" s="42" t="s">
        <v>81</v>
      </c>
      <c r="E59" s="48" t="s">
        <v>139</v>
      </c>
      <c r="F59" s="51">
        <f>C59/C$57</f>
        <v>0.89583333333333337</v>
      </c>
      <c r="G59" s="39"/>
    </row>
    <row r="60" spans="1:10" ht="15.75" thickBot="1" x14ac:dyDescent="0.3">
      <c r="A60" s="7" t="s">
        <v>140</v>
      </c>
      <c r="B60" s="40"/>
      <c r="C60">
        <v>5</v>
      </c>
      <c r="D60" s="42"/>
      <c r="E60" s="53" t="s">
        <v>141</v>
      </c>
      <c r="F60" s="56">
        <f>C60/C$57</f>
        <v>0.10416666666666667</v>
      </c>
      <c r="G60" s="39"/>
      <c r="H60" s="45" t="s">
        <v>142</v>
      </c>
      <c r="I60" s="46">
        <v>45</v>
      </c>
      <c r="J60" s="47"/>
    </row>
    <row r="61" spans="1:10" ht="15.75" thickBot="1" x14ac:dyDescent="0.3">
      <c r="A61" s="7"/>
      <c r="B61" s="40"/>
      <c r="D61" s="42"/>
      <c r="E61" s="42"/>
      <c r="F61" s="14"/>
      <c r="G61" s="39"/>
      <c r="H61" s="57" t="s">
        <v>143</v>
      </c>
      <c r="I61" s="59">
        <v>30</v>
      </c>
      <c r="J61" s="51">
        <f>I61/I$60</f>
        <v>0.66666666666666663</v>
      </c>
    </row>
    <row r="62" spans="1:10" x14ac:dyDescent="0.25">
      <c r="A62" s="7" t="s">
        <v>144</v>
      </c>
      <c r="B62" s="40"/>
      <c r="D62" s="42"/>
      <c r="E62" s="43" t="s">
        <v>48</v>
      </c>
      <c r="F62" s="44"/>
      <c r="G62" s="39"/>
      <c r="H62" s="57" t="s">
        <v>145</v>
      </c>
      <c r="I62" s="59">
        <v>11</v>
      </c>
      <c r="J62" s="51">
        <f>I62/I$60</f>
        <v>0.24444444444444444</v>
      </c>
    </row>
    <row r="63" spans="1:10" ht="15.75" thickBot="1" x14ac:dyDescent="0.3">
      <c r="A63" s="7" t="s">
        <v>61</v>
      </c>
      <c r="B63" s="40"/>
      <c r="C63">
        <v>3</v>
      </c>
      <c r="D63" s="42"/>
      <c r="E63" s="58" t="s">
        <v>61</v>
      </c>
      <c r="F63" s="51">
        <f>C63/C$72</f>
        <v>2.4390243902439025E-2</v>
      </c>
      <c r="G63" s="39"/>
      <c r="H63" s="22" t="s">
        <v>146</v>
      </c>
      <c r="I63" s="55">
        <v>4</v>
      </c>
      <c r="J63" s="56">
        <f>I63/I$60</f>
        <v>8.8888888888888892E-2</v>
      </c>
    </row>
    <row r="64" spans="1:10" ht="15.75" thickBot="1" x14ac:dyDescent="0.3">
      <c r="A64" s="7" t="s">
        <v>62</v>
      </c>
      <c r="B64" s="40"/>
      <c r="C64">
        <v>24</v>
      </c>
      <c r="D64" s="42"/>
      <c r="E64" s="58" t="s">
        <v>62</v>
      </c>
      <c r="F64" s="51">
        <f t="shared" ref="F64:F71" si="0">C64/C$72</f>
        <v>0.1951219512195122</v>
      </c>
      <c r="G64" s="39"/>
    </row>
    <row r="65" spans="1:10" x14ac:dyDescent="0.25">
      <c r="A65" s="7" t="s">
        <v>63</v>
      </c>
      <c r="B65" s="40"/>
      <c r="C65">
        <v>45</v>
      </c>
      <c r="D65" s="42"/>
      <c r="E65" s="58" t="s">
        <v>63</v>
      </c>
      <c r="F65" s="51">
        <f t="shared" si="0"/>
        <v>0.36585365853658536</v>
      </c>
      <c r="G65" s="42" t="s">
        <v>81</v>
      </c>
      <c r="H65" s="45" t="s">
        <v>147</v>
      </c>
      <c r="I65" s="46">
        <v>20</v>
      </c>
      <c r="J65" s="44">
        <f t="shared" ref="J65:J76" si="1">I65/I$60</f>
        <v>0.44444444444444442</v>
      </c>
    </row>
    <row r="66" spans="1:10" x14ac:dyDescent="0.25">
      <c r="A66" s="7" t="s">
        <v>64</v>
      </c>
      <c r="B66" s="40"/>
      <c r="C66">
        <v>0</v>
      </c>
      <c r="D66" s="42"/>
      <c r="E66" s="58" t="s">
        <v>64</v>
      </c>
      <c r="F66" s="51">
        <f t="shared" si="0"/>
        <v>0</v>
      </c>
      <c r="G66" s="39"/>
      <c r="H66" s="57" t="s">
        <v>148</v>
      </c>
      <c r="I66" s="59">
        <v>4</v>
      </c>
      <c r="J66" s="51">
        <f t="shared" si="1"/>
        <v>8.8888888888888892E-2</v>
      </c>
    </row>
    <row r="67" spans="1:10" x14ac:dyDescent="0.25">
      <c r="A67" s="7" t="s">
        <v>65</v>
      </c>
      <c r="B67" s="40"/>
      <c r="C67">
        <v>9</v>
      </c>
      <c r="D67" s="42"/>
      <c r="E67" s="58" t="s">
        <v>65</v>
      </c>
      <c r="F67" s="51">
        <f t="shared" si="0"/>
        <v>7.3170731707317069E-2</v>
      </c>
      <c r="G67" s="39"/>
      <c r="H67" s="57" t="s">
        <v>149</v>
      </c>
      <c r="I67" s="59">
        <v>6</v>
      </c>
      <c r="J67" s="51">
        <f t="shared" si="1"/>
        <v>0.13333333333333333</v>
      </c>
    </row>
    <row r="68" spans="1:10" x14ac:dyDescent="0.25">
      <c r="A68" s="7" t="s">
        <v>66</v>
      </c>
      <c r="B68" s="40"/>
      <c r="C68">
        <v>1</v>
      </c>
      <c r="D68" s="42"/>
      <c r="E68" s="58" t="s">
        <v>66</v>
      </c>
      <c r="F68" s="51">
        <f t="shared" si="0"/>
        <v>8.130081300813009E-3</v>
      </c>
      <c r="G68" s="39"/>
      <c r="H68" s="57" t="s">
        <v>150</v>
      </c>
      <c r="I68" s="59">
        <v>2</v>
      </c>
      <c r="J68" s="51">
        <f t="shared" si="1"/>
        <v>4.4444444444444446E-2</v>
      </c>
    </row>
    <row r="69" spans="1:10" x14ac:dyDescent="0.25">
      <c r="A69" s="7" t="s">
        <v>67</v>
      </c>
      <c r="B69" s="40"/>
      <c r="C69">
        <v>20</v>
      </c>
      <c r="D69" s="42"/>
      <c r="E69" s="58" t="s">
        <v>67</v>
      </c>
      <c r="F69" s="51">
        <f t="shared" si="0"/>
        <v>0.16260162601626016</v>
      </c>
      <c r="G69" s="39"/>
      <c r="H69" s="57" t="s">
        <v>151</v>
      </c>
      <c r="I69" s="59">
        <v>6</v>
      </c>
      <c r="J69" s="51">
        <f t="shared" si="1"/>
        <v>0.13333333333333333</v>
      </c>
    </row>
    <row r="70" spans="1:10" x14ac:dyDescent="0.25">
      <c r="A70" s="7" t="s">
        <v>68</v>
      </c>
      <c r="B70" s="40"/>
      <c r="C70">
        <v>2</v>
      </c>
      <c r="D70" s="42"/>
      <c r="E70" s="58" t="s">
        <v>68</v>
      </c>
      <c r="F70" s="51">
        <f t="shared" si="0"/>
        <v>1.6260162601626018E-2</v>
      </c>
      <c r="G70" s="39"/>
      <c r="H70" s="57" t="s">
        <v>152</v>
      </c>
      <c r="I70" s="59">
        <v>4</v>
      </c>
      <c r="J70" s="51">
        <f t="shared" si="1"/>
        <v>8.8888888888888892E-2</v>
      </c>
    </row>
    <row r="71" spans="1:10" ht="15.75" thickBot="1" x14ac:dyDescent="0.3">
      <c r="A71" s="7" t="s">
        <v>69</v>
      </c>
      <c r="B71" s="40"/>
      <c r="C71">
        <v>19</v>
      </c>
      <c r="D71" s="42"/>
      <c r="E71" s="60" t="s">
        <v>69</v>
      </c>
      <c r="F71" s="56">
        <f t="shared" si="0"/>
        <v>0.15447154471544716</v>
      </c>
      <c r="G71" s="42" t="s">
        <v>81</v>
      </c>
      <c r="H71" s="61" t="s">
        <v>153</v>
      </c>
      <c r="I71" s="59">
        <v>2</v>
      </c>
      <c r="J71" s="51">
        <f t="shared" si="1"/>
        <v>4.4444444444444446E-2</v>
      </c>
    </row>
    <row r="72" spans="1:10" ht="15.75" thickBot="1" x14ac:dyDescent="0.3">
      <c r="A72" s="7" t="s">
        <v>154</v>
      </c>
      <c r="B72" s="40"/>
      <c r="C72">
        <f>SUM(C63:C71)</f>
        <v>123</v>
      </c>
      <c r="D72" s="42"/>
      <c r="E72" s="7"/>
      <c r="F72" s="14"/>
      <c r="G72" s="39"/>
      <c r="H72" s="61" t="s">
        <v>155</v>
      </c>
      <c r="I72" s="59">
        <v>0</v>
      </c>
      <c r="J72" s="51">
        <f t="shared" si="1"/>
        <v>0</v>
      </c>
    </row>
    <row r="73" spans="1:10" x14ac:dyDescent="0.25">
      <c r="A73" s="7"/>
      <c r="B73" s="40"/>
      <c r="D73" s="42"/>
      <c r="E73" s="62" t="s">
        <v>70</v>
      </c>
      <c r="F73" s="44"/>
      <c r="G73" s="39"/>
      <c r="H73" s="61" t="s">
        <v>156</v>
      </c>
      <c r="I73" s="59">
        <v>0</v>
      </c>
      <c r="J73" s="51">
        <f t="shared" si="1"/>
        <v>0</v>
      </c>
    </row>
    <row r="74" spans="1:10" x14ac:dyDescent="0.25">
      <c r="A74" s="7" t="s">
        <v>157</v>
      </c>
      <c r="B74" s="40"/>
      <c r="D74" s="42"/>
      <c r="E74" s="58" t="s">
        <v>71</v>
      </c>
      <c r="F74" s="51">
        <f>C75/C$85</f>
        <v>0.30597014925373134</v>
      </c>
      <c r="G74" s="39"/>
      <c r="H74" s="57" t="s">
        <v>158</v>
      </c>
      <c r="I74" s="59">
        <v>1</v>
      </c>
      <c r="J74" s="51">
        <f t="shared" si="1"/>
        <v>2.2222222222222223E-2</v>
      </c>
    </row>
    <row r="75" spans="1:10" x14ac:dyDescent="0.25">
      <c r="A75" s="7" t="s">
        <v>71</v>
      </c>
      <c r="B75" s="40"/>
      <c r="C75">
        <v>41</v>
      </c>
      <c r="D75" s="42"/>
      <c r="E75" s="58" t="s">
        <v>72</v>
      </c>
      <c r="F75" s="51">
        <f t="shared" ref="F75:F83" si="2">C76/C$85</f>
        <v>0.17164179104477612</v>
      </c>
      <c r="G75" s="39"/>
      <c r="H75" s="61" t="s">
        <v>159</v>
      </c>
      <c r="I75" s="59">
        <v>0</v>
      </c>
      <c r="J75" s="51">
        <f t="shared" si="1"/>
        <v>0</v>
      </c>
    </row>
    <row r="76" spans="1:10" ht="15.75" thickBot="1" x14ac:dyDescent="0.3">
      <c r="A76" s="7" t="s">
        <v>72</v>
      </c>
      <c r="B76" s="40"/>
      <c r="C76">
        <v>23</v>
      </c>
      <c r="D76" s="42"/>
      <c r="E76" s="58" t="s">
        <v>73</v>
      </c>
      <c r="F76" s="51">
        <f t="shared" si="2"/>
        <v>6.7164179104477612E-2</v>
      </c>
      <c r="G76" s="39"/>
      <c r="H76" s="63" t="s">
        <v>160</v>
      </c>
      <c r="I76" s="55">
        <v>0</v>
      </c>
      <c r="J76" s="56">
        <f t="shared" si="1"/>
        <v>0</v>
      </c>
    </row>
    <row r="77" spans="1:10" x14ac:dyDescent="0.25">
      <c r="A77" s="7" t="s">
        <v>73</v>
      </c>
      <c r="B77" s="40"/>
      <c r="C77">
        <v>9</v>
      </c>
      <c r="D77" s="42"/>
      <c r="E77" s="58" t="s">
        <v>74</v>
      </c>
      <c r="F77" s="51">
        <f t="shared" si="2"/>
        <v>0.18656716417910449</v>
      </c>
      <c r="G77" s="39"/>
    </row>
    <row r="78" spans="1:10" ht="15.75" thickBot="1" x14ac:dyDescent="0.3">
      <c r="A78" s="7" t="s">
        <v>74</v>
      </c>
      <c r="B78" s="40"/>
      <c r="C78">
        <v>25</v>
      </c>
      <c r="D78" s="42"/>
      <c r="E78" s="58" t="s">
        <v>75</v>
      </c>
      <c r="F78" s="51">
        <f t="shared" si="2"/>
        <v>0.18656716417910449</v>
      </c>
      <c r="G78" s="42" t="s">
        <v>81</v>
      </c>
    </row>
    <row r="79" spans="1:10" x14ac:dyDescent="0.25">
      <c r="A79" s="7" t="s">
        <v>75</v>
      </c>
      <c r="B79" s="40"/>
      <c r="C79">
        <v>25</v>
      </c>
      <c r="D79" s="42"/>
      <c r="E79" s="58" t="s">
        <v>76</v>
      </c>
      <c r="F79" s="51">
        <f t="shared" si="2"/>
        <v>0</v>
      </c>
      <c r="G79" s="39"/>
      <c r="H79" s="45" t="s">
        <v>65</v>
      </c>
      <c r="I79" s="46">
        <v>9</v>
      </c>
      <c r="J79" s="47"/>
    </row>
    <row r="80" spans="1:10" x14ac:dyDescent="0.25">
      <c r="A80" s="7" t="s">
        <v>76</v>
      </c>
      <c r="B80" s="40"/>
      <c r="C80">
        <v>0</v>
      </c>
      <c r="D80" s="42"/>
      <c r="E80" s="58" t="s">
        <v>77</v>
      </c>
      <c r="F80" s="51">
        <f t="shared" si="2"/>
        <v>0</v>
      </c>
      <c r="G80" s="39"/>
      <c r="H80" s="57" t="s">
        <v>161</v>
      </c>
      <c r="I80" s="59">
        <v>4</v>
      </c>
      <c r="J80" s="51">
        <f>I80/I$79</f>
        <v>0.44444444444444442</v>
      </c>
    </row>
    <row r="81" spans="1:10" ht="15.75" thickBot="1" x14ac:dyDescent="0.3">
      <c r="A81" s="7" t="s">
        <v>77</v>
      </c>
      <c r="B81" s="40"/>
      <c r="C81">
        <v>0</v>
      </c>
      <c r="D81" s="42"/>
      <c r="E81" s="58" t="s">
        <v>78</v>
      </c>
      <c r="F81" s="51">
        <f t="shared" si="2"/>
        <v>0</v>
      </c>
      <c r="G81" s="39"/>
      <c r="H81" s="22" t="s">
        <v>103</v>
      </c>
      <c r="I81" s="55">
        <v>5</v>
      </c>
      <c r="J81" s="56">
        <f>I81/I$79</f>
        <v>0.55555555555555558</v>
      </c>
    </row>
    <row r="82" spans="1:10" x14ac:dyDescent="0.25">
      <c r="A82" s="7" t="s">
        <v>78</v>
      </c>
      <c r="B82" s="40"/>
      <c r="C82">
        <v>0</v>
      </c>
      <c r="D82" s="42"/>
      <c r="E82" s="58" t="s">
        <v>79</v>
      </c>
      <c r="F82" s="51">
        <f t="shared" si="2"/>
        <v>0</v>
      </c>
      <c r="G82" s="39"/>
    </row>
    <row r="83" spans="1:10" ht="15.75" thickBot="1" x14ac:dyDescent="0.3">
      <c r="A83" s="7" t="s">
        <v>79</v>
      </c>
      <c r="B83" s="40"/>
      <c r="C83">
        <v>0</v>
      </c>
      <c r="D83" s="42"/>
      <c r="E83" s="60" t="s">
        <v>80</v>
      </c>
      <c r="F83" s="56">
        <f t="shared" si="2"/>
        <v>8.2089552238805971E-2</v>
      </c>
      <c r="G83" s="39"/>
    </row>
    <row r="84" spans="1:10" ht="15.75" thickBot="1" x14ac:dyDescent="0.3">
      <c r="A84" s="7" t="s">
        <v>80</v>
      </c>
      <c r="B84" s="40"/>
      <c r="C84">
        <v>11</v>
      </c>
      <c r="D84" s="42"/>
      <c r="E84" s="7"/>
      <c r="F84" s="14"/>
      <c r="G84" s="39"/>
      <c r="H84" s="45" t="s">
        <v>162</v>
      </c>
      <c r="I84" s="46">
        <v>1</v>
      </c>
      <c r="J84" s="47"/>
    </row>
    <row r="85" spans="1:10" x14ac:dyDescent="0.25">
      <c r="A85" s="7" t="s">
        <v>163</v>
      </c>
      <c r="B85" s="40"/>
      <c r="C85">
        <f>SUM(C75:C84)</f>
        <v>134</v>
      </c>
      <c r="D85" s="42"/>
      <c r="E85" s="62" t="s">
        <v>44</v>
      </c>
      <c r="F85" s="44"/>
      <c r="G85" s="39"/>
      <c r="H85" s="57" t="s">
        <v>164</v>
      </c>
      <c r="I85" s="59">
        <v>0</v>
      </c>
      <c r="J85" s="51">
        <f t="shared" ref="J85:J90" si="3">I85/I$84</f>
        <v>0</v>
      </c>
    </row>
    <row r="86" spans="1:10" x14ac:dyDescent="0.25">
      <c r="A86" s="7"/>
      <c r="B86" s="40"/>
      <c r="D86" s="42"/>
      <c r="E86" s="64" t="s">
        <v>165</v>
      </c>
      <c r="F86" s="51">
        <f>C87/C$57</f>
        <v>0.70833333333333337</v>
      </c>
      <c r="G86" s="39"/>
      <c r="H86" s="57" t="s">
        <v>166</v>
      </c>
      <c r="I86" s="59">
        <v>0</v>
      </c>
      <c r="J86" s="51">
        <f t="shared" si="3"/>
        <v>0</v>
      </c>
    </row>
    <row r="87" spans="1:10" x14ac:dyDescent="0.25">
      <c r="A87" s="7" t="s">
        <v>167</v>
      </c>
      <c r="B87" s="40"/>
      <c r="C87">
        <v>34</v>
      </c>
      <c r="D87" s="42"/>
      <c r="E87" s="64" t="s">
        <v>168</v>
      </c>
      <c r="F87" s="51">
        <f>C88/C$57</f>
        <v>2.0833333333333332E-2</v>
      </c>
      <c r="G87" s="39"/>
      <c r="H87" s="57" t="s">
        <v>169</v>
      </c>
      <c r="I87" s="59">
        <v>1</v>
      </c>
      <c r="J87" s="51">
        <f t="shared" si="3"/>
        <v>1</v>
      </c>
    </row>
    <row r="88" spans="1:10" ht="15.75" thickBot="1" x14ac:dyDescent="0.3">
      <c r="A88" s="7" t="s">
        <v>170</v>
      </c>
      <c r="B88" s="40"/>
      <c r="C88">
        <v>1</v>
      </c>
      <c r="D88" s="42"/>
      <c r="E88" s="65" t="s">
        <v>171</v>
      </c>
      <c r="F88" s="56">
        <f>C89/C$57</f>
        <v>0.27083333333333331</v>
      </c>
      <c r="G88" s="39"/>
      <c r="H88" s="57" t="s">
        <v>172</v>
      </c>
      <c r="I88" s="59">
        <v>0</v>
      </c>
      <c r="J88" s="51">
        <f t="shared" si="3"/>
        <v>0</v>
      </c>
    </row>
    <row r="89" spans="1:10" ht="15.75" thickBot="1" x14ac:dyDescent="0.3">
      <c r="A89" s="7" t="s">
        <v>173</v>
      </c>
      <c r="B89" s="40"/>
      <c r="C89">
        <v>13</v>
      </c>
      <c r="D89" s="42"/>
      <c r="E89" s="66"/>
      <c r="F89" s="14"/>
      <c r="G89" s="42" t="s">
        <v>81</v>
      </c>
      <c r="H89" s="57" t="s">
        <v>174</v>
      </c>
      <c r="I89" s="59">
        <v>0</v>
      </c>
      <c r="J89" s="51">
        <f t="shared" si="3"/>
        <v>0</v>
      </c>
    </row>
    <row r="90" spans="1:10" ht="15.75" thickBot="1" x14ac:dyDescent="0.3">
      <c r="A90" s="7"/>
      <c r="B90" s="40"/>
      <c r="D90" s="42"/>
      <c r="E90" s="67" t="s">
        <v>137</v>
      </c>
      <c r="F90" s="44"/>
      <c r="G90" s="39"/>
      <c r="H90" s="22" t="s">
        <v>175</v>
      </c>
      <c r="I90" s="55">
        <v>0</v>
      </c>
      <c r="J90" s="56">
        <f t="shared" si="3"/>
        <v>0</v>
      </c>
    </row>
    <row r="91" spans="1:10" x14ac:dyDescent="0.25">
      <c r="A91" s="7" t="s">
        <v>137</v>
      </c>
      <c r="B91" s="40"/>
      <c r="D91" s="42"/>
      <c r="E91" s="58" t="s">
        <v>176</v>
      </c>
      <c r="F91" s="51">
        <f>C92/C$57</f>
        <v>0.47916666666666669</v>
      </c>
      <c r="G91" s="39"/>
    </row>
    <row r="92" spans="1:10" ht="15.75" thickBot="1" x14ac:dyDescent="0.3">
      <c r="A92" s="7" t="s">
        <v>177</v>
      </c>
      <c r="B92" s="40"/>
      <c r="C92">
        <v>23</v>
      </c>
      <c r="D92" s="42"/>
      <c r="E92" s="60" t="s">
        <v>178</v>
      </c>
      <c r="F92" s="56">
        <f>C93/C$57</f>
        <v>0.52083333333333337</v>
      </c>
      <c r="G92" s="39"/>
    </row>
    <row r="93" spans="1:10" ht="15.75" thickBot="1" x14ac:dyDescent="0.3">
      <c r="A93" s="7" t="s">
        <v>178</v>
      </c>
      <c r="B93" s="40"/>
      <c r="C93">
        <v>25</v>
      </c>
      <c r="D93" s="42"/>
      <c r="E93" s="68"/>
      <c r="F93" s="69"/>
      <c r="G93" s="39"/>
      <c r="H93" s="45" t="s">
        <v>67</v>
      </c>
      <c r="I93" s="46">
        <v>20</v>
      </c>
      <c r="J93" s="47"/>
    </row>
    <row r="94" spans="1:10" x14ac:dyDescent="0.25">
      <c r="A94" s="7"/>
      <c r="B94" s="40"/>
      <c r="D94" s="42"/>
      <c r="E94" s="45" t="s">
        <v>179</v>
      </c>
      <c r="F94" s="44"/>
      <c r="G94" s="39"/>
      <c r="H94" s="57" t="s">
        <v>104</v>
      </c>
      <c r="I94" s="59">
        <v>0</v>
      </c>
      <c r="J94" s="51">
        <f>I94/I$93</f>
        <v>0</v>
      </c>
    </row>
    <row r="95" spans="1:10" x14ac:dyDescent="0.25">
      <c r="A95" t="s">
        <v>179</v>
      </c>
      <c r="D95" s="42"/>
      <c r="E95" s="57" t="s">
        <v>180</v>
      </c>
      <c r="F95" s="51">
        <f>C96/C$93</f>
        <v>0.92</v>
      </c>
      <c r="G95" s="39"/>
      <c r="H95" s="57" t="s">
        <v>105</v>
      </c>
      <c r="I95" s="59">
        <v>4</v>
      </c>
      <c r="J95" s="51">
        <f>I95/I$93</f>
        <v>0.2</v>
      </c>
    </row>
    <row r="96" spans="1:10" ht="15.75" thickBot="1" x14ac:dyDescent="0.3">
      <c r="A96" t="s">
        <v>180</v>
      </c>
      <c r="C96">
        <v>23</v>
      </c>
      <c r="D96" s="42"/>
      <c r="E96" s="22" t="s">
        <v>181</v>
      </c>
      <c r="F96" s="56">
        <f>C97/C$93</f>
        <v>0.08</v>
      </c>
      <c r="G96" s="39"/>
      <c r="H96" s="57" t="s">
        <v>106</v>
      </c>
      <c r="I96" s="59">
        <v>5</v>
      </c>
      <c r="J96" s="51">
        <f>I96/I$93</f>
        <v>0.25</v>
      </c>
    </row>
    <row r="97" spans="1:10" ht="15.75" thickBot="1" x14ac:dyDescent="0.3">
      <c r="A97" t="s">
        <v>181</v>
      </c>
      <c r="C97">
        <v>2</v>
      </c>
      <c r="D97" s="42"/>
      <c r="E97" s="68"/>
      <c r="F97" s="69"/>
      <c r="G97" s="39"/>
      <c r="H97" s="57" t="s">
        <v>107</v>
      </c>
      <c r="I97" s="59">
        <v>2</v>
      </c>
      <c r="J97" s="51">
        <f>I97/I$93</f>
        <v>0.1</v>
      </c>
    </row>
    <row r="98" spans="1:10" ht="15.75" thickBot="1" x14ac:dyDescent="0.3">
      <c r="A98" s="7"/>
      <c r="B98" s="40"/>
      <c r="D98" s="42"/>
      <c r="E98" s="62" t="s">
        <v>182</v>
      </c>
      <c r="F98" s="44"/>
      <c r="G98" s="39"/>
      <c r="H98" s="22" t="s">
        <v>108</v>
      </c>
      <c r="I98" s="55">
        <v>9</v>
      </c>
      <c r="J98" s="56">
        <f>I98/I$93</f>
        <v>0.45</v>
      </c>
    </row>
    <row r="99" spans="1:10" x14ac:dyDescent="0.25">
      <c r="A99" s="7" t="s">
        <v>183</v>
      </c>
      <c r="B99" s="40"/>
      <c r="D99" s="42"/>
      <c r="E99" s="58" t="s">
        <v>121</v>
      </c>
      <c r="F99" s="51">
        <f t="shared" ref="F99:F104" si="4">C100/C$57</f>
        <v>0.45833333333333331</v>
      </c>
      <c r="G99" s="39"/>
    </row>
    <row r="100" spans="1:10" ht="15.75" thickBot="1" x14ac:dyDescent="0.3">
      <c r="A100" s="7" t="s">
        <v>121</v>
      </c>
      <c r="B100" s="40"/>
      <c r="C100">
        <v>22</v>
      </c>
      <c r="D100" s="42"/>
      <c r="E100" s="48" t="s">
        <v>122</v>
      </c>
      <c r="F100" s="51">
        <f t="shared" si="4"/>
        <v>0</v>
      </c>
      <c r="G100" s="39"/>
    </row>
    <row r="101" spans="1:10" x14ac:dyDescent="0.25">
      <c r="A101" s="7" t="s">
        <v>122</v>
      </c>
      <c r="B101" s="40"/>
      <c r="C101">
        <v>0</v>
      </c>
      <c r="D101" s="42"/>
      <c r="E101" s="48" t="s">
        <v>123</v>
      </c>
      <c r="F101" s="51">
        <f t="shared" si="4"/>
        <v>0</v>
      </c>
      <c r="G101" s="39"/>
      <c r="H101" s="45" t="s">
        <v>69</v>
      </c>
      <c r="I101" s="46">
        <v>19</v>
      </c>
      <c r="J101" s="47"/>
    </row>
    <row r="102" spans="1:10" x14ac:dyDescent="0.25">
      <c r="A102" s="7" t="s">
        <v>123</v>
      </c>
      <c r="B102" s="40"/>
      <c r="C102">
        <v>0</v>
      </c>
      <c r="D102" s="42"/>
      <c r="E102" s="48" t="s">
        <v>124</v>
      </c>
      <c r="F102" s="51">
        <f t="shared" si="4"/>
        <v>0</v>
      </c>
      <c r="G102" s="39"/>
      <c r="H102" s="57" t="s">
        <v>109</v>
      </c>
      <c r="I102" s="50">
        <v>6</v>
      </c>
      <c r="J102" s="51">
        <f>I102/I$101</f>
        <v>0.31578947368421051</v>
      </c>
    </row>
    <row r="103" spans="1:10" x14ac:dyDescent="0.25">
      <c r="A103" s="7" t="s">
        <v>124</v>
      </c>
      <c r="B103" s="40"/>
      <c r="C103">
        <v>0</v>
      </c>
      <c r="D103" s="42"/>
      <c r="E103" s="48" t="s">
        <v>125</v>
      </c>
      <c r="F103" s="51">
        <f t="shared" si="4"/>
        <v>0.52083333333333337</v>
      </c>
      <c r="G103" s="39"/>
      <c r="H103" s="57" t="s">
        <v>110</v>
      </c>
      <c r="I103" s="50">
        <v>0</v>
      </c>
      <c r="J103" s="51">
        <f t="shared" ref="J103:J111" si="5">I103/I$101</f>
        <v>0</v>
      </c>
    </row>
    <row r="104" spans="1:10" ht="15.75" thickBot="1" x14ac:dyDescent="0.3">
      <c r="A104" s="7" t="s">
        <v>125</v>
      </c>
      <c r="B104" s="40"/>
      <c r="C104">
        <v>25</v>
      </c>
      <c r="D104" s="42"/>
      <c r="E104" s="53" t="s">
        <v>69</v>
      </c>
      <c r="F104" s="56">
        <f t="shared" si="4"/>
        <v>2.0833333333333332E-2</v>
      </c>
      <c r="G104" s="39"/>
      <c r="H104" s="57" t="s">
        <v>111</v>
      </c>
      <c r="I104" s="50">
        <v>0</v>
      </c>
      <c r="J104" s="51">
        <f t="shared" si="5"/>
        <v>0</v>
      </c>
    </row>
    <row r="105" spans="1:10" ht="15.75" thickBot="1" x14ac:dyDescent="0.3">
      <c r="A105" s="7" t="s">
        <v>69</v>
      </c>
      <c r="B105" s="40"/>
      <c r="C105">
        <v>1</v>
      </c>
      <c r="D105" s="42"/>
      <c r="E105" s="42"/>
      <c r="F105" s="14"/>
      <c r="G105" s="39"/>
      <c r="H105" s="57" t="s">
        <v>112</v>
      </c>
      <c r="I105" s="59">
        <v>0</v>
      </c>
      <c r="J105" s="51">
        <f t="shared" si="5"/>
        <v>0</v>
      </c>
    </row>
    <row r="106" spans="1:10" x14ac:dyDescent="0.25">
      <c r="A106" s="7"/>
      <c r="B106" s="40"/>
      <c r="D106" s="42"/>
      <c r="E106" s="43" t="s">
        <v>184</v>
      </c>
      <c r="F106" s="44"/>
      <c r="G106" s="39"/>
      <c r="H106" s="57" t="s">
        <v>113</v>
      </c>
      <c r="I106" s="59">
        <v>4</v>
      </c>
      <c r="J106" s="51">
        <f t="shared" si="5"/>
        <v>0.21052631578947367</v>
      </c>
    </row>
    <row r="107" spans="1:10" x14ac:dyDescent="0.25">
      <c r="A107" s="7" t="s">
        <v>185</v>
      </c>
      <c r="B107" s="40"/>
      <c r="D107" s="42"/>
      <c r="E107" s="48" t="s">
        <v>186</v>
      </c>
      <c r="F107" s="51">
        <f>C108/C$57</f>
        <v>0.83333333333333337</v>
      </c>
      <c r="G107" s="39"/>
      <c r="H107" s="70" t="s">
        <v>114</v>
      </c>
      <c r="I107" s="59">
        <v>1</v>
      </c>
      <c r="J107" s="51">
        <f t="shared" si="5"/>
        <v>5.2631578947368418E-2</v>
      </c>
    </row>
    <row r="108" spans="1:10" x14ac:dyDescent="0.25">
      <c r="A108" s="7" t="s">
        <v>186</v>
      </c>
      <c r="B108" s="40"/>
      <c r="C108">
        <v>40</v>
      </c>
      <c r="D108" s="42"/>
      <c r="E108" s="48" t="s">
        <v>187</v>
      </c>
      <c r="F108" s="51">
        <f>C109/C$57</f>
        <v>0.14583333333333334</v>
      </c>
      <c r="G108" s="39"/>
      <c r="H108" s="70" t="s">
        <v>115</v>
      </c>
      <c r="I108" s="59">
        <v>2</v>
      </c>
      <c r="J108" s="51">
        <f t="shared" si="5"/>
        <v>0.10526315789473684</v>
      </c>
    </row>
    <row r="109" spans="1:10" x14ac:dyDescent="0.25">
      <c r="A109" s="7" t="s">
        <v>187</v>
      </c>
      <c r="B109" s="40"/>
      <c r="C109">
        <v>7</v>
      </c>
      <c r="D109" s="42"/>
      <c r="E109" s="48" t="s">
        <v>188</v>
      </c>
      <c r="F109" s="51">
        <f>C110/C$57</f>
        <v>2.0833333333333332E-2</v>
      </c>
      <c r="G109" s="39"/>
      <c r="H109" s="70" t="s">
        <v>116</v>
      </c>
      <c r="I109" s="59">
        <v>4</v>
      </c>
      <c r="J109" s="51">
        <f t="shared" si="5"/>
        <v>0.21052631578947367</v>
      </c>
    </row>
    <row r="110" spans="1:10" x14ac:dyDescent="0.25">
      <c r="A110" s="7" t="s">
        <v>188</v>
      </c>
      <c r="B110" s="40"/>
      <c r="C110">
        <v>1</v>
      </c>
      <c r="D110" s="42"/>
      <c r="E110" s="48" t="s">
        <v>189</v>
      </c>
      <c r="F110" s="51">
        <f>C111/C$57</f>
        <v>0</v>
      </c>
      <c r="G110" s="39"/>
      <c r="H110" s="70" t="s">
        <v>117</v>
      </c>
      <c r="I110" s="59">
        <v>0</v>
      </c>
      <c r="J110" s="51">
        <f t="shared" si="5"/>
        <v>0</v>
      </c>
    </row>
    <row r="111" spans="1:10" ht="15.75" thickBot="1" x14ac:dyDescent="0.3">
      <c r="A111" s="7" t="s">
        <v>189</v>
      </c>
      <c r="B111" s="40"/>
      <c r="C111">
        <v>0</v>
      </c>
      <c r="E111" s="53" t="s">
        <v>190</v>
      </c>
      <c r="F111" s="56">
        <f>C112/C$57</f>
        <v>0</v>
      </c>
      <c r="H111" s="71" t="s">
        <v>118</v>
      </c>
      <c r="I111" s="55">
        <v>2</v>
      </c>
      <c r="J111" s="56">
        <f t="shared" si="5"/>
        <v>0.10526315789473684</v>
      </c>
    </row>
    <row r="112" spans="1:10" x14ac:dyDescent="0.25">
      <c r="A112" s="7" t="s">
        <v>190</v>
      </c>
      <c r="B112" s="40"/>
      <c r="C112">
        <v>0</v>
      </c>
      <c r="E112" s="42"/>
      <c r="F112" s="14"/>
    </row>
    <row r="113" spans="1:6" x14ac:dyDescent="0.25">
      <c r="A113" s="7" t="s">
        <v>191</v>
      </c>
      <c r="B113" s="40"/>
      <c r="C113">
        <v>0</v>
      </c>
      <c r="E113" s="42"/>
      <c r="F113" s="14"/>
    </row>
    <row r="114" spans="1:6" x14ac:dyDescent="0.25">
      <c r="A114" s="7"/>
      <c r="B114" s="40"/>
      <c r="E114" s="42"/>
      <c r="F114" s="14"/>
    </row>
    <row r="115" spans="1:6" ht="15.75" thickBot="1" x14ac:dyDescent="0.3"/>
    <row r="116" spans="1:6" x14ac:dyDescent="0.25">
      <c r="A116" s="72" t="s">
        <v>7</v>
      </c>
      <c r="B116" s="91">
        <f>SUM(B117:B120)</f>
        <v>111320.78</v>
      </c>
    </row>
    <row r="117" spans="1:6" x14ac:dyDescent="0.25">
      <c r="A117" s="74" t="s">
        <v>121</v>
      </c>
      <c r="B117" s="75">
        <f>SUM(F4:F5,F7,F9,F11,F13,F16,F21:F22,F24:F26,F29:F30,F33:F34,F39:F41,F43,F45,F47,)</f>
        <v>40749.479999999996</v>
      </c>
    </row>
    <row r="118" spans="1:6" x14ac:dyDescent="0.25">
      <c r="A118" s="74" t="s">
        <v>192</v>
      </c>
      <c r="B118" s="75">
        <f>SUM(F2:F3,F6,F8,F10,F12,F14:F15,F17,F19:F20,F23,F27:F28,F31:F32,F35:F38,F42,F44,F46,F48:F49,)</f>
        <v>69409.45</v>
      </c>
    </row>
    <row r="119" spans="1:6" x14ac:dyDescent="0.25">
      <c r="A119" s="74" t="s">
        <v>193</v>
      </c>
      <c r="B119" s="75">
        <v>0</v>
      </c>
    </row>
    <row r="120" spans="1:6" x14ac:dyDescent="0.25">
      <c r="A120" s="74" t="s">
        <v>69</v>
      </c>
      <c r="B120" s="76">
        <v>1161.8499999999999</v>
      </c>
    </row>
    <row r="121" spans="1:6" ht="15.75" thickBot="1" x14ac:dyDescent="0.3">
      <c r="A121" s="77"/>
      <c r="B121" s="78"/>
    </row>
  </sheetData>
  <mergeCells count="1">
    <mergeCell ref="A53:F5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3"/>
  <sheetViews>
    <sheetView topLeftCell="A85" workbookViewId="0">
      <selection activeCell="B109" sqref="B109"/>
    </sheetView>
  </sheetViews>
  <sheetFormatPr baseColWidth="10" defaultRowHeight="15" x14ac:dyDescent="0.25"/>
  <cols>
    <col min="1" max="1" width="11.140625" customWidth="1"/>
    <col min="2" max="2" width="34.42578125" customWidth="1"/>
    <col min="3" max="3" width="12.85546875" customWidth="1"/>
    <col min="4" max="4" width="6.42578125" customWidth="1"/>
    <col min="5" max="5" width="7.28515625" customWidth="1"/>
    <col min="6" max="6" width="12.5703125" customWidth="1"/>
    <col min="7" max="7" width="34.140625" customWidth="1"/>
  </cols>
  <sheetData>
    <row r="1" spans="1:8" ht="15" customHeight="1" x14ac:dyDescent="0.25">
      <c r="A1" s="3" t="s">
        <v>2</v>
      </c>
      <c r="B1" s="4" t="s">
        <v>3</v>
      </c>
      <c r="C1" s="4" t="s">
        <v>5</v>
      </c>
      <c r="D1" s="4" t="s">
        <v>22</v>
      </c>
      <c r="E1" s="8" t="s">
        <v>6</v>
      </c>
      <c r="F1" s="5" t="s">
        <v>8</v>
      </c>
      <c r="G1" s="6" t="s">
        <v>9</v>
      </c>
      <c r="H1" s="1" t="s">
        <v>10</v>
      </c>
    </row>
    <row r="2" spans="1:8" x14ac:dyDescent="0.25">
      <c r="A2" s="40">
        <v>45231</v>
      </c>
      <c r="B2" s="89" t="s">
        <v>2417</v>
      </c>
      <c r="C2" s="89" t="s">
        <v>408</v>
      </c>
      <c r="D2" t="s">
        <v>139</v>
      </c>
      <c r="E2" s="89" t="s">
        <v>197</v>
      </c>
      <c r="F2" s="38">
        <v>1196</v>
      </c>
      <c r="G2" s="89" t="s">
        <v>2420</v>
      </c>
      <c r="H2" s="89" t="s">
        <v>219</v>
      </c>
    </row>
    <row r="3" spans="1:8" x14ac:dyDescent="0.25">
      <c r="A3" s="40">
        <v>45231</v>
      </c>
      <c r="B3" s="89" t="s">
        <v>268</v>
      </c>
      <c r="C3" s="89" t="s">
        <v>186</v>
      </c>
      <c r="D3" s="89" t="s">
        <v>139</v>
      </c>
      <c r="E3" s="89" t="s">
        <v>192</v>
      </c>
      <c r="F3" s="38">
        <v>1490</v>
      </c>
      <c r="G3" s="89" t="s">
        <v>2422</v>
      </c>
      <c r="H3" s="89" t="s">
        <v>2431</v>
      </c>
    </row>
    <row r="4" spans="1:8" s="89" customFormat="1" x14ac:dyDescent="0.25">
      <c r="A4" s="40">
        <v>45233</v>
      </c>
      <c r="B4" s="89" t="s">
        <v>2427</v>
      </c>
      <c r="C4" s="89" t="s">
        <v>186</v>
      </c>
      <c r="D4" s="89" t="s">
        <v>139</v>
      </c>
      <c r="E4" s="89" t="s">
        <v>197</v>
      </c>
      <c r="F4" s="38">
        <v>960</v>
      </c>
      <c r="G4" s="89" t="s">
        <v>526</v>
      </c>
      <c r="H4" s="89" t="s">
        <v>300</v>
      </c>
    </row>
    <row r="5" spans="1:8" s="89" customFormat="1" x14ac:dyDescent="0.25">
      <c r="A5" s="40">
        <v>45236</v>
      </c>
      <c r="B5" s="89" t="s">
        <v>1809</v>
      </c>
      <c r="C5" s="89" t="s">
        <v>408</v>
      </c>
      <c r="D5" s="89" t="s">
        <v>139</v>
      </c>
      <c r="E5" s="89" t="s">
        <v>192</v>
      </c>
      <c r="F5" s="38">
        <v>2872</v>
      </c>
      <c r="G5" s="89" t="s">
        <v>2437</v>
      </c>
      <c r="H5" s="89" t="s">
        <v>2446</v>
      </c>
    </row>
    <row r="6" spans="1:8" s="89" customFormat="1" x14ac:dyDescent="0.25">
      <c r="A6" s="40">
        <v>45236</v>
      </c>
      <c r="B6" s="89" t="s">
        <v>2438</v>
      </c>
      <c r="C6" s="89" t="s">
        <v>186</v>
      </c>
      <c r="D6" s="89" t="s">
        <v>139</v>
      </c>
      <c r="E6" s="89" t="s">
        <v>197</v>
      </c>
      <c r="F6" s="38">
        <v>1026</v>
      </c>
      <c r="G6" s="89" t="s">
        <v>2441</v>
      </c>
      <c r="H6" s="89" t="s">
        <v>879</v>
      </c>
    </row>
    <row r="7" spans="1:8" s="89" customFormat="1" x14ac:dyDescent="0.25">
      <c r="A7" s="40">
        <v>45236</v>
      </c>
      <c r="B7" s="89" t="s">
        <v>2442</v>
      </c>
      <c r="C7" s="89" t="s">
        <v>186</v>
      </c>
      <c r="D7" s="89" t="s">
        <v>139</v>
      </c>
      <c r="E7" s="89" t="s">
        <v>197</v>
      </c>
      <c r="F7" s="38">
        <v>3564</v>
      </c>
      <c r="G7" s="89" t="s">
        <v>2445</v>
      </c>
      <c r="H7" s="89" t="s">
        <v>204</v>
      </c>
    </row>
    <row r="8" spans="1:8" s="89" customFormat="1" x14ac:dyDescent="0.25">
      <c r="A8" s="40">
        <v>45237</v>
      </c>
      <c r="B8" s="89" t="s">
        <v>2448</v>
      </c>
      <c r="C8" s="89" t="s">
        <v>186</v>
      </c>
      <c r="D8" s="89" t="s">
        <v>139</v>
      </c>
      <c r="E8" s="89" t="s">
        <v>197</v>
      </c>
      <c r="F8" s="38">
        <v>1610</v>
      </c>
      <c r="G8" s="89" t="s">
        <v>2451</v>
      </c>
      <c r="H8" s="89" t="s">
        <v>300</v>
      </c>
    </row>
    <row r="9" spans="1:8" s="89" customFormat="1" x14ac:dyDescent="0.25">
      <c r="A9" s="40">
        <v>45238</v>
      </c>
      <c r="B9" s="89" t="s">
        <v>2456</v>
      </c>
      <c r="C9" s="89" t="s">
        <v>186</v>
      </c>
      <c r="D9" s="89" t="s">
        <v>139</v>
      </c>
      <c r="E9" s="89" t="s">
        <v>197</v>
      </c>
      <c r="F9" s="38">
        <v>1610</v>
      </c>
      <c r="G9" s="89" t="s">
        <v>2459</v>
      </c>
      <c r="H9" s="89" t="s">
        <v>582</v>
      </c>
    </row>
    <row r="10" spans="1:8" s="89" customFormat="1" x14ac:dyDescent="0.25">
      <c r="A10" s="40">
        <v>45238</v>
      </c>
      <c r="B10" s="89" t="s">
        <v>2460</v>
      </c>
      <c r="C10" s="89" t="s">
        <v>186</v>
      </c>
      <c r="D10" s="89" t="s">
        <v>139</v>
      </c>
      <c r="E10" s="89" t="s">
        <v>197</v>
      </c>
      <c r="F10" s="38">
        <v>1160</v>
      </c>
      <c r="G10" s="89" t="s">
        <v>1563</v>
      </c>
      <c r="H10" s="89" t="s">
        <v>2494</v>
      </c>
    </row>
    <row r="11" spans="1:8" s="89" customFormat="1" x14ac:dyDescent="0.25">
      <c r="A11" s="40">
        <v>45239</v>
      </c>
      <c r="B11" s="89" t="s">
        <v>1333</v>
      </c>
      <c r="C11" s="89" t="s">
        <v>408</v>
      </c>
      <c r="D11" s="89" t="s">
        <v>141</v>
      </c>
      <c r="E11" s="89" t="s">
        <v>192</v>
      </c>
      <c r="F11" s="38">
        <v>13985.9</v>
      </c>
      <c r="G11" s="89" t="s">
        <v>2465</v>
      </c>
      <c r="H11" s="89" t="s">
        <v>2466</v>
      </c>
    </row>
    <row r="12" spans="1:8" s="89" customFormat="1" x14ac:dyDescent="0.25">
      <c r="A12" s="40">
        <v>45240</v>
      </c>
      <c r="B12" s="89" t="s">
        <v>2477</v>
      </c>
      <c r="C12" s="89" t="s">
        <v>186</v>
      </c>
      <c r="D12" s="89" t="s">
        <v>139</v>
      </c>
      <c r="E12" s="89" t="s">
        <v>197</v>
      </c>
      <c r="F12" s="38">
        <v>960</v>
      </c>
      <c r="G12" s="89" t="s">
        <v>526</v>
      </c>
      <c r="H12" s="89" t="s">
        <v>219</v>
      </c>
    </row>
    <row r="13" spans="1:8" s="89" customFormat="1" x14ac:dyDescent="0.25">
      <c r="A13" s="40">
        <v>45240</v>
      </c>
      <c r="B13" s="89" t="s">
        <v>2479</v>
      </c>
      <c r="C13" s="89" t="s">
        <v>186</v>
      </c>
      <c r="D13" s="89" t="s">
        <v>139</v>
      </c>
      <c r="E13" s="89" t="s">
        <v>197</v>
      </c>
      <c r="F13" s="38">
        <v>2565</v>
      </c>
      <c r="G13" s="89" t="s">
        <v>2483</v>
      </c>
      <c r="H13" s="89" t="s">
        <v>545</v>
      </c>
    </row>
    <row r="14" spans="1:8" s="89" customFormat="1" x14ac:dyDescent="0.25">
      <c r="A14" s="40">
        <v>45241</v>
      </c>
      <c r="B14" s="89" t="s">
        <v>2484</v>
      </c>
      <c r="C14" s="89" t="s">
        <v>186</v>
      </c>
      <c r="D14" s="89" t="s">
        <v>139</v>
      </c>
      <c r="E14" s="89" t="s">
        <v>192</v>
      </c>
      <c r="F14" s="38">
        <v>1410</v>
      </c>
      <c r="G14" s="89" t="s">
        <v>2487</v>
      </c>
      <c r="H14" s="89" t="s">
        <v>219</v>
      </c>
    </row>
    <row r="15" spans="1:8" s="89" customFormat="1" x14ac:dyDescent="0.25">
      <c r="A15" s="40">
        <v>45243</v>
      </c>
      <c r="B15" s="89" t="s">
        <v>2490</v>
      </c>
      <c r="C15" s="89" t="s">
        <v>408</v>
      </c>
      <c r="D15" s="89" t="s">
        <v>139</v>
      </c>
      <c r="E15" s="89" t="s">
        <v>197</v>
      </c>
      <c r="F15" s="38">
        <v>1480</v>
      </c>
      <c r="G15" s="89" t="s">
        <v>2493</v>
      </c>
      <c r="H15" s="89" t="s">
        <v>2501</v>
      </c>
    </row>
    <row r="16" spans="1:8" s="89" customFormat="1" x14ac:dyDescent="0.25">
      <c r="A16" s="40">
        <v>45243</v>
      </c>
      <c r="B16" s="89" t="s">
        <v>2495</v>
      </c>
      <c r="C16" s="89" t="s">
        <v>190</v>
      </c>
      <c r="D16" s="89" t="s">
        <v>139</v>
      </c>
      <c r="E16" s="89" t="s">
        <v>197</v>
      </c>
      <c r="F16" s="38">
        <v>1170</v>
      </c>
      <c r="G16" s="89" t="s">
        <v>1163</v>
      </c>
      <c r="H16" s="89" t="s">
        <v>219</v>
      </c>
    </row>
    <row r="17" spans="1:8" s="89" customFormat="1" x14ac:dyDescent="0.25">
      <c r="A17" s="40">
        <v>45244</v>
      </c>
      <c r="B17" s="89" t="s">
        <v>939</v>
      </c>
      <c r="C17" s="89" t="s">
        <v>408</v>
      </c>
      <c r="D17" s="89" t="s">
        <v>139</v>
      </c>
      <c r="E17" s="89" t="s">
        <v>192</v>
      </c>
      <c r="F17" s="38">
        <v>1290</v>
      </c>
      <c r="G17" s="89" t="s">
        <v>2500</v>
      </c>
      <c r="H17" s="89" t="s">
        <v>1633</v>
      </c>
    </row>
    <row r="18" spans="1:8" s="89" customFormat="1" x14ac:dyDescent="0.25">
      <c r="A18" s="40">
        <v>45245</v>
      </c>
      <c r="B18" s="89" t="s">
        <v>2503</v>
      </c>
      <c r="C18" s="89" t="s">
        <v>186</v>
      </c>
      <c r="D18" s="89" t="s">
        <v>139</v>
      </c>
      <c r="E18" s="89" t="s">
        <v>192</v>
      </c>
      <c r="F18" s="38">
        <v>1818</v>
      </c>
      <c r="G18" s="89" t="s">
        <v>2506</v>
      </c>
      <c r="H18" s="89" t="s">
        <v>2507</v>
      </c>
    </row>
    <row r="19" spans="1:8" s="89" customFormat="1" x14ac:dyDescent="0.25">
      <c r="A19" s="40">
        <v>45246</v>
      </c>
      <c r="B19" s="89" t="s">
        <v>2509</v>
      </c>
      <c r="C19" s="89" t="s">
        <v>186</v>
      </c>
      <c r="D19" s="89" t="s">
        <v>139</v>
      </c>
      <c r="E19" s="89" t="s">
        <v>197</v>
      </c>
      <c r="F19" s="38">
        <v>960</v>
      </c>
      <c r="G19" s="89" t="s">
        <v>526</v>
      </c>
      <c r="H19" s="89" t="s">
        <v>2520</v>
      </c>
    </row>
    <row r="20" spans="1:8" s="89" customFormat="1" x14ac:dyDescent="0.25">
      <c r="A20" s="40">
        <v>45241</v>
      </c>
      <c r="B20" s="89" t="s">
        <v>2516</v>
      </c>
      <c r="C20" s="89" t="s">
        <v>186</v>
      </c>
      <c r="D20" s="89" t="s">
        <v>139</v>
      </c>
      <c r="E20" s="89" t="s">
        <v>197</v>
      </c>
      <c r="F20" s="38">
        <v>1548</v>
      </c>
      <c r="G20" s="89" t="s">
        <v>2519</v>
      </c>
      <c r="H20" s="89" t="s">
        <v>1754</v>
      </c>
    </row>
    <row r="21" spans="1:8" s="89" customFormat="1" x14ac:dyDescent="0.25">
      <c r="A21" s="40">
        <v>45247</v>
      </c>
      <c r="B21" s="89" t="s">
        <v>2521</v>
      </c>
      <c r="C21" s="89" t="s">
        <v>186</v>
      </c>
      <c r="D21" s="89" t="s">
        <v>141</v>
      </c>
      <c r="E21" s="89" t="s">
        <v>197</v>
      </c>
      <c r="F21" s="38">
        <v>2470</v>
      </c>
      <c r="G21" s="89" t="s">
        <v>2524</v>
      </c>
      <c r="H21" s="89" t="s">
        <v>219</v>
      </c>
    </row>
    <row r="22" spans="1:8" x14ac:dyDescent="0.25">
      <c r="A22" s="40">
        <v>45248</v>
      </c>
      <c r="B22" s="89" t="s">
        <v>2525</v>
      </c>
      <c r="C22" s="89" t="s">
        <v>408</v>
      </c>
      <c r="D22" t="s">
        <v>141</v>
      </c>
      <c r="E22" s="89" t="s">
        <v>197</v>
      </c>
      <c r="F22" s="38">
        <v>2895.36</v>
      </c>
      <c r="G22" s="89" t="s">
        <v>2528</v>
      </c>
      <c r="H22" s="89" t="s">
        <v>1933</v>
      </c>
    </row>
    <row r="23" spans="1:8" x14ac:dyDescent="0.25">
      <c r="A23" s="40">
        <v>45246</v>
      </c>
      <c r="B23" s="89" t="s">
        <v>440</v>
      </c>
      <c r="C23" s="89" t="s">
        <v>186</v>
      </c>
      <c r="D23" s="89" t="s">
        <v>139</v>
      </c>
      <c r="E23" s="89" t="s">
        <v>192</v>
      </c>
      <c r="F23" s="38">
        <v>1834</v>
      </c>
      <c r="G23" s="89" t="s">
        <v>299</v>
      </c>
      <c r="H23" s="89" t="s">
        <v>2531</v>
      </c>
    </row>
    <row r="24" spans="1:8" x14ac:dyDescent="0.25">
      <c r="A24" s="40">
        <v>45247</v>
      </c>
      <c r="B24" s="89" t="s">
        <v>2521</v>
      </c>
      <c r="C24" s="89" t="s">
        <v>186</v>
      </c>
      <c r="D24" t="s">
        <v>141</v>
      </c>
      <c r="E24" s="89" t="s">
        <v>192</v>
      </c>
      <c r="F24" s="38">
        <v>8751.5</v>
      </c>
      <c r="G24" s="89" t="s">
        <v>2535</v>
      </c>
      <c r="H24" s="89" t="s">
        <v>2536</v>
      </c>
    </row>
    <row r="25" spans="1:8" x14ac:dyDescent="0.25">
      <c r="A25" s="40">
        <v>45251</v>
      </c>
      <c r="B25" s="89" t="s">
        <v>2537</v>
      </c>
      <c r="C25" s="89" t="s">
        <v>186</v>
      </c>
      <c r="D25" s="89" t="s">
        <v>139</v>
      </c>
      <c r="E25" s="89" t="s">
        <v>192</v>
      </c>
      <c r="F25" s="38">
        <v>1405</v>
      </c>
      <c r="G25" s="89" t="s">
        <v>295</v>
      </c>
      <c r="H25" s="89" t="s">
        <v>2536</v>
      </c>
    </row>
    <row r="26" spans="1:8" x14ac:dyDescent="0.25">
      <c r="A26" s="40">
        <v>45252</v>
      </c>
      <c r="B26" s="89" t="s">
        <v>2541</v>
      </c>
      <c r="C26" s="89" t="s">
        <v>186</v>
      </c>
      <c r="D26" s="89" t="s">
        <v>139</v>
      </c>
      <c r="E26" s="89" t="s">
        <v>197</v>
      </c>
      <c r="F26" s="38">
        <v>2226</v>
      </c>
      <c r="G26" s="89" t="s">
        <v>2544</v>
      </c>
      <c r="H26" s="89" t="s">
        <v>2262</v>
      </c>
    </row>
    <row r="27" spans="1:8" x14ac:dyDescent="0.25">
      <c r="A27" s="40">
        <v>45237</v>
      </c>
      <c r="B27" s="89" t="s">
        <v>2547</v>
      </c>
      <c r="C27" s="89" t="s">
        <v>186</v>
      </c>
      <c r="D27" s="89" t="s">
        <v>139</v>
      </c>
      <c r="E27" s="89" t="s">
        <v>197</v>
      </c>
      <c r="F27" s="38">
        <v>1533.64</v>
      </c>
      <c r="G27" s="89" t="s">
        <v>2030</v>
      </c>
      <c r="H27" s="89" t="s">
        <v>2558</v>
      </c>
    </row>
    <row r="28" spans="1:8" x14ac:dyDescent="0.25">
      <c r="A28" s="40">
        <v>45244</v>
      </c>
      <c r="B28" s="89" t="s">
        <v>2550</v>
      </c>
      <c r="C28" s="89" t="s">
        <v>186</v>
      </c>
      <c r="D28" s="89" t="s">
        <v>139</v>
      </c>
      <c r="E28" s="89" t="s">
        <v>197</v>
      </c>
      <c r="F28" s="38">
        <v>2338</v>
      </c>
      <c r="G28" s="89" t="s">
        <v>2553</v>
      </c>
      <c r="H28" s="89" t="s">
        <v>1754</v>
      </c>
    </row>
    <row r="29" spans="1:8" x14ac:dyDescent="0.25">
      <c r="A29" s="40">
        <v>45255</v>
      </c>
      <c r="B29" s="89" t="s">
        <v>2555</v>
      </c>
      <c r="C29" s="89" t="s">
        <v>186</v>
      </c>
      <c r="D29" s="89" t="s">
        <v>139</v>
      </c>
      <c r="E29" s="89" t="s">
        <v>192</v>
      </c>
      <c r="F29" s="38">
        <v>1160</v>
      </c>
      <c r="G29" s="89" t="s">
        <v>1563</v>
      </c>
      <c r="H29" s="89" t="s">
        <v>219</v>
      </c>
    </row>
    <row r="30" spans="1:8" x14ac:dyDescent="0.25">
      <c r="A30" s="40">
        <v>45253</v>
      </c>
      <c r="B30" s="89" t="s">
        <v>2561</v>
      </c>
      <c r="C30" s="89" t="s">
        <v>186</v>
      </c>
      <c r="D30" t="s">
        <v>141</v>
      </c>
      <c r="E30" s="89" t="s">
        <v>192</v>
      </c>
      <c r="F30" s="38">
        <v>21982.46</v>
      </c>
      <c r="G30" s="89" t="s">
        <v>2564</v>
      </c>
      <c r="H30" s="89" t="s">
        <v>2501</v>
      </c>
    </row>
    <row r="31" spans="1:8" x14ac:dyDescent="0.25">
      <c r="A31" s="40">
        <v>45258</v>
      </c>
      <c r="B31" s="89" t="s">
        <v>2565</v>
      </c>
      <c r="C31" s="89" t="s">
        <v>186</v>
      </c>
      <c r="D31" s="89" t="s">
        <v>139</v>
      </c>
      <c r="E31" s="89" t="s">
        <v>197</v>
      </c>
      <c r="F31" s="38">
        <v>1051</v>
      </c>
      <c r="G31" s="89" t="s">
        <v>1458</v>
      </c>
      <c r="H31" s="89" t="s">
        <v>2446</v>
      </c>
    </row>
    <row r="32" spans="1:8" x14ac:dyDescent="0.25">
      <c r="A32" s="40">
        <v>45259</v>
      </c>
      <c r="B32" s="89" t="s">
        <v>2569</v>
      </c>
      <c r="C32" t="s">
        <v>408</v>
      </c>
      <c r="D32" t="s">
        <v>139</v>
      </c>
      <c r="E32" t="s">
        <v>197</v>
      </c>
      <c r="F32" s="38">
        <v>1973</v>
      </c>
      <c r="G32" s="89" t="s">
        <v>2571</v>
      </c>
      <c r="H32" s="89" t="s">
        <v>545</v>
      </c>
    </row>
    <row r="33" spans="1:10" x14ac:dyDescent="0.25">
      <c r="A33" s="40">
        <v>45243</v>
      </c>
      <c r="B33" s="89" t="s">
        <v>2297</v>
      </c>
      <c r="C33" t="s">
        <v>186</v>
      </c>
      <c r="D33" t="s">
        <v>139</v>
      </c>
      <c r="E33" s="89" t="s">
        <v>192</v>
      </c>
      <c r="F33" s="38">
        <v>343.68</v>
      </c>
      <c r="G33" s="89" t="s">
        <v>2575</v>
      </c>
      <c r="H33" s="89" t="s">
        <v>2586</v>
      </c>
    </row>
    <row r="34" spans="1:10" x14ac:dyDescent="0.25">
      <c r="A34" s="40">
        <v>45251</v>
      </c>
      <c r="B34" s="89" t="s">
        <v>2561</v>
      </c>
      <c r="C34" t="s">
        <v>186</v>
      </c>
      <c r="D34" t="s">
        <v>141</v>
      </c>
      <c r="E34" s="89" t="s">
        <v>192</v>
      </c>
      <c r="F34" s="38">
        <v>4349</v>
      </c>
      <c r="G34" s="89" t="s">
        <v>2576</v>
      </c>
      <c r="H34" s="89" t="s">
        <v>582</v>
      </c>
    </row>
    <row r="35" spans="1:10" x14ac:dyDescent="0.25">
      <c r="A35" s="40">
        <v>45260</v>
      </c>
      <c r="B35" s="89" t="s">
        <v>200</v>
      </c>
      <c r="C35" t="s">
        <v>186</v>
      </c>
      <c r="D35" t="s">
        <v>139</v>
      </c>
      <c r="E35" s="89" t="s">
        <v>192</v>
      </c>
      <c r="F35" s="38">
        <v>1566</v>
      </c>
      <c r="G35" s="89" t="s">
        <v>1875</v>
      </c>
      <c r="H35" s="89" t="s">
        <v>219</v>
      </c>
    </row>
    <row r="36" spans="1:10" x14ac:dyDescent="0.25">
      <c r="A36" s="40">
        <v>45252</v>
      </c>
      <c r="B36" s="89" t="s">
        <v>2582</v>
      </c>
      <c r="C36" t="s">
        <v>186</v>
      </c>
      <c r="D36" t="s">
        <v>139</v>
      </c>
      <c r="E36" t="s">
        <v>192</v>
      </c>
      <c r="F36" s="38">
        <v>1463</v>
      </c>
      <c r="G36" s="89" t="s">
        <v>2585</v>
      </c>
      <c r="H36" s="89" t="s">
        <v>348</v>
      </c>
    </row>
    <row r="37" spans="1:10" x14ac:dyDescent="0.25">
      <c r="A37" s="40">
        <v>45237</v>
      </c>
      <c r="B37" s="89" t="s">
        <v>2618</v>
      </c>
      <c r="C37" t="s">
        <v>186</v>
      </c>
      <c r="D37" t="s">
        <v>139</v>
      </c>
      <c r="E37" t="s">
        <v>193</v>
      </c>
      <c r="F37" s="38">
        <v>1917.36</v>
      </c>
      <c r="G37" s="89" t="s">
        <v>2079</v>
      </c>
      <c r="H37" s="89" t="s">
        <v>219</v>
      </c>
    </row>
    <row r="38" spans="1:10" x14ac:dyDescent="0.25">
      <c r="A38" s="40">
        <v>45240</v>
      </c>
      <c r="B38" s="89" t="s">
        <v>2153</v>
      </c>
      <c r="C38" t="s">
        <v>186</v>
      </c>
      <c r="D38" t="s">
        <v>139</v>
      </c>
      <c r="E38" t="s">
        <v>192</v>
      </c>
      <c r="F38" s="38">
        <v>343.68</v>
      </c>
      <c r="G38" s="89" t="s">
        <v>898</v>
      </c>
      <c r="H38" s="89" t="s">
        <v>2622</v>
      </c>
    </row>
    <row r="39" spans="1:10" x14ac:dyDescent="0.25">
      <c r="A39" s="40">
        <v>45259</v>
      </c>
      <c r="B39" s="89" t="s">
        <v>2656</v>
      </c>
      <c r="C39" t="s">
        <v>186</v>
      </c>
      <c r="D39" t="s">
        <v>139</v>
      </c>
      <c r="E39" t="s">
        <v>197</v>
      </c>
      <c r="F39" s="38">
        <v>1132.5</v>
      </c>
      <c r="G39" s="89" t="s">
        <v>514</v>
      </c>
      <c r="H39" s="89" t="s">
        <v>545</v>
      </c>
    </row>
    <row r="40" spans="1:10" x14ac:dyDescent="0.25">
      <c r="A40" s="40">
        <v>45236</v>
      </c>
      <c r="B40" s="89" t="s">
        <v>1809</v>
      </c>
      <c r="C40" t="s">
        <v>186</v>
      </c>
      <c r="D40" t="s">
        <v>139</v>
      </c>
      <c r="E40" t="s">
        <v>192</v>
      </c>
      <c r="F40" s="38">
        <v>2152</v>
      </c>
      <c r="G40" s="89" t="s">
        <v>2665</v>
      </c>
      <c r="H40" s="89" t="s">
        <v>219</v>
      </c>
    </row>
    <row r="41" spans="1:10" x14ac:dyDescent="0.25">
      <c r="A41" s="40">
        <v>45257</v>
      </c>
      <c r="B41" s="89" t="s">
        <v>2674</v>
      </c>
      <c r="C41" t="s">
        <v>408</v>
      </c>
      <c r="D41" t="s">
        <v>139</v>
      </c>
      <c r="E41" t="s">
        <v>192</v>
      </c>
      <c r="F41" s="38">
        <v>1232.1600000000001</v>
      </c>
      <c r="G41" t="s">
        <v>2319</v>
      </c>
      <c r="H41" s="89" t="s">
        <v>219</v>
      </c>
    </row>
    <row r="45" spans="1:10" ht="15.75" thickBot="1" x14ac:dyDescent="0.3">
      <c r="A45" s="99" t="s">
        <v>130</v>
      </c>
      <c r="B45" s="99"/>
      <c r="C45" s="99"/>
      <c r="D45" s="99"/>
      <c r="E45" s="99"/>
      <c r="F45" s="99"/>
      <c r="G45" s="39"/>
    </row>
    <row r="46" spans="1:10" x14ac:dyDescent="0.25">
      <c r="A46" s="7" t="s">
        <v>131</v>
      </c>
      <c r="B46" s="40"/>
      <c r="C46" s="41">
        <f>SUM(F2:F42)</f>
        <v>106794.23999999998</v>
      </c>
      <c r="D46" s="42"/>
      <c r="E46" s="43" t="s">
        <v>132</v>
      </c>
      <c r="F46" s="44"/>
      <c r="G46" s="39"/>
      <c r="H46" s="45" t="s">
        <v>62</v>
      </c>
      <c r="I46" s="46">
        <v>17</v>
      </c>
      <c r="J46" s="47"/>
    </row>
    <row r="47" spans="1:10" x14ac:dyDescent="0.25">
      <c r="A47" s="7"/>
      <c r="B47" s="40"/>
      <c r="C47" s="41"/>
      <c r="D47" s="42"/>
      <c r="E47" s="48" t="s">
        <v>133</v>
      </c>
      <c r="F47" s="49">
        <v>106794.23999999998</v>
      </c>
      <c r="G47" s="39"/>
      <c r="H47" s="48" t="s">
        <v>99</v>
      </c>
      <c r="I47" s="50">
        <v>3</v>
      </c>
      <c r="J47" s="51">
        <f>I47/I$46</f>
        <v>0.17647058823529413</v>
      </c>
    </row>
    <row r="48" spans="1:10" ht="15.75" thickBot="1" x14ac:dyDescent="0.3">
      <c r="A48" s="7" t="s">
        <v>134</v>
      </c>
      <c r="B48" s="40"/>
      <c r="C48" s="52">
        <v>25</v>
      </c>
      <c r="D48" s="42"/>
      <c r="E48" s="53" t="s">
        <v>135</v>
      </c>
      <c r="F48" s="54">
        <f>F47/C48</f>
        <v>4271.7695999999987</v>
      </c>
      <c r="G48" s="39"/>
      <c r="H48" s="48" t="s">
        <v>100</v>
      </c>
      <c r="I48" s="50">
        <v>14</v>
      </c>
      <c r="J48" s="51">
        <f>I48/I$46</f>
        <v>0.82352941176470584</v>
      </c>
    </row>
    <row r="49" spans="1:10" ht="15.75" thickBot="1" x14ac:dyDescent="0.3">
      <c r="A49" s="7" t="s">
        <v>136</v>
      </c>
      <c r="B49" s="40"/>
      <c r="C49">
        <v>40</v>
      </c>
      <c r="D49" s="42"/>
      <c r="E49" s="42"/>
      <c r="F49" s="14"/>
      <c r="G49" s="39"/>
      <c r="H49" s="53" t="s">
        <v>101</v>
      </c>
      <c r="I49" s="55">
        <v>0</v>
      </c>
      <c r="J49" s="56">
        <f>I49/I$46</f>
        <v>0</v>
      </c>
    </row>
    <row r="50" spans="1:10" x14ac:dyDescent="0.25">
      <c r="A50" s="7"/>
      <c r="B50" s="40"/>
      <c r="D50" s="42" t="s">
        <v>81</v>
      </c>
      <c r="E50" s="43" t="s">
        <v>137</v>
      </c>
      <c r="F50" s="44"/>
      <c r="G50" s="39"/>
    </row>
    <row r="51" spans="1:10" ht="15.75" thickBot="1" x14ac:dyDescent="0.3">
      <c r="A51" s="7" t="s">
        <v>138</v>
      </c>
      <c r="B51" s="40"/>
      <c r="C51">
        <v>34</v>
      </c>
      <c r="D51" s="42" t="s">
        <v>81</v>
      </c>
      <c r="E51" s="48" t="s">
        <v>139</v>
      </c>
      <c r="F51" s="51">
        <f>C51/C$49</f>
        <v>0.85</v>
      </c>
      <c r="G51" s="39"/>
    </row>
    <row r="52" spans="1:10" ht="15.75" thickBot="1" x14ac:dyDescent="0.3">
      <c r="A52" s="7" t="s">
        <v>140</v>
      </c>
      <c r="B52" s="40"/>
      <c r="C52">
        <v>6</v>
      </c>
      <c r="D52" s="42"/>
      <c r="E52" s="53" t="s">
        <v>141</v>
      </c>
      <c r="F52" s="56">
        <f>C52/C$49</f>
        <v>0.15</v>
      </c>
      <c r="G52" s="39"/>
      <c r="H52" s="45" t="s">
        <v>142</v>
      </c>
      <c r="I52" s="46">
        <v>43</v>
      </c>
      <c r="J52" s="47"/>
    </row>
    <row r="53" spans="1:10" ht="15.75" thickBot="1" x14ac:dyDescent="0.3">
      <c r="A53" s="7"/>
      <c r="B53" s="40"/>
      <c r="D53" s="42"/>
      <c r="E53" s="42"/>
      <c r="F53" s="14"/>
      <c r="G53" s="39"/>
      <c r="H53" s="57" t="s">
        <v>143</v>
      </c>
      <c r="I53" s="59">
        <v>34</v>
      </c>
      <c r="J53" s="51">
        <f>I53/I$52</f>
        <v>0.79069767441860461</v>
      </c>
    </row>
    <row r="54" spans="1:10" x14ac:dyDescent="0.25">
      <c r="A54" s="7" t="s">
        <v>144</v>
      </c>
      <c r="B54" s="40"/>
      <c r="D54" s="42"/>
      <c r="E54" s="43" t="s">
        <v>48</v>
      </c>
      <c r="F54" s="44"/>
      <c r="G54" s="39"/>
      <c r="H54" s="57" t="s">
        <v>145</v>
      </c>
      <c r="I54" s="59">
        <v>7</v>
      </c>
      <c r="J54" s="51">
        <f>I54/I$52</f>
        <v>0.16279069767441862</v>
      </c>
    </row>
    <row r="55" spans="1:10" ht="15.75" thickBot="1" x14ac:dyDescent="0.3">
      <c r="A55" s="7" t="s">
        <v>61</v>
      </c>
      <c r="B55" s="40"/>
      <c r="C55">
        <v>2</v>
      </c>
      <c r="D55" s="42"/>
      <c r="E55" s="58" t="s">
        <v>61</v>
      </c>
      <c r="F55" s="51">
        <f>C55/C$64</f>
        <v>2.1052631578947368E-2</v>
      </c>
      <c r="G55" s="39"/>
      <c r="H55" s="22" t="s">
        <v>146</v>
      </c>
      <c r="I55" s="55">
        <v>2</v>
      </c>
      <c r="J55" s="56">
        <f>I55/I$52</f>
        <v>4.6511627906976744E-2</v>
      </c>
    </row>
    <row r="56" spans="1:10" ht="15.75" thickBot="1" x14ac:dyDescent="0.3">
      <c r="A56" s="7" t="s">
        <v>62</v>
      </c>
      <c r="B56" s="40"/>
      <c r="C56">
        <v>17</v>
      </c>
      <c r="D56" s="42"/>
      <c r="E56" s="58" t="s">
        <v>62</v>
      </c>
      <c r="F56" s="51">
        <f t="shared" ref="F56:F63" si="0">C56/C$64</f>
        <v>0.17894736842105263</v>
      </c>
      <c r="G56" s="39"/>
    </row>
    <row r="57" spans="1:10" x14ac:dyDescent="0.25">
      <c r="A57" s="7" t="s">
        <v>63</v>
      </c>
      <c r="B57" s="40"/>
      <c r="C57">
        <v>43</v>
      </c>
      <c r="D57" s="42"/>
      <c r="E57" s="58" t="s">
        <v>63</v>
      </c>
      <c r="F57" s="51">
        <f t="shared" si="0"/>
        <v>0.45263157894736844</v>
      </c>
      <c r="G57" s="42" t="s">
        <v>81</v>
      </c>
      <c r="H57" s="45" t="s">
        <v>147</v>
      </c>
      <c r="I57" s="46">
        <v>2</v>
      </c>
      <c r="J57" s="44">
        <f t="shared" ref="J57:J68" si="1">I57/I$52</f>
        <v>4.6511627906976744E-2</v>
      </c>
    </row>
    <row r="58" spans="1:10" x14ac:dyDescent="0.25">
      <c r="A58" s="7" t="s">
        <v>64</v>
      </c>
      <c r="B58" s="40"/>
      <c r="C58">
        <v>2</v>
      </c>
      <c r="D58" s="42"/>
      <c r="E58" s="58" t="s">
        <v>64</v>
      </c>
      <c r="F58" s="51">
        <f t="shared" si="0"/>
        <v>2.1052631578947368E-2</v>
      </c>
      <c r="G58" s="39"/>
      <c r="H58" s="57" t="s">
        <v>148</v>
      </c>
      <c r="I58" s="59">
        <v>16</v>
      </c>
      <c r="J58" s="51">
        <f t="shared" si="1"/>
        <v>0.37209302325581395</v>
      </c>
    </row>
    <row r="59" spans="1:10" x14ac:dyDescent="0.25">
      <c r="A59" s="7" t="s">
        <v>65</v>
      </c>
      <c r="B59" s="40"/>
      <c r="C59">
        <v>8</v>
      </c>
      <c r="D59" s="42"/>
      <c r="E59" s="58" t="s">
        <v>65</v>
      </c>
      <c r="F59" s="51">
        <f t="shared" si="0"/>
        <v>8.4210526315789472E-2</v>
      </c>
      <c r="G59" s="39"/>
      <c r="H59" s="57" t="s">
        <v>149</v>
      </c>
      <c r="I59" s="59">
        <v>1</v>
      </c>
      <c r="J59" s="51">
        <f t="shared" si="1"/>
        <v>2.3255813953488372E-2</v>
      </c>
    </row>
    <row r="60" spans="1:10" x14ac:dyDescent="0.25">
      <c r="A60" s="7" t="s">
        <v>66</v>
      </c>
      <c r="B60" s="40"/>
      <c r="C60">
        <v>1</v>
      </c>
      <c r="D60" s="42"/>
      <c r="E60" s="58" t="s">
        <v>66</v>
      </c>
      <c r="F60" s="51">
        <f t="shared" si="0"/>
        <v>1.0526315789473684E-2</v>
      </c>
      <c r="G60" s="39"/>
      <c r="H60" s="57" t="s">
        <v>150</v>
      </c>
      <c r="I60" s="59">
        <v>3</v>
      </c>
      <c r="J60" s="51">
        <f t="shared" si="1"/>
        <v>6.9767441860465115E-2</v>
      </c>
    </row>
    <row r="61" spans="1:10" x14ac:dyDescent="0.25">
      <c r="A61" s="7" t="s">
        <v>67</v>
      </c>
      <c r="B61" s="40"/>
      <c r="C61">
        <v>5</v>
      </c>
      <c r="D61" s="42"/>
      <c r="E61" s="58" t="s">
        <v>67</v>
      </c>
      <c r="F61" s="51">
        <f t="shared" si="0"/>
        <v>5.2631578947368418E-2</v>
      </c>
      <c r="G61" s="39"/>
      <c r="H61" s="57" t="s">
        <v>151</v>
      </c>
      <c r="I61" s="59">
        <v>9</v>
      </c>
      <c r="J61" s="51">
        <f t="shared" si="1"/>
        <v>0.20930232558139536</v>
      </c>
    </row>
    <row r="62" spans="1:10" x14ac:dyDescent="0.25">
      <c r="A62" s="7" t="s">
        <v>68</v>
      </c>
      <c r="B62" s="40"/>
      <c r="C62">
        <v>3</v>
      </c>
      <c r="D62" s="42"/>
      <c r="E62" s="58" t="s">
        <v>68</v>
      </c>
      <c r="F62" s="51">
        <f t="shared" si="0"/>
        <v>3.1578947368421054E-2</v>
      </c>
      <c r="G62" s="39"/>
      <c r="H62" s="57" t="s">
        <v>152</v>
      </c>
      <c r="I62" s="59">
        <v>10</v>
      </c>
      <c r="J62" s="51">
        <f t="shared" si="1"/>
        <v>0.23255813953488372</v>
      </c>
    </row>
    <row r="63" spans="1:10" ht="15.75" thickBot="1" x14ac:dyDescent="0.3">
      <c r="A63" s="7" t="s">
        <v>69</v>
      </c>
      <c r="B63" s="40"/>
      <c r="C63">
        <v>14</v>
      </c>
      <c r="D63" s="42"/>
      <c r="E63" s="60" t="s">
        <v>69</v>
      </c>
      <c r="F63" s="56">
        <f t="shared" si="0"/>
        <v>0.14736842105263157</v>
      </c>
      <c r="G63" s="42" t="s">
        <v>81</v>
      </c>
      <c r="H63" s="61" t="s">
        <v>153</v>
      </c>
      <c r="I63" s="59">
        <v>2</v>
      </c>
      <c r="J63" s="51">
        <f t="shared" si="1"/>
        <v>4.6511627906976744E-2</v>
      </c>
    </row>
    <row r="64" spans="1:10" ht="15.75" thickBot="1" x14ac:dyDescent="0.3">
      <c r="A64" s="7" t="s">
        <v>154</v>
      </c>
      <c r="B64" s="40"/>
      <c r="C64">
        <f>SUM(C55:C63)</f>
        <v>95</v>
      </c>
      <c r="D64" s="42"/>
      <c r="E64" s="7"/>
      <c r="F64" s="14"/>
      <c r="G64" s="39"/>
      <c r="H64" s="61" t="s">
        <v>155</v>
      </c>
      <c r="I64" s="59">
        <v>0</v>
      </c>
      <c r="J64" s="51">
        <f t="shared" si="1"/>
        <v>0</v>
      </c>
    </row>
    <row r="65" spans="1:10" x14ac:dyDescent="0.25">
      <c r="A65" s="7"/>
      <c r="B65" s="40"/>
      <c r="D65" s="42"/>
      <c r="E65" s="62" t="s">
        <v>70</v>
      </c>
      <c r="F65" s="44"/>
      <c r="G65" s="39"/>
      <c r="H65" s="61" t="s">
        <v>156</v>
      </c>
      <c r="I65" s="59">
        <v>0</v>
      </c>
      <c r="J65" s="51">
        <f t="shared" si="1"/>
        <v>0</v>
      </c>
    </row>
    <row r="66" spans="1:10" x14ac:dyDescent="0.25">
      <c r="A66" s="7" t="s">
        <v>157</v>
      </c>
      <c r="B66" s="40"/>
      <c r="D66" s="42"/>
      <c r="E66" s="58" t="s">
        <v>71</v>
      </c>
      <c r="F66" s="51">
        <f>C67/C$77</f>
        <v>0.38235294117647056</v>
      </c>
      <c r="G66" s="39"/>
      <c r="H66" s="57" t="s">
        <v>158</v>
      </c>
      <c r="I66" s="59">
        <v>0</v>
      </c>
      <c r="J66" s="51">
        <f t="shared" si="1"/>
        <v>0</v>
      </c>
    </row>
    <row r="67" spans="1:10" x14ac:dyDescent="0.25">
      <c r="A67" s="7" t="s">
        <v>71</v>
      </c>
      <c r="B67" s="40"/>
      <c r="C67">
        <v>39</v>
      </c>
      <c r="D67" s="42"/>
      <c r="E67" s="58" t="s">
        <v>72</v>
      </c>
      <c r="F67" s="51">
        <f t="shared" ref="F67:F75" si="2">C68/C$77</f>
        <v>0.23529411764705882</v>
      </c>
      <c r="G67" s="39"/>
      <c r="H67" s="61" t="s">
        <v>159</v>
      </c>
      <c r="I67" s="59">
        <v>0</v>
      </c>
      <c r="J67" s="51">
        <f t="shared" si="1"/>
        <v>0</v>
      </c>
    </row>
    <row r="68" spans="1:10" ht="15.75" thickBot="1" x14ac:dyDescent="0.3">
      <c r="A68" s="7" t="s">
        <v>72</v>
      </c>
      <c r="B68" s="40"/>
      <c r="C68">
        <v>24</v>
      </c>
      <c r="D68" s="42"/>
      <c r="E68" s="58" t="s">
        <v>73</v>
      </c>
      <c r="F68" s="51">
        <f t="shared" si="2"/>
        <v>7.8431372549019607E-2</v>
      </c>
      <c r="G68" s="39"/>
      <c r="H68" s="63" t="s">
        <v>160</v>
      </c>
      <c r="I68" s="55">
        <v>0</v>
      </c>
      <c r="J68" s="56">
        <f t="shared" si="1"/>
        <v>0</v>
      </c>
    </row>
    <row r="69" spans="1:10" x14ac:dyDescent="0.25">
      <c r="A69" s="7" t="s">
        <v>73</v>
      </c>
      <c r="B69" s="40"/>
      <c r="C69">
        <v>8</v>
      </c>
      <c r="D69" s="42"/>
      <c r="E69" s="58" t="s">
        <v>74</v>
      </c>
      <c r="F69" s="51">
        <f t="shared" si="2"/>
        <v>0.17647058823529413</v>
      </c>
      <c r="G69" s="39"/>
    </row>
    <row r="70" spans="1:10" ht="15.75" thickBot="1" x14ac:dyDescent="0.3">
      <c r="A70" s="7" t="s">
        <v>74</v>
      </c>
      <c r="B70" s="40"/>
      <c r="C70">
        <v>18</v>
      </c>
      <c r="D70" s="42"/>
      <c r="E70" s="58" t="s">
        <v>75</v>
      </c>
      <c r="F70" s="51">
        <f t="shared" si="2"/>
        <v>3.9215686274509803E-2</v>
      </c>
      <c r="G70" s="42" t="s">
        <v>81</v>
      </c>
    </row>
    <row r="71" spans="1:10" x14ac:dyDescent="0.25">
      <c r="A71" s="7" t="s">
        <v>75</v>
      </c>
      <c r="B71" s="40"/>
      <c r="C71">
        <v>4</v>
      </c>
      <c r="D71" s="42"/>
      <c r="E71" s="58" t="s">
        <v>76</v>
      </c>
      <c r="F71" s="51">
        <f t="shared" si="2"/>
        <v>0</v>
      </c>
      <c r="G71" s="39"/>
      <c r="H71" s="45" t="s">
        <v>65</v>
      </c>
      <c r="I71" s="46">
        <v>8</v>
      </c>
      <c r="J71" s="47"/>
    </row>
    <row r="72" spans="1:10" x14ac:dyDescent="0.25">
      <c r="A72" s="7" t="s">
        <v>76</v>
      </c>
      <c r="B72" s="40"/>
      <c r="C72">
        <v>0</v>
      </c>
      <c r="D72" s="42"/>
      <c r="E72" s="58" t="s">
        <v>77</v>
      </c>
      <c r="F72" s="51">
        <f t="shared" si="2"/>
        <v>0</v>
      </c>
      <c r="G72" s="39"/>
      <c r="H72" s="57" t="s">
        <v>161</v>
      </c>
      <c r="I72" s="59">
        <v>0</v>
      </c>
      <c r="J72" s="51">
        <f>I72/I$71</f>
        <v>0</v>
      </c>
    </row>
    <row r="73" spans="1:10" ht="15.75" thickBot="1" x14ac:dyDescent="0.3">
      <c r="A73" s="7" t="s">
        <v>77</v>
      </c>
      <c r="B73" s="40"/>
      <c r="C73">
        <v>0</v>
      </c>
      <c r="D73" s="42"/>
      <c r="E73" s="58" t="s">
        <v>78</v>
      </c>
      <c r="F73" s="51">
        <f t="shared" si="2"/>
        <v>0</v>
      </c>
      <c r="G73" s="39"/>
      <c r="H73" s="22" t="s">
        <v>103</v>
      </c>
      <c r="I73" s="55">
        <v>8</v>
      </c>
      <c r="J73" s="56">
        <f>I73/I$71</f>
        <v>1</v>
      </c>
    </row>
    <row r="74" spans="1:10" x14ac:dyDescent="0.25">
      <c r="A74" s="7" t="s">
        <v>78</v>
      </c>
      <c r="B74" s="40"/>
      <c r="C74">
        <v>0</v>
      </c>
      <c r="D74" s="42"/>
      <c r="E74" s="58" t="s">
        <v>79</v>
      </c>
      <c r="F74" s="51">
        <f t="shared" si="2"/>
        <v>1.9607843137254902E-2</v>
      </c>
      <c r="G74" s="39"/>
    </row>
    <row r="75" spans="1:10" ht="15.75" thickBot="1" x14ac:dyDescent="0.3">
      <c r="A75" s="7" t="s">
        <v>79</v>
      </c>
      <c r="B75" s="40"/>
      <c r="C75">
        <v>2</v>
      </c>
      <c r="D75" s="42"/>
      <c r="E75" s="60" t="s">
        <v>80</v>
      </c>
      <c r="F75" s="56">
        <f t="shared" si="2"/>
        <v>6.8627450980392163E-2</v>
      </c>
      <c r="G75" s="39"/>
    </row>
    <row r="76" spans="1:10" ht="15.75" thickBot="1" x14ac:dyDescent="0.3">
      <c r="A76" s="7" t="s">
        <v>80</v>
      </c>
      <c r="B76" s="40"/>
      <c r="C76">
        <v>7</v>
      </c>
      <c r="D76" s="42"/>
      <c r="E76" s="7"/>
      <c r="F76" s="14"/>
      <c r="G76" s="39"/>
      <c r="H76" s="45" t="s">
        <v>162</v>
      </c>
      <c r="I76" s="46">
        <v>1</v>
      </c>
      <c r="J76" s="47"/>
    </row>
    <row r="77" spans="1:10" x14ac:dyDescent="0.25">
      <c r="A77" s="7" t="s">
        <v>163</v>
      </c>
      <c r="B77" s="40"/>
      <c r="C77">
        <f>SUM(C67:C76)</f>
        <v>102</v>
      </c>
      <c r="D77" s="42"/>
      <c r="E77" s="62" t="s">
        <v>44</v>
      </c>
      <c r="F77" s="44"/>
      <c r="G77" s="39"/>
      <c r="H77" s="57" t="s">
        <v>164</v>
      </c>
      <c r="I77" s="59">
        <v>0</v>
      </c>
      <c r="J77" s="51">
        <f t="shared" ref="J77:J82" si="3">I77/I$76</f>
        <v>0</v>
      </c>
    </row>
    <row r="78" spans="1:10" x14ac:dyDescent="0.25">
      <c r="A78" s="7"/>
      <c r="B78" s="40"/>
      <c r="D78" s="42"/>
      <c r="E78" s="64" t="s">
        <v>165</v>
      </c>
      <c r="F78" s="51">
        <f>C79/C$49</f>
        <v>0.625</v>
      </c>
      <c r="G78" s="39"/>
      <c r="H78" s="57" t="s">
        <v>166</v>
      </c>
      <c r="I78" s="59">
        <v>0</v>
      </c>
      <c r="J78" s="51">
        <f t="shared" si="3"/>
        <v>0</v>
      </c>
    </row>
    <row r="79" spans="1:10" x14ac:dyDescent="0.25">
      <c r="A79" s="7" t="s">
        <v>167</v>
      </c>
      <c r="B79" s="40"/>
      <c r="C79">
        <v>25</v>
      </c>
      <c r="D79" s="42"/>
      <c r="E79" s="64" t="s">
        <v>168</v>
      </c>
      <c r="F79" s="51">
        <f>C80/C$49</f>
        <v>0</v>
      </c>
      <c r="G79" s="39"/>
      <c r="H79" s="57" t="s">
        <v>169</v>
      </c>
      <c r="I79" s="59">
        <v>0</v>
      </c>
      <c r="J79" s="51">
        <f t="shared" si="3"/>
        <v>0</v>
      </c>
    </row>
    <row r="80" spans="1:10" ht="15.75" thickBot="1" x14ac:dyDescent="0.3">
      <c r="A80" s="7" t="s">
        <v>170</v>
      </c>
      <c r="B80" s="40"/>
      <c r="C80">
        <v>0</v>
      </c>
      <c r="D80" s="42"/>
      <c r="E80" s="65" t="s">
        <v>171</v>
      </c>
      <c r="F80" s="56">
        <f>C81/C$49</f>
        <v>0.375</v>
      </c>
      <c r="G80" s="39"/>
      <c r="H80" s="57" t="s">
        <v>172</v>
      </c>
      <c r="I80" s="59">
        <v>0</v>
      </c>
      <c r="J80" s="51">
        <f t="shared" si="3"/>
        <v>0</v>
      </c>
    </row>
    <row r="81" spans="1:10" ht="15.75" thickBot="1" x14ac:dyDescent="0.3">
      <c r="A81" s="7" t="s">
        <v>173</v>
      </c>
      <c r="B81" s="40"/>
      <c r="C81">
        <v>15</v>
      </c>
      <c r="D81" s="42"/>
      <c r="E81" s="66"/>
      <c r="F81" s="14"/>
      <c r="G81" s="42" t="s">
        <v>81</v>
      </c>
      <c r="H81" s="57" t="s">
        <v>174</v>
      </c>
      <c r="I81" s="59">
        <v>0</v>
      </c>
      <c r="J81" s="51">
        <f t="shared" si="3"/>
        <v>0</v>
      </c>
    </row>
    <row r="82" spans="1:10" ht="15.75" thickBot="1" x14ac:dyDescent="0.3">
      <c r="A82" s="7"/>
      <c r="B82" s="40"/>
      <c r="D82" s="42"/>
      <c r="E82" s="67" t="s">
        <v>137</v>
      </c>
      <c r="F82" s="44"/>
      <c r="G82" s="39"/>
      <c r="H82" s="22" t="s">
        <v>175</v>
      </c>
      <c r="I82" s="55">
        <v>1</v>
      </c>
      <c r="J82" s="56">
        <f t="shared" si="3"/>
        <v>1</v>
      </c>
    </row>
    <row r="83" spans="1:10" x14ac:dyDescent="0.25">
      <c r="A83" s="7" t="s">
        <v>137</v>
      </c>
      <c r="B83" s="40"/>
      <c r="D83" s="42"/>
      <c r="E83" s="58" t="s">
        <v>176</v>
      </c>
      <c r="F83" s="51">
        <f>C84/C$49</f>
        <v>0.55000000000000004</v>
      </c>
      <c r="G83" s="39"/>
    </row>
    <row r="84" spans="1:10" ht="15.75" thickBot="1" x14ac:dyDescent="0.3">
      <c r="A84" s="7" t="s">
        <v>177</v>
      </c>
      <c r="B84" s="40"/>
      <c r="C84">
        <v>22</v>
      </c>
      <c r="D84" s="42"/>
      <c r="E84" s="60" t="s">
        <v>178</v>
      </c>
      <c r="F84" s="56">
        <f>C85/C$49</f>
        <v>0.45</v>
      </c>
      <c r="G84" s="39"/>
    </row>
    <row r="85" spans="1:10" ht="15.75" thickBot="1" x14ac:dyDescent="0.3">
      <c r="A85" s="7" t="s">
        <v>178</v>
      </c>
      <c r="B85" s="40"/>
      <c r="C85">
        <v>18</v>
      </c>
      <c r="D85" s="42"/>
      <c r="E85" s="68"/>
      <c r="F85" s="69"/>
      <c r="G85" s="39"/>
      <c r="H85" s="45" t="s">
        <v>67</v>
      </c>
      <c r="I85" s="46">
        <v>5</v>
      </c>
      <c r="J85" s="47"/>
    </row>
    <row r="86" spans="1:10" x14ac:dyDescent="0.25">
      <c r="A86" s="7"/>
      <c r="B86" s="40"/>
      <c r="D86" s="42"/>
      <c r="E86" s="45" t="s">
        <v>179</v>
      </c>
      <c r="F86" s="44"/>
      <c r="G86" s="39"/>
      <c r="H86" s="57" t="s">
        <v>104</v>
      </c>
      <c r="I86" s="59">
        <v>0</v>
      </c>
      <c r="J86" s="51">
        <f>I86/I$85</f>
        <v>0</v>
      </c>
    </row>
    <row r="87" spans="1:10" x14ac:dyDescent="0.25">
      <c r="A87" t="s">
        <v>179</v>
      </c>
      <c r="D87" s="42"/>
      <c r="E87" s="57" t="s">
        <v>180</v>
      </c>
      <c r="F87" s="51">
        <f>C88/C$85</f>
        <v>0.88888888888888884</v>
      </c>
      <c r="G87" s="39"/>
      <c r="H87" s="57" t="s">
        <v>105</v>
      </c>
      <c r="I87" s="59">
        <v>2</v>
      </c>
      <c r="J87" s="51">
        <f>I87/I$85</f>
        <v>0.4</v>
      </c>
    </row>
    <row r="88" spans="1:10" ht="15.75" thickBot="1" x14ac:dyDescent="0.3">
      <c r="A88" t="s">
        <v>180</v>
      </c>
      <c r="C88">
        <v>16</v>
      </c>
      <c r="D88" s="42"/>
      <c r="E88" s="22" t="s">
        <v>181</v>
      </c>
      <c r="F88" s="56">
        <f>C89/C$85</f>
        <v>0.1111111111111111</v>
      </c>
      <c r="G88" s="39"/>
      <c r="H88" s="57" t="s">
        <v>106</v>
      </c>
      <c r="I88" s="59">
        <v>0</v>
      </c>
      <c r="J88" s="51">
        <f>I88/I$85</f>
        <v>0</v>
      </c>
    </row>
    <row r="89" spans="1:10" ht="15.75" thickBot="1" x14ac:dyDescent="0.3">
      <c r="A89" t="s">
        <v>181</v>
      </c>
      <c r="C89">
        <v>2</v>
      </c>
      <c r="D89" s="42"/>
      <c r="E89" s="68"/>
      <c r="F89" s="69"/>
      <c r="G89" s="39"/>
      <c r="H89" s="57" t="s">
        <v>107</v>
      </c>
      <c r="I89" s="59">
        <v>2</v>
      </c>
      <c r="J89" s="51">
        <f>I89/I$85</f>
        <v>0.4</v>
      </c>
    </row>
    <row r="90" spans="1:10" ht="15.75" thickBot="1" x14ac:dyDescent="0.3">
      <c r="A90" s="7"/>
      <c r="B90" s="40"/>
      <c r="D90" s="42"/>
      <c r="E90" s="62" t="s">
        <v>182</v>
      </c>
      <c r="F90" s="44"/>
      <c r="G90" s="39"/>
      <c r="H90" s="22" t="s">
        <v>108</v>
      </c>
      <c r="I90" s="55">
        <v>1</v>
      </c>
      <c r="J90" s="56">
        <f>I90/I$85</f>
        <v>0.2</v>
      </c>
    </row>
    <row r="91" spans="1:10" x14ac:dyDescent="0.25">
      <c r="A91" s="7" t="s">
        <v>183</v>
      </c>
      <c r="B91" s="40"/>
      <c r="D91" s="42"/>
      <c r="E91" s="58" t="s">
        <v>121</v>
      </c>
      <c r="F91" s="51">
        <f t="shared" ref="F91:F96" si="4">C92/C$49</f>
        <v>0.52500000000000002</v>
      </c>
      <c r="G91" s="39"/>
    </row>
    <row r="92" spans="1:10" ht="15.75" thickBot="1" x14ac:dyDescent="0.3">
      <c r="A92" s="7" t="s">
        <v>121</v>
      </c>
      <c r="B92" s="40"/>
      <c r="C92">
        <v>21</v>
      </c>
      <c r="D92" s="42"/>
      <c r="E92" s="48" t="s">
        <v>122</v>
      </c>
      <c r="F92" s="51">
        <f t="shared" si="4"/>
        <v>2.5000000000000001E-2</v>
      </c>
      <c r="G92" s="39"/>
    </row>
    <row r="93" spans="1:10" x14ac:dyDescent="0.25">
      <c r="A93" s="7" t="s">
        <v>122</v>
      </c>
      <c r="B93" s="40"/>
      <c r="C93">
        <v>1</v>
      </c>
      <c r="D93" s="42"/>
      <c r="E93" s="48" t="s">
        <v>123</v>
      </c>
      <c r="F93" s="51">
        <f t="shared" si="4"/>
        <v>0</v>
      </c>
      <c r="G93" s="39"/>
      <c r="H93" s="45" t="s">
        <v>69</v>
      </c>
      <c r="I93" s="46">
        <v>14</v>
      </c>
      <c r="J93" s="47"/>
    </row>
    <row r="94" spans="1:10" x14ac:dyDescent="0.25">
      <c r="A94" s="7" t="s">
        <v>123</v>
      </c>
      <c r="B94" s="40"/>
      <c r="C94">
        <v>0</v>
      </c>
      <c r="D94" s="42"/>
      <c r="E94" s="48" t="s">
        <v>124</v>
      </c>
      <c r="F94" s="51">
        <f t="shared" si="4"/>
        <v>0</v>
      </c>
      <c r="G94" s="39"/>
      <c r="H94" s="57" t="s">
        <v>109</v>
      </c>
      <c r="I94" s="50">
        <v>1</v>
      </c>
      <c r="J94" s="51">
        <f>I94/I$93</f>
        <v>7.1428571428571425E-2</v>
      </c>
    </row>
    <row r="95" spans="1:10" x14ac:dyDescent="0.25">
      <c r="A95" s="7" t="s">
        <v>124</v>
      </c>
      <c r="B95" s="40"/>
      <c r="C95">
        <v>0</v>
      </c>
      <c r="D95" s="42"/>
      <c r="E95" s="48" t="s">
        <v>125</v>
      </c>
      <c r="F95" s="51">
        <f t="shared" si="4"/>
        <v>0.45</v>
      </c>
      <c r="G95" s="39"/>
      <c r="H95" s="57" t="s">
        <v>110</v>
      </c>
      <c r="I95" s="50">
        <v>0</v>
      </c>
      <c r="J95" s="51">
        <f t="shared" ref="J95:J103" si="5">I95/I$93</f>
        <v>0</v>
      </c>
    </row>
    <row r="96" spans="1:10" ht="15.75" thickBot="1" x14ac:dyDescent="0.3">
      <c r="A96" s="7" t="s">
        <v>125</v>
      </c>
      <c r="B96" s="40"/>
      <c r="C96">
        <v>18</v>
      </c>
      <c r="D96" s="42"/>
      <c r="E96" s="53" t="s">
        <v>69</v>
      </c>
      <c r="F96" s="56">
        <f t="shared" si="4"/>
        <v>0</v>
      </c>
      <c r="G96" s="39"/>
      <c r="H96" s="57" t="s">
        <v>111</v>
      </c>
      <c r="I96" s="50">
        <v>0</v>
      </c>
      <c r="J96" s="51">
        <f t="shared" si="5"/>
        <v>0</v>
      </c>
    </row>
    <row r="97" spans="1:10" ht="15.75" thickBot="1" x14ac:dyDescent="0.3">
      <c r="A97" s="7" t="s">
        <v>69</v>
      </c>
      <c r="B97" s="40"/>
      <c r="C97">
        <v>0</v>
      </c>
      <c r="D97" s="42"/>
      <c r="E97" s="42"/>
      <c r="F97" s="14"/>
      <c r="G97" s="39"/>
      <c r="H97" s="57" t="s">
        <v>112</v>
      </c>
      <c r="I97" s="59">
        <v>0</v>
      </c>
      <c r="J97" s="51">
        <f t="shared" si="5"/>
        <v>0</v>
      </c>
    </row>
    <row r="98" spans="1:10" x14ac:dyDescent="0.25">
      <c r="A98" s="7"/>
      <c r="B98" s="40"/>
      <c r="D98" s="42"/>
      <c r="E98" s="43" t="s">
        <v>184</v>
      </c>
      <c r="F98" s="44"/>
      <c r="G98" s="39"/>
      <c r="H98" s="57" t="s">
        <v>113</v>
      </c>
      <c r="I98" s="59">
        <v>5</v>
      </c>
      <c r="J98" s="51">
        <f t="shared" si="5"/>
        <v>0.35714285714285715</v>
      </c>
    </row>
    <row r="99" spans="1:10" x14ac:dyDescent="0.25">
      <c r="A99" s="7" t="s">
        <v>185</v>
      </c>
      <c r="B99" s="40"/>
      <c r="D99" s="42"/>
      <c r="E99" s="48" t="s">
        <v>186</v>
      </c>
      <c r="F99" s="51">
        <f>C100/C$49</f>
        <v>0.77500000000000002</v>
      </c>
      <c r="G99" s="39"/>
      <c r="H99" s="70" t="s">
        <v>114</v>
      </c>
      <c r="I99" s="59">
        <v>1</v>
      </c>
      <c r="J99" s="51">
        <f t="shared" si="5"/>
        <v>7.1428571428571425E-2</v>
      </c>
    </row>
    <row r="100" spans="1:10" x14ac:dyDescent="0.25">
      <c r="A100" s="7" t="s">
        <v>186</v>
      </c>
      <c r="B100" s="40"/>
      <c r="C100">
        <v>31</v>
      </c>
      <c r="D100" s="42"/>
      <c r="E100" s="48" t="s">
        <v>187</v>
      </c>
      <c r="F100" s="51">
        <f>C101/C$49</f>
        <v>0.2</v>
      </c>
      <c r="G100" s="39"/>
      <c r="H100" s="70" t="s">
        <v>115</v>
      </c>
      <c r="I100" s="59">
        <v>1</v>
      </c>
      <c r="J100" s="51">
        <f t="shared" si="5"/>
        <v>7.1428571428571425E-2</v>
      </c>
    </row>
    <row r="101" spans="1:10" x14ac:dyDescent="0.25">
      <c r="A101" s="7" t="s">
        <v>187</v>
      </c>
      <c r="B101" s="40"/>
      <c r="C101">
        <v>8</v>
      </c>
      <c r="D101" s="42"/>
      <c r="E101" s="48" t="s">
        <v>188</v>
      </c>
      <c r="F101" s="51">
        <f>C102/C$49</f>
        <v>0</v>
      </c>
      <c r="G101" s="39"/>
      <c r="H101" s="70" t="s">
        <v>116</v>
      </c>
      <c r="I101" s="59">
        <v>0</v>
      </c>
      <c r="J101" s="51">
        <f t="shared" si="5"/>
        <v>0</v>
      </c>
    </row>
    <row r="102" spans="1:10" x14ac:dyDescent="0.25">
      <c r="A102" s="7" t="s">
        <v>188</v>
      </c>
      <c r="B102" s="40"/>
      <c r="C102">
        <v>0</v>
      </c>
      <c r="D102" s="42"/>
      <c r="E102" s="48" t="s">
        <v>189</v>
      </c>
      <c r="F102" s="51">
        <f>C103/C$49</f>
        <v>0</v>
      </c>
      <c r="G102" s="39"/>
      <c r="H102" s="70" t="s">
        <v>117</v>
      </c>
      <c r="I102" s="59">
        <v>1</v>
      </c>
      <c r="J102" s="51">
        <f t="shared" si="5"/>
        <v>7.1428571428571425E-2</v>
      </c>
    </row>
    <row r="103" spans="1:10" ht="15.75" thickBot="1" x14ac:dyDescent="0.3">
      <c r="A103" s="7" t="s">
        <v>189</v>
      </c>
      <c r="B103" s="40"/>
      <c r="C103">
        <v>0</v>
      </c>
      <c r="E103" s="53" t="s">
        <v>190</v>
      </c>
      <c r="F103" s="56">
        <f>C104/C$49</f>
        <v>2.5000000000000001E-2</v>
      </c>
      <c r="H103" s="71" t="s">
        <v>118</v>
      </c>
      <c r="I103" s="55">
        <v>4</v>
      </c>
      <c r="J103" s="56">
        <f t="shared" si="5"/>
        <v>0.2857142857142857</v>
      </c>
    </row>
    <row r="104" spans="1:10" x14ac:dyDescent="0.25">
      <c r="A104" s="7" t="s">
        <v>190</v>
      </c>
      <c r="B104" s="40"/>
      <c r="C104">
        <v>1</v>
      </c>
      <c r="E104" s="42"/>
      <c r="F104" s="14"/>
    </row>
    <row r="105" spans="1:10" x14ac:dyDescent="0.25">
      <c r="A105" s="7" t="s">
        <v>191</v>
      </c>
      <c r="B105" s="40"/>
      <c r="C105">
        <v>0</v>
      </c>
      <c r="E105" s="42"/>
      <c r="F105" s="14"/>
    </row>
    <row r="106" spans="1:10" x14ac:dyDescent="0.25">
      <c r="A106" s="7"/>
      <c r="B106" s="40"/>
      <c r="E106" s="42"/>
      <c r="F106" s="14"/>
    </row>
    <row r="107" spans="1:10" ht="15.75" thickBot="1" x14ac:dyDescent="0.3"/>
    <row r="108" spans="1:10" x14ac:dyDescent="0.25">
      <c r="A108" s="72" t="s">
        <v>7</v>
      </c>
      <c r="B108" s="91">
        <f>SUM(B109:B112)</f>
        <v>106794.24000000001</v>
      </c>
    </row>
    <row r="109" spans="1:10" x14ac:dyDescent="0.25">
      <c r="A109" s="74" t="s">
        <v>121</v>
      </c>
      <c r="B109" s="75">
        <f>SUM(F2,F4,F6:F10,F12:F13,F15:F16,F19:F22,F26:F28,F31:F32,F39,)</f>
        <v>35428.5</v>
      </c>
    </row>
    <row r="110" spans="1:10" x14ac:dyDescent="0.25">
      <c r="A110" s="74" t="s">
        <v>192</v>
      </c>
      <c r="B110" s="75">
        <f>SUM(F3,F5,F11,F14,F17:F18,F23:F25,F29:F30,F33:F36,F38,F40:F41,)</f>
        <v>69448.38</v>
      </c>
    </row>
    <row r="111" spans="1:10" x14ac:dyDescent="0.25">
      <c r="A111" s="74" t="s">
        <v>193</v>
      </c>
      <c r="B111" s="75">
        <v>1917.36</v>
      </c>
    </row>
    <row r="112" spans="1:10" x14ac:dyDescent="0.25">
      <c r="A112" s="74" t="s">
        <v>69</v>
      </c>
      <c r="B112" s="76">
        <v>0</v>
      </c>
    </row>
    <row r="113" spans="1:2" ht="15.75" thickBot="1" x14ac:dyDescent="0.3">
      <c r="A113" s="77"/>
      <c r="B113" s="78"/>
    </row>
  </sheetData>
  <mergeCells count="1">
    <mergeCell ref="A45:F4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2"/>
  <sheetViews>
    <sheetView topLeftCell="A57" workbookViewId="0">
      <selection activeCell="F83" sqref="F83"/>
    </sheetView>
  </sheetViews>
  <sheetFormatPr baseColWidth="10" defaultRowHeight="15" x14ac:dyDescent="0.25"/>
  <cols>
    <col min="2" max="2" width="34.28515625" customWidth="1"/>
    <col min="3" max="3" width="11.5703125" customWidth="1"/>
    <col min="4" max="4" width="5.5703125" customWidth="1"/>
    <col min="5" max="5" width="8.140625" customWidth="1"/>
    <col min="7" max="7" width="45.7109375" customWidth="1"/>
  </cols>
  <sheetData>
    <row r="1" spans="1:8" ht="15" customHeight="1" x14ac:dyDescent="0.25">
      <c r="A1" s="3" t="s">
        <v>2</v>
      </c>
      <c r="B1" s="4" t="s">
        <v>3</v>
      </c>
      <c r="C1" s="4" t="s">
        <v>5</v>
      </c>
      <c r="D1" s="4" t="s">
        <v>22</v>
      </c>
      <c r="E1" s="8" t="s">
        <v>6</v>
      </c>
      <c r="F1" s="5" t="s">
        <v>8</v>
      </c>
      <c r="G1" s="6" t="s">
        <v>9</v>
      </c>
      <c r="H1" s="1" t="s">
        <v>10</v>
      </c>
    </row>
    <row r="2" spans="1:8" x14ac:dyDescent="0.25">
      <c r="A2" s="40">
        <v>45261</v>
      </c>
      <c r="B2" s="89" t="s">
        <v>2587</v>
      </c>
      <c r="C2" s="89" t="s">
        <v>186</v>
      </c>
      <c r="D2" t="s">
        <v>141</v>
      </c>
      <c r="E2" s="89" t="s">
        <v>197</v>
      </c>
      <c r="F2" s="38">
        <v>19541.36</v>
      </c>
      <c r="G2" s="89" t="s">
        <v>2590</v>
      </c>
      <c r="H2" s="89" t="s">
        <v>348</v>
      </c>
    </row>
    <row r="3" spans="1:8" x14ac:dyDescent="0.25">
      <c r="A3" s="40">
        <v>45262</v>
      </c>
      <c r="B3" s="89" t="s">
        <v>2591</v>
      </c>
      <c r="C3" s="89" t="s">
        <v>186</v>
      </c>
      <c r="D3" t="s">
        <v>139</v>
      </c>
      <c r="E3" s="89" t="s">
        <v>197</v>
      </c>
      <c r="F3" s="38">
        <v>2495</v>
      </c>
      <c r="G3" s="89" t="s">
        <v>2594</v>
      </c>
      <c r="H3" s="89" t="s">
        <v>582</v>
      </c>
    </row>
    <row r="4" spans="1:8" x14ac:dyDescent="0.25">
      <c r="A4" s="40">
        <v>45264</v>
      </c>
      <c r="B4" s="89" t="s">
        <v>2596</v>
      </c>
      <c r="C4" s="89" t="s">
        <v>186</v>
      </c>
      <c r="D4" s="89" t="s">
        <v>139</v>
      </c>
      <c r="E4" s="89" t="s">
        <v>192</v>
      </c>
      <c r="F4" s="38">
        <v>2000</v>
      </c>
      <c r="G4" s="89" t="s">
        <v>2599</v>
      </c>
      <c r="H4" s="89" t="s">
        <v>2605</v>
      </c>
    </row>
    <row r="5" spans="1:8" x14ac:dyDescent="0.25">
      <c r="A5" s="40">
        <v>45265</v>
      </c>
      <c r="B5" s="89" t="s">
        <v>1294</v>
      </c>
      <c r="C5" s="89" t="s">
        <v>186</v>
      </c>
      <c r="D5" s="89" t="s">
        <v>139</v>
      </c>
      <c r="E5" s="89" t="s">
        <v>192</v>
      </c>
      <c r="F5" s="38">
        <v>2368</v>
      </c>
      <c r="G5" s="89" t="s">
        <v>2604</v>
      </c>
      <c r="H5" s="89" t="s">
        <v>219</v>
      </c>
    </row>
    <row r="6" spans="1:8" x14ac:dyDescent="0.25">
      <c r="A6" s="40">
        <v>45265</v>
      </c>
      <c r="B6" s="89" t="s">
        <v>318</v>
      </c>
      <c r="C6" s="89" t="s">
        <v>186</v>
      </c>
      <c r="D6" s="89" t="s">
        <v>139</v>
      </c>
      <c r="E6" s="89" t="s">
        <v>192</v>
      </c>
      <c r="F6" s="38">
        <v>2306.6</v>
      </c>
      <c r="G6" s="89" t="s">
        <v>2606</v>
      </c>
      <c r="H6" s="89" t="s">
        <v>2613</v>
      </c>
    </row>
    <row r="7" spans="1:8" x14ac:dyDescent="0.25">
      <c r="A7" s="40">
        <v>45266</v>
      </c>
      <c r="B7" s="89" t="s">
        <v>2607</v>
      </c>
      <c r="C7" s="89" t="s">
        <v>186</v>
      </c>
      <c r="D7" s="89" t="s">
        <v>139</v>
      </c>
      <c r="E7" s="89" t="s">
        <v>192</v>
      </c>
      <c r="F7" s="38">
        <v>4233</v>
      </c>
      <c r="G7" s="89" t="s">
        <v>2609</v>
      </c>
      <c r="H7" s="89" t="s">
        <v>550</v>
      </c>
    </row>
    <row r="8" spans="1:8" x14ac:dyDescent="0.25">
      <c r="A8" s="40">
        <v>45267</v>
      </c>
      <c r="B8" s="89" t="s">
        <v>1997</v>
      </c>
      <c r="C8" s="89" t="s">
        <v>186</v>
      </c>
      <c r="D8" s="89" t="s">
        <v>139</v>
      </c>
      <c r="E8" s="89" t="s">
        <v>192</v>
      </c>
      <c r="F8" s="38">
        <v>1402.08</v>
      </c>
      <c r="G8" s="89" t="s">
        <v>2612</v>
      </c>
      <c r="H8" s="89" t="s">
        <v>219</v>
      </c>
    </row>
    <row r="9" spans="1:8" x14ac:dyDescent="0.25">
      <c r="A9" s="40">
        <v>45267</v>
      </c>
      <c r="B9" s="89" t="s">
        <v>2623</v>
      </c>
      <c r="C9" s="89" t="s">
        <v>186</v>
      </c>
      <c r="D9" s="89" t="s">
        <v>139</v>
      </c>
      <c r="E9" s="89" t="s">
        <v>192</v>
      </c>
      <c r="F9" s="38">
        <v>1635.6</v>
      </c>
      <c r="G9" s="89" t="s">
        <v>2487</v>
      </c>
      <c r="H9" s="89" t="s">
        <v>1679</v>
      </c>
    </row>
    <row r="10" spans="1:8" x14ac:dyDescent="0.25">
      <c r="A10" s="40">
        <v>45267</v>
      </c>
      <c r="B10" s="89" t="s">
        <v>2625</v>
      </c>
      <c r="C10" s="89" t="s">
        <v>186</v>
      </c>
      <c r="D10" s="89" t="s">
        <v>139</v>
      </c>
      <c r="E10" s="89" t="s">
        <v>193</v>
      </c>
      <c r="F10" s="38">
        <v>1098</v>
      </c>
      <c r="G10" s="89" t="s">
        <v>2628</v>
      </c>
      <c r="H10" s="89" t="s">
        <v>2634</v>
      </c>
    </row>
    <row r="11" spans="1:8" x14ac:dyDescent="0.25">
      <c r="A11" s="40">
        <v>45268</v>
      </c>
      <c r="B11" s="89" t="s">
        <v>2630</v>
      </c>
      <c r="C11" s="89" t="s">
        <v>186</v>
      </c>
      <c r="D11" s="89" t="s">
        <v>139</v>
      </c>
      <c r="E11" s="89" t="s">
        <v>192</v>
      </c>
      <c r="F11" s="38">
        <v>2790</v>
      </c>
      <c r="G11" s="89" t="s">
        <v>2633</v>
      </c>
      <c r="H11" s="89" t="s">
        <v>901</v>
      </c>
    </row>
    <row r="12" spans="1:8" x14ac:dyDescent="0.25">
      <c r="A12" s="40">
        <v>45271</v>
      </c>
      <c r="B12" s="89" t="s">
        <v>2638</v>
      </c>
      <c r="C12" s="89" t="s">
        <v>408</v>
      </c>
      <c r="D12" s="89" t="s">
        <v>139</v>
      </c>
      <c r="E12" s="89" t="s">
        <v>197</v>
      </c>
      <c r="F12" s="38">
        <v>1382</v>
      </c>
      <c r="G12" s="89" t="s">
        <v>754</v>
      </c>
      <c r="H12" s="89" t="s">
        <v>219</v>
      </c>
    </row>
    <row r="13" spans="1:8" x14ac:dyDescent="0.25">
      <c r="A13" s="40">
        <v>45271</v>
      </c>
      <c r="B13" s="89" t="s">
        <v>2641</v>
      </c>
      <c r="C13" s="89" t="s">
        <v>186</v>
      </c>
      <c r="D13" s="89" t="s">
        <v>139</v>
      </c>
      <c r="E13" s="89" t="s">
        <v>192</v>
      </c>
      <c r="F13" s="38">
        <v>960</v>
      </c>
      <c r="G13" s="89" t="s">
        <v>526</v>
      </c>
      <c r="H13" s="89" t="s">
        <v>219</v>
      </c>
    </row>
    <row r="14" spans="1:8" x14ac:dyDescent="0.25">
      <c r="A14" s="40">
        <v>45271</v>
      </c>
      <c r="B14" s="89" t="s">
        <v>2644</v>
      </c>
      <c r="C14" s="89" t="s">
        <v>186</v>
      </c>
      <c r="D14" s="89" t="s">
        <v>139</v>
      </c>
      <c r="E14" s="89" t="s">
        <v>192</v>
      </c>
      <c r="F14" s="38">
        <v>960</v>
      </c>
      <c r="G14" s="89" t="s">
        <v>526</v>
      </c>
      <c r="H14" s="89" t="s">
        <v>2320</v>
      </c>
    </row>
    <row r="15" spans="1:8" x14ac:dyDescent="0.25">
      <c r="A15" s="40">
        <v>45266</v>
      </c>
      <c r="B15" s="89" t="s">
        <v>2649</v>
      </c>
      <c r="C15" s="89" t="s">
        <v>186</v>
      </c>
      <c r="D15" s="89" t="s">
        <v>141</v>
      </c>
      <c r="E15" s="89" t="s">
        <v>197</v>
      </c>
      <c r="F15" s="38">
        <v>1432.71</v>
      </c>
      <c r="G15" s="89" t="s">
        <v>898</v>
      </c>
      <c r="H15" s="89" t="s">
        <v>1633</v>
      </c>
    </row>
    <row r="16" spans="1:8" x14ac:dyDescent="0.25">
      <c r="A16" s="40">
        <v>45272</v>
      </c>
      <c r="B16" s="89" t="s">
        <v>2048</v>
      </c>
      <c r="C16" s="89" t="s">
        <v>409</v>
      </c>
      <c r="D16" s="89" t="s">
        <v>139</v>
      </c>
      <c r="E16" s="89" t="s">
        <v>192</v>
      </c>
      <c r="F16" s="38">
        <v>960</v>
      </c>
      <c r="G16" s="89" t="s">
        <v>526</v>
      </c>
      <c r="H16" s="89" t="s">
        <v>582</v>
      </c>
    </row>
    <row r="17" spans="1:8" x14ac:dyDescent="0.25">
      <c r="A17" s="40">
        <v>45262</v>
      </c>
      <c r="B17" s="89" t="s">
        <v>622</v>
      </c>
      <c r="C17" s="89" t="s">
        <v>409</v>
      </c>
      <c r="D17" s="89" t="s">
        <v>139</v>
      </c>
      <c r="E17" s="89" t="s">
        <v>192</v>
      </c>
      <c r="F17" s="38">
        <v>849.15</v>
      </c>
      <c r="G17" s="89" t="s">
        <v>898</v>
      </c>
      <c r="H17" s="89" t="s">
        <v>348</v>
      </c>
    </row>
    <row r="18" spans="1:8" s="89" customFormat="1" x14ac:dyDescent="0.25">
      <c r="A18" s="40">
        <v>45267</v>
      </c>
      <c r="B18" s="89" t="s">
        <v>2659</v>
      </c>
      <c r="C18" s="89" t="s">
        <v>408</v>
      </c>
      <c r="D18" s="89" t="s">
        <v>139</v>
      </c>
      <c r="E18" s="89" t="s">
        <v>192</v>
      </c>
      <c r="F18" s="38">
        <v>3992</v>
      </c>
      <c r="G18" s="89" t="s">
        <v>2662</v>
      </c>
      <c r="H18" s="89" t="s">
        <v>2666</v>
      </c>
    </row>
    <row r="19" spans="1:8" s="89" customFormat="1" x14ac:dyDescent="0.25">
      <c r="A19" s="40">
        <v>45274</v>
      </c>
      <c r="B19" s="89" t="s">
        <v>2667</v>
      </c>
      <c r="C19" s="89" t="s">
        <v>186</v>
      </c>
      <c r="D19" s="89" t="s">
        <v>139</v>
      </c>
      <c r="E19" s="89" t="s">
        <v>197</v>
      </c>
      <c r="F19" s="38">
        <v>2589</v>
      </c>
      <c r="G19" s="89" t="s">
        <v>2670</v>
      </c>
      <c r="H19" s="89" t="s">
        <v>582</v>
      </c>
    </row>
    <row r="20" spans="1:8" s="89" customFormat="1" x14ac:dyDescent="0.25">
      <c r="A20" s="40">
        <v>45268</v>
      </c>
      <c r="B20" s="89" t="s">
        <v>2678</v>
      </c>
      <c r="C20" s="89" t="s">
        <v>186</v>
      </c>
      <c r="D20" s="89" t="s">
        <v>139</v>
      </c>
      <c r="E20" s="89" t="s">
        <v>1292</v>
      </c>
      <c r="F20" s="38">
        <v>1764</v>
      </c>
      <c r="G20" s="89" t="s">
        <v>2681</v>
      </c>
      <c r="H20" s="89" t="s">
        <v>1633</v>
      </c>
    </row>
    <row r="21" spans="1:8" s="89" customFormat="1" x14ac:dyDescent="0.25">
      <c r="A21" s="40">
        <v>45276</v>
      </c>
      <c r="B21" s="89" t="s">
        <v>1606</v>
      </c>
      <c r="C21" s="89" t="s">
        <v>408</v>
      </c>
      <c r="D21" s="89" t="s">
        <v>141</v>
      </c>
      <c r="E21" s="89" t="s">
        <v>192</v>
      </c>
      <c r="F21" s="38">
        <v>3215.52</v>
      </c>
      <c r="G21" s="89" t="s">
        <v>2765</v>
      </c>
      <c r="H21" s="89" t="s">
        <v>2262</v>
      </c>
    </row>
    <row r="22" spans="1:8" s="89" customFormat="1" x14ac:dyDescent="0.25">
      <c r="A22" s="40">
        <v>45278</v>
      </c>
      <c r="B22" s="89" t="s">
        <v>2686</v>
      </c>
      <c r="C22" s="89" t="s">
        <v>186</v>
      </c>
      <c r="D22" s="89" t="s">
        <v>139</v>
      </c>
      <c r="E22" s="89" t="s">
        <v>193</v>
      </c>
      <c r="F22" s="38">
        <v>960</v>
      </c>
      <c r="G22" s="89" t="s">
        <v>2689</v>
      </c>
      <c r="H22" s="89" t="s">
        <v>2501</v>
      </c>
    </row>
    <row r="23" spans="1:8" s="89" customFormat="1" x14ac:dyDescent="0.25">
      <c r="A23" s="40">
        <v>45278</v>
      </c>
      <c r="B23" s="89" t="s">
        <v>939</v>
      </c>
      <c r="C23" s="89" t="s">
        <v>408</v>
      </c>
      <c r="D23" s="89" t="s">
        <v>139</v>
      </c>
      <c r="E23" s="89" t="s">
        <v>192</v>
      </c>
      <c r="F23" s="38">
        <v>1290</v>
      </c>
      <c r="G23" s="89" t="s">
        <v>2690</v>
      </c>
      <c r="H23" s="89" t="s">
        <v>2691</v>
      </c>
    </row>
    <row r="24" spans="1:8" s="89" customFormat="1" x14ac:dyDescent="0.25">
      <c r="A24" s="40">
        <v>45273</v>
      </c>
      <c r="B24" s="89" t="s">
        <v>2695</v>
      </c>
      <c r="C24" s="89" t="s">
        <v>186</v>
      </c>
      <c r="D24" s="89" t="s">
        <v>139</v>
      </c>
      <c r="E24" s="89" t="s">
        <v>192</v>
      </c>
      <c r="F24" s="38">
        <v>1449</v>
      </c>
      <c r="G24" s="89" t="s">
        <v>2698</v>
      </c>
      <c r="H24" s="89" t="s">
        <v>2699</v>
      </c>
    </row>
    <row r="25" spans="1:8" s="89" customFormat="1" x14ac:dyDescent="0.25">
      <c r="A25" s="40">
        <v>45275</v>
      </c>
      <c r="B25" s="89" t="s">
        <v>724</v>
      </c>
      <c r="C25" s="89" t="s">
        <v>186</v>
      </c>
      <c r="D25" s="89" t="s">
        <v>139</v>
      </c>
      <c r="E25" s="89" t="s">
        <v>192</v>
      </c>
      <c r="F25" s="38">
        <v>3565.6</v>
      </c>
      <c r="G25" s="89" t="s">
        <v>2701</v>
      </c>
      <c r="H25" s="89" t="s">
        <v>2702</v>
      </c>
    </row>
    <row r="26" spans="1:8" s="89" customFormat="1" x14ac:dyDescent="0.25">
      <c r="A26" s="40">
        <v>45279</v>
      </c>
      <c r="B26" s="89" t="s">
        <v>2703</v>
      </c>
      <c r="C26" s="89" t="s">
        <v>409</v>
      </c>
      <c r="D26" s="89" t="s">
        <v>139</v>
      </c>
      <c r="E26" s="89" t="s">
        <v>192</v>
      </c>
      <c r="F26" s="38">
        <v>1170</v>
      </c>
      <c r="G26" s="89" t="s">
        <v>1163</v>
      </c>
      <c r="H26" s="89" t="s">
        <v>2706</v>
      </c>
    </row>
    <row r="27" spans="1:8" s="89" customFormat="1" x14ac:dyDescent="0.25">
      <c r="A27" s="40">
        <v>45260</v>
      </c>
      <c r="B27" s="89" t="s">
        <v>2708</v>
      </c>
      <c r="C27" s="89" t="s">
        <v>186</v>
      </c>
      <c r="D27" s="89" t="s">
        <v>139</v>
      </c>
      <c r="E27" s="89" t="s">
        <v>192</v>
      </c>
      <c r="F27" s="38">
        <v>1965</v>
      </c>
      <c r="G27" s="89" t="s">
        <v>2711</v>
      </c>
      <c r="H27" s="89" t="s">
        <v>2719</v>
      </c>
    </row>
    <row r="28" spans="1:8" s="89" customFormat="1" x14ac:dyDescent="0.25">
      <c r="A28" s="40">
        <v>44904</v>
      </c>
      <c r="B28" s="89" t="s">
        <v>2716</v>
      </c>
      <c r="C28" s="89" t="s">
        <v>409</v>
      </c>
      <c r="D28" s="89" t="s">
        <v>139</v>
      </c>
      <c r="E28" s="89" t="s">
        <v>192</v>
      </c>
      <c r="F28" s="38">
        <v>1535</v>
      </c>
      <c r="G28" s="89" t="s">
        <v>346</v>
      </c>
      <c r="H28" s="89" t="s">
        <v>300</v>
      </c>
    </row>
    <row r="29" spans="1:8" s="89" customFormat="1" x14ac:dyDescent="0.25">
      <c r="A29" s="40">
        <v>45280</v>
      </c>
      <c r="B29" s="89" t="s">
        <v>2720</v>
      </c>
      <c r="C29" s="89" t="s">
        <v>186</v>
      </c>
      <c r="D29" s="89" t="s">
        <v>139</v>
      </c>
      <c r="E29" s="89" t="s">
        <v>192</v>
      </c>
      <c r="F29" s="38">
        <v>1353</v>
      </c>
      <c r="G29" s="89" t="s">
        <v>2723</v>
      </c>
      <c r="H29" s="89" t="s">
        <v>300</v>
      </c>
    </row>
    <row r="30" spans="1:8" s="89" customFormat="1" x14ac:dyDescent="0.25">
      <c r="A30" s="40">
        <v>45281</v>
      </c>
      <c r="B30" s="89" t="s">
        <v>2724</v>
      </c>
      <c r="C30" s="89" t="s">
        <v>408</v>
      </c>
      <c r="D30" s="89" t="s">
        <v>139</v>
      </c>
      <c r="E30" s="89" t="s">
        <v>197</v>
      </c>
      <c r="F30" s="38">
        <v>1425</v>
      </c>
      <c r="G30" s="89" t="s">
        <v>2727</v>
      </c>
      <c r="H30" s="89" t="s">
        <v>2734</v>
      </c>
    </row>
    <row r="31" spans="1:8" s="89" customFormat="1" x14ac:dyDescent="0.25">
      <c r="A31" s="40">
        <v>45281</v>
      </c>
      <c r="B31" s="89" t="s">
        <v>669</v>
      </c>
      <c r="C31" s="89" t="s">
        <v>409</v>
      </c>
      <c r="D31" s="89" t="s">
        <v>139</v>
      </c>
      <c r="E31" s="89" t="s">
        <v>192</v>
      </c>
      <c r="F31" s="38">
        <v>930</v>
      </c>
      <c r="G31" s="89" t="s">
        <v>2729</v>
      </c>
      <c r="H31" s="89" t="s">
        <v>2735</v>
      </c>
    </row>
    <row r="32" spans="1:8" s="89" customFormat="1" x14ac:dyDescent="0.25">
      <c r="A32" s="40">
        <v>45274</v>
      </c>
      <c r="B32" s="89" t="s">
        <v>2472</v>
      </c>
      <c r="C32" s="89" t="s">
        <v>186</v>
      </c>
      <c r="D32" s="89" t="s">
        <v>139</v>
      </c>
      <c r="E32" s="89" t="s">
        <v>192</v>
      </c>
      <c r="F32" s="38">
        <v>1351</v>
      </c>
      <c r="G32" s="89" t="s">
        <v>1844</v>
      </c>
      <c r="H32" s="89" t="s">
        <v>219</v>
      </c>
    </row>
    <row r="33" spans="1:10" s="89" customFormat="1" x14ac:dyDescent="0.25">
      <c r="A33" s="40">
        <v>45282</v>
      </c>
      <c r="B33" s="89" t="s">
        <v>523</v>
      </c>
      <c r="C33" s="89" t="s">
        <v>186</v>
      </c>
      <c r="D33" s="89" t="s">
        <v>139</v>
      </c>
      <c r="E33" s="89" t="s">
        <v>192</v>
      </c>
      <c r="F33" s="38">
        <v>960</v>
      </c>
      <c r="G33" s="89" t="s">
        <v>526</v>
      </c>
      <c r="H33" s="89" t="s">
        <v>305</v>
      </c>
    </row>
    <row r="34" spans="1:10" s="89" customFormat="1" x14ac:dyDescent="0.25">
      <c r="A34" s="40">
        <v>45282</v>
      </c>
      <c r="B34" s="89" t="s">
        <v>2736</v>
      </c>
      <c r="C34" s="89" t="s">
        <v>186</v>
      </c>
      <c r="D34" s="89" t="s">
        <v>139</v>
      </c>
      <c r="E34" s="89" t="s">
        <v>192</v>
      </c>
      <c r="F34" s="38">
        <v>2238</v>
      </c>
      <c r="G34" s="89" t="s">
        <v>2739</v>
      </c>
      <c r="H34" s="89" t="s">
        <v>2734</v>
      </c>
    </row>
    <row r="35" spans="1:10" x14ac:dyDescent="0.25">
      <c r="A35" s="40">
        <v>45288</v>
      </c>
      <c r="B35" s="89" t="s">
        <v>2766</v>
      </c>
      <c r="C35" s="89" t="s">
        <v>186</v>
      </c>
      <c r="D35" s="89" t="s">
        <v>139</v>
      </c>
      <c r="E35" s="89" t="s">
        <v>1775</v>
      </c>
      <c r="F35" s="38">
        <v>3000</v>
      </c>
      <c r="G35" s="89" t="s">
        <v>2744</v>
      </c>
      <c r="H35" s="89" t="s">
        <v>733</v>
      </c>
    </row>
    <row r="36" spans="1:10" x14ac:dyDescent="0.25">
      <c r="A36" s="40">
        <v>45279</v>
      </c>
      <c r="B36" s="89" t="s">
        <v>2751</v>
      </c>
      <c r="C36" t="s">
        <v>408</v>
      </c>
      <c r="D36" s="89" t="s">
        <v>139</v>
      </c>
      <c r="E36" t="s">
        <v>197</v>
      </c>
      <c r="F36" s="38">
        <v>2774</v>
      </c>
      <c r="G36" s="89" t="s">
        <v>2750</v>
      </c>
      <c r="H36" s="89" t="s">
        <v>582</v>
      </c>
    </row>
    <row r="37" spans="1:10" x14ac:dyDescent="0.25">
      <c r="A37" s="40">
        <v>45289</v>
      </c>
      <c r="B37" s="89" t="s">
        <v>2752</v>
      </c>
      <c r="C37" t="s">
        <v>186</v>
      </c>
      <c r="D37" s="89" t="s">
        <v>139</v>
      </c>
      <c r="E37" t="s">
        <v>197</v>
      </c>
      <c r="F37" s="38">
        <v>2516.5500000000002</v>
      </c>
      <c r="G37" s="89" t="s">
        <v>2755</v>
      </c>
      <c r="H37" s="89" t="s">
        <v>2763</v>
      </c>
    </row>
    <row r="38" spans="1:10" x14ac:dyDescent="0.25">
      <c r="A38" s="40">
        <v>45290</v>
      </c>
      <c r="B38" s="89" t="s">
        <v>2757</v>
      </c>
      <c r="C38" t="s">
        <v>186</v>
      </c>
      <c r="D38" s="89" t="s">
        <v>139</v>
      </c>
      <c r="E38" t="s">
        <v>197</v>
      </c>
      <c r="F38" s="38">
        <v>1456</v>
      </c>
      <c r="G38" s="89" t="s">
        <v>2759</v>
      </c>
      <c r="H38" s="89" t="s">
        <v>2760</v>
      </c>
    </row>
    <row r="39" spans="1:10" x14ac:dyDescent="0.25">
      <c r="A39" s="40">
        <v>45282</v>
      </c>
      <c r="B39" t="s">
        <v>2472</v>
      </c>
      <c r="C39" t="s">
        <v>186</v>
      </c>
      <c r="D39" s="89" t="s">
        <v>139</v>
      </c>
      <c r="E39" t="s">
        <v>192</v>
      </c>
      <c r="F39" s="38">
        <v>800</v>
      </c>
      <c r="G39" s="89" t="s">
        <v>2762</v>
      </c>
      <c r="H39" s="89" t="s">
        <v>2764</v>
      </c>
    </row>
    <row r="44" spans="1:10" ht="15.75" thickBot="1" x14ac:dyDescent="0.3">
      <c r="A44" s="99" t="s">
        <v>130</v>
      </c>
      <c r="B44" s="99"/>
      <c r="C44" s="99"/>
      <c r="D44" s="99"/>
      <c r="E44" s="99"/>
      <c r="F44" s="99"/>
      <c r="G44" s="39"/>
    </row>
    <row r="45" spans="1:10" x14ac:dyDescent="0.25">
      <c r="A45" s="7" t="s">
        <v>131</v>
      </c>
      <c r="B45" s="40"/>
      <c r="C45" s="41">
        <f>SUM(F2:F41)</f>
        <v>88712.17</v>
      </c>
      <c r="D45" s="42"/>
      <c r="E45" s="43" t="s">
        <v>132</v>
      </c>
      <c r="F45" s="44"/>
      <c r="G45" s="39"/>
      <c r="H45" s="45" t="s">
        <v>62</v>
      </c>
      <c r="I45" s="46">
        <v>19</v>
      </c>
      <c r="J45" s="47"/>
    </row>
    <row r="46" spans="1:10" x14ac:dyDescent="0.25">
      <c r="A46" s="7"/>
      <c r="B46" s="40"/>
      <c r="C46" s="41"/>
      <c r="D46" s="42"/>
      <c r="E46" s="48" t="s">
        <v>133</v>
      </c>
      <c r="F46" s="49">
        <v>86747.17</v>
      </c>
      <c r="G46" s="39"/>
      <c r="H46" s="48" t="s">
        <v>99</v>
      </c>
      <c r="I46" s="50">
        <v>2</v>
      </c>
      <c r="J46" s="51">
        <f>I46/I$45</f>
        <v>0.10526315789473684</v>
      </c>
    </row>
    <row r="47" spans="1:10" ht="15.75" thickBot="1" x14ac:dyDescent="0.3">
      <c r="A47" s="7" t="s">
        <v>134</v>
      </c>
      <c r="B47" s="40"/>
      <c r="C47" s="52">
        <v>25</v>
      </c>
      <c r="D47" s="42"/>
      <c r="E47" s="53" t="s">
        <v>135</v>
      </c>
      <c r="F47" s="54">
        <f>C45/C47</f>
        <v>3548.4868000000001</v>
      </c>
      <c r="G47" s="39"/>
      <c r="H47" s="48" t="s">
        <v>100</v>
      </c>
      <c r="I47" s="50">
        <v>16</v>
      </c>
      <c r="J47" s="51">
        <f>I47/I$45</f>
        <v>0.84210526315789469</v>
      </c>
    </row>
    <row r="48" spans="1:10" ht="15.75" thickBot="1" x14ac:dyDescent="0.3">
      <c r="A48" s="7" t="s">
        <v>136</v>
      </c>
      <c r="B48" s="40"/>
      <c r="C48">
        <v>38</v>
      </c>
      <c r="D48" s="42"/>
      <c r="E48" s="42"/>
      <c r="F48" s="14"/>
      <c r="G48" s="39"/>
      <c r="H48" s="53" t="s">
        <v>101</v>
      </c>
      <c r="I48" s="55">
        <v>1</v>
      </c>
      <c r="J48" s="56">
        <f>I48/I$45</f>
        <v>5.2631578947368418E-2</v>
      </c>
    </row>
    <row r="49" spans="1:10" x14ac:dyDescent="0.25">
      <c r="A49" s="7"/>
      <c r="B49" s="40"/>
      <c r="D49" s="42" t="s">
        <v>81</v>
      </c>
      <c r="E49" s="43" t="s">
        <v>137</v>
      </c>
      <c r="F49" s="44"/>
      <c r="G49" s="39"/>
    </row>
    <row r="50" spans="1:10" ht="15.75" thickBot="1" x14ac:dyDescent="0.3">
      <c r="A50" s="7" t="s">
        <v>138</v>
      </c>
      <c r="B50" s="40"/>
      <c r="C50">
        <v>35</v>
      </c>
      <c r="D50" s="42" t="s">
        <v>81</v>
      </c>
      <c r="E50" s="48" t="s">
        <v>139</v>
      </c>
      <c r="F50" s="51">
        <f>C50/C$48</f>
        <v>0.92105263157894735</v>
      </c>
      <c r="G50" s="39"/>
    </row>
    <row r="51" spans="1:10" ht="15.75" thickBot="1" x14ac:dyDescent="0.3">
      <c r="A51" s="7" t="s">
        <v>140</v>
      </c>
      <c r="B51" s="40"/>
      <c r="C51">
        <v>3</v>
      </c>
      <c r="D51" s="42"/>
      <c r="E51" s="53" t="s">
        <v>141</v>
      </c>
      <c r="F51" s="56">
        <f>C51/C$48</f>
        <v>7.8947368421052627E-2</v>
      </c>
      <c r="G51" s="39"/>
      <c r="H51" s="45" t="s">
        <v>142</v>
      </c>
      <c r="I51" s="46">
        <v>28</v>
      </c>
      <c r="J51" s="47"/>
    </row>
    <row r="52" spans="1:10" ht="15.75" thickBot="1" x14ac:dyDescent="0.3">
      <c r="A52" s="7"/>
      <c r="B52" s="40"/>
      <c r="D52" s="42"/>
      <c r="E52" s="42"/>
      <c r="F52" s="14"/>
      <c r="G52" s="39"/>
      <c r="H52" s="57" t="s">
        <v>143</v>
      </c>
      <c r="I52" s="59">
        <v>12</v>
      </c>
      <c r="J52" s="51">
        <f>I52/I$51</f>
        <v>0.42857142857142855</v>
      </c>
    </row>
    <row r="53" spans="1:10" x14ac:dyDescent="0.25">
      <c r="A53" s="7" t="s">
        <v>144</v>
      </c>
      <c r="B53" s="40"/>
      <c r="D53" s="42"/>
      <c r="E53" s="43" t="s">
        <v>48</v>
      </c>
      <c r="F53" s="44"/>
      <c r="G53" s="39"/>
      <c r="H53" s="57" t="s">
        <v>145</v>
      </c>
      <c r="I53" s="59">
        <v>12</v>
      </c>
      <c r="J53" s="51">
        <f>I53/I$51</f>
        <v>0.42857142857142855</v>
      </c>
    </row>
    <row r="54" spans="1:10" ht="15.75" thickBot="1" x14ac:dyDescent="0.3">
      <c r="A54" s="7" t="s">
        <v>61</v>
      </c>
      <c r="B54" s="40"/>
      <c r="C54">
        <v>1</v>
      </c>
      <c r="D54" s="42"/>
      <c r="E54" s="58" t="s">
        <v>61</v>
      </c>
      <c r="F54" s="51">
        <f t="shared" ref="F54:F62" si="0">C54/C$63</f>
        <v>1.1627906976744186E-2</v>
      </c>
      <c r="G54" s="39"/>
      <c r="H54" s="22" t="s">
        <v>146</v>
      </c>
      <c r="I54" s="55">
        <v>4</v>
      </c>
      <c r="J54" s="56">
        <f>I54/I$51</f>
        <v>0.14285714285714285</v>
      </c>
    </row>
    <row r="55" spans="1:10" ht="15.75" thickBot="1" x14ac:dyDescent="0.3">
      <c r="A55" s="7" t="s">
        <v>62</v>
      </c>
      <c r="B55" s="40"/>
      <c r="C55">
        <v>19</v>
      </c>
      <c r="D55" s="42"/>
      <c r="E55" s="58" t="s">
        <v>62</v>
      </c>
      <c r="F55" s="51">
        <f t="shared" si="0"/>
        <v>0.22093023255813954</v>
      </c>
      <c r="G55" s="39"/>
    </row>
    <row r="56" spans="1:10" x14ac:dyDescent="0.25">
      <c r="A56" s="7" t="s">
        <v>63</v>
      </c>
      <c r="B56" s="40"/>
      <c r="C56">
        <v>28</v>
      </c>
      <c r="D56" s="42"/>
      <c r="E56" s="58" t="s">
        <v>63</v>
      </c>
      <c r="F56" s="51">
        <f t="shared" si="0"/>
        <v>0.32558139534883723</v>
      </c>
      <c r="G56" s="42" t="s">
        <v>81</v>
      </c>
      <c r="H56" s="45" t="s">
        <v>147</v>
      </c>
      <c r="I56" s="46">
        <v>1</v>
      </c>
      <c r="J56" s="44">
        <f t="shared" ref="J56:J67" si="1">I56/I$51</f>
        <v>3.5714285714285712E-2</v>
      </c>
    </row>
    <row r="57" spans="1:10" x14ac:dyDescent="0.25">
      <c r="A57" s="7" t="s">
        <v>64</v>
      </c>
      <c r="B57" s="40"/>
      <c r="C57">
        <v>1</v>
      </c>
      <c r="D57" s="42"/>
      <c r="E57" s="58" t="s">
        <v>64</v>
      </c>
      <c r="F57" s="51">
        <f t="shared" si="0"/>
        <v>1.1627906976744186E-2</v>
      </c>
      <c r="G57" s="39"/>
      <c r="H57" s="57" t="s">
        <v>148</v>
      </c>
      <c r="I57" s="59">
        <v>1</v>
      </c>
      <c r="J57" s="51">
        <f t="shared" si="1"/>
        <v>3.5714285714285712E-2</v>
      </c>
    </row>
    <row r="58" spans="1:10" x14ac:dyDescent="0.25">
      <c r="A58" s="7" t="s">
        <v>65</v>
      </c>
      <c r="B58" s="40"/>
      <c r="C58">
        <v>16</v>
      </c>
      <c r="D58" s="42"/>
      <c r="E58" s="58" t="s">
        <v>65</v>
      </c>
      <c r="F58" s="51">
        <f t="shared" si="0"/>
        <v>0.18604651162790697</v>
      </c>
      <c r="G58" s="39"/>
      <c r="H58" s="57" t="s">
        <v>149</v>
      </c>
      <c r="I58" s="59">
        <v>1</v>
      </c>
      <c r="J58" s="51">
        <f t="shared" si="1"/>
        <v>3.5714285714285712E-2</v>
      </c>
    </row>
    <row r="59" spans="1:10" x14ac:dyDescent="0.25">
      <c r="A59" s="7" t="s">
        <v>66</v>
      </c>
      <c r="B59" s="40"/>
      <c r="C59">
        <v>2</v>
      </c>
      <c r="D59" s="42"/>
      <c r="E59" s="58" t="s">
        <v>66</v>
      </c>
      <c r="F59" s="51">
        <f t="shared" si="0"/>
        <v>2.3255813953488372E-2</v>
      </c>
      <c r="G59" s="39"/>
      <c r="H59" s="57" t="s">
        <v>150</v>
      </c>
      <c r="I59" s="59">
        <v>1</v>
      </c>
      <c r="J59" s="51">
        <f t="shared" si="1"/>
        <v>3.5714285714285712E-2</v>
      </c>
    </row>
    <row r="60" spans="1:10" x14ac:dyDescent="0.25">
      <c r="A60" s="7" t="s">
        <v>67</v>
      </c>
      <c r="B60" s="40"/>
      <c r="C60">
        <v>4</v>
      </c>
      <c r="D60" s="42"/>
      <c r="E60" s="58" t="s">
        <v>67</v>
      </c>
      <c r="F60" s="51">
        <f t="shared" si="0"/>
        <v>4.6511627906976744E-2</v>
      </c>
      <c r="G60" s="39"/>
      <c r="H60" s="57" t="s">
        <v>151</v>
      </c>
      <c r="I60" s="59">
        <v>3</v>
      </c>
      <c r="J60" s="51">
        <f t="shared" si="1"/>
        <v>0.10714285714285714</v>
      </c>
    </row>
    <row r="61" spans="1:10" x14ac:dyDescent="0.25">
      <c r="A61" s="7" t="s">
        <v>68</v>
      </c>
      <c r="B61" s="40"/>
      <c r="C61">
        <v>2</v>
      </c>
      <c r="D61" s="42"/>
      <c r="E61" s="58" t="s">
        <v>68</v>
      </c>
      <c r="F61" s="51">
        <f t="shared" si="0"/>
        <v>2.3255813953488372E-2</v>
      </c>
      <c r="G61" s="39"/>
      <c r="H61" s="57" t="s">
        <v>152</v>
      </c>
      <c r="I61" s="59">
        <v>18</v>
      </c>
      <c r="J61" s="51">
        <f t="shared" si="1"/>
        <v>0.6428571428571429</v>
      </c>
    </row>
    <row r="62" spans="1:10" ht="15.75" thickBot="1" x14ac:dyDescent="0.3">
      <c r="A62" s="7" t="s">
        <v>69</v>
      </c>
      <c r="B62" s="40"/>
      <c r="C62">
        <v>13</v>
      </c>
      <c r="D62" s="42"/>
      <c r="E62" s="60" t="s">
        <v>69</v>
      </c>
      <c r="F62" s="56">
        <f t="shared" si="0"/>
        <v>0.15116279069767441</v>
      </c>
      <c r="G62" s="42" t="s">
        <v>81</v>
      </c>
      <c r="H62" s="61" t="s">
        <v>153</v>
      </c>
      <c r="I62" s="59">
        <v>1</v>
      </c>
      <c r="J62" s="51">
        <f t="shared" si="1"/>
        <v>3.5714285714285712E-2</v>
      </c>
    </row>
    <row r="63" spans="1:10" ht="15.75" thickBot="1" x14ac:dyDescent="0.3">
      <c r="A63" s="7" t="s">
        <v>154</v>
      </c>
      <c r="B63" s="40"/>
      <c r="C63">
        <f>SUM(C54:C62)</f>
        <v>86</v>
      </c>
      <c r="D63" s="42"/>
      <c r="E63" s="7"/>
      <c r="F63" s="14"/>
      <c r="G63" s="39"/>
      <c r="H63" s="61" t="s">
        <v>155</v>
      </c>
      <c r="I63" s="59">
        <v>2</v>
      </c>
      <c r="J63" s="51">
        <f t="shared" si="1"/>
        <v>7.1428571428571425E-2</v>
      </c>
    </row>
    <row r="64" spans="1:10" x14ac:dyDescent="0.25">
      <c r="A64" s="7"/>
      <c r="B64" s="40"/>
      <c r="D64" s="42"/>
      <c r="E64" s="62" t="s">
        <v>70</v>
      </c>
      <c r="F64" s="44"/>
      <c r="G64" s="39"/>
      <c r="H64" s="61" t="s">
        <v>156</v>
      </c>
      <c r="I64" s="59">
        <v>0</v>
      </c>
      <c r="J64" s="51">
        <f t="shared" si="1"/>
        <v>0</v>
      </c>
    </row>
    <row r="65" spans="1:10" x14ac:dyDescent="0.25">
      <c r="A65" s="7" t="s">
        <v>157</v>
      </c>
      <c r="B65" s="40"/>
      <c r="D65" s="42"/>
      <c r="E65" s="58" t="s">
        <v>71</v>
      </c>
      <c r="F65" s="51">
        <f t="shared" ref="F65:F74" si="2">C66/C$76</f>
        <v>0.45744680851063829</v>
      </c>
      <c r="G65" s="39"/>
      <c r="H65" s="57" t="s">
        <v>158</v>
      </c>
      <c r="I65" s="59">
        <v>0</v>
      </c>
      <c r="J65" s="51">
        <f t="shared" si="1"/>
        <v>0</v>
      </c>
    </row>
    <row r="66" spans="1:10" x14ac:dyDescent="0.25">
      <c r="A66" s="7" t="s">
        <v>71</v>
      </c>
      <c r="B66" s="40"/>
      <c r="C66">
        <v>43</v>
      </c>
      <c r="D66" s="42"/>
      <c r="E66" s="58" t="s">
        <v>72</v>
      </c>
      <c r="F66" s="51">
        <f t="shared" si="2"/>
        <v>0.13829787234042554</v>
      </c>
      <c r="G66" s="39"/>
      <c r="H66" s="61" t="s">
        <v>159</v>
      </c>
      <c r="I66" s="59">
        <v>0</v>
      </c>
      <c r="J66" s="51">
        <f t="shared" si="1"/>
        <v>0</v>
      </c>
    </row>
    <row r="67" spans="1:10" ht="15.75" thickBot="1" x14ac:dyDescent="0.3">
      <c r="A67" s="7" t="s">
        <v>72</v>
      </c>
      <c r="B67" s="40"/>
      <c r="C67">
        <v>13</v>
      </c>
      <c r="D67" s="42"/>
      <c r="E67" s="58" t="s">
        <v>73</v>
      </c>
      <c r="F67" s="51">
        <f t="shared" si="2"/>
        <v>0.10638297872340426</v>
      </c>
      <c r="G67" s="39"/>
      <c r="H67" s="63" t="s">
        <v>160</v>
      </c>
      <c r="I67" s="55">
        <v>0</v>
      </c>
      <c r="J67" s="56">
        <f t="shared" si="1"/>
        <v>0</v>
      </c>
    </row>
    <row r="68" spans="1:10" x14ac:dyDescent="0.25">
      <c r="A68" s="7" t="s">
        <v>73</v>
      </c>
      <c r="B68" s="40"/>
      <c r="C68">
        <v>10</v>
      </c>
      <c r="D68" s="42"/>
      <c r="E68" s="58" t="s">
        <v>74</v>
      </c>
      <c r="F68" s="51">
        <f t="shared" si="2"/>
        <v>0.1276595744680851</v>
      </c>
      <c r="G68" s="39"/>
    </row>
    <row r="69" spans="1:10" ht="15.75" thickBot="1" x14ac:dyDescent="0.3">
      <c r="A69" s="7" t="s">
        <v>74</v>
      </c>
      <c r="B69" s="40"/>
      <c r="C69">
        <v>12</v>
      </c>
      <c r="D69" s="42"/>
      <c r="E69" s="58" t="s">
        <v>75</v>
      </c>
      <c r="F69" s="51">
        <f t="shared" si="2"/>
        <v>4.2553191489361701E-2</v>
      </c>
      <c r="G69" s="42" t="s">
        <v>81</v>
      </c>
    </row>
    <row r="70" spans="1:10" x14ac:dyDescent="0.25">
      <c r="A70" s="7" t="s">
        <v>75</v>
      </c>
      <c r="B70" s="40"/>
      <c r="C70">
        <v>4</v>
      </c>
      <c r="D70" s="42"/>
      <c r="E70" s="58" t="s">
        <v>76</v>
      </c>
      <c r="F70" s="51">
        <f t="shared" si="2"/>
        <v>1.0638297872340425E-2</v>
      </c>
      <c r="G70" s="39"/>
      <c r="H70" s="45" t="s">
        <v>65</v>
      </c>
      <c r="I70" s="46">
        <v>16</v>
      </c>
      <c r="J70" s="47"/>
    </row>
    <row r="71" spans="1:10" x14ac:dyDescent="0.25">
      <c r="A71" s="7" t="s">
        <v>76</v>
      </c>
      <c r="B71" s="40"/>
      <c r="C71">
        <v>1</v>
      </c>
      <c r="D71" s="42"/>
      <c r="E71" s="58" t="s">
        <v>77</v>
      </c>
      <c r="F71" s="51">
        <f t="shared" si="2"/>
        <v>0</v>
      </c>
      <c r="G71" s="39"/>
      <c r="H71" s="57" t="s">
        <v>161</v>
      </c>
      <c r="I71" s="59">
        <v>4</v>
      </c>
      <c r="J71" s="51">
        <f>I71/I$70</f>
        <v>0.25</v>
      </c>
    </row>
    <row r="72" spans="1:10" ht="15.75" thickBot="1" x14ac:dyDescent="0.3">
      <c r="A72" s="7" t="s">
        <v>77</v>
      </c>
      <c r="B72" s="40"/>
      <c r="C72">
        <v>0</v>
      </c>
      <c r="D72" s="42"/>
      <c r="E72" s="58" t="s">
        <v>78</v>
      </c>
      <c r="F72" s="51">
        <f t="shared" si="2"/>
        <v>0</v>
      </c>
      <c r="G72" s="39"/>
      <c r="H72" s="22" t="s">
        <v>103</v>
      </c>
      <c r="I72" s="55">
        <v>12</v>
      </c>
      <c r="J72" s="56">
        <f>I72/I$70</f>
        <v>0.75</v>
      </c>
    </row>
    <row r="73" spans="1:10" x14ac:dyDescent="0.25">
      <c r="A73" s="7" t="s">
        <v>78</v>
      </c>
      <c r="B73" s="40"/>
      <c r="C73">
        <v>0</v>
      </c>
      <c r="D73" s="42"/>
      <c r="E73" s="58" t="s">
        <v>79</v>
      </c>
      <c r="F73" s="51">
        <f t="shared" si="2"/>
        <v>1.0638297872340425E-2</v>
      </c>
      <c r="G73" s="39"/>
    </row>
    <row r="74" spans="1:10" ht="15.75" thickBot="1" x14ac:dyDescent="0.3">
      <c r="A74" s="7" t="s">
        <v>79</v>
      </c>
      <c r="B74" s="40"/>
      <c r="C74">
        <v>1</v>
      </c>
      <c r="D74" s="42"/>
      <c r="E74" s="60" t="s">
        <v>80</v>
      </c>
      <c r="F74" s="56">
        <f t="shared" si="2"/>
        <v>0.10638297872340426</v>
      </c>
      <c r="G74" s="39"/>
    </row>
    <row r="75" spans="1:10" ht="15.75" thickBot="1" x14ac:dyDescent="0.3">
      <c r="A75" s="7" t="s">
        <v>80</v>
      </c>
      <c r="B75" s="40"/>
      <c r="C75">
        <v>10</v>
      </c>
      <c r="D75" s="42"/>
      <c r="E75" s="7"/>
      <c r="F75" s="14"/>
      <c r="G75" s="39"/>
      <c r="H75" s="45" t="s">
        <v>162</v>
      </c>
      <c r="I75" s="46">
        <v>2</v>
      </c>
      <c r="J75" s="47"/>
    </row>
    <row r="76" spans="1:10" x14ac:dyDescent="0.25">
      <c r="A76" s="7" t="s">
        <v>163</v>
      </c>
      <c r="B76" s="40"/>
      <c r="C76">
        <f>SUM(C66:C75)</f>
        <v>94</v>
      </c>
      <c r="D76" s="42"/>
      <c r="E76" s="62" t="s">
        <v>44</v>
      </c>
      <c r="F76" s="44"/>
      <c r="G76" s="39"/>
      <c r="H76" s="57" t="s">
        <v>164</v>
      </c>
      <c r="I76" s="59">
        <v>1</v>
      </c>
      <c r="J76" s="51">
        <f t="shared" ref="J76:J81" si="3">I76/I$75</f>
        <v>0.5</v>
      </c>
    </row>
    <row r="77" spans="1:10" x14ac:dyDescent="0.25">
      <c r="A77" s="7"/>
      <c r="B77" s="40"/>
      <c r="D77" s="42"/>
      <c r="E77" s="64" t="s">
        <v>165</v>
      </c>
      <c r="F77" s="51">
        <f>C78/C$48</f>
        <v>0.78947368421052633</v>
      </c>
      <c r="G77" s="39"/>
      <c r="H77" s="57" t="s">
        <v>166</v>
      </c>
      <c r="I77" s="59">
        <v>0</v>
      </c>
      <c r="J77" s="51">
        <f t="shared" si="3"/>
        <v>0</v>
      </c>
    </row>
    <row r="78" spans="1:10" x14ac:dyDescent="0.25">
      <c r="A78" s="7" t="s">
        <v>167</v>
      </c>
      <c r="B78" s="40"/>
      <c r="C78">
        <v>30</v>
      </c>
      <c r="D78" s="42"/>
      <c r="E78" s="64" t="s">
        <v>168</v>
      </c>
      <c r="F78" s="51">
        <f>C79/C$48</f>
        <v>2.6315789473684209E-2</v>
      </c>
      <c r="G78" s="39"/>
      <c r="H78" s="57" t="s">
        <v>169</v>
      </c>
      <c r="I78" s="59">
        <v>0</v>
      </c>
      <c r="J78" s="51">
        <f t="shared" si="3"/>
        <v>0</v>
      </c>
    </row>
    <row r="79" spans="1:10" ht="15.75" thickBot="1" x14ac:dyDescent="0.3">
      <c r="A79" s="7" t="s">
        <v>170</v>
      </c>
      <c r="B79" s="40"/>
      <c r="C79">
        <v>1</v>
      </c>
      <c r="D79" s="42"/>
      <c r="E79" s="65" t="s">
        <v>171</v>
      </c>
      <c r="F79" s="56">
        <f>C80/C$48</f>
        <v>0.18421052631578946</v>
      </c>
      <c r="G79" s="39"/>
      <c r="H79" s="57" t="s">
        <v>172</v>
      </c>
      <c r="I79" s="59">
        <v>0</v>
      </c>
      <c r="J79" s="51">
        <f t="shared" si="3"/>
        <v>0</v>
      </c>
    </row>
    <row r="80" spans="1:10" ht="15.75" thickBot="1" x14ac:dyDescent="0.3">
      <c r="A80" s="7" t="s">
        <v>173</v>
      </c>
      <c r="B80" s="40"/>
      <c r="C80">
        <v>7</v>
      </c>
      <c r="D80" s="42"/>
      <c r="E80" s="66"/>
      <c r="F80" s="14"/>
      <c r="G80" s="42" t="s">
        <v>81</v>
      </c>
      <c r="H80" s="57" t="s">
        <v>174</v>
      </c>
      <c r="I80" s="59">
        <v>0</v>
      </c>
      <c r="J80" s="51">
        <f t="shared" si="3"/>
        <v>0</v>
      </c>
    </row>
    <row r="81" spans="1:10" ht="15.75" thickBot="1" x14ac:dyDescent="0.3">
      <c r="A81" s="7"/>
      <c r="B81" s="40"/>
      <c r="D81" s="42"/>
      <c r="E81" s="67" t="s">
        <v>137</v>
      </c>
      <c r="F81" s="44"/>
      <c r="G81" s="39"/>
      <c r="H81" s="22" t="s">
        <v>175</v>
      </c>
      <c r="I81" s="55">
        <v>1</v>
      </c>
      <c r="J81" s="56">
        <f t="shared" si="3"/>
        <v>0.5</v>
      </c>
    </row>
    <row r="82" spans="1:10" x14ac:dyDescent="0.25">
      <c r="A82" s="7" t="s">
        <v>137</v>
      </c>
      <c r="B82" s="40"/>
      <c r="D82" s="42"/>
      <c r="E82" s="58" t="s">
        <v>176</v>
      </c>
      <c r="F82" s="51">
        <f>C83/C$48</f>
        <v>0.34210526315789475</v>
      </c>
      <c r="G82" s="39"/>
    </row>
    <row r="83" spans="1:10" ht="15.75" thickBot="1" x14ac:dyDescent="0.3">
      <c r="A83" s="7" t="s">
        <v>177</v>
      </c>
      <c r="B83" s="40"/>
      <c r="C83">
        <v>13</v>
      </c>
      <c r="D83" s="42"/>
      <c r="E83" s="60" t="s">
        <v>178</v>
      </c>
      <c r="F83" s="56">
        <f>C84/C$48</f>
        <v>0.65789473684210531</v>
      </c>
      <c r="G83" s="39"/>
    </row>
    <row r="84" spans="1:10" ht="15.75" thickBot="1" x14ac:dyDescent="0.3">
      <c r="A84" s="7" t="s">
        <v>178</v>
      </c>
      <c r="B84" s="40"/>
      <c r="C84">
        <v>25</v>
      </c>
      <c r="D84" s="42"/>
      <c r="E84" s="68"/>
      <c r="F84" s="69"/>
      <c r="G84" s="39"/>
      <c r="H84" s="45" t="s">
        <v>67</v>
      </c>
      <c r="I84" s="46">
        <v>4</v>
      </c>
      <c r="J84" s="47"/>
    </row>
    <row r="85" spans="1:10" x14ac:dyDescent="0.25">
      <c r="A85" s="7"/>
      <c r="B85" s="40"/>
      <c r="D85" s="42"/>
      <c r="E85" s="45" t="s">
        <v>179</v>
      </c>
      <c r="F85" s="44"/>
      <c r="G85" s="39"/>
      <c r="H85" s="57" t="s">
        <v>104</v>
      </c>
      <c r="I85" s="59">
        <v>0</v>
      </c>
      <c r="J85" s="51">
        <f>I85/I$84</f>
        <v>0</v>
      </c>
    </row>
    <row r="86" spans="1:10" x14ac:dyDescent="0.25">
      <c r="A86" t="s">
        <v>179</v>
      </c>
      <c r="D86" s="42"/>
      <c r="E86" s="57" t="s">
        <v>180</v>
      </c>
      <c r="F86" s="51">
        <f>C87/C$84</f>
        <v>0.56000000000000005</v>
      </c>
      <c r="G86" s="39"/>
      <c r="H86" s="57" t="s">
        <v>105</v>
      </c>
      <c r="I86" s="59">
        <v>2</v>
      </c>
      <c r="J86" s="51">
        <f>I86/I$84</f>
        <v>0.5</v>
      </c>
    </row>
    <row r="87" spans="1:10" ht="15.75" thickBot="1" x14ac:dyDescent="0.3">
      <c r="A87" t="s">
        <v>180</v>
      </c>
      <c r="C87">
        <v>14</v>
      </c>
      <c r="D87" s="42"/>
      <c r="E87" s="22" t="s">
        <v>181</v>
      </c>
      <c r="F87" s="56">
        <f>C88/C$84</f>
        <v>0.44</v>
      </c>
      <c r="G87" s="39"/>
      <c r="H87" s="57" t="s">
        <v>106</v>
      </c>
      <c r="I87" s="59">
        <v>2</v>
      </c>
      <c r="J87" s="51">
        <f>I87/I$84</f>
        <v>0.5</v>
      </c>
    </row>
    <row r="88" spans="1:10" ht="15.75" thickBot="1" x14ac:dyDescent="0.3">
      <c r="A88" t="s">
        <v>181</v>
      </c>
      <c r="C88">
        <v>11</v>
      </c>
      <c r="D88" s="42"/>
      <c r="E88" s="68"/>
      <c r="F88" s="69"/>
      <c r="G88" s="39"/>
      <c r="H88" s="57" t="s">
        <v>107</v>
      </c>
      <c r="I88" s="59">
        <v>0</v>
      </c>
      <c r="J88" s="51">
        <f>I88/I$84</f>
        <v>0</v>
      </c>
    </row>
    <row r="89" spans="1:10" ht="15.75" thickBot="1" x14ac:dyDescent="0.3">
      <c r="A89" s="7"/>
      <c r="B89" s="40"/>
      <c r="D89" s="42"/>
      <c r="E89" s="62" t="s">
        <v>182</v>
      </c>
      <c r="F89" s="44"/>
      <c r="G89" s="39"/>
      <c r="H89" s="22" t="s">
        <v>108</v>
      </c>
      <c r="I89" s="55">
        <v>0</v>
      </c>
      <c r="J89" s="56">
        <f>I89/I$84</f>
        <v>0</v>
      </c>
    </row>
    <row r="90" spans="1:10" x14ac:dyDescent="0.25">
      <c r="A90" s="7" t="s">
        <v>183</v>
      </c>
      <c r="B90" s="40"/>
      <c r="D90" s="42"/>
      <c r="E90" s="58" t="s">
        <v>121</v>
      </c>
      <c r="F90" s="51">
        <f t="shared" ref="F90:F95" si="4">C91/C$48</f>
        <v>0.23684210526315788</v>
      </c>
      <c r="G90" s="39"/>
    </row>
    <row r="91" spans="1:10" ht="15.75" thickBot="1" x14ac:dyDescent="0.3">
      <c r="A91" s="7" t="s">
        <v>121</v>
      </c>
      <c r="B91" s="40"/>
      <c r="C91">
        <v>9</v>
      </c>
      <c r="D91" s="42"/>
      <c r="E91" s="48" t="s">
        <v>122</v>
      </c>
      <c r="F91" s="51">
        <f t="shared" si="4"/>
        <v>5.2631578947368418E-2</v>
      </c>
      <c r="G91" s="39"/>
    </row>
    <row r="92" spans="1:10" x14ac:dyDescent="0.25">
      <c r="A92" s="7" t="s">
        <v>122</v>
      </c>
      <c r="B92" s="40"/>
      <c r="C92">
        <v>2</v>
      </c>
      <c r="D92" s="42"/>
      <c r="E92" s="48" t="s">
        <v>123</v>
      </c>
      <c r="F92" s="51">
        <f t="shared" si="4"/>
        <v>0</v>
      </c>
      <c r="G92" s="39"/>
      <c r="H92" s="45" t="s">
        <v>69</v>
      </c>
      <c r="I92" s="46">
        <v>13</v>
      </c>
      <c r="J92" s="47"/>
    </row>
    <row r="93" spans="1:10" x14ac:dyDescent="0.25">
      <c r="A93" s="7" t="s">
        <v>123</v>
      </c>
      <c r="B93" s="40"/>
      <c r="C93">
        <v>0</v>
      </c>
      <c r="D93" s="42"/>
      <c r="E93" s="48" t="s">
        <v>124</v>
      </c>
      <c r="F93" s="51">
        <f t="shared" si="4"/>
        <v>0</v>
      </c>
      <c r="G93" s="39"/>
      <c r="H93" s="57" t="s">
        <v>109</v>
      </c>
      <c r="I93" s="59">
        <v>1</v>
      </c>
      <c r="J93" s="51">
        <f>I93/I$92</f>
        <v>7.6923076923076927E-2</v>
      </c>
    </row>
    <row r="94" spans="1:10" x14ac:dyDescent="0.25">
      <c r="A94" s="7" t="s">
        <v>124</v>
      </c>
      <c r="B94" s="40"/>
      <c r="C94">
        <v>0</v>
      </c>
      <c r="D94" s="42"/>
      <c r="E94" s="48" t="s">
        <v>125</v>
      </c>
      <c r="F94" s="51">
        <f t="shared" si="4"/>
        <v>0.65789473684210531</v>
      </c>
      <c r="G94" s="39"/>
      <c r="H94" s="57" t="s">
        <v>110</v>
      </c>
      <c r="I94" s="59">
        <v>0</v>
      </c>
      <c r="J94" s="51">
        <f t="shared" ref="J94:J102" si="5">I94/I$92</f>
        <v>0</v>
      </c>
    </row>
    <row r="95" spans="1:10" ht="15.75" thickBot="1" x14ac:dyDescent="0.3">
      <c r="A95" s="7" t="s">
        <v>125</v>
      </c>
      <c r="B95" s="40"/>
      <c r="C95">
        <v>25</v>
      </c>
      <c r="D95" s="42"/>
      <c r="E95" s="53" t="s">
        <v>69</v>
      </c>
      <c r="F95" s="56">
        <f t="shared" si="4"/>
        <v>5.2631578947368418E-2</v>
      </c>
      <c r="G95" s="39"/>
      <c r="H95" s="57" t="s">
        <v>111</v>
      </c>
      <c r="I95" s="59">
        <v>0</v>
      </c>
      <c r="J95" s="51">
        <f t="shared" si="5"/>
        <v>0</v>
      </c>
    </row>
    <row r="96" spans="1:10" ht="15.75" thickBot="1" x14ac:dyDescent="0.3">
      <c r="A96" s="7" t="s">
        <v>69</v>
      </c>
      <c r="B96" s="40"/>
      <c r="C96">
        <v>2</v>
      </c>
      <c r="D96" s="42"/>
      <c r="E96" s="42"/>
      <c r="F96" s="14"/>
      <c r="G96" s="39"/>
      <c r="H96" s="57" t="s">
        <v>112</v>
      </c>
      <c r="I96" s="59">
        <v>0</v>
      </c>
      <c r="J96" s="51">
        <f t="shared" si="5"/>
        <v>0</v>
      </c>
    </row>
    <row r="97" spans="1:10" x14ac:dyDescent="0.25">
      <c r="A97" s="7"/>
      <c r="B97" s="40"/>
      <c r="D97" s="42"/>
      <c r="E97" s="43" t="s">
        <v>184</v>
      </c>
      <c r="F97" s="44"/>
      <c r="G97" s="39"/>
      <c r="H97" s="57" t="s">
        <v>113</v>
      </c>
      <c r="I97" s="59">
        <v>6</v>
      </c>
      <c r="J97" s="51">
        <f t="shared" si="5"/>
        <v>0.46153846153846156</v>
      </c>
    </row>
    <row r="98" spans="1:10" x14ac:dyDescent="0.25">
      <c r="A98" s="7" t="s">
        <v>185</v>
      </c>
      <c r="B98" s="40"/>
      <c r="D98" s="42"/>
      <c r="E98" s="48" t="s">
        <v>186</v>
      </c>
      <c r="F98" s="51">
        <f>C99/C$48</f>
        <v>0.36842105263157893</v>
      </c>
      <c r="G98" s="39"/>
      <c r="H98" s="70" t="s">
        <v>114</v>
      </c>
      <c r="I98" s="59">
        <v>3</v>
      </c>
      <c r="J98" s="51">
        <f t="shared" si="5"/>
        <v>0.23076923076923078</v>
      </c>
    </row>
    <row r="99" spans="1:10" x14ac:dyDescent="0.25">
      <c r="A99" s="7" t="s">
        <v>186</v>
      </c>
      <c r="B99" s="40"/>
      <c r="C99">
        <v>14</v>
      </c>
      <c r="D99" s="42"/>
      <c r="E99" s="48" t="s">
        <v>187</v>
      </c>
      <c r="F99" s="51">
        <f>C100/C$48</f>
        <v>0.15789473684210525</v>
      </c>
      <c r="G99" s="39"/>
      <c r="H99" s="70" t="s">
        <v>115</v>
      </c>
      <c r="I99" s="59">
        <v>3</v>
      </c>
      <c r="J99" s="51">
        <f t="shared" si="5"/>
        <v>0.23076923076923078</v>
      </c>
    </row>
    <row r="100" spans="1:10" x14ac:dyDescent="0.25">
      <c r="A100" s="7" t="s">
        <v>187</v>
      </c>
      <c r="B100" s="40"/>
      <c r="C100">
        <v>6</v>
      </c>
      <c r="D100" s="42"/>
      <c r="E100" s="48" t="s">
        <v>188</v>
      </c>
      <c r="F100" s="51">
        <f>C101/C$48</f>
        <v>0.13157894736842105</v>
      </c>
      <c r="G100" s="39"/>
      <c r="H100" s="70" t="s">
        <v>116</v>
      </c>
      <c r="I100" s="59">
        <v>0</v>
      </c>
      <c r="J100" s="51">
        <f t="shared" si="5"/>
        <v>0</v>
      </c>
    </row>
    <row r="101" spans="1:10" x14ac:dyDescent="0.25">
      <c r="A101" s="7" t="s">
        <v>188</v>
      </c>
      <c r="B101" s="40"/>
      <c r="C101">
        <v>5</v>
      </c>
      <c r="D101" s="42"/>
      <c r="E101" s="48" t="s">
        <v>189</v>
      </c>
      <c r="F101" s="51">
        <f>C102/C$48</f>
        <v>0</v>
      </c>
      <c r="G101" s="39"/>
      <c r="H101" s="70" t="s">
        <v>117</v>
      </c>
      <c r="I101" s="59">
        <v>0</v>
      </c>
      <c r="J101" s="51">
        <f t="shared" si="5"/>
        <v>0</v>
      </c>
    </row>
    <row r="102" spans="1:10" ht="15.75" thickBot="1" x14ac:dyDescent="0.3">
      <c r="A102" s="7" t="s">
        <v>189</v>
      </c>
      <c r="B102" s="40"/>
      <c r="C102">
        <v>0</v>
      </c>
      <c r="E102" s="53" t="s">
        <v>190</v>
      </c>
      <c r="F102" s="56">
        <f>C103/C$48</f>
        <v>0</v>
      </c>
      <c r="H102" s="71" t="s">
        <v>118</v>
      </c>
      <c r="I102" s="55">
        <v>0</v>
      </c>
      <c r="J102" s="56">
        <f t="shared" si="5"/>
        <v>0</v>
      </c>
    </row>
    <row r="103" spans="1:10" x14ac:dyDescent="0.25">
      <c r="A103" s="7" t="s">
        <v>190</v>
      </c>
      <c r="B103" s="40"/>
      <c r="C103">
        <v>0</v>
      </c>
      <c r="E103" s="42"/>
      <c r="F103" s="14"/>
    </row>
    <row r="104" spans="1:10" x14ac:dyDescent="0.25">
      <c r="A104" s="7" t="s">
        <v>191</v>
      </c>
      <c r="B104" s="40"/>
      <c r="C104">
        <v>0</v>
      </c>
      <c r="E104" s="42"/>
      <c r="F104" s="14"/>
    </row>
    <row r="105" spans="1:10" x14ac:dyDescent="0.25">
      <c r="A105" s="7"/>
      <c r="B105" s="40"/>
      <c r="E105" s="42"/>
      <c r="F105" s="14"/>
    </row>
    <row r="106" spans="1:10" ht="15.75" thickBot="1" x14ac:dyDescent="0.3"/>
    <row r="107" spans="1:10" x14ac:dyDescent="0.25">
      <c r="A107" s="72" t="s">
        <v>7</v>
      </c>
      <c r="B107" s="91">
        <f>SUM(B108:B111)</f>
        <v>88712.170000000013</v>
      </c>
    </row>
    <row r="108" spans="1:10" x14ac:dyDescent="0.25">
      <c r="A108" s="74" t="s">
        <v>121</v>
      </c>
      <c r="B108" s="75">
        <f>SUM(F2:F3,F12,F15,F19,F30,F36:F38,)</f>
        <v>35611.620000000003</v>
      </c>
    </row>
    <row r="109" spans="1:10" x14ac:dyDescent="0.25">
      <c r="A109" s="74" t="s">
        <v>192</v>
      </c>
      <c r="B109" s="75">
        <f>SUM(F4:F9,F11,F13:F14,F16:F18,F21,F23:F29,F31:F34,F39,)</f>
        <v>46278.55</v>
      </c>
    </row>
    <row r="110" spans="1:10" x14ac:dyDescent="0.25">
      <c r="A110" s="74" t="s">
        <v>193</v>
      </c>
      <c r="B110" s="75">
        <f>SUM(F10,F22,)</f>
        <v>2058</v>
      </c>
    </row>
    <row r="111" spans="1:10" x14ac:dyDescent="0.25">
      <c r="A111" s="74" t="s">
        <v>69</v>
      </c>
      <c r="B111" s="76">
        <f>SUM(F20,F35,)</f>
        <v>4764</v>
      </c>
    </row>
    <row r="112" spans="1:10" ht="15.75" thickBot="1" x14ac:dyDescent="0.3">
      <c r="A112" s="77"/>
      <c r="B112" s="78"/>
    </row>
  </sheetData>
  <mergeCells count="1">
    <mergeCell ref="A44:F4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workbookViewId="0">
      <selection activeCell="E17" sqref="E17"/>
    </sheetView>
  </sheetViews>
  <sheetFormatPr baseColWidth="10" defaultRowHeight="15" x14ac:dyDescent="0.25"/>
  <cols>
    <col min="2" max="2" width="14.85546875" customWidth="1"/>
    <col min="3" max="3" width="12.28515625" customWidth="1"/>
    <col min="4" max="4" width="12.5703125" customWidth="1"/>
    <col min="5" max="6" width="11.5703125" bestFit="1" customWidth="1"/>
  </cols>
  <sheetData>
    <row r="1" spans="1:14" x14ac:dyDescent="0.25">
      <c r="A1" s="9" t="s">
        <v>23</v>
      </c>
      <c r="B1" s="10" t="s">
        <v>37</v>
      </c>
      <c r="C1" s="11" t="s">
        <v>38</v>
      </c>
      <c r="D1" s="11" t="s">
        <v>39</v>
      </c>
      <c r="E1" s="11" t="s">
        <v>40</v>
      </c>
      <c r="F1" s="11" t="s">
        <v>41</v>
      </c>
      <c r="G1" s="12" t="s">
        <v>42</v>
      </c>
      <c r="H1" s="13" t="s">
        <v>43</v>
      </c>
      <c r="I1" s="13" t="s">
        <v>44</v>
      </c>
      <c r="J1" s="13" t="s">
        <v>45</v>
      </c>
      <c r="K1" s="100" t="s">
        <v>46</v>
      </c>
      <c r="L1" s="100"/>
      <c r="M1" s="100" t="s">
        <v>47</v>
      </c>
      <c r="N1" s="100"/>
    </row>
    <row r="2" spans="1:14" x14ac:dyDescent="0.25">
      <c r="A2" s="9" t="s">
        <v>24</v>
      </c>
      <c r="B2" s="84">
        <v>102159.20000000001</v>
      </c>
      <c r="C2" s="84">
        <v>43700.060000000005</v>
      </c>
      <c r="D2" s="84">
        <f>B2-C2</f>
        <v>58459.140000000007</v>
      </c>
      <c r="E2" s="84">
        <v>3929.2000000000003</v>
      </c>
      <c r="F2" s="84">
        <f>B2/G2</f>
        <v>2173.6000000000004</v>
      </c>
      <c r="G2" s="32">
        <v>47</v>
      </c>
      <c r="H2" s="17">
        <v>0.87</v>
      </c>
      <c r="I2" s="17">
        <v>0.85</v>
      </c>
      <c r="J2" s="17">
        <v>0.9</v>
      </c>
      <c r="K2" s="17" t="s">
        <v>62</v>
      </c>
      <c r="L2" s="17">
        <v>0.32</v>
      </c>
      <c r="M2" s="17" t="s">
        <v>71</v>
      </c>
      <c r="N2" s="17">
        <v>0.4</v>
      </c>
    </row>
    <row r="3" spans="1:14" x14ac:dyDescent="0.25">
      <c r="A3" s="9" t="s">
        <v>25</v>
      </c>
      <c r="B3" s="84">
        <v>71335.86</v>
      </c>
      <c r="C3" s="84">
        <v>40891.379999999997</v>
      </c>
      <c r="D3" s="84">
        <f t="shared" ref="D3:D13" si="0">B3-C3</f>
        <v>30444.480000000003</v>
      </c>
      <c r="E3" s="84">
        <v>2972.3274999999999</v>
      </c>
      <c r="F3" s="84">
        <f t="shared" ref="F3:F13" si="1">B3/G3</f>
        <v>2038.1674285714287</v>
      </c>
      <c r="G3" s="32">
        <v>35</v>
      </c>
      <c r="H3" s="17">
        <v>0.94</v>
      </c>
      <c r="I3" s="17">
        <v>0.71</v>
      </c>
      <c r="J3" s="17">
        <v>0.56999999999999995</v>
      </c>
      <c r="K3" s="17" t="s">
        <v>63</v>
      </c>
      <c r="L3" s="17">
        <v>0.28000000000000003</v>
      </c>
      <c r="M3" s="17" t="s">
        <v>71</v>
      </c>
      <c r="N3" s="17">
        <v>0.35</v>
      </c>
    </row>
    <row r="4" spans="1:14" x14ac:dyDescent="0.25">
      <c r="A4" s="9" t="s">
        <v>26</v>
      </c>
      <c r="B4" s="84">
        <v>90170.319999999992</v>
      </c>
      <c r="C4" s="90">
        <v>43956.68</v>
      </c>
      <c r="D4" s="84">
        <f t="shared" si="0"/>
        <v>46213.639999999992</v>
      </c>
      <c r="E4" s="84">
        <v>4293.8247619047615</v>
      </c>
      <c r="F4" s="84">
        <f t="shared" si="1"/>
        <v>2504.7311111111107</v>
      </c>
      <c r="G4" s="32">
        <v>36</v>
      </c>
      <c r="H4" s="17">
        <v>0.86</v>
      </c>
      <c r="I4" s="17">
        <v>0.83</v>
      </c>
      <c r="J4" s="17">
        <v>0.39</v>
      </c>
      <c r="K4" s="17" t="s">
        <v>858</v>
      </c>
      <c r="L4" s="17">
        <v>0.28999999999999998</v>
      </c>
      <c r="M4" s="17" t="s">
        <v>71</v>
      </c>
      <c r="N4" s="17">
        <v>0.47</v>
      </c>
    </row>
    <row r="5" spans="1:14" x14ac:dyDescent="0.25">
      <c r="A5" s="9" t="s">
        <v>27</v>
      </c>
      <c r="B5" s="84">
        <v>82639.099999999991</v>
      </c>
      <c r="C5" s="84">
        <v>67900.100000000006</v>
      </c>
      <c r="D5" s="84">
        <f t="shared" si="0"/>
        <v>14738.999999999985</v>
      </c>
      <c r="E5" s="84">
        <v>3305.5639999999999</v>
      </c>
      <c r="F5" s="84">
        <f t="shared" si="1"/>
        <v>2015.5878048780485</v>
      </c>
      <c r="G5" s="32">
        <v>41</v>
      </c>
      <c r="H5" s="17">
        <v>0.85</v>
      </c>
      <c r="I5" s="17">
        <v>0.73</v>
      </c>
      <c r="J5" s="17">
        <v>0.32</v>
      </c>
      <c r="K5" s="17" t="s">
        <v>63</v>
      </c>
      <c r="L5" s="17">
        <v>0.31</v>
      </c>
      <c r="M5" s="17" t="s">
        <v>71</v>
      </c>
      <c r="N5" s="17">
        <v>0.4</v>
      </c>
    </row>
    <row r="6" spans="1:14" x14ac:dyDescent="0.25">
      <c r="A6" s="9" t="s">
        <v>28</v>
      </c>
      <c r="B6" s="84">
        <v>100641.41</v>
      </c>
      <c r="C6" s="84">
        <v>94432.66</v>
      </c>
      <c r="D6" s="84">
        <f t="shared" si="0"/>
        <v>6208.75</v>
      </c>
      <c r="E6" s="84">
        <v>3965.7364000000002</v>
      </c>
      <c r="F6" s="84">
        <f t="shared" si="1"/>
        <v>2340.4979069767442</v>
      </c>
      <c r="G6" s="32">
        <v>43</v>
      </c>
      <c r="H6" s="17">
        <v>0.88</v>
      </c>
      <c r="I6" s="17">
        <v>0.7</v>
      </c>
      <c r="J6" s="17">
        <v>0.37</v>
      </c>
      <c r="K6" s="17" t="s">
        <v>63</v>
      </c>
      <c r="L6" s="17">
        <v>0.3</v>
      </c>
      <c r="M6" s="17" t="s">
        <v>71</v>
      </c>
      <c r="N6" s="17">
        <v>0.44</v>
      </c>
    </row>
    <row r="7" spans="1:14" x14ac:dyDescent="0.25">
      <c r="A7" s="9" t="s">
        <v>29</v>
      </c>
      <c r="B7" s="84">
        <v>98752.260000000009</v>
      </c>
      <c r="C7" s="84">
        <v>55089.119999999995</v>
      </c>
      <c r="D7" s="84">
        <f t="shared" si="0"/>
        <v>43663.140000000014</v>
      </c>
      <c r="E7" s="84">
        <v>3798.1638461538464</v>
      </c>
      <c r="F7" s="84">
        <f t="shared" si="1"/>
        <v>2015.3522448979593</v>
      </c>
      <c r="G7" s="32">
        <v>49</v>
      </c>
      <c r="H7" s="17">
        <v>0.88</v>
      </c>
      <c r="I7" s="17">
        <v>0.71</v>
      </c>
      <c r="J7" s="17">
        <v>0.43</v>
      </c>
      <c r="K7" s="17" t="s">
        <v>63</v>
      </c>
      <c r="L7" s="17">
        <v>0.3</v>
      </c>
      <c r="M7" s="17" t="s">
        <v>71</v>
      </c>
      <c r="N7" s="17">
        <v>0.45</v>
      </c>
    </row>
    <row r="8" spans="1:14" x14ac:dyDescent="0.25">
      <c r="A8" s="9" t="s">
        <v>30</v>
      </c>
      <c r="B8" s="84">
        <v>121334.49999999999</v>
      </c>
      <c r="C8" s="84">
        <v>71629.489999999991</v>
      </c>
      <c r="D8" s="84">
        <f t="shared" si="0"/>
        <v>49705.009999999995</v>
      </c>
      <c r="E8" s="84">
        <v>4666.7115384615381</v>
      </c>
      <c r="F8" s="84">
        <f t="shared" si="1"/>
        <v>2379.1078431372548</v>
      </c>
      <c r="G8" s="32">
        <v>51</v>
      </c>
      <c r="H8" s="17">
        <v>0.82</v>
      </c>
      <c r="I8" s="17">
        <v>0.69</v>
      </c>
      <c r="J8" s="17">
        <v>0.28999999999999998</v>
      </c>
      <c r="K8" s="17" t="s">
        <v>63</v>
      </c>
      <c r="L8" s="17">
        <v>0.45</v>
      </c>
      <c r="M8" s="17" t="s">
        <v>71</v>
      </c>
      <c r="N8" s="17">
        <v>0.4</v>
      </c>
    </row>
    <row r="9" spans="1:14" x14ac:dyDescent="0.25">
      <c r="A9" s="9" t="s">
        <v>31</v>
      </c>
      <c r="B9" s="84">
        <v>99433.45</v>
      </c>
      <c r="C9" s="84">
        <v>64918.789999999994</v>
      </c>
      <c r="D9" s="84">
        <f t="shared" si="0"/>
        <v>34514.660000000003</v>
      </c>
      <c r="E9" s="84">
        <v>3682.7203703703703</v>
      </c>
      <c r="F9" s="84">
        <f t="shared" si="1"/>
        <v>2161.5967391304348</v>
      </c>
      <c r="G9" s="32">
        <v>46</v>
      </c>
      <c r="H9" s="17">
        <v>0.85</v>
      </c>
      <c r="I9" s="17">
        <v>0.67</v>
      </c>
      <c r="J9" s="17">
        <v>0.5</v>
      </c>
      <c r="K9" s="17" t="s">
        <v>63</v>
      </c>
      <c r="L9" s="17">
        <v>0.39</v>
      </c>
      <c r="M9" s="17" t="s">
        <v>72</v>
      </c>
      <c r="N9" s="17">
        <v>0.28999999999999998</v>
      </c>
    </row>
    <row r="10" spans="1:14" x14ac:dyDescent="0.25">
      <c r="A10" s="9" t="s">
        <v>32</v>
      </c>
      <c r="B10" s="84">
        <v>139679.70000000001</v>
      </c>
      <c r="C10" s="84">
        <v>83026.26999999999</v>
      </c>
      <c r="D10" s="84">
        <f t="shared" si="0"/>
        <v>56653.430000000022</v>
      </c>
      <c r="E10" s="84">
        <v>5587.1880000000001</v>
      </c>
      <c r="F10" s="84">
        <f t="shared" si="1"/>
        <v>3248.3651162790702</v>
      </c>
      <c r="G10" s="32">
        <v>43</v>
      </c>
      <c r="H10" s="17">
        <v>0.86</v>
      </c>
      <c r="I10" s="17">
        <v>0.65</v>
      </c>
      <c r="J10" s="17">
        <v>0.3</v>
      </c>
      <c r="K10" s="17" t="s">
        <v>62</v>
      </c>
      <c r="L10" s="17">
        <v>0.45</v>
      </c>
      <c r="M10" s="17" t="s">
        <v>71</v>
      </c>
      <c r="N10" s="17">
        <v>0.38</v>
      </c>
    </row>
    <row r="11" spans="1:14" x14ac:dyDescent="0.25">
      <c r="A11" s="9" t="s">
        <v>33</v>
      </c>
      <c r="B11" s="84">
        <v>111320.77999999998</v>
      </c>
      <c r="C11" s="84">
        <v>61349.18</v>
      </c>
      <c r="D11" s="84">
        <f t="shared" si="0"/>
        <v>49971.599999999984</v>
      </c>
      <c r="E11" s="84">
        <v>3975.7421428571424</v>
      </c>
      <c r="F11" s="84">
        <f t="shared" si="1"/>
        <v>2319.1829166666662</v>
      </c>
      <c r="G11" s="32">
        <v>48</v>
      </c>
      <c r="H11" s="17">
        <v>0.9</v>
      </c>
      <c r="I11" s="17">
        <v>0.71</v>
      </c>
      <c r="J11" s="17">
        <v>0.5</v>
      </c>
      <c r="K11" s="17" t="s">
        <v>63</v>
      </c>
      <c r="L11" s="17">
        <v>0.37</v>
      </c>
      <c r="M11" s="17" t="s">
        <v>71</v>
      </c>
      <c r="N11" s="17">
        <v>0.31</v>
      </c>
    </row>
    <row r="12" spans="1:14" x14ac:dyDescent="0.25">
      <c r="A12" s="9" t="s">
        <v>34</v>
      </c>
      <c r="B12" s="84">
        <v>106794.23999999998</v>
      </c>
      <c r="C12" s="84">
        <v>62701.229999999996</v>
      </c>
      <c r="D12" s="84">
        <f t="shared" si="0"/>
        <v>44093.00999999998</v>
      </c>
      <c r="E12" s="84">
        <v>4271.7695999999987</v>
      </c>
      <c r="F12" s="84">
        <f t="shared" si="1"/>
        <v>2669.8559999999993</v>
      </c>
      <c r="G12" s="32">
        <v>40</v>
      </c>
      <c r="H12" s="17">
        <v>0.85</v>
      </c>
      <c r="I12" s="17">
        <v>0.63</v>
      </c>
      <c r="J12" s="17">
        <v>0.45</v>
      </c>
      <c r="K12" s="17" t="s">
        <v>2740</v>
      </c>
      <c r="L12" s="17">
        <v>0.45</v>
      </c>
      <c r="M12" s="17" t="s">
        <v>71</v>
      </c>
      <c r="N12" s="17">
        <v>0.38</v>
      </c>
    </row>
    <row r="13" spans="1:14" x14ac:dyDescent="0.25">
      <c r="A13" s="9" t="s">
        <v>35</v>
      </c>
      <c r="B13" s="41">
        <v>88712.17</v>
      </c>
      <c r="C13" s="84">
        <v>52065.56</v>
      </c>
      <c r="D13" s="84">
        <f t="shared" si="0"/>
        <v>36646.61</v>
      </c>
      <c r="E13" s="84">
        <v>3548.4868000000001</v>
      </c>
      <c r="F13" s="84">
        <f t="shared" si="1"/>
        <v>2334.5307894736843</v>
      </c>
      <c r="G13" s="32">
        <v>38</v>
      </c>
      <c r="H13" s="17">
        <v>0.92</v>
      </c>
      <c r="I13" s="17">
        <v>0.79</v>
      </c>
      <c r="J13" s="17">
        <v>0.66</v>
      </c>
      <c r="K13" s="17" t="s">
        <v>63</v>
      </c>
      <c r="L13" s="17">
        <v>0.33</v>
      </c>
      <c r="M13" s="17" t="s">
        <v>71</v>
      </c>
      <c r="N13" s="17">
        <v>0.46</v>
      </c>
    </row>
    <row r="14" spans="1:14" x14ac:dyDescent="0.25">
      <c r="B14" s="38"/>
      <c r="C14" s="38"/>
      <c r="D14" s="38"/>
      <c r="E14" s="38"/>
      <c r="F14" s="38"/>
    </row>
    <row r="17" spans="1:14" x14ac:dyDescent="0.25">
      <c r="A17" s="9" t="s">
        <v>36</v>
      </c>
      <c r="B17" s="85">
        <f>SUM(B2:B13)</f>
        <v>1212972.99</v>
      </c>
      <c r="C17" s="84">
        <f>SUM(C2:C13)</f>
        <v>741660.52</v>
      </c>
      <c r="D17" s="84">
        <f>SUM(D2:D13)</f>
        <v>471312.47000000009</v>
      </c>
      <c r="E17" s="84">
        <f>AVERAGE(E2:E13)</f>
        <v>3999.7862466456377</v>
      </c>
      <c r="F17" s="84">
        <f>SUM(F2:F13)</f>
        <v>28200.5759011224</v>
      </c>
      <c r="G17" s="32">
        <f>SUM(G2:G13)</f>
        <v>517</v>
      </c>
      <c r="H17" s="86">
        <f>AVERAGE(H2:H13)</f>
        <v>0.87333333333333341</v>
      </c>
      <c r="I17" s="17">
        <f>AVERAGE(I2:I13)</f>
        <v>0.72250000000000014</v>
      </c>
      <c r="J17" s="17">
        <f>AVERAGE(J2:J13)</f>
        <v>0.47333333333333338</v>
      </c>
      <c r="K17" s="32" t="s">
        <v>63</v>
      </c>
      <c r="L17" s="17">
        <f>AVERAGE(L3:L9)+AVERAGE(L11:L13)</f>
        <v>0.71476190476190482</v>
      </c>
      <c r="M17" s="32" t="s">
        <v>71</v>
      </c>
      <c r="N17" s="17">
        <f>AVERAGE(N2:N8)+AVERAGE(N10:N13)</f>
        <v>0.79821428571428577</v>
      </c>
    </row>
  </sheetData>
  <mergeCells count="2">
    <mergeCell ref="K1:L1"/>
    <mergeCell ref="M1:N1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1"/>
  <sheetViews>
    <sheetView topLeftCell="A54" workbookViewId="0">
      <selection activeCell="O68" sqref="O68:O77"/>
    </sheetView>
  </sheetViews>
  <sheetFormatPr baseColWidth="10" defaultRowHeight="15" x14ac:dyDescent="0.25"/>
  <sheetData>
    <row r="1" spans="1:15" x14ac:dyDescent="0.25">
      <c r="A1" s="105" t="s">
        <v>48</v>
      </c>
      <c r="B1" s="103" t="s">
        <v>23</v>
      </c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4"/>
      <c r="O1" s="14"/>
    </row>
    <row r="2" spans="1:15" x14ac:dyDescent="0.25">
      <c r="A2" s="106"/>
      <c r="B2" s="9" t="s">
        <v>49</v>
      </c>
      <c r="C2" s="9" t="s">
        <v>50</v>
      </c>
      <c r="D2" s="9" t="s">
        <v>51</v>
      </c>
      <c r="E2" s="9" t="s">
        <v>52</v>
      </c>
      <c r="F2" s="9" t="s">
        <v>53</v>
      </c>
      <c r="G2" s="9" t="s">
        <v>54</v>
      </c>
      <c r="H2" s="9" t="s">
        <v>55</v>
      </c>
      <c r="I2" s="9" t="s">
        <v>56</v>
      </c>
      <c r="J2" s="9" t="s">
        <v>57</v>
      </c>
      <c r="K2" s="9" t="s">
        <v>58</v>
      </c>
      <c r="L2" s="9" t="s">
        <v>59</v>
      </c>
      <c r="M2" s="15" t="s">
        <v>60</v>
      </c>
      <c r="O2" s="14"/>
    </row>
    <row r="3" spans="1:15" x14ac:dyDescent="0.25">
      <c r="A3" s="16" t="s">
        <v>61</v>
      </c>
      <c r="B3" s="17">
        <v>4.9019607843137254E-2</v>
      </c>
      <c r="C3" s="17">
        <v>3.4090909090909088E-2</v>
      </c>
      <c r="D3" s="17">
        <v>2.2222222222222223E-2</v>
      </c>
      <c r="E3" s="17">
        <v>3.2967032967032968E-2</v>
      </c>
      <c r="F3" s="17">
        <v>8.5714285714285715E-2</v>
      </c>
      <c r="G3" s="17">
        <v>3.2608695652173912E-2</v>
      </c>
      <c r="H3" s="17">
        <v>7.6923076923076927E-3</v>
      </c>
      <c r="I3" s="17">
        <v>8.9285714285714281E-3</v>
      </c>
      <c r="J3" s="17">
        <v>2.6548672566371681E-2</v>
      </c>
      <c r="K3" s="17">
        <v>2.4390243902439025E-2</v>
      </c>
      <c r="L3" s="17">
        <v>2.1052631578947368E-2</v>
      </c>
      <c r="M3" s="18">
        <v>1.1627906976744186E-2</v>
      </c>
      <c r="N3" s="16" t="s">
        <v>61</v>
      </c>
      <c r="O3" s="14">
        <f>AVERAGE(B3:M3)</f>
        <v>2.9738590636261882E-2</v>
      </c>
    </row>
    <row r="4" spans="1:15" x14ac:dyDescent="0.25">
      <c r="A4" s="16" t="s">
        <v>62</v>
      </c>
      <c r="B4" s="17">
        <v>0.3235294117647059</v>
      </c>
      <c r="C4" s="17">
        <v>0.27272727272727271</v>
      </c>
      <c r="D4" s="17">
        <v>0.28888888888888886</v>
      </c>
      <c r="E4" s="17">
        <v>0.26373626373626374</v>
      </c>
      <c r="F4" s="17">
        <v>0.21428571428571427</v>
      </c>
      <c r="G4" s="17">
        <v>0.27173913043478259</v>
      </c>
      <c r="H4" s="17">
        <v>0.16923076923076924</v>
      </c>
      <c r="I4" s="17">
        <v>0.2767857142857143</v>
      </c>
      <c r="J4" s="17">
        <v>0.45132743362831856</v>
      </c>
      <c r="K4" s="17">
        <v>0.1951219512195122</v>
      </c>
      <c r="L4" s="17">
        <v>0.17894736842105263</v>
      </c>
      <c r="M4" s="18">
        <v>0.22093023255813954</v>
      </c>
      <c r="N4" s="16" t="s">
        <v>62</v>
      </c>
      <c r="O4" s="14">
        <f t="shared" ref="O4:O11" si="0">AVERAGE(B4:M4)</f>
        <v>0.26060417926509455</v>
      </c>
    </row>
    <row r="5" spans="1:15" x14ac:dyDescent="0.25">
      <c r="A5" s="16" t="s">
        <v>63</v>
      </c>
      <c r="B5" s="17">
        <v>0.25490196078431371</v>
      </c>
      <c r="C5" s="17">
        <v>0.28409090909090912</v>
      </c>
      <c r="D5" s="17">
        <v>0.28888888888888886</v>
      </c>
      <c r="E5" s="17">
        <v>0.30769230769230771</v>
      </c>
      <c r="F5" s="17">
        <v>0.3</v>
      </c>
      <c r="G5" s="17">
        <v>0.32608695652173914</v>
      </c>
      <c r="H5" s="17">
        <v>0.45384615384615384</v>
      </c>
      <c r="I5" s="17">
        <v>0.39285714285714285</v>
      </c>
      <c r="J5" s="17">
        <v>0.19469026548672566</v>
      </c>
      <c r="K5" s="17">
        <v>0.36585365853658536</v>
      </c>
      <c r="L5" s="17">
        <v>0.45263157894736844</v>
      </c>
      <c r="M5" s="18">
        <v>0.32558139534883723</v>
      </c>
      <c r="N5" s="16" t="s">
        <v>63</v>
      </c>
      <c r="O5" s="14">
        <f t="shared" si="0"/>
        <v>0.32892676816674765</v>
      </c>
    </row>
    <row r="6" spans="1:15" x14ac:dyDescent="0.25">
      <c r="A6" s="16" t="s">
        <v>64</v>
      </c>
      <c r="B6" s="17">
        <v>9.8039215686274508E-3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8.8495575221238937E-3</v>
      </c>
      <c r="K6" s="17">
        <v>0</v>
      </c>
      <c r="L6" s="17">
        <v>2.1052631578947368E-2</v>
      </c>
      <c r="M6" s="18">
        <v>1.1627906976744186E-2</v>
      </c>
      <c r="N6" s="16" t="s">
        <v>64</v>
      </c>
      <c r="O6" s="14">
        <f t="shared" si="0"/>
        <v>4.2778348038702415E-3</v>
      </c>
    </row>
    <row r="7" spans="1:15" x14ac:dyDescent="0.25">
      <c r="A7" s="16" t="s">
        <v>65</v>
      </c>
      <c r="B7" s="17">
        <v>6.8627450980392163E-2</v>
      </c>
      <c r="C7" s="17">
        <v>0.11363636363636363</v>
      </c>
      <c r="D7" s="17">
        <v>0.1</v>
      </c>
      <c r="E7" s="17">
        <v>8.7912087912087919E-2</v>
      </c>
      <c r="F7" s="17">
        <v>0.1</v>
      </c>
      <c r="G7" s="17">
        <v>6.5217391304347824E-2</v>
      </c>
      <c r="H7" s="17">
        <v>0.14615384615384616</v>
      </c>
      <c r="I7" s="17">
        <v>8.9285714285714288E-2</v>
      </c>
      <c r="J7" s="17">
        <v>0.11504424778761062</v>
      </c>
      <c r="K7" s="17">
        <v>7.3170731707317069E-2</v>
      </c>
      <c r="L7" s="17">
        <v>8.4210526315789472E-2</v>
      </c>
      <c r="M7" s="18">
        <v>0.18604651162790697</v>
      </c>
      <c r="N7" s="16" t="s">
        <v>65</v>
      </c>
      <c r="O7" s="14">
        <f t="shared" si="0"/>
        <v>0.10244207264261466</v>
      </c>
    </row>
    <row r="8" spans="1:15" x14ac:dyDescent="0.25">
      <c r="A8" s="16" t="s">
        <v>66</v>
      </c>
      <c r="B8" s="17">
        <v>9.8039215686274508E-3</v>
      </c>
      <c r="C8" s="17">
        <v>1.1363636363636364E-2</v>
      </c>
      <c r="D8" s="17">
        <v>1.1111111111111112E-2</v>
      </c>
      <c r="E8" s="17">
        <v>4.3956043956043959E-2</v>
      </c>
      <c r="F8" s="17">
        <v>1.4285714285714285E-2</v>
      </c>
      <c r="G8" s="17">
        <v>2.1739130434782608E-2</v>
      </c>
      <c r="H8" s="17">
        <v>0</v>
      </c>
      <c r="I8" s="17">
        <v>2.6785714285714284E-2</v>
      </c>
      <c r="J8" s="17">
        <v>8.8495575221238937E-3</v>
      </c>
      <c r="K8" s="17">
        <v>8.130081300813009E-3</v>
      </c>
      <c r="L8" s="17">
        <v>1.0526315789473684E-2</v>
      </c>
      <c r="M8" s="18">
        <v>2.3255813953488372E-2</v>
      </c>
      <c r="N8" s="16" t="s">
        <v>66</v>
      </c>
      <c r="O8" s="14">
        <f t="shared" si="0"/>
        <v>1.5817253380960752E-2</v>
      </c>
    </row>
    <row r="9" spans="1:15" x14ac:dyDescent="0.25">
      <c r="A9" s="16" t="s">
        <v>67</v>
      </c>
      <c r="B9" s="17">
        <v>9.8039215686274508E-2</v>
      </c>
      <c r="C9" s="17">
        <v>7.9545454545454544E-2</v>
      </c>
      <c r="D9" s="17">
        <v>0.14444444444444443</v>
      </c>
      <c r="E9" s="17">
        <v>0.12087912087912088</v>
      </c>
      <c r="F9" s="17">
        <v>0.14285714285714285</v>
      </c>
      <c r="G9" s="17">
        <v>0.17391304347826086</v>
      </c>
      <c r="H9" s="17">
        <v>0.1</v>
      </c>
      <c r="I9" s="17">
        <v>9.8214285714285712E-2</v>
      </c>
      <c r="J9" s="17">
        <v>7.9646017699115043E-2</v>
      </c>
      <c r="K9" s="17">
        <v>0.16260162601626016</v>
      </c>
      <c r="L9" s="17">
        <v>5.2631578947368418E-2</v>
      </c>
      <c r="M9" s="18">
        <v>4.6511627906976744E-2</v>
      </c>
      <c r="N9" s="16" t="s">
        <v>67</v>
      </c>
      <c r="O9" s="14">
        <f t="shared" si="0"/>
        <v>0.10827362984789202</v>
      </c>
    </row>
    <row r="10" spans="1:15" x14ac:dyDescent="0.25">
      <c r="A10" s="16" t="s">
        <v>68</v>
      </c>
      <c r="B10" s="17">
        <v>2.9411764705882353E-2</v>
      </c>
      <c r="C10" s="17">
        <v>2.2727272727272728E-2</v>
      </c>
      <c r="D10" s="17">
        <v>0</v>
      </c>
      <c r="E10" s="17">
        <v>1.098901098901099E-2</v>
      </c>
      <c r="F10" s="17">
        <v>0</v>
      </c>
      <c r="G10" s="17">
        <v>1.0869565217391304E-2</v>
      </c>
      <c r="H10" s="17">
        <v>7.6923076923076927E-3</v>
      </c>
      <c r="I10" s="17">
        <v>8.9285714285714281E-3</v>
      </c>
      <c r="J10" s="17">
        <v>0</v>
      </c>
      <c r="K10" s="17">
        <v>1.6260162601626018E-2</v>
      </c>
      <c r="L10" s="17">
        <v>3.1578947368421054E-2</v>
      </c>
      <c r="M10" s="18">
        <v>2.3255813953488372E-2</v>
      </c>
      <c r="N10" s="16" t="s">
        <v>68</v>
      </c>
      <c r="O10" s="14">
        <f t="shared" si="0"/>
        <v>1.3476118056997661E-2</v>
      </c>
    </row>
    <row r="11" spans="1:15" ht="15.75" thickBot="1" x14ac:dyDescent="0.3">
      <c r="A11" s="19" t="s">
        <v>69</v>
      </c>
      <c r="B11" s="20">
        <v>0.15686274509803921</v>
      </c>
      <c r="C11" s="20">
        <v>0.18181818181818182</v>
      </c>
      <c r="D11" s="20">
        <v>0.14444444444444443</v>
      </c>
      <c r="E11" s="20">
        <v>0.13186813186813187</v>
      </c>
      <c r="F11" s="20">
        <v>0.14285714285714285</v>
      </c>
      <c r="G11" s="20">
        <v>9.7826086956521743E-2</v>
      </c>
      <c r="H11" s="20">
        <v>0.11538461538461539</v>
      </c>
      <c r="I11" s="20">
        <v>9.8214285714285712E-2</v>
      </c>
      <c r="J11" s="20">
        <v>0.11504424778761062</v>
      </c>
      <c r="K11" s="20">
        <v>0.15447154471544716</v>
      </c>
      <c r="L11" s="20">
        <v>0.14736842105263157</v>
      </c>
      <c r="M11" s="21">
        <v>0.15116279069767441</v>
      </c>
      <c r="N11" s="19" t="s">
        <v>69</v>
      </c>
      <c r="O11" s="14">
        <f t="shared" si="0"/>
        <v>0.13644355319956059</v>
      </c>
    </row>
    <row r="12" spans="1:15" x14ac:dyDescent="0.25">
      <c r="O12" s="14"/>
    </row>
    <row r="13" spans="1:15" x14ac:dyDescent="0.25">
      <c r="A13" s="109" t="s">
        <v>70</v>
      </c>
      <c r="B13" s="109" t="s">
        <v>23</v>
      </c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O13" s="14"/>
    </row>
    <row r="14" spans="1:15" x14ac:dyDescent="0.25">
      <c r="A14" s="109"/>
      <c r="B14" s="9" t="s">
        <v>49</v>
      </c>
      <c r="C14" s="9" t="s">
        <v>50</v>
      </c>
      <c r="D14" s="9" t="s">
        <v>51</v>
      </c>
      <c r="E14" s="9" t="s">
        <v>52</v>
      </c>
      <c r="F14" s="9" t="s">
        <v>53</v>
      </c>
      <c r="G14" s="9" t="s">
        <v>54</v>
      </c>
      <c r="H14" s="9" t="s">
        <v>55</v>
      </c>
      <c r="I14" s="9" t="s">
        <v>56</v>
      </c>
      <c r="J14" s="9" t="s">
        <v>57</v>
      </c>
      <c r="K14" s="9" t="s">
        <v>58</v>
      </c>
      <c r="L14" s="9" t="s">
        <v>59</v>
      </c>
      <c r="M14" s="9" t="s">
        <v>60</v>
      </c>
      <c r="O14" s="14"/>
    </row>
    <row r="15" spans="1:15" x14ac:dyDescent="0.25">
      <c r="A15" s="9" t="s">
        <v>71</v>
      </c>
      <c r="B15" s="17">
        <v>0.39823008849557523</v>
      </c>
      <c r="C15" s="17">
        <v>0.35416666666666669</v>
      </c>
      <c r="D15" s="17">
        <v>0.46938775510204084</v>
      </c>
      <c r="E15" s="17">
        <v>0.40404040404040403</v>
      </c>
      <c r="F15" s="17">
        <v>0.4375</v>
      </c>
      <c r="G15" s="17">
        <v>0.45283018867924529</v>
      </c>
      <c r="H15" s="17">
        <v>0.3971631205673759</v>
      </c>
      <c r="I15" s="17">
        <v>0.20161290322580644</v>
      </c>
      <c r="J15" s="17">
        <v>0.38211382113821141</v>
      </c>
      <c r="K15" s="17">
        <v>0.30597014925373134</v>
      </c>
      <c r="L15" s="17">
        <v>0.38235294117647056</v>
      </c>
      <c r="M15" s="17">
        <v>0.45744680851063829</v>
      </c>
      <c r="N15" s="9" t="s">
        <v>71</v>
      </c>
      <c r="O15" s="14">
        <f t="shared" ref="O15:O24" si="1">AVERAGE(B15:M15)</f>
        <v>0.38690123723801384</v>
      </c>
    </row>
    <row r="16" spans="1:15" x14ac:dyDescent="0.25">
      <c r="A16" s="9" t="s">
        <v>72</v>
      </c>
      <c r="B16" s="17">
        <v>0.10619469026548672</v>
      </c>
      <c r="C16" s="17">
        <v>0.27083333333333331</v>
      </c>
      <c r="D16" s="17">
        <v>0.15306122448979592</v>
      </c>
      <c r="E16" s="17">
        <v>0.27272727272727271</v>
      </c>
      <c r="F16" s="17">
        <v>0.1125</v>
      </c>
      <c r="G16" s="17">
        <v>0.22641509433962265</v>
      </c>
      <c r="H16" s="17">
        <v>0.14184397163120568</v>
      </c>
      <c r="I16" s="17">
        <v>0.29032258064516131</v>
      </c>
      <c r="J16" s="17">
        <v>0.18699186991869918</v>
      </c>
      <c r="K16" s="17">
        <v>0.17164179104477612</v>
      </c>
      <c r="L16" s="17">
        <v>0.23529411764705882</v>
      </c>
      <c r="M16" s="17">
        <v>0.13829787234042554</v>
      </c>
      <c r="N16" s="9" t="s">
        <v>72</v>
      </c>
      <c r="O16" s="14">
        <f t="shared" si="1"/>
        <v>0.19217698486523646</v>
      </c>
    </row>
    <row r="17" spans="1:15" x14ac:dyDescent="0.25">
      <c r="A17" s="9" t="s">
        <v>73</v>
      </c>
      <c r="B17" s="17">
        <v>7.9646017699115043E-2</v>
      </c>
      <c r="C17" s="17">
        <v>0.17708333333333334</v>
      </c>
      <c r="D17" s="17">
        <v>0.14285714285714285</v>
      </c>
      <c r="E17" s="17">
        <v>0.12121212121212122</v>
      </c>
      <c r="F17" s="17">
        <v>0.1</v>
      </c>
      <c r="G17" s="17">
        <v>9.4339622641509441E-2</v>
      </c>
      <c r="H17" s="17">
        <v>0.14893617021276595</v>
      </c>
      <c r="I17" s="17">
        <v>0.11290322580645161</v>
      </c>
      <c r="J17" s="17">
        <v>7.3170731707317069E-2</v>
      </c>
      <c r="K17" s="17">
        <v>6.7164179104477612E-2</v>
      </c>
      <c r="L17" s="17">
        <v>7.8431372549019607E-2</v>
      </c>
      <c r="M17" s="17">
        <v>0.10638297872340426</v>
      </c>
      <c r="N17" s="9" t="s">
        <v>73</v>
      </c>
      <c r="O17" s="14">
        <f t="shared" si="1"/>
        <v>0.10851057465388818</v>
      </c>
    </row>
    <row r="18" spans="1:15" x14ac:dyDescent="0.25">
      <c r="A18" s="9" t="s">
        <v>74</v>
      </c>
      <c r="B18" s="17">
        <v>0.19469026548672566</v>
      </c>
      <c r="C18" s="17">
        <v>6.25E-2</v>
      </c>
      <c r="D18" s="17">
        <v>0.12244897959183673</v>
      </c>
      <c r="E18" s="17">
        <v>3.0303030303030304E-2</v>
      </c>
      <c r="F18" s="17">
        <v>0.21249999999999999</v>
      </c>
      <c r="G18" s="17">
        <v>9.4339622641509441E-2</v>
      </c>
      <c r="H18" s="17">
        <v>0.1773049645390071</v>
      </c>
      <c r="I18" s="17">
        <v>0.16935483870967741</v>
      </c>
      <c r="J18" s="17">
        <v>0.13821138211382114</v>
      </c>
      <c r="K18" s="17">
        <v>0.18656716417910449</v>
      </c>
      <c r="L18" s="17">
        <v>0.17647058823529413</v>
      </c>
      <c r="M18" s="17">
        <v>0.1276595744680851</v>
      </c>
      <c r="N18" s="9" t="s">
        <v>74</v>
      </c>
      <c r="O18" s="14">
        <f t="shared" si="1"/>
        <v>0.1410292008556743</v>
      </c>
    </row>
    <row r="19" spans="1:15" x14ac:dyDescent="0.25">
      <c r="A19" s="9" t="s">
        <v>75</v>
      </c>
      <c r="B19" s="17">
        <v>0.11504424778761062</v>
      </c>
      <c r="C19" s="17">
        <v>4.1666666666666664E-2</v>
      </c>
      <c r="D19" s="17">
        <v>3.0612244897959183E-2</v>
      </c>
      <c r="E19" s="17">
        <v>8.0808080808080815E-2</v>
      </c>
      <c r="F19" s="17">
        <v>1.2500000000000001E-2</v>
      </c>
      <c r="G19" s="17">
        <v>0</v>
      </c>
      <c r="H19" s="17">
        <v>4.2553191489361701E-2</v>
      </c>
      <c r="I19" s="17">
        <v>0.12096774193548387</v>
      </c>
      <c r="J19" s="17">
        <v>0.12195121951219512</v>
      </c>
      <c r="K19" s="17">
        <v>0.18656716417910449</v>
      </c>
      <c r="L19" s="17">
        <v>3.9215686274509803E-2</v>
      </c>
      <c r="M19" s="17">
        <v>4.2553191489361701E-2</v>
      </c>
      <c r="N19" s="9" t="s">
        <v>75</v>
      </c>
      <c r="O19" s="14">
        <f t="shared" si="1"/>
        <v>6.9536619586694493E-2</v>
      </c>
    </row>
    <row r="20" spans="1:15" x14ac:dyDescent="0.25">
      <c r="A20" s="9" t="s">
        <v>76</v>
      </c>
      <c r="B20" s="17">
        <v>0</v>
      </c>
      <c r="C20" s="17">
        <v>1.0416666666666666E-2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1.0638297872340425E-2</v>
      </c>
      <c r="N20" s="9" t="s">
        <v>76</v>
      </c>
      <c r="O20" s="14">
        <f t="shared" si="1"/>
        <v>1.7545803782505909E-3</v>
      </c>
    </row>
    <row r="21" spans="1:15" x14ac:dyDescent="0.25">
      <c r="A21" s="9" t="s">
        <v>77</v>
      </c>
      <c r="B21" s="17">
        <v>0</v>
      </c>
      <c r="C21" s="17">
        <v>0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9" t="s">
        <v>77</v>
      </c>
      <c r="O21" s="14">
        <f t="shared" si="1"/>
        <v>0</v>
      </c>
    </row>
    <row r="22" spans="1:15" x14ac:dyDescent="0.25">
      <c r="A22" s="9" t="s">
        <v>78</v>
      </c>
      <c r="B22" s="17">
        <v>0</v>
      </c>
      <c r="C22" s="17">
        <v>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9" t="s">
        <v>78</v>
      </c>
      <c r="O22" s="14">
        <f t="shared" si="1"/>
        <v>0</v>
      </c>
    </row>
    <row r="23" spans="1:15" x14ac:dyDescent="0.25">
      <c r="A23" s="9" t="s">
        <v>79</v>
      </c>
      <c r="B23" s="17">
        <v>8.8495575221238937E-3</v>
      </c>
      <c r="C23" s="17">
        <v>0</v>
      </c>
      <c r="D23" s="17">
        <v>0</v>
      </c>
      <c r="E23" s="17">
        <v>1.0101010101010102E-2</v>
      </c>
      <c r="F23" s="17">
        <v>0</v>
      </c>
      <c r="G23" s="17">
        <v>0</v>
      </c>
      <c r="H23" s="17">
        <v>7.0921985815602835E-3</v>
      </c>
      <c r="I23" s="17">
        <v>8.0645161290322578E-3</v>
      </c>
      <c r="J23" s="17">
        <v>1.6260162601626018E-2</v>
      </c>
      <c r="K23" s="17">
        <v>0</v>
      </c>
      <c r="L23" s="17">
        <v>1.9607843137254902E-2</v>
      </c>
      <c r="M23" s="17">
        <v>1.0638297872340425E-2</v>
      </c>
      <c r="N23" s="9" t="s">
        <v>79</v>
      </c>
      <c r="O23" s="14">
        <f t="shared" si="1"/>
        <v>6.7177988287456568E-3</v>
      </c>
    </row>
    <row r="24" spans="1:15" x14ac:dyDescent="0.25">
      <c r="A24" s="9" t="s">
        <v>80</v>
      </c>
      <c r="B24" s="17">
        <v>9.7345132743362831E-2</v>
      </c>
      <c r="C24" s="17">
        <v>8.3333333333333329E-2</v>
      </c>
      <c r="D24" s="17">
        <v>8.1632653061224483E-2</v>
      </c>
      <c r="E24" s="17">
        <v>8.0808080808080815E-2</v>
      </c>
      <c r="F24" s="17">
        <v>0.125</v>
      </c>
      <c r="G24" s="17">
        <v>0.13207547169811321</v>
      </c>
      <c r="H24" s="17">
        <v>8.5106382978723402E-2</v>
      </c>
      <c r="I24" s="17">
        <v>9.6774193548387094E-2</v>
      </c>
      <c r="J24" s="17">
        <v>0.08</v>
      </c>
      <c r="K24" s="17">
        <v>8.2089552238805971E-2</v>
      </c>
      <c r="L24" s="17">
        <v>6.8627450980392163E-2</v>
      </c>
      <c r="M24" s="17">
        <v>0.10638297872340426</v>
      </c>
      <c r="N24" s="9" t="s">
        <v>80</v>
      </c>
      <c r="O24" s="14">
        <f t="shared" si="1"/>
        <v>9.3264602509485636E-2</v>
      </c>
    </row>
    <row r="25" spans="1:15" ht="15.75" thickBot="1" x14ac:dyDescent="0.3">
      <c r="A25" s="22" t="s">
        <v>81</v>
      </c>
      <c r="O25" s="14"/>
    </row>
    <row r="26" spans="1:15" x14ac:dyDescent="0.25">
      <c r="A26" s="105" t="s">
        <v>82</v>
      </c>
      <c r="B26" s="103" t="s">
        <v>23</v>
      </c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4"/>
      <c r="O26" s="14"/>
    </row>
    <row r="27" spans="1:15" x14ac:dyDescent="0.25">
      <c r="A27" s="106"/>
      <c r="B27" s="9" t="s">
        <v>49</v>
      </c>
      <c r="C27" s="9" t="s">
        <v>50</v>
      </c>
      <c r="D27" s="9" t="s">
        <v>51</v>
      </c>
      <c r="E27" s="9" t="s">
        <v>52</v>
      </c>
      <c r="F27" s="9" t="s">
        <v>53</v>
      </c>
      <c r="G27" s="9" t="s">
        <v>54</v>
      </c>
      <c r="H27" s="9" t="s">
        <v>55</v>
      </c>
      <c r="I27" s="9" t="s">
        <v>56</v>
      </c>
      <c r="J27" s="9" t="s">
        <v>57</v>
      </c>
      <c r="K27" s="9" t="s">
        <v>58</v>
      </c>
      <c r="L27" s="9" t="s">
        <v>59</v>
      </c>
      <c r="M27" s="15" t="s">
        <v>60</v>
      </c>
      <c r="O27" s="14"/>
    </row>
    <row r="28" spans="1:15" x14ac:dyDescent="0.25">
      <c r="A28" s="16" t="s">
        <v>83</v>
      </c>
      <c r="B28" s="17">
        <v>0.61538461538461542</v>
      </c>
      <c r="C28" s="17">
        <v>0.56000000000000005</v>
      </c>
      <c r="D28" s="17">
        <v>0.57692307692307687</v>
      </c>
      <c r="E28" s="17">
        <v>0.39285714285714285</v>
      </c>
      <c r="F28" s="17">
        <v>0.47619047619047616</v>
      </c>
      <c r="G28" s="17">
        <v>0.56666666666666665</v>
      </c>
      <c r="H28" s="17">
        <v>0.71186440677966101</v>
      </c>
      <c r="I28" s="17">
        <v>0.79545454545454541</v>
      </c>
      <c r="J28" s="17">
        <v>0.5</v>
      </c>
      <c r="K28" s="17">
        <v>0.66666666666666663</v>
      </c>
      <c r="L28" s="17">
        <v>0.79069767441860461</v>
      </c>
      <c r="M28" s="18">
        <v>0.42857142857142855</v>
      </c>
      <c r="N28" s="16" t="s">
        <v>83</v>
      </c>
      <c r="O28" s="14">
        <f>AVERAGE(B28:M28)</f>
        <v>0.59010639165940704</v>
      </c>
    </row>
    <row r="29" spans="1:15" x14ac:dyDescent="0.25">
      <c r="A29" s="16" t="s">
        <v>84</v>
      </c>
      <c r="B29" s="17">
        <v>0.30769230769230771</v>
      </c>
      <c r="C29" s="17">
        <v>0.28000000000000003</v>
      </c>
      <c r="D29" s="17">
        <v>0.19230769230769232</v>
      </c>
      <c r="E29" s="17">
        <v>0.4642857142857143</v>
      </c>
      <c r="F29" s="17">
        <v>0.42857142857142855</v>
      </c>
      <c r="G29" s="17">
        <v>0</v>
      </c>
      <c r="H29" s="17">
        <v>0.16949152542372881</v>
      </c>
      <c r="I29" s="17">
        <v>0.13636363636363635</v>
      </c>
      <c r="J29" s="17">
        <v>0.22727272727272727</v>
      </c>
      <c r="K29" s="17">
        <v>0.24444444444444444</v>
      </c>
      <c r="L29" s="17">
        <v>0.16279069767441862</v>
      </c>
      <c r="M29" s="18">
        <v>0.42857142857142855</v>
      </c>
      <c r="N29" s="16" t="s">
        <v>84</v>
      </c>
      <c r="O29" s="14">
        <f>AVERAGE(B29:M29)</f>
        <v>0.25348263355062722</v>
      </c>
    </row>
    <row r="30" spans="1:15" ht="15.75" thickBot="1" x14ac:dyDescent="0.3">
      <c r="A30" s="19" t="s">
        <v>85</v>
      </c>
      <c r="B30" s="20">
        <v>7.6923076923076927E-2</v>
      </c>
      <c r="C30" s="20">
        <v>0.16</v>
      </c>
      <c r="D30" s="20">
        <v>0.23076923076923078</v>
      </c>
      <c r="E30" s="20">
        <v>0.14285714285714285</v>
      </c>
      <c r="F30" s="20">
        <v>9.5238095238095233E-2</v>
      </c>
      <c r="G30" s="20">
        <v>0.43333333333333335</v>
      </c>
      <c r="H30" s="20">
        <v>0.11864406779661017</v>
      </c>
      <c r="I30" s="20">
        <v>6.8181818181818177E-2</v>
      </c>
      <c r="J30" s="20">
        <v>0.27272727272727271</v>
      </c>
      <c r="K30" s="20">
        <v>8.8888888888888892E-2</v>
      </c>
      <c r="L30" s="20">
        <v>4.6511627906976744E-2</v>
      </c>
      <c r="M30" s="21">
        <v>0.14285714285714285</v>
      </c>
      <c r="N30" s="19" t="s">
        <v>85</v>
      </c>
      <c r="O30" s="14">
        <f>AVERAGE(B30:M30)</f>
        <v>0.15641097478996571</v>
      </c>
    </row>
    <row r="31" spans="1:15" ht="15.75" thickBot="1" x14ac:dyDescent="0.3">
      <c r="O31" s="14"/>
    </row>
    <row r="32" spans="1:15" x14ac:dyDescent="0.25">
      <c r="A32" s="105" t="s">
        <v>86</v>
      </c>
      <c r="B32" s="103" t="s">
        <v>23</v>
      </c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4"/>
      <c r="O32" s="14"/>
    </row>
    <row r="33" spans="1:15" x14ac:dyDescent="0.25">
      <c r="A33" s="106"/>
      <c r="B33" s="9" t="s">
        <v>49</v>
      </c>
      <c r="C33" s="9" t="s">
        <v>50</v>
      </c>
      <c r="D33" s="9" t="s">
        <v>51</v>
      </c>
      <c r="E33" s="9" t="s">
        <v>52</v>
      </c>
      <c r="F33" s="9" t="s">
        <v>53</v>
      </c>
      <c r="G33" s="9" t="s">
        <v>54</v>
      </c>
      <c r="H33" s="9" t="s">
        <v>55</v>
      </c>
      <c r="I33" s="9" t="s">
        <v>56</v>
      </c>
      <c r="J33" s="9" t="s">
        <v>57</v>
      </c>
      <c r="K33" s="9" t="s">
        <v>58</v>
      </c>
      <c r="L33" s="9" t="s">
        <v>59</v>
      </c>
      <c r="M33" s="15" t="s">
        <v>60</v>
      </c>
      <c r="O33" s="14"/>
    </row>
    <row r="34" spans="1:15" x14ac:dyDescent="0.25">
      <c r="A34" s="23" t="s">
        <v>87</v>
      </c>
      <c r="B34" s="17">
        <v>0.19230769230769232</v>
      </c>
      <c r="C34" s="17">
        <v>0.2</v>
      </c>
      <c r="D34" s="17">
        <v>0.19230769230769232</v>
      </c>
      <c r="E34" s="17">
        <v>0.21428571428571427</v>
      </c>
      <c r="F34" s="17">
        <v>0</v>
      </c>
      <c r="G34" s="17">
        <v>6.6666666666666666E-2</v>
      </c>
      <c r="H34" s="17">
        <v>0.3559322033898305</v>
      </c>
      <c r="I34" s="17">
        <v>0.45454545454545453</v>
      </c>
      <c r="J34" s="17">
        <v>0</v>
      </c>
      <c r="K34" s="17">
        <v>0.44444444444444442</v>
      </c>
      <c r="L34" s="17">
        <v>4.6511627906976744E-2</v>
      </c>
      <c r="M34" s="18">
        <v>3.5714285714285712E-2</v>
      </c>
      <c r="N34" s="23" t="s">
        <v>87</v>
      </c>
      <c r="O34" s="14">
        <f t="shared" ref="O34:O45" si="2">AVERAGE(B34:M34)</f>
        <v>0.18355964846406314</v>
      </c>
    </row>
    <row r="35" spans="1:15" x14ac:dyDescent="0.25">
      <c r="A35" s="23" t="s">
        <v>88</v>
      </c>
      <c r="B35" s="17">
        <v>7.6923076923076927E-2</v>
      </c>
      <c r="C35" s="17">
        <v>0.16</v>
      </c>
      <c r="D35" s="17">
        <v>3.8461538461538464E-2</v>
      </c>
      <c r="E35" s="17">
        <v>0.10714285714285714</v>
      </c>
      <c r="F35" s="17">
        <v>0</v>
      </c>
      <c r="G35" s="17">
        <v>0</v>
      </c>
      <c r="H35" s="17">
        <v>0.11864406779661017</v>
      </c>
      <c r="I35" s="17">
        <v>6.8181818181818177E-2</v>
      </c>
      <c r="J35" s="17">
        <v>0</v>
      </c>
      <c r="K35" s="17">
        <v>8.8888888888888892E-2</v>
      </c>
      <c r="L35" s="17">
        <v>0.37209302325581395</v>
      </c>
      <c r="M35" s="18">
        <v>3.5714285714285712E-2</v>
      </c>
      <c r="N35" s="23" t="s">
        <v>88</v>
      </c>
      <c r="O35" s="14">
        <f t="shared" si="2"/>
        <v>8.883746303040746E-2</v>
      </c>
    </row>
    <row r="36" spans="1:15" x14ac:dyDescent="0.25">
      <c r="A36" s="23" t="s">
        <v>89</v>
      </c>
      <c r="B36" s="17">
        <v>0.19230769230769232</v>
      </c>
      <c r="C36" s="17">
        <v>0.12</v>
      </c>
      <c r="D36" s="17">
        <v>0.11538461538461539</v>
      </c>
      <c r="E36" s="17">
        <v>7.1428571428571425E-2</v>
      </c>
      <c r="F36" s="17">
        <v>0.19047619047619047</v>
      </c>
      <c r="G36" s="17">
        <v>0.26666666666666666</v>
      </c>
      <c r="H36" s="17">
        <v>0.16949152542372881</v>
      </c>
      <c r="I36" s="17">
        <v>4.5454545454545456E-2</v>
      </c>
      <c r="J36" s="17">
        <v>0</v>
      </c>
      <c r="K36" s="17">
        <v>0.13333333333333333</v>
      </c>
      <c r="L36" s="17">
        <v>2.3255813953488372E-2</v>
      </c>
      <c r="M36" s="18">
        <v>3.5714285714285712E-2</v>
      </c>
      <c r="N36" s="23" t="s">
        <v>89</v>
      </c>
      <c r="O36" s="14">
        <f t="shared" si="2"/>
        <v>0.11362610334525984</v>
      </c>
    </row>
    <row r="37" spans="1:15" x14ac:dyDescent="0.25">
      <c r="A37" s="23" t="s">
        <v>90</v>
      </c>
      <c r="B37" s="17">
        <v>0.11538461538461539</v>
      </c>
      <c r="C37" s="17">
        <v>0.04</v>
      </c>
      <c r="D37" s="17">
        <v>0</v>
      </c>
      <c r="E37" s="17">
        <v>0</v>
      </c>
      <c r="F37" s="17">
        <v>0.14285714285714285</v>
      </c>
      <c r="G37" s="17">
        <v>0.16666666666666666</v>
      </c>
      <c r="H37" s="17">
        <v>0.13559322033898305</v>
      </c>
      <c r="I37" s="17">
        <v>9.0909090909090912E-2</v>
      </c>
      <c r="J37" s="17">
        <v>0.13636363636363635</v>
      </c>
      <c r="K37" s="17">
        <v>4.4444444444444446E-2</v>
      </c>
      <c r="L37" s="17">
        <v>6.9767441860465115E-2</v>
      </c>
      <c r="M37" s="18">
        <v>3.5714285714285712E-2</v>
      </c>
      <c r="N37" s="23" t="s">
        <v>90</v>
      </c>
      <c r="O37" s="14">
        <f t="shared" si="2"/>
        <v>8.147504537827753E-2</v>
      </c>
    </row>
    <row r="38" spans="1:15" x14ac:dyDescent="0.25">
      <c r="A38" s="23" t="s">
        <v>91</v>
      </c>
      <c r="B38" s="17">
        <v>0.11538461538461539</v>
      </c>
      <c r="C38" s="17">
        <v>0.12</v>
      </c>
      <c r="D38" s="17">
        <v>0.11538461538461539</v>
      </c>
      <c r="E38" s="17">
        <v>0.14285714285714285</v>
      </c>
      <c r="F38" s="17">
        <v>9.5238095238095233E-2</v>
      </c>
      <c r="G38" s="17">
        <v>0.2</v>
      </c>
      <c r="H38" s="17">
        <v>8.4745762711864403E-2</v>
      </c>
      <c r="I38" s="17">
        <v>6.8181818181818177E-2</v>
      </c>
      <c r="J38" s="17">
        <v>0.22727272727272727</v>
      </c>
      <c r="K38" s="17">
        <v>0.13333333333333333</v>
      </c>
      <c r="L38" s="17">
        <v>0.20930232558139536</v>
      </c>
      <c r="M38" s="18">
        <v>0.10714285714285714</v>
      </c>
      <c r="N38" s="23" t="s">
        <v>91</v>
      </c>
      <c r="O38" s="14">
        <f t="shared" si="2"/>
        <v>0.13490360775737203</v>
      </c>
    </row>
    <row r="39" spans="1:15" x14ac:dyDescent="0.25">
      <c r="A39" s="23" t="s">
        <v>92</v>
      </c>
      <c r="B39" s="17">
        <v>0.23076923076923078</v>
      </c>
      <c r="C39" s="17">
        <v>0.24</v>
      </c>
      <c r="D39" s="17">
        <v>0.34615384615384615</v>
      </c>
      <c r="E39" s="17">
        <v>0.25</v>
      </c>
      <c r="F39" s="17">
        <v>0.42857142857142855</v>
      </c>
      <c r="G39" s="17">
        <v>0.13333333333333333</v>
      </c>
      <c r="H39" s="17">
        <v>5.0847457627118647E-2</v>
      </c>
      <c r="I39" s="17">
        <v>0.25</v>
      </c>
      <c r="J39" s="17">
        <v>0.31818181818181818</v>
      </c>
      <c r="K39" s="17">
        <v>8.8888888888888892E-2</v>
      </c>
      <c r="L39" s="17">
        <v>0.23255813953488372</v>
      </c>
      <c r="M39" s="18">
        <v>0.6428571428571429</v>
      </c>
      <c r="N39" s="23" t="s">
        <v>92</v>
      </c>
      <c r="O39" s="14">
        <f t="shared" si="2"/>
        <v>0.26768010715980761</v>
      </c>
    </row>
    <row r="40" spans="1:15" x14ac:dyDescent="0.25">
      <c r="A40" s="23" t="s">
        <v>93</v>
      </c>
      <c r="B40" s="17">
        <v>3.8461538461538464E-2</v>
      </c>
      <c r="C40" s="17">
        <v>0.08</v>
      </c>
      <c r="D40" s="17">
        <v>0.11538461538461539</v>
      </c>
      <c r="E40" s="17">
        <v>7.1428571428571425E-2</v>
      </c>
      <c r="F40" s="17">
        <v>9.5238095238095233E-2</v>
      </c>
      <c r="G40" s="17">
        <v>0.16666666666666666</v>
      </c>
      <c r="H40" s="17">
        <v>0</v>
      </c>
      <c r="I40" s="24">
        <v>0</v>
      </c>
      <c r="J40" s="17">
        <v>4.5454545454545456E-2</v>
      </c>
      <c r="K40" s="17">
        <v>4.4444444444444446E-2</v>
      </c>
      <c r="L40" s="17">
        <v>4.6511627906976744E-2</v>
      </c>
      <c r="M40" s="18">
        <v>3.5714285714285712E-2</v>
      </c>
      <c r="N40" s="23" t="s">
        <v>93</v>
      </c>
      <c r="O40" s="14">
        <f t="shared" si="2"/>
        <v>6.1608699224978282E-2</v>
      </c>
    </row>
    <row r="41" spans="1:15" x14ac:dyDescent="0.25">
      <c r="A41" s="23" t="s">
        <v>94</v>
      </c>
      <c r="B41" s="17">
        <v>3.8461538461538464E-2</v>
      </c>
      <c r="C41" s="17">
        <v>0</v>
      </c>
      <c r="D41" s="17">
        <v>0</v>
      </c>
      <c r="E41" s="17">
        <v>0.14285714285714285</v>
      </c>
      <c r="F41" s="17">
        <v>4.7619047619047616E-2</v>
      </c>
      <c r="G41" s="17">
        <v>0</v>
      </c>
      <c r="H41" s="17">
        <v>5.0847457627118647E-2</v>
      </c>
      <c r="I41" s="24">
        <v>2.2727272727272728E-2</v>
      </c>
      <c r="J41" s="24">
        <v>0.18181818181818182</v>
      </c>
      <c r="K41" s="17">
        <v>0</v>
      </c>
      <c r="L41" s="17">
        <v>0</v>
      </c>
      <c r="M41" s="18">
        <v>7.1428571428571425E-2</v>
      </c>
      <c r="N41" s="23" t="s">
        <v>94</v>
      </c>
      <c r="O41" s="14">
        <f t="shared" si="2"/>
        <v>4.6313267711572792E-2</v>
      </c>
    </row>
    <row r="42" spans="1:15" x14ac:dyDescent="0.25">
      <c r="A42" s="23" t="s">
        <v>95</v>
      </c>
      <c r="B42" s="17">
        <v>0</v>
      </c>
      <c r="C42" s="17">
        <v>0.04</v>
      </c>
      <c r="D42" s="17">
        <v>3.8461538461538464E-2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4.5454545454545456E-2</v>
      </c>
      <c r="K42" s="17">
        <v>0</v>
      </c>
      <c r="L42" s="17">
        <v>0</v>
      </c>
      <c r="M42" s="18">
        <v>0</v>
      </c>
      <c r="N42" s="23" t="s">
        <v>95</v>
      </c>
      <c r="O42" s="14">
        <f t="shared" si="2"/>
        <v>1.0326340326340328E-2</v>
      </c>
    </row>
    <row r="43" spans="1:15" x14ac:dyDescent="0.25">
      <c r="A43" s="23" t="s">
        <v>96</v>
      </c>
      <c r="B43" s="17">
        <v>0</v>
      </c>
      <c r="C43" s="17">
        <v>0.04</v>
      </c>
      <c r="D43" s="17">
        <v>0</v>
      </c>
      <c r="E43" s="17">
        <v>0</v>
      </c>
      <c r="F43" s="17">
        <v>0</v>
      </c>
      <c r="G43" s="17">
        <v>0</v>
      </c>
      <c r="H43" s="17">
        <v>1.6949152542372881E-2</v>
      </c>
      <c r="I43" s="17">
        <v>0</v>
      </c>
      <c r="J43" s="17">
        <v>4.5454545454545456E-2</v>
      </c>
      <c r="K43" s="17">
        <v>2.2222222222222223E-2</v>
      </c>
      <c r="L43" s="17">
        <v>0</v>
      </c>
      <c r="M43" s="18">
        <v>0</v>
      </c>
      <c r="N43" s="23" t="s">
        <v>96</v>
      </c>
      <c r="O43" s="14">
        <f t="shared" si="2"/>
        <v>1.0385493351595047E-2</v>
      </c>
    </row>
    <row r="44" spans="1:15" x14ac:dyDescent="0.25">
      <c r="A44" s="23" t="s">
        <v>97</v>
      </c>
      <c r="B44" s="24">
        <v>0</v>
      </c>
      <c r="C44" s="24">
        <v>0</v>
      </c>
      <c r="D44" s="24">
        <v>0</v>
      </c>
      <c r="E44" s="24">
        <v>0</v>
      </c>
      <c r="F44" s="24">
        <v>0</v>
      </c>
      <c r="G44" s="24">
        <v>0</v>
      </c>
      <c r="H44" s="24">
        <v>0</v>
      </c>
      <c r="I44" s="24">
        <v>0</v>
      </c>
      <c r="J44" s="24">
        <v>0</v>
      </c>
      <c r="K44" s="24">
        <v>0</v>
      </c>
      <c r="L44" s="17">
        <v>0</v>
      </c>
      <c r="M44" s="18">
        <v>0</v>
      </c>
      <c r="N44" s="23" t="s">
        <v>97</v>
      </c>
      <c r="O44" s="14">
        <f t="shared" si="2"/>
        <v>0</v>
      </c>
    </row>
    <row r="45" spans="1:15" ht="15.75" thickBot="1" x14ac:dyDescent="0.3">
      <c r="A45" s="25" t="s">
        <v>98</v>
      </c>
      <c r="B45" s="26">
        <v>0</v>
      </c>
      <c r="C45" s="26">
        <v>0</v>
      </c>
      <c r="D45" s="26">
        <v>3.8461538461538464E-2</v>
      </c>
      <c r="E45" s="26">
        <v>0</v>
      </c>
      <c r="F45" s="26">
        <v>0</v>
      </c>
      <c r="G45" s="26">
        <v>0</v>
      </c>
      <c r="H45" s="26">
        <v>1.6949152542372881E-2</v>
      </c>
      <c r="I45" s="20">
        <v>0</v>
      </c>
      <c r="J45" s="26">
        <v>0</v>
      </c>
      <c r="K45" s="26">
        <v>0</v>
      </c>
      <c r="L45" s="20">
        <v>0</v>
      </c>
      <c r="M45" s="21">
        <v>0</v>
      </c>
      <c r="N45" s="25" t="s">
        <v>98</v>
      </c>
      <c r="O45" s="14">
        <f t="shared" si="2"/>
        <v>4.6175575836592785E-3</v>
      </c>
    </row>
    <row r="46" spans="1:15" ht="15.75" thickBot="1" x14ac:dyDescent="0.3">
      <c r="O46" s="14"/>
    </row>
    <row r="47" spans="1:15" x14ac:dyDescent="0.25">
      <c r="A47" s="107" t="s">
        <v>62</v>
      </c>
      <c r="B47" s="103" t="s">
        <v>23</v>
      </c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4"/>
      <c r="O47" s="14"/>
    </row>
    <row r="48" spans="1:15" x14ac:dyDescent="0.25">
      <c r="A48" s="108"/>
      <c r="B48" s="9" t="s">
        <v>49</v>
      </c>
      <c r="C48" s="9" t="s">
        <v>50</v>
      </c>
      <c r="D48" s="9" t="s">
        <v>51</v>
      </c>
      <c r="E48" s="9" t="s">
        <v>52</v>
      </c>
      <c r="F48" s="9" t="s">
        <v>53</v>
      </c>
      <c r="G48" s="9" t="s">
        <v>54</v>
      </c>
      <c r="H48" s="9" t="s">
        <v>55</v>
      </c>
      <c r="I48" s="9" t="s">
        <v>56</v>
      </c>
      <c r="J48" s="9" t="s">
        <v>57</v>
      </c>
      <c r="K48" s="9" t="s">
        <v>58</v>
      </c>
      <c r="L48" s="9" t="s">
        <v>59</v>
      </c>
      <c r="M48" s="15" t="s">
        <v>60</v>
      </c>
      <c r="O48" s="14"/>
    </row>
    <row r="49" spans="1:15" x14ac:dyDescent="0.25">
      <c r="A49" s="16" t="s">
        <v>99</v>
      </c>
      <c r="B49" s="17">
        <v>0.21212121212121213</v>
      </c>
      <c r="C49" s="17">
        <v>0.33333333333333331</v>
      </c>
      <c r="D49" s="17">
        <v>0.38461538461538464</v>
      </c>
      <c r="E49" s="17">
        <v>0.16666666666666666</v>
      </c>
      <c r="F49" s="17">
        <v>0.26666666666666666</v>
      </c>
      <c r="G49" s="17">
        <v>0.12</v>
      </c>
      <c r="H49" s="17">
        <v>0.22727272727272727</v>
      </c>
      <c r="I49" s="17">
        <v>0.16129032258064516</v>
      </c>
      <c r="J49" s="17">
        <v>0.21568627450980393</v>
      </c>
      <c r="K49" s="17">
        <v>0.45833333333333331</v>
      </c>
      <c r="L49" s="17">
        <v>0.17647058823529413</v>
      </c>
      <c r="M49" s="18">
        <v>0.10526315789473684</v>
      </c>
      <c r="N49" s="16" t="s">
        <v>99</v>
      </c>
      <c r="O49" s="14">
        <f>AVERAGE(B49:M49)</f>
        <v>0.23564330560248367</v>
      </c>
    </row>
    <row r="50" spans="1:15" x14ac:dyDescent="0.25">
      <c r="A50" s="16" t="s">
        <v>100</v>
      </c>
      <c r="B50" s="17">
        <v>0.69696969696969702</v>
      </c>
      <c r="C50" s="17">
        <v>0.66666666666666663</v>
      </c>
      <c r="D50" s="17">
        <v>0.57692307692307687</v>
      </c>
      <c r="E50" s="17">
        <v>0.79166666666666663</v>
      </c>
      <c r="F50" s="17">
        <v>0.6</v>
      </c>
      <c r="G50" s="17">
        <v>0.84</v>
      </c>
      <c r="H50" s="17">
        <v>0.77272727272727271</v>
      </c>
      <c r="I50" s="17">
        <v>0.83870967741935487</v>
      </c>
      <c r="J50" s="17">
        <v>0.78431372549019607</v>
      </c>
      <c r="K50" s="17">
        <v>0.54166666666666663</v>
      </c>
      <c r="L50" s="17">
        <v>0.82352941176470584</v>
      </c>
      <c r="M50" s="18">
        <v>0.84210526315789469</v>
      </c>
      <c r="N50" s="16" t="s">
        <v>100</v>
      </c>
      <c r="O50" s="14">
        <f>AVERAGE(B50:M50)</f>
        <v>0.73127317703768313</v>
      </c>
    </row>
    <row r="51" spans="1:15" ht="15.75" thickBot="1" x14ac:dyDescent="0.3">
      <c r="A51" s="19" t="s">
        <v>101</v>
      </c>
      <c r="B51" s="20">
        <v>9.0909090909090912E-2</v>
      </c>
      <c r="C51" s="20">
        <v>0</v>
      </c>
      <c r="D51" s="20">
        <v>3.8461538461538464E-2</v>
      </c>
      <c r="E51" s="20">
        <v>4.1666666666666664E-2</v>
      </c>
      <c r="F51" s="20">
        <v>0.13333333333333333</v>
      </c>
      <c r="G51" s="20">
        <v>0.04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1">
        <v>5.2631578947368418E-2</v>
      </c>
      <c r="N51" s="19" t="s">
        <v>101</v>
      </c>
      <c r="O51" s="14">
        <f>AVERAGE(B51:M51)</f>
        <v>3.3083517359833149E-2</v>
      </c>
    </row>
    <row r="52" spans="1:15" ht="15.75" thickBot="1" x14ac:dyDescent="0.3">
      <c r="O52" s="14"/>
    </row>
    <row r="53" spans="1:15" x14ac:dyDescent="0.25">
      <c r="A53" s="105" t="s">
        <v>65</v>
      </c>
      <c r="B53" s="103" t="s">
        <v>23</v>
      </c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4"/>
      <c r="O53" s="14"/>
    </row>
    <row r="54" spans="1:15" x14ac:dyDescent="0.25">
      <c r="A54" s="106"/>
      <c r="B54" s="9" t="s">
        <v>49</v>
      </c>
      <c r="C54" s="9" t="s">
        <v>50</v>
      </c>
      <c r="D54" s="9" t="s">
        <v>51</v>
      </c>
      <c r="E54" s="9" t="s">
        <v>52</v>
      </c>
      <c r="F54" s="9" t="s">
        <v>53</v>
      </c>
      <c r="G54" s="9" t="s">
        <v>54</v>
      </c>
      <c r="H54" s="9" t="s">
        <v>55</v>
      </c>
      <c r="I54" s="9" t="s">
        <v>56</v>
      </c>
      <c r="J54" s="9" t="s">
        <v>57</v>
      </c>
      <c r="K54" s="9" t="s">
        <v>58</v>
      </c>
      <c r="L54" s="9" t="s">
        <v>59</v>
      </c>
      <c r="M54" s="15" t="s">
        <v>60</v>
      </c>
      <c r="O54" s="14"/>
    </row>
    <row r="55" spans="1:15" x14ac:dyDescent="0.25">
      <c r="A55" s="16" t="s">
        <v>102</v>
      </c>
      <c r="B55" s="17">
        <v>0.14285714285714285</v>
      </c>
      <c r="C55" s="17">
        <v>0.1</v>
      </c>
      <c r="D55" s="17">
        <v>0</v>
      </c>
      <c r="E55" s="17">
        <v>0.13</v>
      </c>
      <c r="F55" s="17">
        <v>0.14285714285714285</v>
      </c>
      <c r="G55" s="17">
        <v>0.33</v>
      </c>
      <c r="H55" s="17">
        <v>0.36842105263157893</v>
      </c>
      <c r="I55" s="17">
        <v>0.3</v>
      </c>
      <c r="J55" s="17">
        <v>0.30769230769230771</v>
      </c>
      <c r="K55" s="17">
        <v>0.44444444444444442</v>
      </c>
      <c r="L55" s="17">
        <v>0</v>
      </c>
      <c r="M55" s="18">
        <v>0.25</v>
      </c>
      <c r="N55" s="16" t="s">
        <v>102</v>
      </c>
      <c r="O55" s="14">
        <f>AVERAGE(B55:M55)</f>
        <v>0.2096893408735514</v>
      </c>
    </row>
    <row r="56" spans="1:15" ht="15.75" thickBot="1" x14ac:dyDescent="0.3">
      <c r="A56" s="19" t="s">
        <v>103</v>
      </c>
      <c r="B56" s="20">
        <v>0.8571428571428571</v>
      </c>
      <c r="C56" s="20">
        <v>0.9</v>
      </c>
      <c r="D56" s="20">
        <v>1</v>
      </c>
      <c r="E56" s="20">
        <v>0.88</v>
      </c>
      <c r="F56" s="20">
        <v>0.8571428571428571</v>
      </c>
      <c r="G56" s="20">
        <v>0.67</v>
      </c>
      <c r="H56" s="20">
        <v>0.63157894736842102</v>
      </c>
      <c r="I56" s="20">
        <v>0.7</v>
      </c>
      <c r="J56" s="20">
        <v>0.69230769230769229</v>
      </c>
      <c r="K56" s="20">
        <v>0.55555555555555558</v>
      </c>
      <c r="L56" s="20">
        <v>1</v>
      </c>
      <c r="M56" s="21">
        <v>0.75</v>
      </c>
      <c r="N56" s="19" t="s">
        <v>103</v>
      </c>
      <c r="O56" s="14">
        <f>AVERAGE(B56:M56)</f>
        <v>0.79114399245978184</v>
      </c>
    </row>
    <row r="57" spans="1:15" ht="15.75" thickBot="1" x14ac:dyDescent="0.3">
      <c r="O57" s="14"/>
    </row>
    <row r="58" spans="1:15" x14ac:dyDescent="0.25">
      <c r="A58" s="105" t="s">
        <v>67</v>
      </c>
      <c r="B58" s="103" t="s">
        <v>23</v>
      </c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4"/>
      <c r="O58" s="14"/>
    </row>
    <row r="59" spans="1:15" x14ac:dyDescent="0.25">
      <c r="A59" s="106"/>
      <c r="B59" s="9" t="s">
        <v>49</v>
      </c>
      <c r="C59" s="9" t="s">
        <v>50</v>
      </c>
      <c r="D59" s="9" t="s">
        <v>51</v>
      </c>
      <c r="E59" s="9" t="s">
        <v>52</v>
      </c>
      <c r="F59" s="9" t="s">
        <v>53</v>
      </c>
      <c r="G59" s="9" t="s">
        <v>54</v>
      </c>
      <c r="H59" s="9" t="s">
        <v>55</v>
      </c>
      <c r="I59" s="9" t="s">
        <v>56</v>
      </c>
      <c r="J59" s="9" t="s">
        <v>57</v>
      </c>
      <c r="K59" s="9" t="s">
        <v>58</v>
      </c>
      <c r="L59" s="9" t="s">
        <v>59</v>
      </c>
      <c r="M59" s="15" t="s">
        <v>60</v>
      </c>
      <c r="O59" s="14"/>
    </row>
    <row r="60" spans="1:15" x14ac:dyDescent="0.25">
      <c r="A60" s="27" t="s">
        <v>104</v>
      </c>
      <c r="B60" s="28">
        <v>0</v>
      </c>
      <c r="C60" s="28">
        <v>0</v>
      </c>
      <c r="D60" s="28">
        <v>0</v>
      </c>
      <c r="E60" s="28">
        <v>9.0909090909090912E-2</v>
      </c>
      <c r="F60" s="28">
        <v>0</v>
      </c>
      <c r="G60" s="28">
        <v>6.25E-2</v>
      </c>
      <c r="H60" s="28">
        <v>0</v>
      </c>
      <c r="I60" s="28">
        <v>0</v>
      </c>
      <c r="J60" s="28">
        <v>0.1111111111111111</v>
      </c>
      <c r="K60" s="28">
        <v>0</v>
      </c>
      <c r="L60" s="28">
        <v>0</v>
      </c>
      <c r="M60" s="29">
        <v>0</v>
      </c>
      <c r="N60" s="27" t="s">
        <v>104</v>
      </c>
      <c r="O60" s="14">
        <f>AVERAGE(B60:M60)</f>
        <v>2.2043350168350167E-2</v>
      </c>
    </row>
    <row r="61" spans="1:15" x14ac:dyDescent="0.25">
      <c r="A61" s="16" t="s">
        <v>105</v>
      </c>
      <c r="B61" s="17">
        <v>0.2</v>
      </c>
      <c r="C61" s="17">
        <v>0.14285714285714285</v>
      </c>
      <c r="D61" s="17">
        <v>0</v>
      </c>
      <c r="E61" s="17">
        <v>0.27272727272727271</v>
      </c>
      <c r="F61" s="17">
        <v>0.1</v>
      </c>
      <c r="G61" s="17">
        <v>0.5</v>
      </c>
      <c r="H61" s="17">
        <v>0.30769230769230771</v>
      </c>
      <c r="I61" s="17">
        <v>0</v>
      </c>
      <c r="J61" s="17">
        <v>0.22222222222222221</v>
      </c>
      <c r="K61" s="17">
        <v>0.2</v>
      </c>
      <c r="L61" s="17">
        <v>0.4</v>
      </c>
      <c r="M61" s="18">
        <v>0.5</v>
      </c>
      <c r="N61" s="16" t="s">
        <v>105</v>
      </c>
      <c r="O61" s="14">
        <f>AVERAGE(B61:M61)</f>
        <v>0.23712491212491213</v>
      </c>
    </row>
    <row r="62" spans="1:15" x14ac:dyDescent="0.25">
      <c r="A62" s="16" t="s">
        <v>106</v>
      </c>
      <c r="B62" s="17">
        <v>0.4</v>
      </c>
      <c r="C62" s="17">
        <v>0</v>
      </c>
      <c r="D62" s="17">
        <v>0.69230769230769229</v>
      </c>
      <c r="E62" s="17">
        <v>0.36363636363636365</v>
      </c>
      <c r="F62" s="17">
        <v>0.4</v>
      </c>
      <c r="G62" s="17">
        <v>0.1875</v>
      </c>
      <c r="H62" s="17">
        <v>0.15384615384615385</v>
      </c>
      <c r="I62" s="17">
        <v>0.45454545454545453</v>
      </c>
      <c r="J62" s="17">
        <v>0</v>
      </c>
      <c r="K62" s="17">
        <v>0.25</v>
      </c>
      <c r="L62" s="17">
        <v>0</v>
      </c>
      <c r="M62" s="18">
        <v>0.5</v>
      </c>
      <c r="N62" s="16" t="s">
        <v>106</v>
      </c>
      <c r="O62" s="14">
        <f>AVERAGE(B62:M62)</f>
        <v>0.28348630536130537</v>
      </c>
    </row>
    <row r="63" spans="1:15" x14ac:dyDescent="0.25">
      <c r="A63" s="16" t="s">
        <v>107</v>
      </c>
      <c r="B63" s="17">
        <v>0</v>
      </c>
      <c r="C63" s="17">
        <v>0.14285714285714285</v>
      </c>
      <c r="D63" s="17">
        <v>7.6923076923076927E-2</v>
      </c>
      <c r="E63" s="17">
        <v>0</v>
      </c>
      <c r="F63" s="17">
        <v>0.1</v>
      </c>
      <c r="G63" s="17">
        <v>0.25</v>
      </c>
      <c r="H63" s="17">
        <v>0.15384615384615385</v>
      </c>
      <c r="I63" s="17">
        <v>0.18181818181818182</v>
      </c>
      <c r="J63" s="17">
        <v>0.22222222222222221</v>
      </c>
      <c r="K63" s="17">
        <v>0.1</v>
      </c>
      <c r="L63" s="17">
        <v>0.4</v>
      </c>
      <c r="M63" s="18">
        <v>0</v>
      </c>
      <c r="N63" s="16" t="s">
        <v>107</v>
      </c>
      <c r="O63" s="14">
        <f>AVERAGE(B63:M63)</f>
        <v>0.13563889813889815</v>
      </c>
    </row>
    <row r="64" spans="1:15" ht="15.75" thickBot="1" x14ac:dyDescent="0.3">
      <c r="A64" s="19" t="s">
        <v>108</v>
      </c>
      <c r="B64" s="20">
        <v>0.4</v>
      </c>
      <c r="C64" s="20">
        <v>0.7142857142857143</v>
      </c>
      <c r="D64" s="20">
        <v>0.23076923076923078</v>
      </c>
      <c r="E64" s="20">
        <v>0.27272727272727271</v>
      </c>
      <c r="F64" s="20">
        <v>0.4</v>
      </c>
      <c r="G64" s="20">
        <v>0</v>
      </c>
      <c r="H64" s="20">
        <v>0.38461538461538464</v>
      </c>
      <c r="I64" s="20">
        <v>0.36363636363636365</v>
      </c>
      <c r="J64" s="20">
        <v>0.44444444444444442</v>
      </c>
      <c r="K64" s="20">
        <v>0.45</v>
      </c>
      <c r="L64" s="20">
        <v>0.2</v>
      </c>
      <c r="M64" s="21">
        <v>0</v>
      </c>
      <c r="N64" s="19" t="s">
        <v>108</v>
      </c>
      <c r="O64" s="14">
        <f>AVERAGE(B64:M64)</f>
        <v>0.32170653420653422</v>
      </c>
    </row>
    <row r="65" spans="1:15" x14ac:dyDescent="0.25">
      <c r="O65" s="14"/>
    </row>
    <row r="66" spans="1:15" x14ac:dyDescent="0.25">
      <c r="A66" s="109" t="s">
        <v>69</v>
      </c>
      <c r="B66" s="109" t="s">
        <v>23</v>
      </c>
      <c r="C66" s="109"/>
      <c r="D66" s="109"/>
      <c r="E66" s="109"/>
      <c r="F66" s="109"/>
      <c r="G66" s="109"/>
      <c r="H66" s="109"/>
      <c r="I66" s="109"/>
      <c r="J66" s="109"/>
      <c r="K66" s="109"/>
      <c r="L66" s="109"/>
      <c r="M66" s="109"/>
      <c r="O66" s="14"/>
    </row>
    <row r="67" spans="1:15" x14ac:dyDescent="0.25">
      <c r="A67" s="109"/>
      <c r="B67" s="9" t="s">
        <v>49</v>
      </c>
      <c r="C67" s="9" t="s">
        <v>50</v>
      </c>
      <c r="D67" s="9" t="s">
        <v>51</v>
      </c>
      <c r="E67" s="9" t="s">
        <v>52</v>
      </c>
      <c r="F67" s="9" t="s">
        <v>53</v>
      </c>
      <c r="G67" s="9" t="s">
        <v>54</v>
      </c>
      <c r="H67" s="9" t="s">
        <v>55</v>
      </c>
      <c r="I67" s="9" t="s">
        <v>56</v>
      </c>
      <c r="J67" s="9" t="s">
        <v>57</v>
      </c>
      <c r="K67" s="9" t="s">
        <v>58</v>
      </c>
      <c r="L67" s="9" t="s">
        <v>59</v>
      </c>
      <c r="M67" s="9" t="s">
        <v>60</v>
      </c>
      <c r="O67" s="14"/>
    </row>
    <row r="68" spans="1:15" x14ac:dyDescent="0.25">
      <c r="A68" s="9" t="s">
        <v>109</v>
      </c>
      <c r="B68" s="17">
        <v>0</v>
      </c>
      <c r="C68" s="30">
        <v>0</v>
      </c>
      <c r="D68" s="17">
        <v>7.6923076923076927E-2</v>
      </c>
      <c r="E68" s="17">
        <v>0.33333333333333331</v>
      </c>
      <c r="F68" s="17">
        <v>0.1</v>
      </c>
      <c r="G68" s="17">
        <v>0.1111111111111111</v>
      </c>
      <c r="H68" s="17">
        <v>6.6666666666666666E-2</v>
      </c>
      <c r="I68" s="17">
        <v>0.18181818181818182</v>
      </c>
      <c r="J68" s="17">
        <v>0</v>
      </c>
      <c r="K68" s="17">
        <v>0.31578947368421051</v>
      </c>
      <c r="L68" s="17">
        <v>7.1428571428571425E-2</v>
      </c>
      <c r="M68" s="17">
        <v>7.6923076923076927E-2</v>
      </c>
      <c r="N68" s="9" t="s">
        <v>109</v>
      </c>
      <c r="O68" s="14">
        <f t="shared" ref="O68:O77" si="3">AVERAGE(B68:M68)</f>
        <v>0.11116612432401907</v>
      </c>
    </row>
    <row r="69" spans="1:15" x14ac:dyDescent="0.25">
      <c r="A69" s="9" t="s">
        <v>110</v>
      </c>
      <c r="B69" s="17">
        <v>0</v>
      </c>
      <c r="C69" s="17">
        <v>0.25</v>
      </c>
      <c r="D69" s="17">
        <v>0.23076923076923078</v>
      </c>
      <c r="E69" s="17">
        <v>0.25</v>
      </c>
      <c r="F69" s="17">
        <v>0.2</v>
      </c>
      <c r="G69" s="17">
        <v>0.1111111111111111</v>
      </c>
      <c r="H69" s="17">
        <v>6.6666666666666666E-2</v>
      </c>
      <c r="I69" s="17">
        <v>9.0909090909090912E-2</v>
      </c>
      <c r="J69" s="17">
        <v>0.30769230769230771</v>
      </c>
      <c r="K69" s="17">
        <v>0</v>
      </c>
      <c r="L69" s="17">
        <v>0</v>
      </c>
      <c r="M69" s="17">
        <v>0</v>
      </c>
      <c r="N69" s="9" t="s">
        <v>110</v>
      </c>
      <c r="O69" s="14">
        <f t="shared" si="3"/>
        <v>0.1255957005957006</v>
      </c>
    </row>
    <row r="70" spans="1:15" x14ac:dyDescent="0.25">
      <c r="A70" s="9" t="s">
        <v>111</v>
      </c>
      <c r="B70" s="17">
        <v>0</v>
      </c>
      <c r="C70" s="17">
        <v>0</v>
      </c>
      <c r="D70" s="17">
        <v>0</v>
      </c>
      <c r="E70" s="17">
        <v>0</v>
      </c>
      <c r="F70" s="17">
        <v>0</v>
      </c>
      <c r="G70" s="17">
        <v>0</v>
      </c>
      <c r="H70" s="17">
        <v>0.13333333333333333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9" t="s">
        <v>111</v>
      </c>
      <c r="O70" s="14">
        <f t="shared" si="3"/>
        <v>1.1111111111111112E-2</v>
      </c>
    </row>
    <row r="71" spans="1:15" x14ac:dyDescent="0.25">
      <c r="A71" s="9" t="s">
        <v>112</v>
      </c>
      <c r="B71" s="17">
        <v>0</v>
      </c>
      <c r="C71" s="17">
        <v>0</v>
      </c>
      <c r="D71" s="17">
        <v>0</v>
      </c>
      <c r="E71" s="17">
        <v>0</v>
      </c>
      <c r="F71" s="17">
        <v>0</v>
      </c>
      <c r="G71" s="17">
        <v>0.22222222222222221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9" t="s">
        <v>112</v>
      </c>
      <c r="O71" s="14">
        <f t="shared" si="3"/>
        <v>1.8518518518518517E-2</v>
      </c>
    </row>
    <row r="72" spans="1:15" x14ac:dyDescent="0.25">
      <c r="A72" s="9" t="s">
        <v>113</v>
      </c>
      <c r="B72" s="17">
        <v>0.4375</v>
      </c>
      <c r="C72" s="17">
        <v>0.25</v>
      </c>
      <c r="D72" s="17">
        <v>0.61538461538461542</v>
      </c>
      <c r="E72" s="17">
        <v>0.33333333333333331</v>
      </c>
      <c r="F72" s="17">
        <v>0.1</v>
      </c>
      <c r="G72" s="17">
        <v>0.1111111111111111</v>
      </c>
      <c r="H72" s="17">
        <v>0.4</v>
      </c>
      <c r="I72" s="17">
        <v>0.45454545454545453</v>
      </c>
      <c r="J72" s="17">
        <v>0.38461538461538464</v>
      </c>
      <c r="K72" s="17">
        <v>0.21052631578947367</v>
      </c>
      <c r="L72" s="17">
        <v>0.35714285714285715</v>
      </c>
      <c r="M72" s="17">
        <v>0.46153846153846156</v>
      </c>
      <c r="N72" s="9" t="s">
        <v>113</v>
      </c>
      <c r="O72" s="14">
        <f t="shared" si="3"/>
        <v>0.34297479445505763</v>
      </c>
    </row>
    <row r="73" spans="1:15" x14ac:dyDescent="0.25">
      <c r="A73" s="9" t="s">
        <v>114</v>
      </c>
      <c r="B73" s="17">
        <v>6.25E-2</v>
      </c>
      <c r="C73" s="17">
        <v>0</v>
      </c>
      <c r="D73" s="17">
        <v>0</v>
      </c>
      <c r="E73" s="17">
        <v>0</v>
      </c>
      <c r="F73" s="17">
        <v>0.2</v>
      </c>
      <c r="G73" s="17">
        <v>0</v>
      </c>
      <c r="H73" s="17">
        <v>6.6666666666666666E-2</v>
      </c>
      <c r="I73" s="17">
        <v>0</v>
      </c>
      <c r="J73" s="17">
        <v>0.23076923076923078</v>
      </c>
      <c r="K73" s="17">
        <v>5.2631578947368418E-2</v>
      </c>
      <c r="L73" s="17">
        <v>7.1428571428571425E-2</v>
      </c>
      <c r="M73" s="17">
        <v>0.23076923076923078</v>
      </c>
      <c r="N73" s="9" t="s">
        <v>114</v>
      </c>
      <c r="O73" s="14">
        <f t="shared" si="3"/>
        <v>7.6230439881755666E-2</v>
      </c>
    </row>
    <row r="74" spans="1:15" x14ac:dyDescent="0.25">
      <c r="A74" s="9" t="s">
        <v>115</v>
      </c>
      <c r="B74" s="17">
        <v>0.125</v>
      </c>
      <c r="C74" s="17">
        <v>0.125</v>
      </c>
      <c r="D74" s="17">
        <v>0</v>
      </c>
      <c r="E74" s="17">
        <v>8.3333333333333329E-2</v>
      </c>
      <c r="F74" s="17">
        <v>0.1</v>
      </c>
      <c r="G74" s="17">
        <v>0.1111111111111111</v>
      </c>
      <c r="H74" s="17">
        <v>0.13333333333333333</v>
      </c>
      <c r="I74" s="17">
        <v>0</v>
      </c>
      <c r="J74" s="17">
        <v>7.6923076923076927E-2</v>
      </c>
      <c r="K74" s="17">
        <v>0.10526315789473684</v>
      </c>
      <c r="L74" s="17">
        <v>7.1428571428571425E-2</v>
      </c>
      <c r="M74" s="17">
        <v>0.23076923076923078</v>
      </c>
      <c r="N74" s="9" t="s">
        <v>115</v>
      </c>
      <c r="O74" s="14">
        <f t="shared" si="3"/>
        <v>9.6846817899449475E-2</v>
      </c>
    </row>
    <row r="75" spans="1:15" x14ac:dyDescent="0.25">
      <c r="A75" s="9" t="s">
        <v>116</v>
      </c>
      <c r="B75" s="17">
        <v>0.1875</v>
      </c>
      <c r="C75" s="17">
        <v>0.25</v>
      </c>
      <c r="D75" s="17">
        <v>0</v>
      </c>
      <c r="E75" s="17">
        <v>0</v>
      </c>
      <c r="F75" s="17">
        <v>0.1</v>
      </c>
      <c r="G75" s="17">
        <v>0</v>
      </c>
      <c r="H75" s="17">
        <v>6.6666666666666666E-2</v>
      </c>
      <c r="I75" s="17">
        <v>9.0909090909090912E-2</v>
      </c>
      <c r="J75" s="17">
        <v>0</v>
      </c>
      <c r="K75" s="17">
        <v>0.21052631578947367</v>
      </c>
      <c r="L75" s="17">
        <v>0</v>
      </c>
      <c r="M75" s="17">
        <v>0</v>
      </c>
      <c r="N75" s="9" t="s">
        <v>116</v>
      </c>
      <c r="O75" s="14">
        <f t="shared" si="3"/>
        <v>7.5466839447102599E-2</v>
      </c>
    </row>
    <row r="76" spans="1:15" x14ac:dyDescent="0.25">
      <c r="A76" s="9" t="s">
        <v>117</v>
      </c>
      <c r="B76" s="17">
        <v>0.125</v>
      </c>
      <c r="C76" s="17">
        <v>0</v>
      </c>
      <c r="D76" s="17">
        <v>0</v>
      </c>
      <c r="E76" s="17">
        <v>0</v>
      </c>
      <c r="F76" s="17">
        <v>0</v>
      </c>
      <c r="G76" s="17">
        <v>0.22222222222222221</v>
      </c>
      <c r="H76" s="17">
        <v>0</v>
      </c>
      <c r="I76" s="17">
        <v>9.0909090909090912E-2</v>
      </c>
      <c r="J76" s="17">
        <v>0</v>
      </c>
      <c r="K76" s="17">
        <v>0</v>
      </c>
      <c r="L76" s="17">
        <v>7.1428571428571425E-2</v>
      </c>
      <c r="M76" s="17">
        <v>0</v>
      </c>
      <c r="N76" s="9" t="s">
        <v>117</v>
      </c>
      <c r="O76" s="14">
        <f t="shared" si="3"/>
        <v>4.246332371332371E-2</v>
      </c>
    </row>
    <row r="77" spans="1:15" x14ac:dyDescent="0.25">
      <c r="A77" s="9" t="s">
        <v>118</v>
      </c>
      <c r="B77" s="17">
        <v>6.25E-2</v>
      </c>
      <c r="C77" s="17">
        <v>0.125</v>
      </c>
      <c r="D77" s="17">
        <v>7.6923076923076927E-2</v>
      </c>
      <c r="E77" s="17">
        <v>0</v>
      </c>
      <c r="F77" s="17">
        <v>0.2</v>
      </c>
      <c r="G77" s="17">
        <v>0.1111111111111111</v>
      </c>
      <c r="H77" s="17">
        <v>0</v>
      </c>
      <c r="I77" s="17">
        <v>9.0909090909090912E-2</v>
      </c>
      <c r="J77" s="17">
        <v>0</v>
      </c>
      <c r="K77" s="17">
        <v>0.10526315789473684</v>
      </c>
      <c r="L77" s="17">
        <v>0.2857142857142857</v>
      </c>
      <c r="M77" s="17">
        <v>0</v>
      </c>
      <c r="N77" s="9" t="s">
        <v>118</v>
      </c>
      <c r="O77" s="14">
        <f t="shared" si="3"/>
        <v>8.8118393546025131E-2</v>
      </c>
    </row>
    <row r="78" spans="1:15" ht="15.75" thickBot="1" x14ac:dyDescent="0.3">
      <c r="O78" s="14"/>
    </row>
    <row r="79" spans="1:15" x14ac:dyDescent="0.25">
      <c r="A79" s="31"/>
      <c r="B79" s="103" t="s">
        <v>23</v>
      </c>
      <c r="C79" s="103"/>
      <c r="D79" s="103"/>
      <c r="E79" s="103"/>
      <c r="F79" s="103"/>
      <c r="G79" s="103"/>
      <c r="H79" s="103"/>
      <c r="I79" s="103"/>
      <c r="J79" s="103"/>
      <c r="K79" s="103"/>
      <c r="L79" s="103"/>
      <c r="M79" s="104"/>
      <c r="O79" s="14"/>
    </row>
    <row r="80" spans="1:15" x14ac:dyDescent="0.25">
      <c r="A80" s="16"/>
      <c r="B80" s="9" t="s">
        <v>49</v>
      </c>
      <c r="C80" s="9" t="s">
        <v>50</v>
      </c>
      <c r="D80" s="9" t="s">
        <v>51</v>
      </c>
      <c r="E80" s="9" t="s">
        <v>52</v>
      </c>
      <c r="F80" s="9" t="s">
        <v>53</v>
      </c>
      <c r="G80" s="9" t="s">
        <v>54</v>
      </c>
      <c r="H80" s="9" t="s">
        <v>55</v>
      </c>
      <c r="I80" s="9" t="s">
        <v>56</v>
      </c>
      <c r="J80" s="9" t="s">
        <v>57</v>
      </c>
      <c r="K80" s="9" t="s">
        <v>58</v>
      </c>
      <c r="L80" s="9" t="s">
        <v>59</v>
      </c>
      <c r="M80" s="15" t="s">
        <v>60</v>
      </c>
      <c r="O80" s="14"/>
    </row>
    <row r="81" spans="1:15" ht="15.75" thickBot="1" x14ac:dyDescent="0.3">
      <c r="A81" s="19" t="s">
        <v>80</v>
      </c>
      <c r="B81" s="20">
        <v>0.1</v>
      </c>
      <c r="C81" s="20">
        <v>0.08</v>
      </c>
      <c r="D81" s="20">
        <v>0.08</v>
      </c>
      <c r="E81" s="20">
        <v>0.08</v>
      </c>
      <c r="F81" s="20">
        <v>0.13</v>
      </c>
      <c r="G81" s="20">
        <v>0.13</v>
      </c>
      <c r="H81" s="20">
        <v>0.09</v>
      </c>
      <c r="I81" s="20">
        <v>0.1</v>
      </c>
      <c r="J81" s="20">
        <v>0.08</v>
      </c>
      <c r="K81" s="20">
        <v>0.08</v>
      </c>
      <c r="L81" s="20">
        <v>0.04</v>
      </c>
      <c r="M81" s="21">
        <v>0.11</v>
      </c>
      <c r="N81" s="19" t="s">
        <v>80</v>
      </c>
      <c r="O81" s="14">
        <f>AVERAGE(B81:M81)</f>
        <v>9.1666666666666674E-2</v>
      </c>
    </row>
    <row r="82" spans="1:15" ht="15.75" thickBot="1" x14ac:dyDescent="0.3"/>
    <row r="83" spans="1:15" x14ac:dyDescent="0.25">
      <c r="A83" s="101" t="s">
        <v>119</v>
      </c>
      <c r="B83" s="103" t="s">
        <v>23</v>
      </c>
      <c r="C83" s="103"/>
      <c r="D83" s="103"/>
      <c r="E83" s="103"/>
      <c r="F83" s="103"/>
      <c r="G83" s="103"/>
      <c r="H83" s="103"/>
      <c r="I83" s="103"/>
      <c r="J83" s="103"/>
      <c r="K83" s="103"/>
      <c r="L83" s="103"/>
      <c r="M83" s="104"/>
    </row>
    <row r="84" spans="1:15" x14ac:dyDescent="0.25">
      <c r="A84" s="102"/>
      <c r="B84" s="9" t="s">
        <v>49</v>
      </c>
      <c r="C84" s="9" t="s">
        <v>50</v>
      </c>
      <c r="D84" s="9" t="s">
        <v>51</v>
      </c>
      <c r="E84" s="9" t="s">
        <v>52</v>
      </c>
      <c r="F84" s="9" t="s">
        <v>53</v>
      </c>
      <c r="G84" s="9" t="s">
        <v>54</v>
      </c>
      <c r="H84" s="9" t="s">
        <v>55</v>
      </c>
      <c r="I84" s="9" t="s">
        <v>56</v>
      </c>
      <c r="J84" s="9" t="s">
        <v>57</v>
      </c>
      <c r="K84" s="9" t="s">
        <v>58</v>
      </c>
      <c r="L84" s="9" t="s">
        <v>59</v>
      </c>
      <c r="M84" s="15" t="s">
        <v>60</v>
      </c>
    </row>
    <row r="85" spans="1:15" x14ac:dyDescent="0.25">
      <c r="A85" s="16" t="s">
        <v>120</v>
      </c>
      <c r="B85" s="32">
        <v>47</v>
      </c>
      <c r="C85" s="32">
        <v>35</v>
      </c>
      <c r="D85" s="32">
        <v>36</v>
      </c>
      <c r="E85" s="32">
        <v>41</v>
      </c>
      <c r="F85" s="32">
        <v>43</v>
      </c>
      <c r="G85" s="32">
        <v>49</v>
      </c>
      <c r="H85" s="32">
        <v>51</v>
      </c>
      <c r="I85" s="32">
        <v>46</v>
      </c>
      <c r="J85" s="32">
        <v>43</v>
      </c>
      <c r="K85" s="32">
        <v>48</v>
      </c>
      <c r="L85" s="32">
        <v>40</v>
      </c>
      <c r="M85" s="33">
        <v>38</v>
      </c>
      <c r="N85" s="16" t="s">
        <v>120</v>
      </c>
    </row>
    <row r="86" spans="1:15" x14ac:dyDescent="0.25">
      <c r="A86" s="34" t="s">
        <v>121</v>
      </c>
      <c r="B86" s="17">
        <v>0.57446808510638303</v>
      </c>
      <c r="C86" s="17">
        <v>0.37142857142857144</v>
      </c>
      <c r="D86" s="17">
        <v>0.44444444444444442</v>
      </c>
      <c r="E86" s="17">
        <v>0.63414634146341464</v>
      </c>
      <c r="F86" s="17">
        <v>0.48837209302325579</v>
      </c>
      <c r="G86" s="17">
        <v>0.48979591836734693</v>
      </c>
      <c r="H86" s="17">
        <v>0.68627450980392157</v>
      </c>
      <c r="I86" s="17">
        <v>0.39130434782608697</v>
      </c>
      <c r="J86" s="17">
        <v>0.62790697674418605</v>
      </c>
      <c r="K86" s="17">
        <v>0.45833333333333331</v>
      </c>
      <c r="L86" s="17">
        <v>0.52500000000000002</v>
      </c>
      <c r="M86" s="18">
        <v>0.23684210526315788</v>
      </c>
      <c r="N86" s="34" t="s">
        <v>121</v>
      </c>
    </row>
    <row r="87" spans="1:15" x14ac:dyDescent="0.25">
      <c r="A87" s="35" t="s">
        <v>122</v>
      </c>
      <c r="B87" s="17">
        <v>6.3829787234042548E-2</v>
      </c>
      <c r="C87" s="17">
        <v>5.7142857142857141E-2</v>
      </c>
      <c r="D87" s="17">
        <v>0.1388888888888889</v>
      </c>
      <c r="E87" s="17">
        <v>2.4390243902439025E-2</v>
      </c>
      <c r="F87" s="17">
        <v>9.3023255813953487E-2</v>
      </c>
      <c r="G87" s="17">
        <v>4.0816326530612242E-2</v>
      </c>
      <c r="H87" s="17">
        <v>0</v>
      </c>
      <c r="I87" s="17">
        <v>0</v>
      </c>
      <c r="J87" s="17">
        <v>6.9767441860465115E-2</v>
      </c>
      <c r="K87" s="17">
        <v>0</v>
      </c>
      <c r="L87" s="17">
        <v>2.5000000000000001E-2</v>
      </c>
      <c r="M87" s="18">
        <v>5.2631578947368418E-2</v>
      </c>
      <c r="N87" s="35" t="s">
        <v>122</v>
      </c>
    </row>
    <row r="88" spans="1:15" x14ac:dyDescent="0.25">
      <c r="A88" s="35" t="s">
        <v>123</v>
      </c>
      <c r="B88" s="17">
        <v>0</v>
      </c>
      <c r="C88" s="17">
        <v>0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8">
        <v>0</v>
      </c>
      <c r="N88" s="35" t="s">
        <v>123</v>
      </c>
    </row>
    <row r="89" spans="1:15" x14ac:dyDescent="0.25">
      <c r="A89" s="35" t="s">
        <v>124</v>
      </c>
      <c r="B89" s="17">
        <v>0</v>
      </c>
      <c r="C89" s="17">
        <v>0</v>
      </c>
      <c r="D89" s="17">
        <v>0</v>
      </c>
      <c r="E89" s="17">
        <v>0</v>
      </c>
      <c r="F89" s="17">
        <v>0</v>
      </c>
      <c r="G89" s="17">
        <v>0</v>
      </c>
      <c r="H89" s="17">
        <v>0</v>
      </c>
      <c r="I89" s="17">
        <v>0</v>
      </c>
      <c r="J89" s="17">
        <v>0</v>
      </c>
      <c r="K89" s="17">
        <v>0</v>
      </c>
      <c r="L89" s="17">
        <v>0</v>
      </c>
      <c r="M89" s="18">
        <v>0</v>
      </c>
      <c r="N89" s="35" t="s">
        <v>124</v>
      </c>
    </row>
    <row r="90" spans="1:15" x14ac:dyDescent="0.25">
      <c r="A90" s="35" t="s">
        <v>125</v>
      </c>
      <c r="B90" s="17">
        <v>0.2978723404255319</v>
      </c>
      <c r="C90" s="17">
        <v>0.5714285714285714</v>
      </c>
      <c r="D90" s="17">
        <v>0.3888888888888889</v>
      </c>
      <c r="E90" s="17">
        <v>0.31707317073170732</v>
      </c>
      <c r="F90" s="17">
        <v>0.37209302325581395</v>
      </c>
      <c r="G90" s="17">
        <v>0.42857142857142855</v>
      </c>
      <c r="H90" s="17">
        <v>0.29411764705882354</v>
      </c>
      <c r="I90" s="17">
        <v>0.5</v>
      </c>
      <c r="J90" s="17">
        <v>0.30232558139534882</v>
      </c>
      <c r="K90" s="17">
        <v>0.52083333333333337</v>
      </c>
      <c r="L90" s="17">
        <v>0.45</v>
      </c>
      <c r="M90" s="18">
        <v>0.65789473684210531</v>
      </c>
      <c r="N90" s="35" t="s">
        <v>125</v>
      </c>
    </row>
    <row r="91" spans="1:15" ht="15.75" thickBot="1" x14ac:dyDescent="0.3">
      <c r="A91" s="36" t="s">
        <v>69</v>
      </c>
      <c r="B91" s="20">
        <v>6.3829787234042548E-2</v>
      </c>
      <c r="C91" s="20">
        <v>0</v>
      </c>
      <c r="D91" s="20">
        <v>2.7777777777777776E-2</v>
      </c>
      <c r="E91" s="20">
        <v>2.4390243902439025E-2</v>
      </c>
      <c r="F91" s="20">
        <v>4.6511627906976744E-2</v>
      </c>
      <c r="G91" s="20">
        <v>4.0816326530612242E-2</v>
      </c>
      <c r="H91" s="20">
        <v>5.8823529411764705E-2</v>
      </c>
      <c r="I91" s="20">
        <v>0.10869565217391304</v>
      </c>
      <c r="J91" s="20">
        <v>0</v>
      </c>
      <c r="K91" s="20">
        <v>2.0833333333333332E-2</v>
      </c>
      <c r="L91" s="20">
        <v>0</v>
      </c>
      <c r="M91" s="21">
        <v>5.2631578947368418E-2</v>
      </c>
      <c r="N91" s="35" t="s">
        <v>69</v>
      </c>
    </row>
  </sheetData>
  <mergeCells count="19">
    <mergeCell ref="A1:A2"/>
    <mergeCell ref="B1:M1"/>
    <mergeCell ref="A13:A14"/>
    <mergeCell ref="B13:M13"/>
    <mergeCell ref="A26:A27"/>
    <mergeCell ref="B26:M26"/>
    <mergeCell ref="A83:A84"/>
    <mergeCell ref="B83:M83"/>
    <mergeCell ref="A32:A33"/>
    <mergeCell ref="B32:M32"/>
    <mergeCell ref="A47:A48"/>
    <mergeCell ref="B47:M47"/>
    <mergeCell ref="A53:A54"/>
    <mergeCell ref="B53:M53"/>
    <mergeCell ref="A58:A59"/>
    <mergeCell ref="B58:M58"/>
    <mergeCell ref="A66:A67"/>
    <mergeCell ref="B66:M66"/>
    <mergeCell ref="B79:M79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B13" sqref="B13"/>
    </sheetView>
  </sheetViews>
  <sheetFormatPr baseColWidth="10" defaultRowHeight="15" x14ac:dyDescent="0.25"/>
  <cols>
    <col min="2" max="2" width="13.7109375" customWidth="1"/>
    <col min="3" max="3" width="17.7109375" customWidth="1"/>
    <col min="4" max="4" width="16.28515625" customWidth="1"/>
    <col min="5" max="5" width="11.42578125" customWidth="1"/>
  </cols>
  <sheetData>
    <row r="1" spans="1:5" x14ac:dyDescent="0.25">
      <c r="A1" s="37"/>
      <c r="B1" s="37" t="s">
        <v>126</v>
      </c>
      <c r="C1" s="37" t="s">
        <v>127</v>
      </c>
      <c r="D1" s="37" t="s">
        <v>128</v>
      </c>
      <c r="E1" s="37" t="s">
        <v>129</v>
      </c>
    </row>
    <row r="2" spans="1:5" x14ac:dyDescent="0.25">
      <c r="A2" s="37" t="s">
        <v>24</v>
      </c>
      <c r="B2" s="38">
        <v>102159.19999999998</v>
      </c>
      <c r="C2" s="38">
        <v>69647.62999999999</v>
      </c>
      <c r="D2" s="38">
        <v>7000</v>
      </c>
      <c r="E2" s="38">
        <f>D2/C2</f>
        <v>0.10050593250624609</v>
      </c>
    </row>
    <row r="3" spans="1:5" x14ac:dyDescent="0.25">
      <c r="A3" s="37" t="s">
        <v>25</v>
      </c>
      <c r="B3" s="38">
        <v>71335.86</v>
      </c>
      <c r="C3" s="38">
        <v>25769.37</v>
      </c>
      <c r="D3" s="38">
        <v>6500</v>
      </c>
      <c r="E3" s="38">
        <f t="shared" ref="E3:E13" si="0">D3/C3</f>
        <v>0.25223744313500873</v>
      </c>
    </row>
    <row r="4" spans="1:5" x14ac:dyDescent="0.25">
      <c r="A4" s="37" t="s">
        <v>26</v>
      </c>
      <c r="B4" s="38">
        <v>90170.319999999992</v>
      </c>
      <c r="C4" s="38">
        <v>34449</v>
      </c>
      <c r="D4" s="38">
        <v>6500</v>
      </c>
      <c r="E4" s="38">
        <f t="shared" si="0"/>
        <v>0.18868472234317396</v>
      </c>
    </row>
    <row r="5" spans="1:5" x14ac:dyDescent="0.25">
      <c r="A5" s="37" t="s">
        <v>27</v>
      </c>
      <c r="B5" s="38">
        <v>82639.099999999991</v>
      </c>
      <c r="C5" s="38">
        <v>44548.32</v>
      </c>
      <c r="D5" s="38">
        <v>7000</v>
      </c>
      <c r="E5" s="38">
        <f t="shared" si="0"/>
        <v>0.15713274933824664</v>
      </c>
    </row>
    <row r="6" spans="1:5" x14ac:dyDescent="0.25">
      <c r="A6" s="37" t="s">
        <v>28</v>
      </c>
      <c r="B6" s="38">
        <v>100641.41</v>
      </c>
      <c r="C6" s="38">
        <v>32339.66</v>
      </c>
      <c r="D6" s="38">
        <v>6500</v>
      </c>
      <c r="E6" s="38">
        <f t="shared" si="0"/>
        <v>0.20099159978800024</v>
      </c>
    </row>
    <row r="7" spans="1:5" x14ac:dyDescent="0.25">
      <c r="A7" s="37" t="s">
        <v>29</v>
      </c>
      <c r="B7" s="38">
        <v>98752.26</v>
      </c>
      <c r="C7" s="38">
        <v>48643.600000000006</v>
      </c>
      <c r="D7" s="38">
        <v>7500</v>
      </c>
      <c r="E7" s="38">
        <f t="shared" si="0"/>
        <v>0.15418266740126141</v>
      </c>
    </row>
    <row r="8" spans="1:5" x14ac:dyDescent="0.25">
      <c r="A8" s="37" t="s">
        <v>30</v>
      </c>
      <c r="B8" s="38">
        <v>121334.5</v>
      </c>
      <c r="C8" s="38">
        <v>79764.23</v>
      </c>
      <c r="D8" s="38">
        <v>5800.75</v>
      </c>
      <c r="E8" s="38">
        <f t="shared" si="0"/>
        <v>7.2723700836828747E-2</v>
      </c>
    </row>
    <row r="9" spans="1:5" x14ac:dyDescent="0.25">
      <c r="A9" s="37" t="s">
        <v>31</v>
      </c>
      <c r="B9" s="38">
        <v>99433.45</v>
      </c>
      <c r="C9" s="38">
        <v>41489.700000000004</v>
      </c>
      <c r="D9" s="38">
        <v>6500</v>
      </c>
      <c r="E9" s="38">
        <f t="shared" si="0"/>
        <v>0.15666538924118514</v>
      </c>
    </row>
    <row r="10" spans="1:5" x14ac:dyDescent="0.25">
      <c r="A10" s="37" t="s">
        <v>32</v>
      </c>
      <c r="B10" s="38">
        <v>139679.70000000001</v>
      </c>
      <c r="C10" s="38">
        <v>57960.08</v>
      </c>
      <c r="D10" s="38">
        <v>5500</v>
      </c>
      <c r="E10" s="38">
        <f t="shared" si="0"/>
        <v>9.4892898698552525E-2</v>
      </c>
    </row>
    <row r="11" spans="1:5" x14ac:dyDescent="0.25">
      <c r="A11" s="37" t="s">
        <v>33</v>
      </c>
      <c r="B11" s="38">
        <v>111320.77999999998</v>
      </c>
      <c r="C11" s="38">
        <v>40749.479999999996</v>
      </c>
      <c r="D11" s="38">
        <v>5000</v>
      </c>
      <c r="E11" s="38">
        <f t="shared" si="0"/>
        <v>0.12270095225755029</v>
      </c>
    </row>
    <row r="12" spans="1:5" x14ac:dyDescent="0.25">
      <c r="A12" s="37" t="s">
        <v>34</v>
      </c>
      <c r="B12" s="38">
        <v>106794.23999999998</v>
      </c>
      <c r="C12" s="38">
        <v>35428.5</v>
      </c>
      <c r="D12" s="38">
        <v>4500</v>
      </c>
      <c r="E12" s="38">
        <f t="shared" si="0"/>
        <v>0.12701638511367966</v>
      </c>
    </row>
    <row r="13" spans="1:5" x14ac:dyDescent="0.25">
      <c r="A13" s="37" t="s">
        <v>35</v>
      </c>
      <c r="B13" s="38">
        <v>88712.17</v>
      </c>
      <c r="C13" s="38">
        <v>35611.620000000003</v>
      </c>
      <c r="D13" s="38">
        <v>1000</v>
      </c>
      <c r="E13" s="38">
        <f t="shared" si="0"/>
        <v>2.8080721966594047E-2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Hoja1</vt:lpstr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  <vt:lpstr>Estadísticas finales</vt:lpstr>
      <vt:lpstr>Estadísticas específicas</vt:lpstr>
      <vt:lpstr>Publicidad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ALONSO!</dc:creator>
  <cp:lastModifiedBy>PRINCIPAL</cp:lastModifiedBy>
  <dcterms:created xsi:type="dcterms:W3CDTF">2023-01-03T20:03:23Z</dcterms:created>
  <dcterms:modified xsi:type="dcterms:W3CDTF">2026-03-02T18:00:09Z</dcterms:modified>
</cp:coreProperties>
</file>