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45"/>
  </bookViews>
  <sheets>
    <sheet name="Hoja1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Estadísticas finales" sheetId="14" r:id="rId14"/>
    <sheet name="Estadísticas Específicas" sheetId="15" r:id="rId15"/>
    <sheet name="Publicidad" sheetId="16" r:id="rId16"/>
  </sheets>
  <calcPr calcId="144525"/>
</workbook>
</file>

<file path=xl/calcChain.xml><?xml version="1.0" encoding="utf-8"?>
<calcChain xmlns="http://schemas.openxmlformats.org/spreadsheetml/2006/main">
  <c r="E13" i="16" l="1"/>
  <c r="E12" i="16"/>
  <c r="E11" i="16"/>
  <c r="E10" i="16"/>
  <c r="E9" i="16"/>
  <c r="E8" i="16"/>
  <c r="E7" i="16"/>
  <c r="E6" i="16"/>
  <c r="E5" i="16"/>
  <c r="E4" i="16"/>
  <c r="E3" i="16"/>
  <c r="E2" i="16"/>
  <c r="O91" i="15"/>
  <c r="O90" i="15"/>
  <c r="O89" i="15"/>
  <c r="O88" i="15"/>
  <c r="O87" i="15"/>
  <c r="O86" i="15"/>
  <c r="O85" i="15"/>
  <c r="O81" i="15"/>
  <c r="O77" i="15"/>
  <c r="O76" i="15"/>
  <c r="O75" i="15"/>
  <c r="O74" i="15"/>
  <c r="O73" i="15"/>
  <c r="O72" i="15"/>
  <c r="O71" i="15"/>
  <c r="O70" i="15"/>
  <c r="O69" i="15"/>
  <c r="O68" i="15"/>
  <c r="O64" i="15"/>
  <c r="O63" i="15"/>
  <c r="O62" i="15"/>
  <c r="O61" i="15"/>
  <c r="O60" i="15"/>
  <c r="O56" i="15"/>
  <c r="O55" i="15"/>
  <c r="O51" i="15"/>
  <c r="O50" i="15"/>
  <c r="O49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0" i="15"/>
  <c r="L30" i="15"/>
  <c r="O29" i="15"/>
  <c r="L29" i="15"/>
  <c r="O28" i="15"/>
  <c r="L28" i="15"/>
  <c r="O24" i="15"/>
  <c r="O23" i="15"/>
  <c r="O22" i="15"/>
  <c r="O21" i="15"/>
  <c r="O20" i="15"/>
  <c r="O19" i="15"/>
  <c r="O18" i="15"/>
  <c r="O17" i="15"/>
  <c r="O16" i="15"/>
  <c r="O15" i="15"/>
  <c r="O11" i="15"/>
  <c r="L11" i="15"/>
  <c r="O10" i="15"/>
  <c r="L10" i="15"/>
  <c r="O9" i="15"/>
  <c r="L9" i="15"/>
  <c r="O8" i="15"/>
  <c r="L8" i="15"/>
  <c r="O7" i="15"/>
  <c r="L7" i="15"/>
  <c r="O6" i="15"/>
  <c r="L6" i="15"/>
  <c r="O5" i="15"/>
  <c r="L5" i="15"/>
  <c r="O4" i="15"/>
  <c r="L4" i="15"/>
  <c r="O3" i="15"/>
  <c r="L3" i="15"/>
  <c r="N17" i="14"/>
  <c r="L17" i="14"/>
  <c r="J17" i="14"/>
  <c r="I17" i="14"/>
  <c r="H17" i="14"/>
  <c r="G17" i="14"/>
  <c r="F17" i="14"/>
  <c r="E17" i="14"/>
  <c r="D17" i="14"/>
  <c r="C17" i="14"/>
  <c r="B17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5" i="14"/>
  <c r="D5" i="14"/>
  <c r="F4" i="14"/>
  <c r="D4" i="14"/>
  <c r="F3" i="14"/>
  <c r="D3" i="14"/>
  <c r="F2" i="14"/>
  <c r="D2" i="14"/>
  <c r="B105" i="13"/>
  <c r="B104" i="13"/>
  <c r="B103" i="13"/>
  <c r="B102" i="13"/>
  <c r="B101" i="13"/>
  <c r="J96" i="13"/>
  <c r="F96" i="13"/>
  <c r="J95" i="13"/>
  <c r="F95" i="13"/>
  <c r="J94" i="13"/>
  <c r="F94" i="13"/>
  <c r="J93" i="13"/>
  <c r="F93" i="13"/>
  <c r="J92" i="13"/>
  <c r="F92" i="13"/>
  <c r="J91" i="13"/>
  <c r="J90" i="13"/>
  <c r="J89" i="13"/>
  <c r="F89" i="13"/>
  <c r="J88" i="13"/>
  <c r="F88" i="13"/>
  <c r="J87" i="13"/>
  <c r="F87" i="13"/>
  <c r="F86" i="13"/>
  <c r="F85" i="13"/>
  <c r="F84" i="13"/>
  <c r="J83" i="13"/>
  <c r="J82" i="13"/>
  <c r="J81" i="13"/>
  <c r="F81" i="13"/>
  <c r="J80" i="13"/>
  <c r="F80" i="13"/>
  <c r="J79" i="13"/>
  <c r="F77" i="13"/>
  <c r="F76" i="13"/>
  <c r="J75" i="13"/>
  <c r="J74" i="13"/>
  <c r="J73" i="13"/>
  <c r="F73" i="13"/>
  <c r="J72" i="13"/>
  <c r="F72" i="13"/>
  <c r="J71" i="13"/>
  <c r="F71" i="13"/>
  <c r="J70" i="13"/>
  <c r="C70" i="13"/>
  <c r="F68" i="13"/>
  <c r="F67" i="13"/>
  <c r="J66" i="13"/>
  <c r="F66" i="13"/>
  <c r="J65" i="13"/>
  <c r="F65" i="13"/>
  <c r="F64" i="13"/>
  <c r="F63" i="13"/>
  <c r="F62" i="13"/>
  <c r="J61" i="13"/>
  <c r="F61" i="13"/>
  <c r="J60" i="13"/>
  <c r="F60" i="13"/>
  <c r="J59" i="13"/>
  <c r="F59" i="13"/>
  <c r="J58" i="13"/>
  <c r="J57" i="13"/>
  <c r="C57" i="13"/>
  <c r="J56" i="13"/>
  <c r="F56" i="13"/>
  <c r="J55" i="13"/>
  <c r="F55" i="13"/>
  <c r="J54" i="13"/>
  <c r="F54" i="13"/>
  <c r="J53" i="13"/>
  <c r="F53" i="13"/>
  <c r="J52" i="13"/>
  <c r="F52" i="13"/>
  <c r="J51" i="13"/>
  <c r="F51" i="13"/>
  <c r="J50" i="13"/>
  <c r="F50" i="13"/>
  <c r="F49" i="13"/>
  <c r="J48" i="13"/>
  <c r="F48" i="13"/>
  <c r="J47" i="13"/>
  <c r="J46" i="13"/>
  <c r="F45" i="13"/>
  <c r="F44" i="13"/>
  <c r="J42" i="13"/>
  <c r="J41" i="13"/>
  <c r="F41" i="13"/>
  <c r="J40" i="13"/>
  <c r="C39" i="13"/>
  <c r="B110" i="12"/>
  <c r="B109" i="12"/>
  <c r="B108" i="12"/>
  <c r="B107" i="12"/>
  <c r="B106" i="12"/>
  <c r="J101" i="12"/>
  <c r="F101" i="12"/>
  <c r="J100" i="12"/>
  <c r="F100" i="12"/>
  <c r="J99" i="12"/>
  <c r="F99" i="12"/>
  <c r="J98" i="12"/>
  <c r="F98" i="12"/>
  <c r="J97" i="12"/>
  <c r="F97" i="12"/>
  <c r="J96" i="12"/>
  <c r="J95" i="12"/>
  <c r="J94" i="12"/>
  <c r="F94" i="12"/>
  <c r="J93" i="12"/>
  <c r="F93" i="12"/>
  <c r="J92" i="12"/>
  <c r="F92" i="12"/>
  <c r="F91" i="12"/>
  <c r="F90" i="12"/>
  <c r="F89" i="12"/>
  <c r="J88" i="12"/>
  <c r="J87" i="12"/>
  <c r="J86" i="12"/>
  <c r="F86" i="12"/>
  <c r="J85" i="12"/>
  <c r="F85" i="12"/>
  <c r="J84" i="12"/>
  <c r="F82" i="12"/>
  <c r="F81" i="12"/>
  <c r="J80" i="12"/>
  <c r="J79" i="12"/>
  <c r="J78" i="12"/>
  <c r="F78" i="12"/>
  <c r="J77" i="12"/>
  <c r="F77" i="12"/>
  <c r="J76" i="12"/>
  <c r="F76" i="12"/>
  <c r="J75" i="12"/>
  <c r="C75" i="12"/>
  <c r="F73" i="12"/>
  <c r="F72" i="12"/>
  <c r="J71" i="12"/>
  <c r="F71" i="12"/>
  <c r="J70" i="12"/>
  <c r="F70" i="12"/>
  <c r="F69" i="12"/>
  <c r="F68" i="12"/>
  <c r="F67" i="12"/>
  <c r="J66" i="12"/>
  <c r="F66" i="12"/>
  <c r="J65" i="12"/>
  <c r="F65" i="12"/>
  <c r="J64" i="12"/>
  <c r="F64" i="12"/>
  <c r="J63" i="12"/>
  <c r="J62" i="12"/>
  <c r="C62" i="12"/>
  <c r="J61" i="12"/>
  <c r="F61" i="12"/>
  <c r="J60" i="12"/>
  <c r="F60" i="12"/>
  <c r="J59" i="12"/>
  <c r="F59" i="12"/>
  <c r="J58" i="12"/>
  <c r="F58" i="12"/>
  <c r="J57" i="12"/>
  <c r="F57" i="12"/>
  <c r="J56" i="12"/>
  <c r="F56" i="12"/>
  <c r="J55" i="12"/>
  <c r="F55" i="12"/>
  <c r="F54" i="12"/>
  <c r="J53" i="12"/>
  <c r="F53" i="12"/>
  <c r="J52" i="12"/>
  <c r="J51" i="12"/>
  <c r="F50" i="12"/>
  <c r="F49" i="12"/>
  <c r="J47" i="12"/>
  <c r="J46" i="12"/>
  <c r="F46" i="12"/>
  <c r="J45" i="12"/>
  <c r="C44" i="12"/>
  <c r="B113" i="11"/>
  <c r="B112" i="11"/>
  <c r="B111" i="11"/>
  <c r="B110" i="11"/>
  <c r="B109" i="11"/>
  <c r="J104" i="11"/>
  <c r="F104" i="11"/>
  <c r="J103" i="11"/>
  <c r="F103" i="11"/>
  <c r="J102" i="11"/>
  <c r="F102" i="11"/>
  <c r="J101" i="11"/>
  <c r="F101" i="11"/>
  <c r="J100" i="11"/>
  <c r="F100" i="11"/>
  <c r="J99" i="11"/>
  <c r="J98" i="11"/>
  <c r="J97" i="11"/>
  <c r="F97" i="11"/>
  <c r="J96" i="11"/>
  <c r="F96" i="11"/>
  <c r="J95" i="11"/>
  <c r="F95" i="11"/>
  <c r="F94" i="11"/>
  <c r="F93" i="11"/>
  <c r="F92" i="11"/>
  <c r="J91" i="11"/>
  <c r="J90" i="11"/>
  <c r="J89" i="11"/>
  <c r="F89" i="11"/>
  <c r="J88" i="11"/>
  <c r="F88" i="11"/>
  <c r="J87" i="11"/>
  <c r="F85" i="11"/>
  <c r="F84" i="11"/>
  <c r="J83" i="11"/>
  <c r="J82" i="11"/>
  <c r="J81" i="11"/>
  <c r="F81" i="11"/>
  <c r="J80" i="11"/>
  <c r="F80" i="11"/>
  <c r="J79" i="11"/>
  <c r="F79" i="11"/>
  <c r="J78" i="11"/>
  <c r="C78" i="11"/>
  <c r="F76" i="11"/>
  <c r="F75" i="11"/>
  <c r="J74" i="11"/>
  <c r="F74" i="11"/>
  <c r="J73" i="11"/>
  <c r="F73" i="11"/>
  <c r="F72" i="11"/>
  <c r="F71" i="11"/>
  <c r="F70" i="11"/>
  <c r="J69" i="11"/>
  <c r="F69" i="11"/>
  <c r="J68" i="11"/>
  <c r="F68" i="11"/>
  <c r="J67" i="11"/>
  <c r="F67" i="11"/>
  <c r="J66" i="11"/>
  <c r="J65" i="11"/>
  <c r="C65" i="11"/>
  <c r="J64" i="11"/>
  <c r="F64" i="11"/>
  <c r="J63" i="11"/>
  <c r="F63" i="11"/>
  <c r="J62" i="11"/>
  <c r="F62" i="11"/>
  <c r="J61" i="11"/>
  <c r="F61" i="11"/>
  <c r="J60" i="11"/>
  <c r="F60" i="11"/>
  <c r="J59" i="11"/>
  <c r="F59" i="11"/>
  <c r="J58" i="11"/>
  <c r="F58" i="11"/>
  <c r="F57" i="11"/>
  <c r="J56" i="11"/>
  <c r="F56" i="11"/>
  <c r="J55" i="11"/>
  <c r="J54" i="11"/>
  <c r="F53" i="11"/>
  <c r="F52" i="11"/>
  <c r="J50" i="11"/>
  <c r="J49" i="11"/>
  <c r="F49" i="11"/>
  <c r="J48" i="11"/>
  <c r="C47" i="11"/>
  <c r="B113" i="10"/>
  <c r="B112" i="10"/>
  <c r="B111" i="10"/>
  <c r="B110" i="10"/>
  <c r="J105" i="10"/>
  <c r="F105" i="10"/>
  <c r="J104" i="10"/>
  <c r="F104" i="10"/>
  <c r="J103" i="10"/>
  <c r="F103" i="10"/>
  <c r="J102" i="10"/>
  <c r="F102" i="10"/>
  <c r="J101" i="10"/>
  <c r="F101" i="10"/>
  <c r="J100" i="10"/>
  <c r="J99" i="10"/>
  <c r="J98" i="10"/>
  <c r="F98" i="10"/>
  <c r="J97" i="10"/>
  <c r="F97" i="10"/>
  <c r="J96" i="10"/>
  <c r="F96" i="10"/>
  <c r="F95" i="10"/>
  <c r="F94" i="10"/>
  <c r="F93" i="10"/>
  <c r="J92" i="10"/>
  <c r="J91" i="10"/>
  <c r="J90" i="10"/>
  <c r="F90" i="10"/>
  <c r="J89" i="10"/>
  <c r="F89" i="10"/>
  <c r="J88" i="10"/>
  <c r="F86" i="10"/>
  <c r="F85" i="10"/>
  <c r="J84" i="10"/>
  <c r="J83" i="10"/>
  <c r="J82" i="10"/>
  <c r="F82" i="10"/>
  <c r="J81" i="10"/>
  <c r="F81" i="10"/>
  <c r="J80" i="10"/>
  <c r="F80" i="10"/>
  <c r="J79" i="10"/>
  <c r="C79" i="10"/>
  <c r="F77" i="10"/>
  <c r="F76" i="10"/>
  <c r="J75" i="10"/>
  <c r="F75" i="10"/>
  <c r="J74" i="10"/>
  <c r="F74" i="10"/>
  <c r="F73" i="10"/>
  <c r="F72" i="10"/>
  <c r="F71" i="10"/>
  <c r="J70" i="10"/>
  <c r="F70" i="10"/>
  <c r="J69" i="10"/>
  <c r="F69" i="10"/>
  <c r="J68" i="10"/>
  <c r="F68" i="10"/>
  <c r="J67" i="10"/>
  <c r="J66" i="10"/>
  <c r="C66" i="10"/>
  <c r="J65" i="10"/>
  <c r="F65" i="10"/>
  <c r="J64" i="10"/>
  <c r="F64" i="10"/>
  <c r="J63" i="10"/>
  <c r="F63" i="10"/>
  <c r="J62" i="10"/>
  <c r="F62" i="10"/>
  <c r="J61" i="10"/>
  <c r="F61" i="10"/>
  <c r="J60" i="10"/>
  <c r="F60" i="10"/>
  <c r="J59" i="10"/>
  <c r="F59" i="10"/>
  <c r="F58" i="10"/>
  <c r="J57" i="10"/>
  <c r="F57" i="10"/>
  <c r="J56" i="10"/>
  <c r="J55" i="10"/>
  <c r="F54" i="10"/>
  <c r="F53" i="10"/>
  <c r="J51" i="10"/>
  <c r="J50" i="10"/>
  <c r="F50" i="10"/>
  <c r="J49" i="10"/>
  <c r="C48" i="10"/>
  <c r="B110" i="9"/>
  <c r="B109" i="9"/>
  <c r="B108" i="9"/>
  <c r="J103" i="9"/>
  <c r="F103" i="9"/>
  <c r="J102" i="9"/>
  <c r="F102" i="9"/>
  <c r="J101" i="9"/>
  <c r="F101" i="9"/>
  <c r="J100" i="9"/>
  <c r="F100" i="9"/>
  <c r="J99" i="9"/>
  <c r="F99" i="9"/>
  <c r="J98" i="9"/>
  <c r="J97" i="9"/>
  <c r="J96" i="9"/>
  <c r="F96" i="9"/>
  <c r="J95" i="9"/>
  <c r="F95" i="9"/>
  <c r="J94" i="9"/>
  <c r="F94" i="9"/>
  <c r="F93" i="9"/>
  <c r="F92" i="9"/>
  <c r="F91" i="9"/>
  <c r="J90" i="9"/>
  <c r="J89" i="9"/>
  <c r="J88" i="9"/>
  <c r="F88" i="9"/>
  <c r="J87" i="9"/>
  <c r="F87" i="9"/>
  <c r="J86" i="9"/>
  <c r="F84" i="9"/>
  <c r="F83" i="9"/>
  <c r="J82" i="9"/>
  <c r="J81" i="9"/>
  <c r="J80" i="9"/>
  <c r="F80" i="9"/>
  <c r="J79" i="9"/>
  <c r="F79" i="9"/>
  <c r="J78" i="9"/>
  <c r="F78" i="9"/>
  <c r="J77" i="9"/>
  <c r="C77" i="9"/>
  <c r="F75" i="9"/>
  <c r="F74" i="9"/>
  <c r="J73" i="9"/>
  <c r="F73" i="9"/>
  <c r="J72" i="9"/>
  <c r="F72" i="9"/>
  <c r="F71" i="9"/>
  <c r="F70" i="9"/>
  <c r="F69" i="9"/>
  <c r="J68" i="9"/>
  <c r="F68" i="9"/>
  <c r="J67" i="9"/>
  <c r="F67" i="9"/>
  <c r="J66" i="9"/>
  <c r="F66" i="9"/>
  <c r="J65" i="9"/>
  <c r="J64" i="9"/>
  <c r="C64" i="9"/>
  <c r="J63" i="9"/>
  <c r="F63" i="9"/>
  <c r="J62" i="9"/>
  <c r="F62" i="9"/>
  <c r="J61" i="9"/>
  <c r="F61" i="9"/>
  <c r="J60" i="9"/>
  <c r="F60" i="9"/>
  <c r="J59" i="9"/>
  <c r="F59" i="9"/>
  <c r="J58" i="9"/>
  <c r="F58" i="9"/>
  <c r="J57" i="9"/>
  <c r="F57" i="9"/>
  <c r="F56" i="9"/>
  <c r="J55" i="9"/>
  <c r="F55" i="9"/>
  <c r="J54" i="9"/>
  <c r="J53" i="9"/>
  <c r="F52" i="9"/>
  <c r="F51" i="9"/>
  <c r="J49" i="9"/>
  <c r="J48" i="9"/>
  <c r="F48" i="9"/>
  <c r="J47" i="9"/>
  <c r="C46" i="9"/>
  <c r="B116" i="8"/>
  <c r="B115" i="8"/>
  <c r="B114" i="8"/>
  <c r="B113" i="8"/>
  <c r="J108" i="8"/>
  <c r="F108" i="8"/>
  <c r="J107" i="8"/>
  <c r="F107" i="8"/>
  <c r="J106" i="8"/>
  <c r="F106" i="8"/>
  <c r="J105" i="8"/>
  <c r="F105" i="8"/>
  <c r="J104" i="8"/>
  <c r="F104" i="8"/>
  <c r="J103" i="8"/>
  <c r="J102" i="8"/>
  <c r="J101" i="8"/>
  <c r="F101" i="8"/>
  <c r="J100" i="8"/>
  <c r="F100" i="8"/>
  <c r="J99" i="8"/>
  <c r="F99" i="8"/>
  <c r="F98" i="8"/>
  <c r="F97" i="8"/>
  <c r="F96" i="8"/>
  <c r="J95" i="8"/>
  <c r="J94" i="8"/>
  <c r="J93" i="8"/>
  <c r="F93" i="8"/>
  <c r="J92" i="8"/>
  <c r="F92" i="8"/>
  <c r="J91" i="8"/>
  <c r="F89" i="8"/>
  <c r="F88" i="8"/>
  <c r="J87" i="8"/>
  <c r="J86" i="8"/>
  <c r="J85" i="8"/>
  <c r="F85" i="8"/>
  <c r="J84" i="8"/>
  <c r="F84" i="8"/>
  <c r="J83" i="8"/>
  <c r="F83" i="8"/>
  <c r="J82" i="8"/>
  <c r="C82" i="8"/>
  <c r="F80" i="8"/>
  <c r="F79" i="8"/>
  <c r="J78" i="8"/>
  <c r="F78" i="8"/>
  <c r="J77" i="8"/>
  <c r="F77" i="8"/>
  <c r="F76" i="8"/>
  <c r="F75" i="8"/>
  <c r="F74" i="8"/>
  <c r="J73" i="8"/>
  <c r="F73" i="8"/>
  <c r="J72" i="8"/>
  <c r="F72" i="8"/>
  <c r="J71" i="8"/>
  <c r="F71" i="8"/>
  <c r="J70" i="8"/>
  <c r="J69" i="8"/>
  <c r="C69" i="8"/>
  <c r="J68" i="8"/>
  <c r="F68" i="8"/>
  <c r="J67" i="8"/>
  <c r="F67" i="8"/>
  <c r="J66" i="8"/>
  <c r="F66" i="8"/>
  <c r="J65" i="8"/>
  <c r="F65" i="8"/>
  <c r="J64" i="8"/>
  <c r="F64" i="8"/>
  <c r="J63" i="8"/>
  <c r="F63" i="8"/>
  <c r="J62" i="8"/>
  <c r="F62" i="8"/>
  <c r="F61" i="8"/>
  <c r="J60" i="8"/>
  <c r="F60" i="8"/>
  <c r="J59" i="8"/>
  <c r="J58" i="8"/>
  <c r="F57" i="8"/>
  <c r="F56" i="8"/>
  <c r="J54" i="8"/>
  <c r="J53" i="8"/>
  <c r="F53" i="8"/>
  <c r="J52" i="8"/>
  <c r="C51" i="8"/>
  <c r="B114" i="7"/>
  <c r="B113" i="7"/>
  <c r="B112" i="7"/>
  <c r="B111" i="7"/>
  <c r="J106" i="7"/>
  <c r="F106" i="7"/>
  <c r="J105" i="7"/>
  <c r="F105" i="7"/>
  <c r="J104" i="7"/>
  <c r="F104" i="7"/>
  <c r="J103" i="7"/>
  <c r="F103" i="7"/>
  <c r="J102" i="7"/>
  <c r="F102" i="7"/>
  <c r="J101" i="7"/>
  <c r="J100" i="7"/>
  <c r="J99" i="7"/>
  <c r="F99" i="7"/>
  <c r="J98" i="7"/>
  <c r="F98" i="7"/>
  <c r="J97" i="7"/>
  <c r="F97" i="7"/>
  <c r="F96" i="7"/>
  <c r="F95" i="7"/>
  <c r="F94" i="7"/>
  <c r="J93" i="7"/>
  <c r="J92" i="7"/>
  <c r="J91" i="7"/>
  <c r="F91" i="7"/>
  <c r="J90" i="7"/>
  <c r="F90" i="7"/>
  <c r="J89" i="7"/>
  <c r="F87" i="7"/>
  <c r="F86" i="7"/>
  <c r="J85" i="7"/>
  <c r="J84" i="7"/>
  <c r="J83" i="7"/>
  <c r="F83" i="7"/>
  <c r="J82" i="7"/>
  <c r="F82" i="7"/>
  <c r="J81" i="7"/>
  <c r="F81" i="7"/>
  <c r="J80" i="7"/>
  <c r="C80" i="7"/>
  <c r="F78" i="7"/>
  <c r="F77" i="7"/>
  <c r="J76" i="7"/>
  <c r="F76" i="7"/>
  <c r="J75" i="7"/>
  <c r="F75" i="7"/>
  <c r="F74" i="7"/>
  <c r="F73" i="7"/>
  <c r="F72" i="7"/>
  <c r="J71" i="7"/>
  <c r="F71" i="7"/>
  <c r="J70" i="7"/>
  <c r="F70" i="7"/>
  <c r="J69" i="7"/>
  <c r="F69" i="7"/>
  <c r="J68" i="7"/>
  <c r="J67" i="7"/>
  <c r="C67" i="7"/>
  <c r="J66" i="7"/>
  <c r="F66" i="7"/>
  <c r="J65" i="7"/>
  <c r="F65" i="7"/>
  <c r="J64" i="7"/>
  <c r="F64" i="7"/>
  <c r="J63" i="7"/>
  <c r="F63" i="7"/>
  <c r="J62" i="7"/>
  <c r="F62" i="7"/>
  <c r="J61" i="7"/>
  <c r="F61" i="7"/>
  <c r="J60" i="7"/>
  <c r="F60" i="7"/>
  <c r="F59" i="7"/>
  <c r="J58" i="7"/>
  <c r="F58" i="7"/>
  <c r="J57" i="7"/>
  <c r="J56" i="7"/>
  <c r="F55" i="7"/>
  <c r="F54" i="7"/>
  <c r="J52" i="7"/>
  <c r="J51" i="7"/>
  <c r="F51" i="7"/>
  <c r="J50" i="7"/>
  <c r="C49" i="7"/>
  <c r="B106" i="6"/>
  <c r="B105" i="6"/>
  <c r="B104" i="6"/>
  <c r="B103" i="6"/>
  <c r="J98" i="6"/>
  <c r="F98" i="6"/>
  <c r="J97" i="6"/>
  <c r="F97" i="6"/>
  <c r="J96" i="6"/>
  <c r="F96" i="6"/>
  <c r="J95" i="6"/>
  <c r="F95" i="6"/>
  <c r="J94" i="6"/>
  <c r="F94" i="6"/>
  <c r="J93" i="6"/>
  <c r="J92" i="6"/>
  <c r="J91" i="6"/>
  <c r="F91" i="6"/>
  <c r="J90" i="6"/>
  <c r="F90" i="6"/>
  <c r="J89" i="6"/>
  <c r="F89" i="6"/>
  <c r="F88" i="6"/>
  <c r="F87" i="6"/>
  <c r="F86" i="6"/>
  <c r="J85" i="6"/>
  <c r="J84" i="6"/>
  <c r="J83" i="6"/>
  <c r="F83" i="6"/>
  <c r="J82" i="6"/>
  <c r="F82" i="6"/>
  <c r="J81" i="6"/>
  <c r="F79" i="6"/>
  <c r="F78" i="6"/>
  <c r="J77" i="6"/>
  <c r="J76" i="6"/>
  <c r="J75" i="6"/>
  <c r="F75" i="6"/>
  <c r="J74" i="6"/>
  <c r="F74" i="6"/>
  <c r="J73" i="6"/>
  <c r="F73" i="6"/>
  <c r="J72" i="6"/>
  <c r="C72" i="6"/>
  <c r="F70" i="6"/>
  <c r="F69" i="6"/>
  <c r="J68" i="6"/>
  <c r="F68" i="6"/>
  <c r="J67" i="6"/>
  <c r="F67" i="6"/>
  <c r="F66" i="6"/>
  <c r="F65" i="6"/>
  <c r="F64" i="6"/>
  <c r="J63" i="6"/>
  <c r="F63" i="6"/>
  <c r="J62" i="6"/>
  <c r="F62" i="6"/>
  <c r="J61" i="6"/>
  <c r="F61" i="6"/>
  <c r="J60" i="6"/>
  <c r="J59" i="6"/>
  <c r="C59" i="6"/>
  <c r="J58" i="6"/>
  <c r="F58" i="6"/>
  <c r="J57" i="6"/>
  <c r="F57" i="6"/>
  <c r="J56" i="6"/>
  <c r="F56" i="6"/>
  <c r="J55" i="6"/>
  <c r="F55" i="6"/>
  <c r="J54" i="6"/>
  <c r="F54" i="6"/>
  <c r="J53" i="6"/>
  <c r="F53" i="6"/>
  <c r="J52" i="6"/>
  <c r="F52" i="6"/>
  <c r="F51" i="6"/>
  <c r="J50" i="6"/>
  <c r="F50" i="6"/>
  <c r="J49" i="6"/>
  <c r="J48" i="6"/>
  <c r="F47" i="6"/>
  <c r="F46" i="6"/>
  <c r="J44" i="6"/>
  <c r="J43" i="6"/>
  <c r="F43" i="6"/>
  <c r="J42" i="6"/>
  <c r="C41" i="6"/>
  <c r="B109" i="5"/>
  <c r="B108" i="5"/>
  <c r="B107" i="5"/>
  <c r="J102" i="5"/>
  <c r="F102" i="5"/>
  <c r="J101" i="5"/>
  <c r="F101" i="5"/>
  <c r="J100" i="5"/>
  <c r="F100" i="5"/>
  <c r="J99" i="5"/>
  <c r="F99" i="5"/>
  <c r="J98" i="5"/>
  <c r="F98" i="5"/>
  <c r="J97" i="5"/>
  <c r="J96" i="5"/>
  <c r="J95" i="5"/>
  <c r="F95" i="5"/>
  <c r="J94" i="5"/>
  <c r="F94" i="5"/>
  <c r="J93" i="5"/>
  <c r="F93" i="5"/>
  <c r="F92" i="5"/>
  <c r="F91" i="5"/>
  <c r="F90" i="5"/>
  <c r="J89" i="5"/>
  <c r="J88" i="5"/>
  <c r="J87" i="5"/>
  <c r="F87" i="5"/>
  <c r="J86" i="5"/>
  <c r="F86" i="5"/>
  <c r="J85" i="5"/>
  <c r="F83" i="5"/>
  <c r="F82" i="5"/>
  <c r="F79" i="5"/>
  <c r="F78" i="5"/>
  <c r="F77" i="5"/>
  <c r="C76" i="5"/>
  <c r="F74" i="5"/>
  <c r="F73" i="5"/>
  <c r="J72" i="5"/>
  <c r="F72" i="5"/>
  <c r="J71" i="5"/>
  <c r="F71" i="5"/>
  <c r="F70" i="5"/>
  <c r="F69" i="5"/>
  <c r="F68" i="5"/>
  <c r="J67" i="5"/>
  <c r="F67" i="5"/>
  <c r="J66" i="5"/>
  <c r="F66" i="5"/>
  <c r="J65" i="5"/>
  <c r="F65" i="5"/>
  <c r="J64" i="5"/>
  <c r="J63" i="5"/>
  <c r="C63" i="5"/>
  <c r="J62" i="5"/>
  <c r="F62" i="5"/>
  <c r="J61" i="5"/>
  <c r="F61" i="5"/>
  <c r="J60" i="5"/>
  <c r="F60" i="5"/>
  <c r="J59" i="5"/>
  <c r="F59" i="5"/>
  <c r="J58" i="5"/>
  <c r="F58" i="5"/>
  <c r="J57" i="5"/>
  <c r="F57" i="5"/>
  <c r="J56" i="5"/>
  <c r="F56" i="5"/>
  <c r="F55" i="5"/>
  <c r="J54" i="5"/>
  <c r="F54" i="5"/>
  <c r="J53" i="5"/>
  <c r="J52" i="5"/>
  <c r="F51" i="5"/>
  <c r="F50" i="5"/>
  <c r="J48" i="5"/>
  <c r="J47" i="5"/>
  <c r="F47" i="5"/>
  <c r="J46" i="5"/>
  <c r="C45" i="5"/>
  <c r="B95" i="4"/>
  <c r="B94" i="4"/>
  <c r="B93" i="4"/>
  <c r="J88" i="4"/>
  <c r="F88" i="4"/>
  <c r="J87" i="4"/>
  <c r="F87" i="4"/>
  <c r="J86" i="4"/>
  <c r="F86" i="4"/>
  <c r="J85" i="4"/>
  <c r="F85" i="4"/>
  <c r="J84" i="4"/>
  <c r="F84" i="4"/>
  <c r="J83" i="4"/>
  <c r="J82" i="4"/>
  <c r="J81" i="4"/>
  <c r="F81" i="4"/>
  <c r="J80" i="4"/>
  <c r="F80" i="4"/>
  <c r="J79" i="4"/>
  <c r="F79" i="4"/>
  <c r="F78" i="4"/>
  <c r="F77" i="4"/>
  <c r="F76" i="4"/>
  <c r="J75" i="4"/>
  <c r="J74" i="4"/>
  <c r="J73" i="4"/>
  <c r="F73" i="4"/>
  <c r="J72" i="4"/>
  <c r="F72" i="4"/>
  <c r="J71" i="4"/>
  <c r="F69" i="4"/>
  <c r="F68" i="4"/>
  <c r="J67" i="4"/>
  <c r="J66" i="4"/>
  <c r="J65" i="4"/>
  <c r="F65" i="4"/>
  <c r="J64" i="4"/>
  <c r="F64" i="4"/>
  <c r="J63" i="4"/>
  <c r="F63" i="4"/>
  <c r="J62" i="4"/>
  <c r="C62" i="4"/>
  <c r="F60" i="4"/>
  <c r="F59" i="4"/>
  <c r="J58" i="4"/>
  <c r="F58" i="4"/>
  <c r="J57" i="4"/>
  <c r="F57" i="4"/>
  <c r="F56" i="4"/>
  <c r="F55" i="4"/>
  <c r="F54" i="4"/>
  <c r="J53" i="4"/>
  <c r="F53" i="4"/>
  <c r="J52" i="4"/>
  <c r="F52" i="4"/>
  <c r="J51" i="4"/>
  <c r="F51" i="4"/>
  <c r="J50" i="4"/>
  <c r="J49" i="4"/>
  <c r="C49" i="4"/>
  <c r="J48" i="4"/>
  <c r="F48" i="4"/>
  <c r="J47" i="4"/>
  <c r="F47" i="4"/>
  <c r="J46" i="4"/>
  <c r="F46" i="4"/>
  <c r="J45" i="4"/>
  <c r="F45" i="4"/>
  <c r="J44" i="4"/>
  <c r="F44" i="4"/>
  <c r="J43" i="4"/>
  <c r="F43" i="4"/>
  <c r="J42" i="4"/>
  <c r="F42" i="4"/>
  <c r="F41" i="4"/>
  <c r="J40" i="4"/>
  <c r="F40" i="4"/>
  <c r="J39" i="4"/>
  <c r="J38" i="4"/>
  <c r="F37" i="4"/>
  <c r="F36" i="4"/>
  <c r="J34" i="4"/>
  <c r="J33" i="4"/>
  <c r="F33" i="4"/>
  <c r="J32" i="4"/>
  <c r="C31" i="4"/>
  <c r="B91" i="3"/>
  <c r="B90" i="3"/>
  <c r="B89" i="3"/>
  <c r="J84" i="3"/>
  <c r="F84" i="3"/>
  <c r="J83" i="3"/>
  <c r="F83" i="3"/>
  <c r="J82" i="3"/>
  <c r="F82" i="3"/>
  <c r="J81" i="3"/>
  <c r="F81" i="3"/>
  <c r="J80" i="3"/>
  <c r="F80" i="3"/>
  <c r="J79" i="3"/>
  <c r="J78" i="3"/>
  <c r="J77" i="3"/>
  <c r="F77" i="3"/>
  <c r="J76" i="3"/>
  <c r="F76" i="3"/>
  <c r="J75" i="3"/>
  <c r="F75" i="3"/>
  <c r="F74" i="3"/>
  <c r="F73" i="3"/>
  <c r="F72" i="3"/>
  <c r="J71" i="3"/>
  <c r="J70" i="3"/>
  <c r="J69" i="3"/>
  <c r="F69" i="3"/>
  <c r="J68" i="3"/>
  <c r="F68" i="3"/>
  <c r="J67" i="3"/>
  <c r="F65" i="3"/>
  <c r="F64" i="3"/>
  <c r="J63" i="3"/>
  <c r="J62" i="3"/>
  <c r="J61" i="3"/>
  <c r="F61" i="3"/>
  <c r="J60" i="3"/>
  <c r="F60" i="3"/>
  <c r="J59" i="3"/>
  <c r="F59" i="3"/>
  <c r="J58" i="3"/>
  <c r="C58" i="3"/>
  <c r="F56" i="3"/>
  <c r="F55" i="3"/>
  <c r="J54" i="3"/>
  <c r="F54" i="3"/>
  <c r="J53" i="3"/>
  <c r="F53" i="3"/>
  <c r="F52" i="3"/>
  <c r="F51" i="3"/>
  <c r="F50" i="3"/>
  <c r="J49" i="3"/>
  <c r="F49" i="3"/>
  <c r="J48" i="3"/>
  <c r="F48" i="3"/>
  <c r="J47" i="3"/>
  <c r="F47" i="3"/>
  <c r="J46" i="3"/>
  <c r="J45" i="3"/>
  <c r="C45" i="3"/>
  <c r="J44" i="3"/>
  <c r="F44" i="3"/>
  <c r="J43" i="3"/>
  <c r="F43" i="3"/>
  <c r="J42" i="3"/>
  <c r="F42" i="3"/>
  <c r="J41" i="3"/>
  <c r="F41" i="3"/>
  <c r="J40" i="3"/>
  <c r="F40" i="3"/>
  <c r="J39" i="3"/>
  <c r="F39" i="3"/>
  <c r="J38" i="3"/>
  <c r="F38" i="3"/>
  <c r="F37" i="3"/>
  <c r="J36" i="3"/>
  <c r="F36" i="3"/>
  <c r="J35" i="3"/>
  <c r="J34" i="3"/>
  <c r="F33" i="3"/>
  <c r="F32" i="3"/>
  <c r="J30" i="3"/>
  <c r="J29" i="3"/>
  <c r="F29" i="3"/>
  <c r="J28" i="3"/>
  <c r="C27" i="3"/>
  <c r="B113" i="2"/>
  <c r="B112" i="2"/>
  <c r="B111" i="2"/>
  <c r="B110" i="2"/>
  <c r="B109" i="2"/>
  <c r="J104" i="2"/>
  <c r="F104" i="2"/>
  <c r="J103" i="2"/>
  <c r="F103" i="2"/>
  <c r="J102" i="2"/>
  <c r="F102" i="2"/>
  <c r="J101" i="2"/>
  <c r="F101" i="2"/>
  <c r="J100" i="2"/>
  <c r="F100" i="2"/>
  <c r="J99" i="2"/>
  <c r="J98" i="2"/>
  <c r="J97" i="2"/>
  <c r="F97" i="2"/>
  <c r="J96" i="2"/>
  <c r="F96" i="2"/>
  <c r="J95" i="2"/>
  <c r="F95" i="2"/>
  <c r="F94" i="2"/>
  <c r="F93" i="2"/>
  <c r="F92" i="2"/>
  <c r="J91" i="2"/>
  <c r="J90" i="2"/>
  <c r="J89" i="2"/>
  <c r="F89" i="2"/>
  <c r="J88" i="2"/>
  <c r="F88" i="2"/>
  <c r="J87" i="2"/>
  <c r="F85" i="2"/>
  <c r="F84" i="2"/>
  <c r="J83" i="2"/>
  <c r="J82" i="2"/>
  <c r="J81" i="2"/>
  <c r="F81" i="2"/>
  <c r="J80" i="2"/>
  <c r="F80" i="2"/>
  <c r="J79" i="2"/>
  <c r="F79" i="2"/>
  <c r="J78" i="2"/>
  <c r="C78" i="2"/>
  <c r="F76" i="2"/>
  <c r="F75" i="2"/>
  <c r="J74" i="2"/>
  <c r="F74" i="2"/>
  <c r="J73" i="2"/>
  <c r="F73" i="2"/>
  <c r="F72" i="2"/>
  <c r="F71" i="2"/>
  <c r="F70" i="2"/>
  <c r="J69" i="2"/>
  <c r="F69" i="2"/>
  <c r="J68" i="2"/>
  <c r="F68" i="2"/>
  <c r="J67" i="2"/>
  <c r="F67" i="2"/>
  <c r="J66" i="2"/>
  <c r="J65" i="2"/>
  <c r="C65" i="2"/>
  <c r="J64" i="2"/>
  <c r="F64" i="2"/>
  <c r="J63" i="2"/>
  <c r="F63" i="2"/>
  <c r="J62" i="2"/>
  <c r="F62" i="2"/>
  <c r="J61" i="2"/>
  <c r="F61" i="2"/>
  <c r="J60" i="2"/>
  <c r="F60" i="2"/>
  <c r="J59" i="2"/>
  <c r="F59" i="2"/>
  <c r="J58" i="2"/>
  <c r="F58" i="2"/>
  <c r="F57" i="2"/>
  <c r="J56" i="2"/>
  <c r="F56" i="2"/>
  <c r="J55" i="2"/>
  <c r="J54" i="2"/>
  <c r="F53" i="2"/>
  <c r="F52" i="2"/>
  <c r="J50" i="2"/>
  <c r="J49" i="2"/>
  <c r="F49" i="2"/>
  <c r="J48" i="2"/>
  <c r="C47" i="2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<sst xmlns="http://schemas.openxmlformats.org/spreadsheetml/2006/main" count="9634" uniqueCount="2340">
  <si>
    <t>Fecha</t>
  </si>
  <si>
    <t>Nombre</t>
  </si>
  <si>
    <t>Dirección</t>
  </si>
  <si>
    <t>Tipo</t>
  </si>
  <si>
    <t>Origen</t>
  </si>
  <si>
    <t>Monto</t>
  </si>
  <si>
    <t>Servicio</t>
  </si>
  <si>
    <t>Comentarios con llamada posterior a venta</t>
  </si>
  <si>
    <t>Promedios</t>
  </si>
  <si>
    <t>Total vendido</t>
  </si>
  <si>
    <t>Venta</t>
  </si>
  <si>
    <t>Tapete</t>
  </si>
  <si>
    <t>servicio</t>
  </si>
  <si>
    <t>Lana</t>
  </si>
  <si>
    <t>Dias del mes laborales</t>
  </si>
  <si>
    <t>venta diaria</t>
  </si>
  <si>
    <t>Sintético</t>
  </si>
  <si>
    <t>Total de servicios</t>
  </si>
  <si>
    <t>Seda</t>
  </si>
  <si>
    <t xml:space="preserve"> </t>
  </si>
  <si>
    <t>Tipo de cliente</t>
  </si>
  <si>
    <t>Servicios Res</t>
  </si>
  <si>
    <t>Res</t>
  </si>
  <si>
    <t>Servicios Com</t>
  </si>
  <si>
    <t>Com</t>
  </si>
  <si>
    <t>Sala tela</t>
  </si>
  <si>
    <t>todo fijo</t>
  </si>
  <si>
    <t>Tipo de mueble:</t>
  </si>
  <si>
    <t>Tipo de mueble</t>
  </si>
  <si>
    <t>Resaldo o asiento removible</t>
  </si>
  <si>
    <t>Alfombra</t>
  </si>
  <si>
    <t>Todo removible</t>
  </si>
  <si>
    <t>Sala</t>
  </si>
  <si>
    <t>Sala 1 p</t>
  </si>
  <si>
    <t>Sala piel</t>
  </si>
  <si>
    <t>Sala 2 p</t>
  </si>
  <si>
    <t>Sillas</t>
  </si>
  <si>
    <t>Sala 3 p</t>
  </si>
  <si>
    <t>Autos</t>
  </si>
  <si>
    <t>Sala 4 p</t>
  </si>
  <si>
    <t>Colchones</t>
  </si>
  <si>
    <t>Sala 5 p</t>
  </si>
  <si>
    <t>Futón</t>
  </si>
  <si>
    <t>Sala 6 p</t>
  </si>
  <si>
    <t>Otro</t>
  </si>
  <si>
    <t>Sala 7 p</t>
  </si>
  <si>
    <t>Total de muebles</t>
  </si>
  <si>
    <t>Sala 8 p</t>
  </si>
  <si>
    <t>Tipo de servicio</t>
  </si>
  <si>
    <t>Sala 9 p</t>
  </si>
  <si>
    <t>Tipo de servicio:</t>
  </si>
  <si>
    <t>Senc</t>
  </si>
  <si>
    <t>Sala 10 p</t>
  </si>
  <si>
    <t>Eco</t>
  </si>
  <si>
    <t>Sala 11 p</t>
  </si>
  <si>
    <t>Prot</t>
  </si>
  <si>
    <t>Sala 12 p</t>
  </si>
  <si>
    <t>Prem</t>
  </si>
  <si>
    <t>Healty</t>
  </si>
  <si>
    <t>Protex</t>
  </si>
  <si>
    <t>Aspirado</t>
  </si>
  <si>
    <t>Sólo asiento</t>
  </si>
  <si>
    <t>Extracción</t>
  </si>
  <si>
    <t>Asiento y respaldo</t>
  </si>
  <si>
    <t>Piel</t>
  </si>
  <si>
    <t>PURT</t>
  </si>
  <si>
    <t>Autos tela</t>
  </si>
  <si>
    <t>Total de servicios:</t>
  </si>
  <si>
    <t>Satisfacción</t>
  </si>
  <si>
    <t>Chico</t>
  </si>
  <si>
    <t>Satisfechos</t>
  </si>
  <si>
    <t>Mediano</t>
  </si>
  <si>
    <t>Clientes satisfechos</t>
  </si>
  <si>
    <t>Insatisfechos</t>
  </si>
  <si>
    <t>Grande</t>
  </si>
  <si>
    <t>Clientes insatisfechos</t>
  </si>
  <si>
    <t>Sin Respuesta</t>
  </si>
  <si>
    <t>Camioneta</t>
  </si>
  <si>
    <t>Clientes sin respuesta</t>
  </si>
  <si>
    <t>Pick up</t>
  </si>
  <si>
    <t>Pick up doble cabina</t>
  </si>
  <si>
    <t>1a vez</t>
  </si>
  <si>
    <t>1a Vez</t>
  </si>
  <si>
    <t>Repite</t>
  </si>
  <si>
    <t>Tipo de Repetición</t>
  </si>
  <si>
    <t>Cuna</t>
  </si>
  <si>
    <t>Entrada</t>
  </si>
  <si>
    <t>Ind</t>
  </si>
  <si>
    <t>Salida</t>
  </si>
  <si>
    <t>Mat</t>
  </si>
  <si>
    <t>QS</t>
  </si>
  <si>
    <t>Tipo de publicidad</t>
  </si>
  <si>
    <t>KS</t>
  </si>
  <si>
    <t>Publicidad</t>
  </si>
  <si>
    <t>Internet</t>
  </si>
  <si>
    <t>Recomendación</t>
  </si>
  <si>
    <t>Folletos</t>
  </si>
  <si>
    <t>Vendedores</t>
  </si>
  <si>
    <t>Taburete</t>
  </si>
  <si>
    <t>Repetición</t>
  </si>
  <si>
    <t>Cabecera</t>
  </si>
  <si>
    <t>Carriola y porta bebé</t>
  </si>
  <si>
    <t>Piso</t>
  </si>
  <si>
    <t>Municipio</t>
  </si>
  <si>
    <t>Cojines</t>
  </si>
  <si>
    <t>Total de Municipios</t>
  </si>
  <si>
    <t>Zapopan</t>
  </si>
  <si>
    <t>Banca</t>
  </si>
  <si>
    <t>Guadalajara</t>
  </si>
  <si>
    <t>Banco</t>
  </si>
  <si>
    <t>Tlaquepaque</t>
  </si>
  <si>
    <t>Reposet</t>
  </si>
  <si>
    <t>Tlajomulco</t>
  </si>
  <si>
    <t>Colchón interno</t>
  </si>
  <si>
    <t>Tonalá</t>
  </si>
  <si>
    <t>Torre de gatos</t>
  </si>
  <si>
    <t>El Salto</t>
  </si>
  <si>
    <t>Ventas</t>
  </si>
  <si>
    <t>Rep</t>
  </si>
  <si>
    <t>Rec</t>
  </si>
  <si>
    <t>Folio sistema</t>
  </si>
  <si>
    <t>Folio interno</t>
  </si>
  <si>
    <t>Tel</t>
  </si>
  <si>
    <t>90 Dias</t>
  </si>
  <si>
    <t>6 Meses</t>
  </si>
  <si>
    <t>1 Año</t>
  </si>
  <si>
    <t>Mes</t>
  </si>
  <si>
    <t>Venta mensual bruta</t>
  </si>
  <si>
    <t>Gastos</t>
  </si>
  <si>
    <t>Ganancia</t>
  </si>
  <si>
    <t>Venta diaria</t>
  </si>
  <si>
    <t>Venta promedio</t>
  </si>
  <si>
    <t>No. Servicios</t>
  </si>
  <si>
    <t>% Cliente Res</t>
  </si>
  <si>
    <t>% Rep</t>
  </si>
  <si>
    <t>Mueble</t>
  </si>
  <si>
    <t>Paquete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</si>
  <si>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</si>
  <si>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</si>
  <si>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</si>
  <si>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</si>
  <si>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</si>
  <si>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</si>
  <si>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</si>
  <si>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</si>
  <si>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</si>
  <si>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</si>
  <si>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</si>
  <si>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</si>
  <si>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</si>
  <si>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</si>
  <si>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</si>
  <si>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</si>
  <si>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</si>
  <si>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</si>
  <si>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</si>
  <si>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</si>
  <si>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</si>
  <si>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</si>
  <si>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</si>
  <si>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</si>
  <si>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</si>
  <si>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sala</t>
  </si>
  <si>
    <t>Todo fijo</t>
  </si>
  <si>
    <t>A o R removible</t>
  </si>
  <si>
    <t>Todo Removible</t>
  </si>
  <si>
    <t>Plazas</t>
  </si>
  <si>
    <t>1 Plaza</t>
  </si>
  <si>
    <t>2 Plazas</t>
  </si>
  <si>
    <t>3 Plazas</t>
  </si>
  <si>
    <t>4 Plazas</t>
  </si>
  <si>
    <t>5 Plazas</t>
  </si>
  <si>
    <t>6 Plazas</t>
  </si>
  <si>
    <t>7 Plazas</t>
  </si>
  <si>
    <t>8 Plazas</t>
  </si>
  <si>
    <t>9 Plazas</t>
  </si>
  <si>
    <t>10 Plazas</t>
  </si>
  <si>
    <t>11 Plazas</t>
  </si>
  <si>
    <t>12 Plazas</t>
  </si>
  <si>
    <t>Asiento</t>
  </si>
  <si>
    <t>Tipo de venta</t>
  </si>
  <si>
    <t>num de Serv</t>
  </si>
  <si>
    <t>Venta total</t>
  </si>
  <si>
    <t>Venta de internet</t>
  </si>
  <si>
    <t>Pago de Internet</t>
  </si>
  <si>
    <t>Relación gasto / Venta</t>
  </si>
  <si>
    <t>1/24</t>
  </si>
  <si>
    <t>Maritza Lemus</t>
  </si>
  <si>
    <t>33-1042-4323</t>
  </si>
  <si>
    <t>Tejocote #1784 Fracc Las Torres, Gdl</t>
  </si>
  <si>
    <t>Colchón KS, Eco</t>
  </si>
  <si>
    <t>2/24</t>
  </si>
  <si>
    <t>Julia María Testa</t>
  </si>
  <si>
    <t>33-3221-1399</t>
  </si>
  <si>
    <t>Volcán Krakatoa #5827 Int 2 Col Huentitán El Bajo, Zapopan</t>
  </si>
  <si>
    <t>Int</t>
  </si>
  <si>
    <t>Sala 3 p t r, Sillas a y r, Eco, PURT</t>
  </si>
  <si>
    <t>Se manda WA, todo perfecto</t>
  </si>
  <si>
    <t>3/24</t>
  </si>
  <si>
    <t>4/24</t>
  </si>
  <si>
    <t>Daniel Estrada /extravida</t>
  </si>
  <si>
    <t>33-2244-6274</t>
  </si>
  <si>
    <t>Paseo de los fresnos #50 Col Pinar de la Venta, Zapopan</t>
  </si>
  <si>
    <t>Colchón mat, QS, cabecera QS, Prem, PURT</t>
  </si>
  <si>
    <t>Se manda WA, excelente, ya nos recomendó</t>
  </si>
  <si>
    <t>Verónica Nava</t>
  </si>
  <si>
    <t>33-1465-2951</t>
  </si>
  <si>
    <t>San Antonio #2472 Coto Viveros del Valle, Col Jardines del Valle, Zapopan</t>
  </si>
  <si>
    <t>Sala 6 p t f, Healty</t>
  </si>
  <si>
    <t>Quedó super bien</t>
  </si>
  <si>
    <t>5/24</t>
  </si>
  <si>
    <t>6/24</t>
  </si>
  <si>
    <t>Jorge Fernández</t>
  </si>
  <si>
    <t>33-1149-9359</t>
  </si>
  <si>
    <t>Aguamarina #2830 Cd. Del sol, Zapopan</t>
  </si>
  <si>
    <t>Interior camioneta, Piel</t>
  </si>
  <si>
    <t>Muy bien</t>
  </si>
  <si>
    <t>Se manda WA, parece que bien, llamó x que se perdió un collar</t>
  </si>
  <si>
    <t>Alfredo Cabrales Cervantes</t>
  </si>
  <si>
    <t>33-2256-1887</t>
  </si>
  <si>
    <t>Rinconada del Camichín #1570 Col Real de Valdepeñas, Zapopan</t>
  </si>
  <si>
    <t>Sala 3 p t f, Colchón KS, Senc, Sala 6 p t f Piel</t>
  </si>
  <si>
    <t>Se regresará a repasar, la hidratación de la piel no quedó pareja</t>
  </si>
  <si>
    <t>7/24</t>
  </si>
  <si>
    <t>Fernanda Aguilera</t>
  </si>
  <si>
    <t>33-3477-9441</t>
  </si>
  <si>
    <t>Manuel Dieguez #260 Col Sta Teresita, Zapopan</t>
  </si>
  <si>
    <t>Sala 5 p r r, Eco</t>
  </si>
  <si>
    <t>Se manda WA</t>
  </si>
  <si>
    <t>8/24</t>
  </si>
  <si>
    <t>9/24</t>
  </si>
  <si>
    <t>10/24</t>
  </si>
  <si>
    <t>Miguel Angel Gaytán</t>
  </si>
  <si>
    <t>33-3480-1525</t>
  </si>
  <si>
    <t>Rincón de Miramontes #9000 Int 7 Col. Tesoros del Nilo, Tlaque</t>
  </si>
  <si>
    <t>2 tapetes sint, Eco, PURT</t>
  </si>
  <si>
    <t>Se manda WA, no contesta</t>
  </si>
  <si>
    <t>Liliana Soto</t>
  </si>
  <si>
    <t>33-1634-4679</t>
  </si>
  <si>
    <t>Paseo Lomas Altas #3986 Int 14-15 Col Loma Real, Zapopan</t>
  </si>
  <si>
    <t>Tapete de lana, Prot</t>
  </si>
  <si>
    <t>Arcadio Cornejo Gutíerrez</t>
  </si>
  <si>
    <t>33-3170-7776</t>
  </si>
  <si>
    <t>San Gabriel #12 Col Vista Del Angel, Jocotepec</t>
  </si>
  <si>
    <t>Sala 6 p t r, Colchón King, Coj, Prot</t>
  </si>
  <si>
    <t>Se manda WA, todo bien</t>
  </si>
  <si>
    <t>11/24</t>
  </si>
  <si>
    <t>12/24</t>
  </si>
  <si>
    <t>Susana Rocha De Rojas</t>
  </si>
  <si>
    <t>33-3676-2984</t>
  </si>
  <si>
    <t>Av Pablo Neruda #2595 Int 1-E Col Providencia, Zapopan</t>
  </si>
  <si>
    <t>Tapete sint, Healty, PURT</t>
  </si>
  <si>
    <t>Excelente</t>
  </si>
  <si>
    <t>Yolanda Ruiz Gallardo</t>
  </si>
  <si>
    <t>33-3831-2361</t>
  </si>
  <si>
    <t>Priv Rincón de miramontes #9000 casa 4 Coto Turquesa, Tlaque</t>
  </si>
  <si>
    <t>Sala 6 p t f, Prot</t>
  </si>
  <si>
    <t>13/24</t>
  </si>
  <si>
    <t>14/24</t>
  </si>
  <si>
    <t>15/24</t>
  </si>
  <si>
    <t>Ingrid García de la Rosa</t>
  </si>
  <si>
    <t>33-1699-7710</t>
  </si>
  <si>
    <t>Blvd Pta de Hierro #5430 Int 1201 Piso 9, Zapopan</t>
  </si>
  <si>
    <t>Sala 8 p r r, Tapete sint, Senc, PURT</t>
  </si>
  <si>
    <t>Se regresa a repasar esquinas, siguen oliendo a orina</t>
  </si>
  <si>
    <t>Se manda WA, muy bien</t>
  </si>
  <si>
    <t>Liliana Alvarez Navarro</t>
  </si>
  <si>
    <t>33-3201-4739</t>
  </si>
  <si>
    <t>Riconada Villalta #1188 Col Las Alamedas, Zapopan</t>
  </si>
  <si>
    <t>Sala 6 p t f, Sillas s a, Interior tela coche med, Eco</t>
  </si>
  <si>
    <t>Sonia Pérez</t>
  </si>
  <si>
    <t>33-2312-7537</t>
  </si>
  <si>
    <t>Pavo #135 Of 102, col Centro, Gdl</t>
  </si>
  <si>
    <t>Alfombra, Eco</t>
  </si>
  <si>
    <t>Se manda WA, se nota el cambio, pero no quedaron al 100, por ser tan viejas</t>
  </si>
  <si>
    <t>16/24</t>
  </si>
  <si>
    <t>17/24</t>
  </si>
  <si>
    <t>Luis Alberto Espinoza Rubalcaba</t>
  </si>
  <si>
    <t>33-3258-8654</t>
  </si>
  <si>
    <t>Jacarandas #2 Col El Alamo, Tala</t>
  </si>
  <si>
    <t>Sala 7 p r r, Sala 2 p t f, Prem</t>
  </si>
  <si>
    <t>Alejandra Lárraga</t>
  </si>
  <si>
    <t>33-3946-6093</t>
  </si>
  <si>
    <t>Paseo de las Camelis #192 Col Cd. Buga, Zapopan</t>
  </si>
  <si>
    <t>Alfombra senc</t>
  </si>
  <si>
    <t>18/24</t>
  </si>
  <si>
    <t>Mayela Arteaga</t>
  </si>
  <si>
    <t>33-1393-1505</t>
  </si>
  <si>
    <t>Fidel Velázquez #2225, Zapopan</t>
  </si>
  <si>
    <t>19/24</t>
  </si>
  <si>
    <t>20/24</t>
  </si>
  <si>
    <t>Ma de las Nieves Gutiérrez</t>
  </si>
  <si>
    <t>33-3662-8331</t>
  </si>
  <si>
    <t>Río de la Plata #2487 Depto 1002 Col Colomos Providencia, Zapopan</t>
  </si>
  <si>
    <t>Sala 6 p t r, Banca, Sala 1 p t r, Sala 4 p t f, Tapete de lana, Prot</t>
  </si>
  <si>
    <t>Se manda WA, le encantó nos super recomendara</t>
  </si>
  <si>
    <t>Se madna WA, muy bien excelente servicio</t>
  </si>
  <si>
    <t>Tel fijo</t>
  </si>
  <si>
    <t>Celeste Gallegos</t>
  </si>
  <si>
    <t>33-2032-1164</t>
  </si>
  <si>
    <t>José Othón Nuñez #3608 Col Lomas de Polanco, Tlaque</t>
  </si>
  <si>
    <t>Colchón QS, Eco</t>
  </si>
  <si>
    <t>No se llama, cutre, y exigentes</t>
  </si>
  <si>
    <t>21/24</t>
  </si>
  <si>
    <t>Ma Guadalupe Solis</t>
  </si>
  <si>
    <t>33-1075-1449</t>
  </si>
  <si>
    <t>Santa Cecilia #605 Casa 37 Col Santa Margarita, Zapopan</t>
  </si>
  <si>
    <t>Sala 6 p t f, Sillas s a, Interior tela coche chico, Prem</t>
  </si>
  <si>
    <t>22/24</t>
  </si>
  <si>
    <t>23/24</t>
  </si>
  <si>
    <t>24/24</t>
  </si>
  <si>
    <t>25/24</t>
  </si>
  <si>
    <t>26/24</t>
  </si>
  <si>
    <t>Beatriz Hermosillo</t>
  </si>
  <si>
    <t>33-3570-6111</t>
  </si>
  <si>
    <t>Turín #2912 Col Providencia, Zapopan</t>
  </si>
  <si>
    <t>Tapete de algodón, Healty</t>
  </si>
  <si>
    <t>Se manda WA, muy bien, muy satifecha</t>
  </si>
  <si>
    <t>Sara Moreno</t>
  </si>
  <si>
    <t>33-1458-1758</t>
  </si>
  <si>
    <t>Agua escondida #2494-A Col El Campanario, Zapopan</t>
  </si>
  <si>
    <t>Sillas a y r Senc</t>
  </si>
  <si>
    <t>Quería los tapetes del año pasado, como no eran la medida presupuestada, no lo quiso</t>
  </si>
  <si>
    <t>Alfombra, Senc</t>
  </si>
  <si>
    <t>33-3149-5453</t>
  </si>
  <si>
    <t>Paseo Lomas Altas #4820 Casa 3 Col Lomas del Valle, Zapopan</t>
  </si>
  <si>
    <t>Marista</t>
  </si>
  <si>
    <t>Sala 6 p t f, Silla a y r, Tapete sint, Healty</t>
  </si>
  <si>
    <t>Ramiro González</t>
  </si>
  <si>
    <t>33-3115-5589</t>
  </si>
  <si>
    <t>Acuario #87 Coto California Fracc Loreto, Tlaque</t>
  </si>
  <si>
    <t>Sala 3 t f, Colchón Mat, 2 Ind, Senc</t>
  </si>
  <si>
    <t>27/24</t>
  </si>
  <si>
    <t>28/24</t>
  </si>
  <si>
    <t>Isaac Carranza</t>
  </si>
  <si>
    <t>33-3446-1926</t>
  </si>
  <si>
    <t>Valle de los álmos #2761 Col Jardines del Valle, Zapopan</t>
  </si>
  <si>
    <t>Sala 5 p a r, Eco</t>
  </si>
  <si>
    <t>Se regresa a repasar, y ya queda bien</t>
  </si>
  <si>
    <t>Roberto Espinoza</t>
  </si>
  <si>
    <t>33-1451-3625</t>
  </si>
  <si>
    <t>Atmósfera #2820 Col Jardines del Bosque, Gdl</t>
  </si>
  <si>
    <t>Colchón QS, Cabecera, base, Eco</t>
  </si>
  <si>
    <t>Se manda WA, no lo ha checado</t>
  </si>
  <si>
    <t>Se manda WA, muy satisfecha, quedo como nueva</t>
  </si>
  <si>
    <t>Se manda WA, le encantó, nos seguira buscando</t>
  </si>
  <si>
    <t>29/24</t>
  </si>
  <si>
    <t>30/24</t>
  </si>
  <si>
    <t>31/24</t>
  </si>
  <si>
    <t>Sergio González</t>
  </si>
  <si>
    <t>33-3389-2666</t>
  </si>
  <si>
    <t>La Cima Coto B, Casa 85, Zapopan</t>
  </si>
  <si>
    <t>Sillas a y r, Prem</t>
  </si>
  <si>
    <t>Se manda WA, bien, le gusto</t>
  </si>
  <si>
    <t>Bertha Aurora Nuñez</t>
  </si>
  <si>
    <t>33-3190-7206</t>
  </si>
  <si>
    <t>Hda Sta Lucía #65 Col Rinconada de Altamira, Zapopan</t>
  </si>
  <si>
    <t>Alfombra, Sala 4 p t r, Sala 1 p t f, Senc</t>
  </si>
  <si>
    <t>Estefanía Cárdenas</t>
  </si>
  <si>
    <t>33-3577-2684</t>
  </si>
  <si>
    <t>Libra #478 Col Lomas Altas, Zapopan</t>
  </si>
  <si>
    <t>Gdl</t>
  </si>
  <si>
    <t>Tlaque</t>
  </si>
  <si>
    <t>Jocotepec</t>
  </si>
  <si>
    <t>Tala</t>
  </si>
  <si>
    <t>32/24</t>
  </si>
  <si>
    <t>33/24</t>
  </si>
  <si>
    <t>Mónica Pérez</t>
  </si>
  <si>
    <t>Morelos #2129 Depto 9 Col Arcos Vallarta, Zapopan</t>
  </si>
  <si>
    <t>33-1845-1069</t>
  </si>
  <si>
    <t>3 tapetes sint, Prot</t>
  </si>
  <si>
    <t>Se manda WA, muy bien, como siempre</t>
  </si>
  <si>
    <t>Se madna WA, todo super bien</t>
  </si>
  <si>
    <t>Martha Salas</t>
  </si>
  <si>
    <t>33-3171-7294</t>
  </si>
  <si>
    <t>La rioja #3102 Col Colomos Provi, Zapopan</t>
  </si>
  <si>
    <t>Sala 6 p t f, Tapete sint, Prot</t>
  </si>
  <si>
    <t>Alfonso Lopez</t>
  </si>
  <si>
    <t>sillas asiento, healthy</t>
  </si>
  <si>
    <t>Rodolfo Perez</t>
  </si>
  <si>
    <t>Sala 5 p r r, Prot, PURT</t>
  </si>
  <si>
    <t>34/24</t>
  </si>
  <si>
    <t>33-1672-8255</t>
  </si>
  <si>
    <t>Paseo San Arturo Sur #2766 Valle Real, Zapopan</t>
  </si>
  <si>
    <t xml:space="preserve">Sillas s a, Healthy </t>
  </si>
  <si>
    <t>Todo Bien</t>
  </si>
  <si>
    <t>se mada WA, lo va a revisar</t>
  </si>
  <si>
    <t>SE manda WA, no contesta</t>
  </si>
  <si>
    <t>35/24</t>
  </si>
  <si>
    <t>33-3100-6735</t>
  </si>
  <si>
    <t>Napoles 32 Valle Real. Zapopan</t>
  </si>
  <si>
    <t>Sala r r, Prot</t>
  </si>
  <si>
    <t>Todo bien</t>
  </si>
  <si>
    <t>36/24</t>
  </si>
  <si>
    <t>37/24</t>
  </si>
  <si>
    <t>38/24</t>
  </si>
  <si>
    <t>39/24</t>
  </si>
  <si>
    <t>40/24</t>
  </si>
  <si>
    <t>Jorge Leanza</t>
  </si>
  <si>
    <t>33-3100-0485</t>
  </si>
  <si>
    <t>Av Naciones Unidas #7500 Coto Castaños casa 101 Zapopan</t>
  </si>
  <si>
    <t>Tapete sint, Prot, PURT</t>
  </si>
  <si>
    <t>Tapete sint, Prem</t>
  </si>
  <si>
    <t>Fary Martínez</t>
  </si>
  <si>
    <t>33-3157-7021</t>
  </si>
  <si>
    <t>Nápoles #3165 Int 2 Col Providencia, Zapopa</t>
  </si>
  <si>
    <t>tapete de lana, Tapete sint, Prem, PURT</t>
  </si>
  <si>
    <t>Muy bien, como siempre</t>
  </si>
  <si>
    <t>33-1721-1607</t>
  </si>
  <si>
    <t>Av Unión #601 %o Piso Col Americana Torre Altius, Gdl</t>
  </si>
  <si>
    <t>Sala 2 p t r, Tab, Tapete sint, Eco</t>
  </si>
  <si>
    <t>Pablo Castillo</t>
  </si>
  <si>
    <t>33-3440-4044</t>
  </si>
  <si>
    <t>Mario Jiménez #418 Col República e Industria, Gdl</t>
  </si>
  <si>
    <t>Sala 6 p r r, 5 reposet, Senc</t>
  </si>
  <si>
    <t>41/24</t>
  </si>
  <si>
    <t>Claudia Sanchez</t>
  </si>
  <si>
    <t>33-1270-7829</t>
  </si>
  <si>
    <t>Sebastían Allende #628, Zapopan</t>
  </si>
  <si>
    <t>Colchón KS, Futón, Healty, PURT</t>
  </si>
  <si>
    <t>42/24</t>
  </si>
  <si>
    <t>Raquel</t>
  </si>
  <si>
    <t>33-1000-2424</t>
  </si>
  <si>
    <t>Richard Wagner #5169 Col La estancia, Zapopan</t>
  </si>
  <si>
    <t>Sala 3 p t f, Healty</t>
  </si>
  <si>
    <t>43/24</t>
  </si>
  <si>
    <t>René De La Torre</t>
  </si>
  <si>
    <t>Sala 4 p r r, Colchón KS, Healty</t>
  </si>
  <si>
    <t>Es amigo, Raúl lo checa</t>
  </si>
  <si>
    <t>44/24</t>
  </si>
  <si>
    <t>Josefina López</t>
  </si>
  <si>
    <t>33-3952-1097</t>
  </si>
  <si>
    <t>Plateros #2432 Col Jardines del Country, Zapopan</t>
  </si>
  <si>
    <t>45/24</t>
  </si>
  <si>
    <t>Javier Hernández</t>
  </si>
  <si>
    <t>33-2229-3756</t>
  </si>
  <si>
    <t>lópez Velarde #46, Zapopan</t>
  </si>
  <si>
    <t>Interior de coche med Eco</t>
  </si>
  <si>
    <t>Quedó con el vidrio un poco salpicado</t>
  </si>
  <si>
    <t>46/24</t>
  </si>
  <si>
    <t>47/24</t>
  </si>
  <si>
    <t>Esmeralda Chávez</t>
  </si>
  <si>
    <t>33-2925-0219</t>
  </si>
  <si>
    <t>Blvd Pta de Hierro #5210 Torre Cube Int 8C Col Pta de Hierro, Zapopan</t>
  </si>
  <si>
    <t>Alfombra Eco</t>
  </si>
  <si>
    <t>Se madna WA, quedó muy bien</t>
  </si>
  <si>
    <t>Quedaron con los pelos parados</t>
  </si>
  <si>
    <t>Se manda WA, bien, pero con una pequeña mancha</t>
  </si>
  <si>
    <t>Se manda WA, lo va a revisar</t>
  </si>
  <si>
    <t>Marcela Valencia / Van Diex Importaciones</t>
  </si>
  <si>
    <t>33-3952-5540</t>
  </si>
  <si>
    <t>Av Plan de San Luis #1842 Col Chapultepéc Country, Zapopan</t>
  </si>
  <si>
    <t>Sillas a y r, prot</t>
  </si>
  <si>
    <t>Quedaron con manchas de agua, se regresa</t>
  </si>
  <si>
    <t>48/24</t>
  </si>
  <si>
    <t>Georgina Sanchez</t>
  </si>
  <si>
    <t>33-1343-0826</t>
  </si>
  <si>
    <t>Av Naciones Unidas #5776 Coto Bristol Casa 34, Zapopan</t>
  </si>
  <si>
    <t>Silla a y r Senc</t>
  </si>
  <si>
    <t>49/24</t>
  </si>
  <si>
    <t>Yeimi de La Cruz</t>
  </si>
  <si>
    <t>66-9311-4954</t>
  </si>
  <si>
    <t>José Ma Vigil #2436 Depto 9D Col Italia Prov, Zapopan</t>
  </si>
  <si>
    <t>Tapete sint, Eco PURT</t>
  </si>
  <si>
    <t>Se manda WA, quedaron unas manchas, pero no se repite, solo quiere sillas siempre</t>
  </si>
  <si>
    <t>50/24</t>
  </si>
  <si>
    <t>51/24</t>
  </si>
  <si>
    <t>52/24</t>
  </si>
  <si>
    <t>53/24</t>
  </si>
  <si>
    <t>54/24</t>
  </si>
  <si>
    <t>55/24</t>
  </si>
  <si>
    <t>Sra Lulú</t>
  </si>
  <si>
    <t>81-8656-8404</t>
  </si>
  <si>
    <t>Paseo Lomas Altas #4777 Jacaranda D302, Zapopan</t>
  </si>
  <si>
    <t>Colchón Mat, Colchón KS, Sala 2 p t r, Tapete sint, Healty</t>
  </si>
  <si>
    <t>Patricia Reyes Mancilla</t>
  </si>
  <si>
    <t>33-1064-7339</t>
  </si>
  <si>
    <t>Cda. Sta Ma #3687 Int 10 Col Balcones de Sta Ma, Tlaque</t>
  </si>
  <si>
    <t>Colchon Ind Prem</t>
  </si>
  <si>
    <t>2 Tapete sint Prem</t>
  </si>
  <si>
    <t>Se manda WA, todo increible</t>
  </si>
  <si>
    <t>Bibiana Salcedo</t>
  </si>
  <si>
    <t>33-3363-5415</t>
  </si>
  <si>
    <t>Paseo Lomas del Bosque #4389 Casa 21 Cond El Prado, Zapopan</t>
  </si>
  <si>
    <t>2 Tapete de lana Eco, PURT</t>
  </si>
  <si>
    <t>Michelle Barrios / Construlatam</t>
  </si>
  <si>
    <t>33-3968-7683</t>
  </si>
  <si>
    <t>Lázaro Cárdenas #3720 Col Jardines de Sn Ignacio, Zapopan</t>
  </si>
  <si>
    <t>Alfombra Prot</t>
  </si>
  <si>
    <t>Alan González</t>
  </si>
  <si>
    <t>33-1672-5310</t>
  </si>
  <si>
    <t>Marquina #1754 Fracc Urbi Quinta Montecarlo, Tonalá</t>
  </si>
  <si>
    <t>Sala 5 p t r, Eco</t>
  </si>
  <si>
    <t>MUY lejos</t>
  </si>
  <si>
    <t>56/24</t>
  </si>
  <si>
    <t>57/24</t>
  </si>
  <si>
    <t>58/24</t>
  </si>
  <si>
    <t>59/24</t>
  </si>
  <si>
    <t>Norma Altamirano</t>
  </si>
  <si>
    <t>47-7274-9682</t>
  </si>
  <si>
    <t>Av Paseo Valle Real #3000 Fracc Reserva Real Casa 92 Zapopan</t>
  </si>
  <si>
    <t>Tapete de viscosa, Prem</t>
  </si>
  <si>
    <t>Todo muy bien</t>
  </si>
  <si>
    <t>Gloria Hernández Armenta</t>
  </si>
  <si>
    <t>33-2239-4598</t>
  </si>
  <si>
    <t>Circ Parques del Centinela #727 Fracc Parques del Centinela, Zapopan</t>
  </si>
  <si>
    <t>Colchón KS, Sillas s a, Healty</t>
  </si>
  <si>
    <t>Blanca Alicia Pérez Ureda</t>
  </si>
  <si>
    <t>33-1850-4137</t>
  </si>
  <si>
    <t>Valle del Balsas #2195 Col Jardines del Valle, Zapopan</t>
  </si>
  <si>
    <t>Colchón QS, Senc</t>
  </si>
  <si>
    <t>Paola Contreras</t>
  </si>
  <si>
    <t>33-3170-3577</t>
  </si>
  <si>
    <t>Calz Sn Juan #1343 Int 1 Col Cd Granja, Zapopan</t>
  </si>
  <si>
    <t>Colchón Mat, Healty</t>
  </si>
  <si>
    <t>Leticia Avila Chiquini</t>
  </si>
  <si>
    <t>Se madna WA, quedaron con los pelos parados</t>
  </si>
  <si>
    <t>Sala 6 p t r, Colchón KS, Coj, Prot</t>
  </si>
  <si>
    <t>60/24</t>
  </si>
  <si>
    <t>61/24</t>
  </si>
  <si>
    <t>62/24</t>
  </si>
  <si>
    <t>63/24</t>
  </si>
  <si>
    <t>64/24</t>
  </si>
  <si>
    <t>Ma de la Luz Durán Ortega</t>
  </si>
  <si>
    <t>33-1479-4270</t>
  </si>
  <si>
    <t>Barrica #152 Coto C´órdova Col Real de Valdepeñas, Zapopan</t>
  </si>
  <si>
    <t>Tapete de algodón, Prem</t>
  </si>
  <si>
    <t>Lo va a checar</t>
  </si>
  <si>
    <t>Kalondy Franco Weckman</t>
  </si>
  <si>
    <t>36-7935-0978</t>
  </si>
  <si>
    <t>Av Méx #5000 Juan Manuel Vallarta Depto 186 Torre 200 Urban, Zapopan</t>
  </si>
  <si>
    <t>Tapete de lana, Prem, PURT</t>
  </si>
  <si>
    <t>Sherezada Bejos Navarro</t>
  </si>
  <si>
    <t>33-1293-2260</t>
  </si>
  <si>
    <t>Carr Base Aérea #6170 Armonía Hábitat Int Igualdad casa D3 Col Jardines del Valle, Zapopan</t>
  </si>
  <si>
    <t>Colchón Mat Prem, PURT</t>
  </si>
  <si>
    <t>Lo va a checar, pero parece que bien</t>
  </si>
  <si>
    <t>Pta Plata Casa Luna #14, Zapopan</t>
  </si>
  <si>
    <t>Rocío Zepeda</t>
  </si>
  <si>
    <t>33-3950-9403</t>
  </si>
  <si>
    <t>Sala 6 p a r, Banca, Senc</t>
  </si>
  <si>
    <t>Socorro González</t>
  </si>
  <si>
    <t>33-1105-3942</t>
  </si>
  <si>
    <t>Av San Juan Bosco #918 Col Lomas de Sn Gonzalo, Zapopan</t>
  </si>
  <si>
    <t>Sala 2 p t f, Sala 2 p t r, Senc</t>
  </si>
  <si>
    <t>Repite, pide muy poco y se queja, muy sucio</t>
  </si>
  <si>
    <t>65/24</t>
  </si>
  <si>
    <t>Karla Vargas / Dr. Mauricio Ramíerz</t>
  </si>
  <si>
    <t>33-1323-2290</t>
  </si>
  <si>
    <t>Ontario #1728 Depto 802 Col Provi, Zapopan</t>
  </si>
  <si>
    <t>Sala 5 p t r, Sillas a y r, Tapete sint, Senc</t>
  </si>
  <si>
    <t>Se manda WA, muy bien y sin olor</t>
  </si>
  <si>
    <t>66/24</t>
  </si>
  <si>
    <t>Lili Ana Zamarripa</t>
  </si>
  <si>
    <t>89-9101-1723</t>
  </si>
  <si>
    <t>Calle México #21 Col Centro, Tlaque</t>
  </si>
  <si>
    <t>Sala 1 p t f, sillas a y r, Senc</t>
  </si>
  <si>
    <t>Se manda WA, le encantó</t>
  </si>
  <si>
    <t>José Luis Loza / Nippon Express</t>
  </si>
  <si>
    <t>Sala/Tapete</t>
  </si>
  <si>
    <t>67/24</t>
  </si>
  <si>
    <t>Araceli Pérez / Opticas Devlyn</t>
  </si>
  <si>
    <t>33-3642-2026</t>
  </si>
  <si>
    <t>Suc Plaza Patria</t>
  </si>
  <si>
    <t>Sillas a y r, tab, senc</t>
  </si>
  <si>
    <t>68/24</t>
  </si>
  <si>
    <t>Cecilia Aceves</t>
  </si>
  <si>
    <t>33-1613-7137</t>
  </si>
  <si>
    <t>Asirios #364 Col Altamira, Zapopan</t>
  </si>
  <si>
    <t>Tapete sint, tapete de lana, Senc</t>
  </si>
  <si>
    <t>69/24</t>
  </si>
  <si>
    <t>Laura Elena Gil</t>
  </si>
  <si>
    <t>33-1022-4110</t>
  </si>
  <si>
    <t>Hda de las Azucenas #62 Col Hdas del Valle, Zapopan</t>
  </si>
  <si>
    <t>Se madna WA, todo bien</t>
  </si>
  <si>
    <t>70/24</t>
  </si>
  <si>
    <t>71/24</t>
  </si>
  <si>
    <t>José Carlos Gutiérrez</t>
  </si>
  <si>
    <t>33-3397-7651</t>
  </si>
  <si>
    <t>La noche #2722 Col Jardines del bosque, Zapopan</t>
  </si>
  <si>
    <t>Colchón Mat, Ind, Senc</t>
  </si>
  <si>
    <t>Se madna A, excelente servicio</t>
  </si>
  <si>
    <t>Evelia Abundis</t>
  </si>
  <si>
    <t>33-1279-0758</t>
  </si>
  <si>
    <t>Av Industria Textil #2000 Int San Gabriel #149 Fracc Sn Fco. Zapopan</t>
  </si>
  <si>
    <t>Sala 6 p t f, Senc</t>
  </si>
  <si>
    <t>72/24</t>
  </si>
  <si>
    <t>Guillermo Arámbula Orozco</t>
  </si>
  <si>
    <t>33-3954-7253</t>
  </si>
  <si>
    <t>La Rioja #2837 Depto 1 Col Colomos Provi, Zapopan</t>
  </si>
  <si>
    <t>Tapete sint, Prem, PURT</t>
  </si>
  <si>
    <t>No lo ha abierto, pero sabe que bien</t>
  </si>
  <si>
    <t>73/24</t>
  </si>
  <si>
    <t>74/24</t>
  </si>
  <si>
    <t>Guillermo Escobar Sánches</t>
  </si>
  <si>
    <t>33-1143-3985</t>
  </si>
  <si>
    <t>Av Acueducto #1100 Fracc Monarca Casa 73 Zapopan</t>
  </si>
  <si>
    <t>Sala 6 p r r, Tapete sint, Senc</t>
  </si>
  <si>
    <t>Christian Valdivia Navarro</t>
  </si>
  <si>
    <t>33-2154-5581</t>
  </si>
  <si>
    <t>San Isidro #2563 Coto Viveros del Valle, Col Jardines del Valle, Zapopan</t>
  </si>
  <si>
    <t>Colchón QS Eco</t>
  </si>
  <si>
    <t>No lo ha checado</t>
  </si>
  <si>
    <t>Se manda WA no contesta</t>
  </si>
  <si>
    <t>75/24</t>
  </si>
  <si>
    <t>Héctor Alvarez Michell</t>
  </si>
  <si>
    <t>33-1065-2450</t>
  </si>
  <si>
    <t>José I solórzano #918 Col Jardines Alcalde, Gdl</t>
  </si>
  <si>
    <t>Sala 3 p r r, Eco</t>
  </si>
  <si>
    <t>Super bien!</t>
  </si>
  <si>
    <t>76/24</t>
  </si>
  <si>
    <t>Carlos Moreno</t>
  </si>
  <si>
    <t>33-1417-5208</t>
  </si>
  <si>
    <t>Alberta #2151 Casa 4 Col Colomos Provi, Zapopan</t>
  </si>
  <si>
    <t>2 tapete sint, Eco</t>
  </si>
  <si>
    <t>77/24</t>
  </si>
  <si>
    <t>3 tapetes sint, Healty</t>
  </si>
  <si>
    <t>Le encantó</t>
  </si>
  <si>
    <t>Sary Martínez</t>
  </si>
  <si>
    <t>Ok</t>
  </si>
  <si>
    <t>78/24</t>
  </si>
  <si>
    <t>79/24</t>
  </si>
  <si>
    <t>Banregio</t>
  </si>
  <si>
    <t>Suc Patria, Zapopan</t>
  </si>
  <si>
    <t>Suc Abastos, Gdl</t>
  </si>
  <si>
    <t>80/24</t>
  </si>
  <si>
    <t>81/24</t>
  </si>
  <si>
    <t>Av Nac Unidas #7500 Coto Los Castaños Casa 101, Zapopan</t>
  </si>
  <si>
    <t>Tapete sint, Prem PURT</t>
  </si>
  <si>
    <t>Stephanie Díaz Del Castillo</t>
  </si>
  <si>
    <t>33-3570-7312</t>
  </si>
  <si>
    <t>Av Pablo Neruda #4161 Int 202 Deptos Vistas del Valle, Provi, Zapopan</t>
  </si>
  <si>
    <t>Sala 4 p t r, 2 tapete de lana, Cabecera y base QS, Senc</t>
  </si>
  <si>
    <t>82/24</t>
  </si>
  <si>
    <t>Blanca Estela Gutiérrez</t>
  </si>
  <si>
    <t>66-7152-6696</t>
  </si>
  <si>
    <t>Zarzosa #516 Fracc La Rioja, Tlajo</t>
  </si>
  <si>
    <t>Sala 2 p t f, 3 Reposet, Sillas a y r, Eco</t>
  </si>
  <si>
    <t>83/24</t>
  </si>
  <si>
    <t>84/24</t>
  </si>
  <si>
    <t>85/24</t>
  </si>
  <si>
    <t>86/24</t>
  </si>
  <si>
    <t>Yazmín Alejandra Briseño</t>
  </si>
  <si>
    <t>55-3814-7525</t>
  </si>
  <si>
    <t>Prol Colón #155 Int Reus 141 Col Tossa Res, Tlaquepaque</t>
  </si>
  <si>
    <t>2 Reposet, Sala 2 p t f, Senc, Colchón Mat, Eco, PURT</t>
  </si>
  <si>
    <t>Se manda WA, quedaron muy limpios</t>
  </si>
  <si>
    <t>Suc Lázaro Cárdenas 133</t>
  </si>
  <si>
    <t>Sillas a y r Prem</t>
  </si>
  <si>
    <t>Isa Carmona / Luis Rodriguez</t>
  </si>
  <si>
    <t>33-1855-6376</t>
  </si>
  <si>
    <t>El Carmen #694 Col Camino Real, Zapopan</t>
  </si>
  <si>
    <t>Sala 6 p t f, Coj, Eco</t>
  </si>
  <si>
    <t>Muy bien , repetira, la sig semana</t>
  </si>
  <si>
    <t>Suc Las Aguilas 134</t>
  </si>
  <si>
    <t>Sillas a y r</t>
  </si>
  <si>
    <t>87/24</t>
  </si>
  <si>
    <t>88/24</t>
  </si>
  <si>
    <t>Omar Magallanes / Megaradio</t>
  </si>
  <si>
    <t>33-1409-9391</t>
  </si>
  <si>
    <t>Santa Rita #1060 Col Jardines de San Ignacio, Zapopan</t>
  </si>
  <si>
    <t>Les encantó, programaran, cada 3 meses</t>
  </si>
  <si>
    <t>Suc Vallarta 135</t>
  </si>
  <si>
    <t>Sillas Ay r Prem</t>
  </si>
  <si>
    <t>89/24</t>
  </si>
  <si>
    <t>90/24</t>
  </si>
  <si>
    <t>91/24</t>
  </si>
  <si>
    <t>Sala 3 p r r Piel, colchón Ind, Coj Senc</t>
  </si>
  <si>
    <t>Isla Pinos #2246 Col Bosques de la Victoria, Zapopan</t>
  </si>
  <si>
    <t>Sala 6 p t f, Protex</t>
  </si>
  <si>
    <t>Suc Mariano Otero 136</t>
  </si>
  <si>
    <t>92/24</t>
  </si>
  <si>
    <t>93/24</t>
  </si>
  <si>
    <t>94/24</t>
  </si>
  <si>
    <t>Socorro Alcocer</t>
  </si>
  <si>
    <t>33-1349-7350</t>
  </si>
  <si>
    <t>Loma Seca Pte #196 Col Loma Dorada, Tonalá</t>
  </si>
  <si>
    <t>Sala 1 p t f, 5 reposet, Senc</t>
  </si>
  <si>
    <t>Se manda WA, bien</t>
  </si>
  <si>
    <t>Se manda WA, super satisfecha</t>
  </si>
  <si>
    <t>Elizabeth Muñoz Plascencia</t>
  </si>
  <si>
    <t>33-1633-1315</t>
  </si>
  <si>
    <t>Monte Olimpo #3074 Int 24 Col Infonavit Estadio, Gdl</t>
  </si>
  <si>
    <t>Sala 6 p t f, Sillas s a, Colchón Mat, Ind, Aspirado</t>
  </si>
  <si>
    <t>Suc Forum 138</t>
  </si>
  <si>
    <t>95/24</t>
  </si>
  <si>
    <t>Guadalupe Murrieta / HSC</t>
  </si>
  <si>
    <t>33-3189-1574</t>
  </si>
  <si>
    <t>Av Gpe #6601 Coto Chapalita Inn Calle Danza del venado #2, Zapopan</t>
  </si>
  <si>
    <t>Sillas a y r, Healty</t>
  </si>
  <si>
    <t>Se manda wa, todo bien</t>
  </si>
  <si>
    <t>96/24</t>
  </si>
  <si>
    <t>97/24</t>
  </si>
  <si>
    <t>98/24</t>
  </si>
  <si>
    <t xml:space="preserve">Suc Providencia </t>
  </si>
  <si>
    <t>Jessica Vargas</t>
  </si>
  <si>
    <t>33-1006-9492</t>
  </si>
  <si>
    <t>Av Juan Palomar y Airias #861 Int F11 Coto Villa La Cima, Zapopan</t>
  </si>
  <si>
    <t>2 tapetes sint, Healty</t>
  </si>
  <si>
    <t>Suc Zona Industrial 132</t>
  </si>
  <si>
    <t>99/24</t>
  </si>
  <si>
    <t>100/24</t>
  </si>
  <si>
    <t>101/24</t>
  </si>
  <si>
    <t>Ma Eugenia Velez</t>
  </si>
  <si>
    <t>33-1725-9968</t>
  </si>
  <si>
    <t>Periférico #1000 Casa H2 Pta del valle, Zapopan</t>
  </si>
  <si>
    <t xml:space="preserve">Tapete sint, Eco  </t>
  </si>
  <si>
    <t>Linda Páramo</t>
  </si>
  <si>
    <t>32-2117-1635</t>
  </si>
  <si>
    <t>Lago Catemaco #2152 Int Torre K 401 Col Lagos del Country, Zapopan</t>
  </si>
  <si>
    <t>Salvador Arana / molex</t>
  </si>
  <si>
    <t>33-1566-2916</t>
  </si>
  <si>
    <t>Sala 10 p t f, Prot</t>
  </si>
  <si>
    <t>102/24</t>
  </si>
  <si>
    <t>Ma José Vázquez Madrigal</t>
  </si>
  <si>
    <t>33-1799-2725</t>
  </si>
  <si>
    <t>Morelos #1187 Int 3 Col Americana, Zapopan</t>
  </si>
  <si>
    <t>Sala 2 p t f, Eco PURT</t>
  </si>
  <si>
    <t>103/24</t>
  </si>
  <si>
    <t>Lorena Cueva / Paola</t>
  </si>
  <si>
    <t>33-3677-7345</t>
  </si>
  <si>
    <t>La Rioja #2890 Int 8 Col Colomos Provi, Zapopan</t>
  </si>
  <si>
    <t>Sala 5 p t r, Healty, Coj, Senc, Colchón KS Aspirado</t>
  </si>
  <si>
    <t>104/24</t>
  </si>
  <si>
    <t>105/24</t>
  </si>
  <si>
    <t>Productividad Ote #305 Col Sta Cruz del Valle, Tlaque</t>
  </si>
  <si>
    <t>14 Sala 2 p t f, Prot</t>
  </si>
  <si>
    <t>Le gustó mucho, seguirá trabajando con nosotros</t>
  </si>
  <si>
    <t>Se manda WA, súper satisfecha, pero el $ alto</t>
  </si>
  <si>
    <t>Antonio Gutiérrez</t>
  </si>
  <si>
    <t>33-1149-3070</t>
  </si>
  <si>
    <t>Fco Huizar #691 Col Villas del Nilo, Tlaque</t>
  </si>
  <si>
    <t>Sala 3 p t f, Sillas a y r, Colchón Mat, Senc</t>
  </si>
  <si>
    <t>106/24</t>
  </si>
  <si>
    <t>107/24</t>
  </si>
  <si>
    <t>108/24</t>
  </si>
  <si>
    <t>109/24</t>
  </si>
  <si>
    <t>110/24</t>
  </si>
  <si>
    <t>111/24</t>
  </si>
  <si>
    <t>112/24</t>
  </si>
  <si>
    <t>113/24</t>
  </si>
  <si>
    <t>Manuel Esquivel</t>
  </si>
  <si>
    <t>33-4185-8016</t>
  </si>
  <si>
    <t>Jardín de los Granados #297 Coto 4 Fracc Jardín Real, Zapopan</t>
  </si>
  <si>
    <t>Sala 5 p r r, Tapete sint, Eco</t>
  </si>
  <si>
    <t>Se manda WA, todo bien, pero llegaron muy tarde</t>
  </si>
  <si>
    <t>Suc Loby 33</t>
  </si>
  <si>
    <t>Viridiana Castellanos</t>
  </si>
  <si>
    <t>33-1553-7699</t>
  </si>
  <si>
    <t>Armadura Ote #158 Coto 11 Col Jardín Real, Zapopan</t>
  </si>
  <si>
    <t>Sala 5 p t f, Sillas a y r, 2 tapetes sint, Tapete de lana, Sillas a y r, Senc</t>
  </si>
  <si>
    <t>Todo bien, el tapete quedó sucio</t>
  </si>
  <si>
    <t>David Sandt / Carlos Cubeiro</t>
  </si>
  <si>
    <t>33-1757-1165</t>
  </si>
  <si>
    <t>Calle Can mayor #3367 Col Arboledas, Zapopan</t>
  </si>
  <si>
    <t xml:space="preserve">Tapete sint, Healty </t>
  </si>
  <si>
    <t>Todo muy bien, repetirá</t>
  </si>
  <si>
    <t>Ma Eugenia Vélez</t>
  </si>
  <si>
    <t>Perif #1000 Casa H2 Pta del Valle, Zapopan</t>
  </si>
  <si>
    <t>Tapete de viscosa, Senc</t>
  </si>
  <si>
    <t>No contesta</t>
  </si>
  <si>
    <t>Nathalie Jiménez</t>
  </si>
  <si>
    <t>33-1457-8457</t>
  </si>
  <si>
    <t>Volcán de San Fco #95 Col Huentitán el Bajo, Zapopan</t>
  </si>
  <si>
    <t>2 tapete sint, Silla s a, Silla a y r, Banca, Eco</t>
  </si>
  <si>
    <t>Ximena González</t>
  </si>
  <si>
    <t>55-2727-8903</t>
  </si>
  <si>
    <t>Novaterra casa 2 Zona Real, Zapopan</t>
  </si>
  <si>
    <t>Face</t>
  </si>
  <si>
    <t>Alfombra Prem, Colchón QS, Eco, PURT</t>
  </si>
  <si>
    <t>Martha Rangel Urbina</t>
  </si>
  <si>
    <t>33-3106-4089</t>
  </si>
  <si>
    <t>Perif #1000 Casa L 7, Pta del Valle, Zapopan</t>
  </si>
  <si>
    <t>Sala 8 p t f, Sala 1 p t f, Coj, Silla a y r, Silla s a, Prot</t>
  </si>
  <si>
    <t>114/24</t>
  </si>
  <si>
    <t>115/24</t>
  </si>
  <si>
    <t>55-3814-7425</t>
  </si>
  <si>
    <t>2 reposet, sala 3 pt f, Eco, PURT</t>
  </si>
  <si>
    <t>Se manda WA, se queja mucho del precio</t>
  </si>
  <si>
    <t>116/24</t>
  </si>
  <si>
    <t>Isidro Ríos Sánchez</t>
  </si>
  <si>
    <t>33-1770-9539</t>
  </si>
  <si>
    <t>Río Suchiate #1331 Col Quinta Velarde, Gdl</t>
  </si>
  <si>
    <t>Sala 6 p t f, Eco</t>
  </si>
  <si>
    <t>Se manda WA, súper contentos quieren hacerlo bajo contrato</t>
  </si>
  <si>
    <t>117/24</t>
  </si>
  <si>
    <t>118/24</t>
  </si>
  <si>
    <t>Norma Laura Ortíz</t>
  </si>
  <si>
    <t>33-1872-1060</t>
  </si>
  <si>
    <t>Copilco #1549 Col Pinar de la Calma, Zapopan</t>
  </si>
  <si>
    <t>Sala 5 p r r, tab, Sala 1 p t f, Sillas a y r, Senc</t>
  </si>
  <si>
    <t>Se manda WA, todo muy bien, servicio excelente</t>
  </si>
  <si>
    <t>Anayeli / Cartera de Oportunidades</t>
  </si>
  <si>
    <t>33-2838-5124</t>
  </si>
  <si>
    <t>Av Plan de San Luis #1728 Int 28 Col Mezquitán Country, Zapopan</t>
  </si>
  <si>
    <t>119/24</t>
  </si>
  <si>
    <t>Gabriela Ruiz Burgos</t>
  </si>
  <si>
    <t>33-1080-6184</t>
  </si>
  <si>
    <t>Francisco Mora #69 Col Los maestros, Zapopan</t>
  </si>
  <si>
    <t>Tapete sint, Sala 6 p r r, Sillas a y r, Prot, Colchón KS healty, Coj, Sala 4 p r r, 2 camas internas Senc</t>
  </si>
  <si>
    <t>Tlajo</t>
  </si>
  <si>
    <t>120/24</t>
  </si>
  <si>
    <t>121/24</t>
  </si>
  <si>
    <t>122/24</t>
  </si>
  <si>
    <t>Efraín Vázquez</t>
  </si>
  <si>
    <t>33-1829-3950</t>
  </si>
  <si>
    <t>Bosque de la primavera #210 Col Cañadas Country Club, Zapopan</t>
  </si>
  <si>
    <t>Sillas a y r, 2 tapetes sint, Healty</t>
  </si>
  <si>
    <t>Se manda WA, no ha habido quejas</t>
  </si>
  <si>
    <t>Se madna WA, todo muy bien</t>
  </si>
  <si>
    <t>Margot Lesder</t>
  </si>
  <si>
    <t>33-1601-0720</t>
  </si>
  <si>
    <t>Montevideo #2590 Depto 801 Col Provi, Zapopan</t>
  </si>
  <si>
    <t>Colchón KS Healty, Tapete sint, Senc</t>
  </si>
  <si>
    <t>Se manda WA, pero a la entrega, pide otro tapete</t>
  </si>
  <si>
    <t>Jorge de Dios / Geisha Gitana</t>
  </si>
  <si>
    <t>33-3058-8282</t>
  </si>
  <si>
    <t>Montevideo #2687 Col Provi, Zapopan</t>
  </si>
  <si>
    <t>Sala 5 p r r, Senc</t>
  </si>
  <si>
    <t>Se manda WA, no ha habido queja</t>
  </si>
  <si>
    <t>2 Tapete sint, Sala 2 p t r, Senc PURT</t>
  </si>
  <si>
    <t>2 Tapete sint, Sala 2 p t r, Senc, PURT</t>
  </si>
  <si>
    <t>123/24</t>
  </si>
  <si>
    <t>124/24</t>
  </si>
  <si>
    <t>125/24</t>
  </si>
  <si>
    <t>126/24</t>
  </si>
  <si>
    <t>Nancy Vergara</t>
  </si>
  <si>
    <t>33-3904-4327</t>
  </si>
  <si>
    <t>Galeana #1316 Col Villas de Ixtepete, Gdl</t>
  </si>
  <si>
    <t>Interior de coche med Senc</t>
  </si>
  <si>
    <t>Francisco Javier Hernández</t>
  </si>
  <si>
    <t>33-2009-1085</t>
  </si>
  <si>
    <t>Av Río Bco #1511 Int 305 Coto Alameda Col Jardines de Tesistán, Zapopan</t>
  </si>
  <si>
    <t>Sala 4 p a r, Sillas s a, Eco</t>
  </si>
  <si>
    <t>Enrique Rodríguez / Atco Espaciomovil</t>
  </si>
  <si>
    <t>33-1892-1119</t>
  </si>
  <si>
    <t>Prol Av 5 de Mayo #47 Col San Juan de Ocotán, Zapopan</t>
  </si>
  <si>
    <t>Se manda WA, excelente servicio</t>
  </si>
  <si>
    <t>Verónica Eudare</t>
  </si>
  <si>
    <t>33-3490-8168</t>
  </si>
  <si>
    <t>Av Tepeyac #945 Col Chapalita, Zapopan</t>
  </si>
  <si>
    <t>Alfombra, Prot</t>
  </si>
  <si>
    <t>127/24</t>
  </si>
  <si>
    <t>128/24</t>
  </si>
  <si>
    <t>129/24</t>
  </si>
  <si>
    <t>Tapete sint Senc</t>
  </si>
  <si>
    <t>Se manda WA, satisfecha, quedó bien</t>
  </si>
  <si>
    <t>Se manda WA, se queja de que quedó una línea café, pero es desgaste y poca atención</t>
  </si>
  <si>
    <t>Mauro Limón / Sra Victoria Elena Cruzada</t>
  </si>
  <si>
    <t>33-3104-4345</t>
  </si>
  <si>
    <t>Sendero de las palmas #156 Cond Valencia, Fracc Pta de Hierro, Zapopan</t>
  </si>
  <si>
    <t>Sala 10 p a r, 2 tab, Sala 4 p a r, 2 sala 2 p t r, Senc, PURT</t>
  </si>
  <si>
    <t>Se manda WA, se regala PURT por la confusión al cotizar</t>
  </si>
  <si>
    <t>130/24</t>
  </si>
  <si>
    <t>131/24</t>
  </si>
  <si>
    <t>Domenico Giovimazzo</t>
  </si>
  <si>
    <t>34-7774-5542</t>
  </si>
  <si>
    <t>Lomas de Líbano #2169 Col Lomas de Atemajac, Zapopan</t>
  </si>
  <si>
    <t>Sala 7 p r r, Cabecera KS, Senc</t>
  </si>
  <si>
    <t>37-4103-8592</t>
  </si>
  <si>
    <t>Las torres #396 Av Gral Ramón Corona, Col. La Mojonera, Zapopan</t>
  </si>
  <si>
    <t>132/24</t>
  </si>
  <si>
    <t>133/24</t>
  </si>
  <si>
    <t>134/24</t>
  </si>
  <si>
    <t>135/24</t>
  </si>
  <si>
    <t>136/24</t>
  </si>
  <si>
    <t>137/24</t>
  </si>
  <si>
    <t>138/24</t>
  </si>
  <si>
    <t>Sandra Meza Hernández</t>
  </si>
  <si>
    <t>33-1422-4069</t>
  </si>
  <si>
    <t>Reyes Católicos #1641Col Jardines de la Cruz, Gdl</t>
  </si>
  <si>
    <t>3 tapete sint, Eco, PURT</t>
  </si>
  <si>
    <t>Marisol Aguilar Nungaray</t>
  </si>
  <si>
    <t>Catalina Morfín López</t>
  </si>
  <si>
    <t>33-1486-3234</t>
  </si>
  <si>
    <t>Cuachtemoc #1057 Col Cd de los niños, Zapopan</t>
  </si>
  <si>
    <t>Sala 5 p t r, Sillas a y r, Prot</t>
  </si>
  <si>
    <t>Lupita Monjarráz</t>
  </si>
  <si>
    <t>33-1000-7590</t>
  </si>
  <si>
    <t>Sonsierra #222 Col La Rioja. Tlajo</t>
  </si>
  <si>
    <t>Sala 5 p t f, Eco</t>
  </si>
  <si>
    <t>Sala 3 p t f, 2 reposet, Eco, PURT</t>
  </si>
  <si>
    <t>Alfonso Miranda</t>
  </si>
  <si>
    <t>33-1893-4308</t>
  </si>
  <si>
    <t>Av Agrícola #3237 Int 78 Col Parques del Bosque, Tlaque</t>
  </si>
  <si>
    <t>Sala 6 t f, Reposet, Sillas a yr, Sala 3 p t f, Eco</t>
  </si>
  <si>
    <t>Mquedó muy bien con el 2o enjuague</t>
  </si>
  <si>
    <t>Ma Estela Rizo</t>
  </si>
  <si>
    <t>33-1135-1553</t>
  </si>
  <si>
    <t>Emilio Rabasa #3799 Col Ramón López Velarde, Gdl</t>
  </si>
  <si>
    <t>Sala 6 p t f, Sillas a y r, Banca, Senc</t>
  </si>
  <si>
    <t>Rode López De La Rosa</t>
  </si>
  <si>
    <t>33-1208-8394</t>
  </si>
  <si>
    <t>Canaan #3474 Col Hermosa Provincia, Gdl</t>
  </si>
  <si>
    <t>Sala 4 p t f, Prot</t>
  </si>
  <si>
    <t>Quedaron las rayas de la máquina</t>
  </si>
  <si>
    <t>139/24</t>
  </si>
  <si>
    <t>140/24</t>
  </si>
  <si>
    <t>141/24</t>
  </si>
  <si>
    <t>142/24</t>
  </si>
  <si>
    <t>Nora Pérez de León / Van Diex</t>
  </si>
  <si>
    <t>33-3147-1550</t>
  </si>
  <si>
    <t>Turín # 2747 Int 104 Col Provi, Zapopan</t>
  </si>
  <si>
    <t>Sala 6 p t f, Coj, Silla a y r, Senc</t>
  </si>
  <si>
    <t>Se manda WA, no los ha revisado</t>
  </si>
  <si>
    <t>Se manda WA, super bien, nos recomendará</t>
  </si>
  <si>
    <t>Futón, Prot</t>
  </si>
  <si>
    <t xml:space="preserve">Se regresa, por que se lavó muy rápido </t>
  </si>
  <si>
    <t>Cecilia Valdivia</t>
  </si>
  <si>
    <t>33-1171-5479</t>
  </si>
  <si>
    <t>Izamal #5919 Col Pinar de la Calma, Zapopan</t>
  </si>
  <si>
    <t>Colchón Mat, Prem</t>
  </si>
  <si>
    <t>33-3829-0837</t>
  </si>
  <si>
    <t>Galaxia #4059 Col Lomas Altas, Zapopan</t>
  </si>
  <si>
    <t>Sala 6 p a r, Colchón QS, Tab, Silla a y r, Sala 6 p t f, PURT</t>
  </si>
  <si>
    <t>143/24</t>
  </si>
  <si>
    <t>ma Elena Silva</t>
  </si>
  <si>
    <t>33-3806-3549</t>
  </si>
  <si>
    <t>San Alfredo #195 Coto Cond Horiz Sn Fco, Zapopan</t>
  </si>
  <si>
    <t>4 Sillones reposet, Eco</t>
  </si>
  <si>
    <t>Se manda WA, una mancha en el colchón no se quitó por completo</t>
  </si>
  <si>
    <t>Se manda WASuper contenta!</t>
  </si>
  <si>
    <t>Gaby Ramírez Díaz</t>
  </si>
  <si>
    <t>144/24</t>
  </si>
  <si>
    <t>145/24</t>
  </si>
  <si>
    <t>Ana Laura García González</t>
  </si>
  <si>
    <t>33-3105-0400</t>
  </si>
  <si>
    <t>Loreto Barcelata #4710-5 Col Los Pinos Campestre, Tlajo</t>
  </si>
  <si>
    <t>Maristas</t>
  </si>
  <si>
    <t>2 cabecera ind, 2 tapete sint, Senc</t>
  </si>
  <si>
    <t>Arturo Ramírez</t>
  </si>
  <si>
    <t>55-3143-5923</t>
  </si>
  <si>
    <t>Paseo El Origen #600 Casa 182 Coto Torrento, Tlajo</t>
  </si>
  <si>
    <t>146/24</t>
  </si>
  <si>
    <t>Angélica Rodríguez</t>
  </si>
  <si>
    <t>33-3460-3807</t>
  </si>
  <si>
    <t>Loma Camino Real #100-a Col Loma Bonita</t>
  </si>
  <si>
    <t>Sala 6 p t f, Tapete sint, Senc</t>
  </si>
  <si>
    <t>Se manda WA, excelente, le encantó</t>
  </si>
  <si>
    <t>147/24</t>
  </si>
  <si>
    <t>148/24</t>
  </si>
  <si>
    <t>Violeta Correa</t>
  </si>
  <si>
    <t>33-2255-5553</t>
  </si>
  <si>
    <t>Coto Muraan Casa 67 Solares, Zapopan</t>
  </si>
  <si>
    <t>Sala 6 p t f, Colchón Mat, Prem, PURT</t>
  </si>
  <si>
    <t>Le gustó mucho, repite</t>
  </si>
  <si>
    <t>Ulises Aguilar / Geisha Gitana Americana</t>
  </si>
  <si>
    <t>33-1457-3487</t>
  </si>
  <si>
    <t>Bernardo de Balbuena #139 Col Americana, GDL</t>
  </si>
  <si>
    <t>Boot de 3 plazas, Senc</t>
  </si>
  <si>
    <t>150/24</t>
  </si>
  <si>
    <t>149/24</t>
  </si>
  <si>
    <t>151/24</t>
  </si>
  <si>
    <t>Lizzeth Díaz Pérez / Centro Educacional Tlaquepaque</t>
  </si>
  <si>
    <t>33-3722-3191</t>
  </si>
  <si>
    <t>Cima Real #100 Int 10 Col Valle Real, Zapopan</t>
  </si>
  <si>
    <t>Sala 5 p t r, Coj, Silla a y r, Colchónes 1 QS, 3 mat, 1 Ind, Tapete de viscosa, Tapete sint, Prem, PURT</t>
  </si>
  <si>
    <t>Todo super bien</t>
  </si>
  <si>
    <t>Claudia Reynoso</t>
  </si>
  <si>
    <t>33-3954-8434</t>
  </si>
  <si>
    <t>Mariano Otero Km 5.5 Int Circ de los pinos #136 Coto Los Robles, Zapopan</t>
  </si>
  <si>
    <t>Sala 8 p t r, Silla a y r, 6 tapetes sint, Senc</t>
  </si>
  <si>
    <t>152/24</t>
  </si>
  <si>
    <t>joaquín Manzanares</t>
  </si>
  <si>
    <t>33-3459-7561</t>
  </si>
  <si>
    <t>Volca´n de Sn Benedicto #210 Col Huentitán El Bajo, Zapopan</t>
  </si>
  <si>
    <t>Sala 2 p a r, Colchón Ind, Eco</t>
  </si>
  <si>
    <t>Carlos Vieyra / Bio Simex</t>
  </si>
  <si>
    <t>33-1944-7141</t>
  </si>
  <si>
    <t>Av Vallarta #7345-B Col Cd Granja, Zapopan</t>
  </si>
  <si>
    <t>153/24</t>
  </si>
  <si>
    <t>154/24</t>
  </si>
  <si>
    <t>155/24</t>
  </si>
  <si>
    <t>Yaneli Loza / Neurológico de Gdl</t>
  </si>
  <si>
    <t>33-2494-1120</t>
  </si>
  <si>
    <t>Central Gmo Glez Camarena #911 Cond 2 Piso 8 -6 B col Pta del Vall, Zapopan</t>
  </si>
  <si>
    <t>Sillas a y r, 4 tapetes sint, coj, Senc</t>
  </si>
  <si>
    <t>Se manda WA, quedo bien, se nota el cambio</t>
  </si>
  <si>
    <t>Nora Alicia Gómez</t>
  </si>
  <si>
    <t>33-1804-7140</t>
  </si>
  <si>
    <t>Paseo de los lagos #159 Col Las Cañadas, Zapopan</t>
  </si>
  <si>
    <t>Sala 8 p r r, sillas a y r, bancos, Senc</t>
  </si>
  <si>
    <t>156/24</t>
  </si>
  <si>
    <t>157/24</t>
  </si>
  <si>
    <t>Patricia Galván</t>
  </si>
  <si>
    <t>33-3379-3832</t>
  </si>
  <si>
    <t>Av Patria #276-24 Río Nilo Col Parques de Tlaquepaque Res, Tlaquepaque</t>
  </si>
  <si>
    <t>Sala 6 p t f, Coj, Silla a y r, Protex, Silla s a, Senc, Futón, Coj, Prot</t>
  </si>
  <si>
    <t>Se manda WA, Excelente servicio</t>
  </si>
  <si>
    <t>Se madna WA, excelente, como siempre</t>
  </si>
  <si>
    <t>Silvia Carrillo</t>
  </si>
  <si>
    <t>33-2225-7396</t>
  </si>
  <si>
    <t>Circ. Loma Sur #8043 Col Loma Dorada, Tonalá</t>
  </si>
  <si>
    <t>Sala 6 p t f, Reposet, Senc</t>
  </si>
  <si>
    <t>158/24</t>
  </si>
  <si>
    <t>159/24</t>
  </si>
  <si>
    <t>Martha Lizardo Ramírez</t>
  </si>
  <si>
    <t>33-1040-9490</t>
  </si>
  <si>
    <t>Medrano #2227 Col san Antonio, Gdl</t>
  </si>
  <si>
    <t>rep</t>
  </si>
  <si>
    <t>Colchón mat, Prot</t>
  </si>
  <si>
    <t>Se manda WA lo revisará</t>
  </si>
  <si>
    <t>Silvia Galindo</t>
  </si>
  <si>
    <t>33-1599-8612</t>
  </si>
  <si>
    <t>Américas #2000 Depto 107 Col Country, Zapopan</t>
  </si>
  <si>
    <t>Sala 6 p a r, tab, Senc</t>
  </si>
  <si>
    <t>Se manda WA, quedaron unas rayas, se repasará</t>
  </si>
  <si>
    <t>160/24</t>
  </si>
  <si>
    <t>161/24</t>
  </si>
  <si>
    <t>162/24</t>
  </si>
  <si>
    <t>163/24</t>
  </si>
  <si>
    <t>164/24</t>
  </si>
  <si>
    <t>Jorge Enrique Magaña Cuevas</t>
  </si>
  <si>
    <t>45-2159-0191</t>
  </si>
  <si>
    <t>Av del Servidor Público #3841 Int Torre Cibeles II Depto 945 Torre A Real Center, Zapopan</t>
  </si>
  <si>
    <t>Tapete sint, Senc, PURT</t>
  </si>
  <si>
    <t>Se manda WA, si le gustó</t>
  </si>
  <si>
    <t>Claudia Correa / Dorantes O´loughlin</t>
  </si>
  <si>
    <t>33-3450-8495</t>
  </si>
  <si>
    <t>Alberta #2288 Int 4B Col. Colomos, Zapopan</t>
  </si>
  <si>
    <t>Lucero Lizeth Robles Frías</t>
  </si>
  <si>
    <t>57-1657-3595</t>
  </si>
  <si>
    <t>Girasoles #170 Col Jardines de la Providencia, Zapopan</t>
  </si>
  <si>
    <t>Sala 6 p t f, Eco, PURT</t>
  </si>
  <si>
    <t>Lourdes Liberto</t>
  </si>
  <si>
    <t>33-1357-5932</t>
  </si>
  <si>
    <t>San Uriel #689 Col Chapalita, Zapopan</t>
  </si>
  <si>
    <t>Sala 7 p t f, Eco</t>
  </si>
  <si>
    <t>Laura Ramírez</t>
  </si>
  <si>
    <t>33-1463-4947</t>
  </si>
  <si>
    <t>California #65 Col Misión Capistrano, Zapopan</t>
  </si>
  <si>
    <t>Colchón Mat, Reposet, Alfombra, Eco</t>
  </si>
  <si>
    <t>No tiene cel</t>
  </si>
  <si>
    <t>165/24</t>
  </si>
  <si>
    <t>Flor Carreón</t>
  </si>
  <si>
    <t>44-9224-2865</t>
  </si>
  <si>
    <t>Santillana #11 Coto 1 Casa E7, Solares, Zapopan</t>
  </si>
  <si>
    <t>Sala 6 p t f, Futón, 5 camas de perro, Senc</t>
  </si>
  <si>
    <t>Se manda WA, quedó muy bonita, agarró color</t>
  </si>
  <si>
    <t>Se manda WA, quedó muy bien</t>
  </si>
  <si>
    <t>166/24</t>
  </si>
  <si>
    <t>167/24</t>
  </si>
  <si>
    <t>Stephany Cabrera</t>
  </si>
  <si>
    <t>33-1703-0566</t>
  </si>
  <si>
    <t>Arrayanes Habitat #3 Int F12 Av del Canal #1114 Tlajo</t>
  </si>
  <si>
    <t>Clchón KS, Tapete sin, Eco</t>
  </si>
  <si>
    <t>Pilar Calderón</t>
  </si>
  <si>
    <t>33-1320-3494</t>
  </si>
  <si>
    <t>Coto Almendro Casa 242 Col Valle Imperial, Zapopan</t>
  </si>
  <si>
    <t>Sala 9 p r r, Protex</t>
  </si>
  <si>
    <t>Sala 6 t f, Reposet, Sillas a y r, Sala 3 p t f, Eco</t>
  </si>
  <si>
    <t>Sala 6 p a r, Colchón QS, Tab, Silla a y r, Sala 6 p t f, Senc PURT</t>
  </si>
  <si>
    <t>Se madna Wa, excelente,como siempre</t>
  </si>
  <si>
    <t>168/24</t>
  </si>
  <si>
    <t>Eva Martínez Reyes</t>
  </si>
  <si>
    <t>33-3897-0556</t>
  </si>
  <si>
    <t>Priv Ciprés #140 Col Vivero Sinaí, Zapopan</t>
  </si>
  <si>
    <t>Sala 6 p a r, Senc</t>
  </si>
  <si>
    <t>Se manda WA muy satisfecha</t>
  </si>
  <si>
    <t>no se pregunra, es solo protex</t>
  </si>
  <si>
    <t>169/24</t>
  </si>
  <si>
    <t>170/24</t>
  </si>
  <si>
    <t>171/24</t>
  </si>
  <si>
    <t>172/24</t>
  </si>
  <si>
    <t>173/24</t>
  </si>
  <si>
    <t>174/24</t>
  </si>
  <si>
    <t>175/24</t>
  </si>
  <si>
    <t>176/24</t>
  </si>
  <si>
    <t>Karla García</t>
  </si>
  <si>
    <t>33-3662-1348</t>
  </si>
  <si>
    <t>Camino Arenero #1051 Int 59 Fronda Residencial, Zapopan</t>
  </si>
  <si>
    <t>Sala 8 p r r, Tab, Silla a y r, Tapete sint, Coj, Eco, PURT</t>
  </si>
  <si>
    <t>Se manda WA, no es cel</t>
  </si>
  <si>
    <t>Axel Ávila</t>
  </si>
  <si>
    <t>33-1864-5550</t>
  </si>
  <si>
    <t>Nicolás Copérnico #943-A Torre Classiqa Depto 1005 Torre Sur, Chapalita, Zapopan</t>
  </si>
  <si>
    <t>Sala 2 p r r, Coj, Tapete sint, Healty</t>
  </si>
  <si>
    <t>Yazmin Alejandra Briseño</t>
  </si>
  <si>
    <t>Sala 3 p t f, 2 reposet, Colchón Mat, Senc, PURT</t>
  </si>
  <si>
    <t>Iker Sebastian Huerta Navarro</t>
  </si>
  <si>
    <t>33-3234-7175</t>
  </si>
  <si>
    <t>Montañas rocosas #3115 Col Jardines de Sta Isabel, Gdl</t>
  </si>
  <si>
    <t>Colchón QS Prot, PURT</t>
  </si>
  <si>
    <t>Extraordinario servicio</t>
  </si>
  <si>
    <t>Eduardo de los Santos</t>
  </si>
  <si>
    <t>33-3118-3668</t>
  </si>
  <si>
    <t>Circ Del Bosque #216 Casa 39-E Coto Amate Col Bosques Vallarta, Zapopan</t>
  </si>
  <si>
    <t>Mario Juárez</t>
  </si>
  <si>
    <t>33-3441-0608</t>
  </si>
  <si>
    <t>Copilco #1594 Col Pinar de la Calma, Zapopan</t>
  </si>
  <si>
    <t>Colchón mat, Sillas s a, Eco</t>
  </si>
  <si>
    <t>Les gustó mucho</t>
  </si>
  <si>
    <t>Sillas a y r, Protex</t>
  </si>
  <si>
    <t>No se manda, ya que sólo es teflón</t>
  </si>
  <si>
    <t>Alonso Ortíz</t>
  </si>
  <si>
    <t>33-1850-3153</t>
  </si>
  <si>
    <t>Ciruelo #1342 Col Fresno, Gdl</t>
  </si>
  <si>
    <t>Interior piel coche med</t>
  </si>
  <si>
    <t>177/24</t>
  </si>
  <si>
    <t>Alejandra Marchina</t>
  </si>
  <si>
    <t>33-3856-4306</t>
  </si>
  <si>
    <t>Av de las Artes #60 Casa 106 Fracc Ayamonte, Zapopan</t>
  </si>
  <si>
    <t>178/24</t>
  </si>
  <si>
    <t>Lisandro Aaron Villalpando Avalos</t>
  </si>
  <si>
    <t>33-2499-9893</t>
  </si>
  <si>
    <t>Cerro Viejo #1452 Col Lomas de la Independencia, Gdl</t>
  </si>
  <si>
    <t>Tab, Coj, Sala 10 p r r, senc</t>
  </si>
  <si>
    <t>Se manda WA, muy bien, muy limpia</t>
  </si>
  <si>
    <t>179/24</t>
  </si>
  <si>
    <t>180/24</t>
  </si>
  <si>
    <t>Andrea Venegas</t>
  </si>
  <si>
    <t>33-1453-9059</t>
  </si>
  <si>
    <t>Río Blaco #1511 Int 271 Col Parques de tesistán, Zapopan</t>
  </si>
  <si>
    <t>Sala 6 p r r, Silla a y r, banca, Senc</t>
  </si>
  <si>
    <t>Alejandro Hernández</t>
  </si>
  <si>
    <t>33-3809-9907</t>
  </si>
  <si>
    <t>Sta María #3022 Col Vallarta Norte, Zapopan</t>
  </si>
  <si>
    <t>181/24</t>
  </si>
  <si>
    <t>182/24</t>
  </si>
  <si>
    <t>183/24</t>
  </si>
  <si>
    <t>184/24</t>
  </si>
  <si>
    <t>185/24</t>
  </si>
  <si>
    <t>Tapete de lana Prem</t>
  </si>
  <si>
    <t>Marcela Salcedo</t>
  </si>
  <si>
    <t>33-3189-4931</t>
  </si>
  <si>
    <t>2 tapete de lana, tapete de plastico, Prem</t>
  </si>
  <si>
    <t>Leticia Navarro</t>
  </si>
  <si>
    <t>33-3137-6006</t>
  </si>
  <si>
    <t>Jardines de girasoles #10 Col Jardín Real, Zapopan</t>
  </si>
  <si>
    <t>Axel Avila</t>
  </si>
  <si>
    <t>2 Tapete de lana Healty</t>
  </si>
  <si>
    <t>Lucía Torres</t>
  </si>
  <si>
    <t>33-1005-6143</t>
  </si>
  <si>
    <t>Av Niños Héroes #2571 Depto 1404 Vive Torre de Bosque, Col Jardines del Bosque, Gdl</t>
  </si>
  <si>
    <t>Sala 3 p t f, colchón Ind, Sala 6 p r r, tab, Coj, Senc</t>
  </si>
  <si>
    <t>186/24</t>
  </si>
  <si>
    <t>187/24</t>
  </si>
  <si>
    <t>188/24</t>
  </si>
  <si>
    <t>Claudia Corona</t>
  </si>
  <si>
    <t>33-1337-3110</t>
  </si>
  <si>
    <t>Casiopea #3387 Col La Calma, Gdl</t>
  </si>
  <si>
    <t>Sala 10 p t r, Tab, Tapete sint, Prot</t>
  </si>
  <si>
    <t>Se manda WA, se regresa por que el tapete huele feo</t>
  </si>
  <si>
    <t>Se manda WA, quedó muy bien, pero tirado</t>
  </si>
  <si>
    <t>189/24</t>
  </si>
  <si>
    <t>Ricardo Carlos López</t>
  </si>
  <si>
    <t>33-3104-2846</t>
  </si>
  <si>
    <t>Manzano #7415 Coto Bosques de Sn Gonzalo, Zapopan</t>
  </si>
  <si>
    <t>2 Colchón QS, Eco</t>
  </si>
  <si>
    <t>Roberto López / Interflo</t>
  </si>
  <si>
    <t>33-2106-1717</t>
  </si>
  <si>
    <t>Adolf Horn #3506 Col Sn Pedro Tlaquepaque, Tlaque</t>
  </si>
  <si>
    <t>Sillas secre senc, sillón ejec Prot</t>
  </si>
  <si>
    <t>Quedaron bien</t>
  </si>
  <si>
    <t>Erika Zavala</t>
  </si>
  <si>
    <t>33-3201-6008</t>
  </si>
  <si>
    <t>Tierra Contenta #179 Fracc Terralta, Tlaquepaque</t>
  </si>
  <si>
    <t>Sala 3 p t f, Colchón mat, sala 1 p t f, Senc</t>
  </si>
  <si>
    <t>190/24</t>
  </si>
  <si>
    <t>Mari Carmen Ramírez</t>
  </si>
  <si>
    <t>33-1600-8058</t>
  </si>
  <si>
    <t>Río de la Plata #2556 Col Providencia, Zapopan</t>
  </si>
  <si>
    <t>Sala 8 p r r, Sala 3 p r r, Chaise, Healty</t>
  </si>
  <si>
    <t>Quedó bien la grande, la pequeña se repasara</t>
  </si>
  <si>
    <t>Se madna WA, al colchón le faltó</t>
  </si>
  <si>
    <t>Se manda WA, no le gustó, pero habia nido de cucarachas</t>
  </si>
  <si>
    <t>191/24</t>
  </si>
  <si>
    <t>192/24</t>
  </si>
  <si>
    <t>Nora De la Mora / Agustín Quintanar</t>
  </si>
  <si>
    <t>33-1438-3273</t>
  </si>
  <si>
    <t>Av Gral Ramón Corona #2748 Casa N 14 Col La Mojonera Olivos Res, Zapopan</t>
  </si>
  <si>
    <t>Tapete sint, Tapete de lana, Prem</t>
  </si>
  <si>
    <t>Muy Bien</t>
  </si>
  <si>
    <t>Colchón Mat, Eco</t>
  </si>
  <si>
    <t>193/24</t>
  </si>
  <si>
    <t>194/24</t>
  </si>
  <si>
    <t>195/24</t>
  </si>
  <si>
    <t>Sala 3 p r r, Piel</t>
  </si>
  <si>
    <t>Amigo de Raúl, Él lo ve</t>
  </si>
  <si>
    <t>Alvaro Orozco</t>
  </si>
  <si>
    <t>33-3409-1250</t>
  </si>
  <si>
    <t>Av Acueducto #6060 Casa G2 Fracc Los Frailes, Zapopan</t>
  </si>
  <si>
    <t>Colchón KS, Healty</t>
  </si>
  <si>
    <t>Alejandra Rosales</t>
  </si>
  <si>
    <t>33-3175-1795</t>
  </si>
  <si>
    <t>Camichines y Rinc Vallarta, Coto Naranjos Casa 74, Zapopan</t>
  </si>
  <si>
    <t>Sala 5 p r r, Tab, Eco</t>
  </si>
  <si>
    <t>196/24</t>
  </si>
  <si>
    <t>197/24</t>
  </si>
  <si>
    <t>Ma del Refugio Aldama Baeza</t>
  </si>
  <si>
    <t>33-2183-2544</t>
  </si>
  <si>
    <t>Susana Gómez Palafox #5229 Col Paseos del Sol, Gdl</t>
  </si>
  <si>
    <t>Sala 5 p t r, Coj, Silla a y r, Eco</t>
  </si>
  <si>
    <t>Se manda WA, todo bien, pero quedó muy mojada</t>
  </si>
  <si>
    <t>Río Blanco #1511 Int 271 Col Parques de Tesistán, Zapopan</t>
  </si>
  <si>
    <t>Colchón QS, Senc, PURT</t>
  </si>
  <si>
    <t>198/24</t>
  </si>
  <si>
    <t>199/24</t>
  </si>
  <si>
    <t>200/24</t>
  </si>
  <si>
    <t>201/24</t>
  </si>
  <si>
    <t>202/24</t>
  </si>
  <si>
    <t>203/24</t>
  </si>
  <si>
    <t>204/24</t>
  </si>
  <si>
    <t>Juan Manuel Mendez</t>
  </si>
  <si>
    <t>33-1318-2941</t>
  </si>
  <si>
    <t>Taller</t>
  </si>
  <si>
    <t>Se manda WA, excelente</t>
  </si>
  <si>
    <t>Se manda WA, algunas manchas no se quitaron, pero quedó oliendo muy rico</t>
  </si>
  <si>
    <t>Anahí Martínez</t>
  </si>
  <si>
    <t>33-2455-5791</t>
  </si>
  <si>
    <t>Sta Rosa #551 Col La Providencia, Tonalá</t>
  </si>
  <si>
    <t>Sala 4 p r r, Silla a y r, Banca, Eco</t>
  </si>
  <si>
    <t>Alejandra Gómez / Colliers Lomelín</t>
  </si>
  <si>
    <t>33-1405-6920</t>
  </si>
  <si>
    <t>Av Adolfo López Mateos Nte #2405 Piso 18 Int 1 Col Italia Providencia, Zapopan</t>
  </si>
  <si>
    <t>Ma Eugenia Alvarez</t>
  </si>
  <si>
    <t>33-1296-9998</t>
  </si>
  <si>
    <t>Pablo Neruda #3810 Casa 1 Col Colinas de San Javier, Zapopan</t>
  </si>
  <si>
    <t>Sala 6 p t r, Sala 2 p t tf, Reposet, Sala 1 p t f, Tab, Silla s a, Sala 3 p r r, Colchón KS, Senc</t>
  </si>
  <si>
    <t>Isa Corona / Luis Rodriguez</t>
  </si>
  <si>
    <t>Sala 2 p t f, Coj, Prem</t>
  </si>
  <si>
    <t>Se manda WA, quedó super bien, se ven los colores</t>
  </si>
  <si>
    <t>José Ma Chávez</t>
  </si>
  <si>
    <t>33-1468-0755</t>
  </si>
  <si>
    <t>Amado Nervo #520 A-2 Col Ladrón de Guevara, Gdl</t>
  </si>
  <si>
    <t>Sala 5 p r r, Colchón KS, Senc</t>
  </si>
  <si>
    <t>No se llama, les grita a los técnicos y no se queja del $$</t>
  </si>
  <si>
    <t>Mario Alberto Martínez Coss</t>
  </si>
  <si>
    <t>33-1517-9765</t>
  </si>
  <si>
    <t>Priv Jorge Villalobos Padilla #3476 Int 23 Coto Ceibe Col Parques del bosque, Gdl</t>
  </si>
  <si>
    <t>Colchón KS, Eco, PURT</t>
  </si>
  <si>
    <t>Se manda WA muy contenta</t>
  </si>
  <si>
    <t>205/24</t>
  </si>
  <si>
    <t>206/24</t>
  </si>
  <si>
    <t>207/24</t>
  </si>
  <si>
    <t>208/24</t>
  </si>
  <si>
    <t>Martha Nélida Gutiérrez Arias</t>
  </si>
  <si>
    <t>33-1349-3680</t>
  </si>
  <si>
    <t>Av Niños Héroes Sur # 361 Col El alamo, Tlaque</t>
  </si>
  <si>
    <t>Tapete sint, Healty</t>
  </si>
  <si>
    <t>Ma de Jesús Reynaga</t>
  </si>
  <si>
    <t>33-1093-3552</t>
  </si>
  <si>
    <t>Paseo de los Brezos #745 Col Tabachines, Zapopan</t>
  </si>
  <si>
    <t>Sala 9 p t f, Senc</t>
  </si>
  <si>
    <t>Andrea Barragán</t>
  </si>
  <si>
    <t>33-1788-6114</t>
  </si>
  <si>
    <t>Paseo de la Reina Isabel #24-4 Col Colinas del Rey, Zapopan</t>
  </si>
  <si>
    <t>Colchón Ind, Sillas s a, Int coche tela</t>
  </si>
  <si>
    <t>Ana Calderón</t>
  </si>
  <si>
    <t>33-3452-4364</t>
  </si>
  <si>
    <t>Ramón Corona #254 Col Sta Anita, Tlaque</t>
  </si>
  <si>
    <t>Sala 6 p t f, Sala 2 p t f, Senc</t>
  </si>
  <si>
    <t>209/24</t>
  </si>
  <si>
    <t>210/24</t>
  </si>
  <si>
    <t>211/24</t>
  </si>
  <si>
    <t>Doris Leticia Flores Gutierrez</t>
  </si>
  <si>
    <t>33-1602-9925</t>
  </si>
  <si>
    <t>Aldama #1151 Col Constitución, Zapopan</t>
  </si>
  <si>
    <t>Futón, Eco, PURT</t>
  </si>
  <si>
    <t>Se madna WA, no contesta</t>
  </si>
  <si>
    <t>Se manda WA, se ve muy bien</t>
  </si>
  <si>
    <t>Karina Amalia María Ríos Navarro</t>
  </si>
  <si>
    <t>33-1398-2802</t>
  </si>
  <si>
    <t>Paseo de los Venados #186 Col Bugambilias 2a Secc., Zapopan</t>
  </si>
  <si>
    <t>Sala 6 p t f, Sillas s a, Senc</t>
  </si>
  <si>
    <t>Alida Gutiérrez Ibarra</t>
  </si>
  <si>
    <t>33-1333-1402</t>
  </si>
  <si>
    <t>Brasilia #2790 Int 403-D, Col Colomos Providencia, Zapopan</t>
  </si>
  <si>
    <t>Sala 6 p t r, Sillas a y r, Senc</t>
  </si>
  <si>
    <t>Quedó súper limpio</t>
  </si>
  <si>
    <t>212/24</t>
  </si>
  <si>
    <t>Sillas a y r Healty</t>
  </si>
  <si>
    <t>Se manda WA quedaron muy bien</t>
  </si>
  <si>
    <t>213/24</t>
  </si>
  <si>
    <t>Esther Reza</t>
  </si>
  <si>
    <t>33-1520-8381</t>
  </si>
  <si>
    <t>Av Río Blanco #1295 Casa 68, Zapopan</t>
  </si>
  <si>
    <t>Sala 4 p r r, Sillas s a, Eco</t>
  </si>
  <si>
    <t>214/24</t>
  </si>
  <si>
    <t>215/24</t>
  </si>
  <si>
    <t>216/24</t>
  </si>
  <si>
    <t>Sala 6 p t f, Prem, PURT en colchón</t>
  </si>
  <si>
    <t>Silvia Rodríguez</t>
  </si>
  <si>
    <t>33-1313-9382</t>
  </si>
  <si>
    <t>Paseo de los Virreyes #871 Int B8 Col Virreyes residencial, Zapopan</t>
  </si>
  <si>
    <t>Sala 6 p t f , Futón, Cama de perro, Sala 2 p t f, Senc</t>
  </si>
  <si>
    <t>Juan José Gómez Villaseñor</t>
  </si>
  <si>
    <t>33-1156-8969</t>
  </si>
  <si>
    <t>San José Ma Robles #1133 Col Jardínes de San Ignacio, Gdl</t>
  </si>
  <si>
    <t>Colchón mat, Healty</t>
  </si>
  <si>
    <t>No se llama, acepta presupuesto y luego no quiere pagar</t>
  </si>
  <si>
    <t>217/24</t>
  </si>
  <si>
    <t>218/24</t>
  </si>
  <si>
    <t>Nora Jimenez</t>
  </si>
  <si>
    <t>33-3584-9987</t>
  </si>
  <si>
    <t>Capote #207 Col Gavilanes Pte, Tlajo</t>
  </si>
  <si>
    <t xml:space="preserve">Sala 5 p t r, Healty </t>
  </si>
  <si>
    <t>Muy limpio</t>
  </si>
  <si>
    <t>Se manda WA, muy lipio</t>
  </si>
  <si>
    <t>Coto B Casa 85, La Cima, Zapopan</t>
  </si>
  <si>
    <t>Sala 6 p r r, Coj, Sillas a y r, Eco</t>
  </si>
  <si>
    <t>219/24</t>
  </si>
  <si>
    <t>220/24</t>
  </si>
  <si>
    <t>221/24</t>
  </si>
  <si>
    <t>Paulina Castillo</t>
  </si>
  <si>
    <t>33-2834-5339</t>
  </si>
  <si>
    <t>Sendero de los robles # 4271 Casa 68 Coto Altaterra I Valle Imperial, Zapopan</t>
  </si>
  <si>
    <t>Sala 5 p r r, Coj, Senc</t>
  </si>
  <si>
    <t>Quedó muy bien</t>
  </si>
  <si>
    <t>Valeria Hurtado</t>
  </si>
  <si>
    <t>33-2766-7128</t>
  </si>
  <si>
    <t>Fco Montes De Oca #3630 Casa 34 Coto Zenith Res, Col El Fortín, Zapopan</t>
  </si>
  <si>
    <t>Colchón Mat, Colchón KS, Base de cama, Eco PURT</t>
  </si>
  <si>
    <t>Antonieta Alvarez Carbajal</t>
  </si>
  <si>
    <t>33-1346-5345</t>
  </si>
  <si>
    <t>Calle Jesús # 468 Santa Tere, Zapopan</t>
  </si>
  <si>
    <t>Sala 6 p r r, Sillas s a, Banca, Senc</t>
  </si>
  <si>
    <t>222/24</t>
  </si>
  <si>
    <t>223/24</t>
  </si>
  <si>
    <t>224/24</t>
  </si>
  <si>
    <t>225/24</t>
  </si>
  <si>
    <t>226/24</t>
  </si>
  <si>
    <t>Erik Alejandro Cabañas Gutiérrez</t>
  </si>
  <si>
    <t>33-2944-7329</t>
  </si>
  <si>
    <t>Priv del Guamúchil #179-1 Col Villas de la Tijera, Tlajo</t>
  </si>
  <si>
    <t>Lo checará</t>
  </si>
  <si>
    <t>Gabriela Solís Quiroz</t>
  </si>
  <si>
    <t>Hípico #6 Casa 193 Coto Vallarta Sn Ignacio, Zapopan</t>
  </si>
  <si>
    <t>33-1600-7427</t>
  </si>
  <si>
    <t>Colchón Ind, Eco, Tapete sint, Prem, PURT</t>
  </si>
  <si>
    <t>Muy bien, excelente servicio</t>
  </si>
  <si>
    <t>Ana jiménez</t>
  </si>
  <si>
    <t>33-2158-7200</t>
  </si>
  <si>
    <t>Rita Pérez De moreno #1 Col Nextipac, Zapopan</t>
  </si>
  <si>
    <t>Sala 5 p t f, Banco, Eco</t>
  </si>
  <si>
    <t>Itzcel López</t>
  </si>
  <si>
    <t>33-2844-8400</t>
  </si>
  <si>
    <t>Sta Gertrudis #2069 Col Sta Cruz del Valle, Gdl</t>
  </si>
  <si>
    <t>Colchón KS, Prem</t>
  </si>
  <si>
    <t xml:space="preserve">Quedó bien </t>
  </si>
  <si>
    <t>Elisa Fernández</t>
  </si>
  <si>
    <t>33-3555-4421</t>
  </si>
  <si>
    <t>Camino a los aguacates #424 Fracc Gavilanes Pte, Tlajo</t>
  </si>
  <si>
    <t>Sala 6 p t f, Coj, Tab, Senc, Interior camioneta piel</t>
  </si>
  <si>
    <t>Se manda WA, pero se le cobra mas, la sala es de 6 + tab, habia dicho que 4, por error se le cobra coche gde, en lugar de camioneta</t>
  </si>
  <si>
    <t>227/24</t>
  </si>
  <si>
    <t>228/24</t>
  </si>
  <si>
    <t>33-2182-7150</t>
  </si>
  <si>
    <t>Ramón López Velarde #46 Col San Antonio, Tlaque</t>
  </si>
  <si>
    <t>Colchón Mat, Colchín Ind, Eco, PURT</t>
  </si>
  <si>
    <t>Karina Aguirre</t>
  </si>
  <si>
    <t>33-1473-4561</t>
  </si>
  <si>
    <t>Av D #580 Casa 117 Fracc Zoi, Col Capital Norte, Zapopan</t>
  </si>
  <si>
    <t>Interior tela coche med, Eco</t>
  </si>
  <si>
    <t>Le gusto mucho</t>
  </si>
  <si>
    <t>229/24</t>
  </si>
  <si>
    <t>230/24</t>
  </si>
  <si>
    <t>César González Soto</t>
  </si>
  <si>
    <t>33-3259-0002</t>
  </si>
  <si>
    <t>Tapete sint Healty</t>
  </si>
  <si>
    <t>No se llama, ya que lo lleva al taller</t>
  </si>
  <si>
    <t>Valeria De La Vega / Surfax</t>
  </si>
  <si>
    <t>33-1216-5240</t>
  </si>
  <si>
    <t>Aguamarina #3042 Col Aguablanca, Zapopan</t>
  </si>
  <si>
    <t>4 Sala 1 p t f, silla secre, Senc</t>
  </si>
  <si>
    <t>Parece que todo bien</t>
  </si>
  <si>
    <t>231/24</t>
  </si>
  <si>
    <t>Juan Carlos Ahumada</t>
  </si>
  <si>
    <t>33-1479-3110</t>
  </si>
  <si>
    <t>Av Circunvalación Pte #783 Col Cd. Granja, Zapopan</t>
  </si>
  <si>
    <t>Todavía está húmdo y quedó manchado</t>
  </si>
  <si>
    <t>232/24</t>
  </si>
  <si>
    <t>233/24</t>
  </si>
  <si>
    <t>234/24</t>
  </si>
  <si>
    <t>235/24</t>
  </si>
  <si>
    <t>236/24</t>
  </si>
  <si>
    <t>Hugo Garibaldi Murillo / Operadora Palermo</t>
  </si>
  <si>
    <t>33-1839-3215</t>
  </si>
  <si>
    <t>Río Tizapán #1747 Col Atlas, Gdl</t>
  </si>
  <si>
    <t>Tapete de lana Prot</t>
  </si>
  <si>
    <t>Astrid Contreras</t>
  </si>
  <si>
    <t>33-1915-0089</t>
  </si>
  <si>
    <t>Soare Acanthia Int 28, Zapopan</t>
  </si>
  <si>
    <t>Tapete de lana, Prem</t>
  </si>
  <si>
    <t>Base, Cabecera, Coj, Eco, Tapete sint, Prem</t>
  </si>
  <si>
    <t>Gonzalo Fregoso Zúñiga</t>
  </si>
  <si>
    <t>33-3190-1580</t>
  </si>
  <si>
    <t>Paseo Sn Arturo Ote #970 Col Valle Real, Zapopan</t>
  </si>
  <si>
    <t>Sala 7 p t r, Colchón KS, Base y Cabecera, Senc</t>
  </si>
  <si>
    <t>Se manda WA, todo increible, como siempre</t>
  </si>
  <si>
    <t>Se manda WA, les encantó, nos recomendarán</t>
  </si>
  <si>
    <t>237/24</t>
  </si>
  <si>
    <t>238/24</t>
  </si>
  <si>
    <t>239/24</t>
  </si>
  <si>
    <t>240/24</t>
  </si>
  <si>
    <t>241/24</t>
  </si>
  <si>
    <t>Say Martínez</t>
  </si>
  <si>
    <t>Tapete de lana, tapete sint, Healty, PURT</t>
  </si>
  <si>
    <t>Súper bonitos!</t>
  </si>
  <si>
    <t>Alejandra Pérez-Bouquet</t>
  </si>
  <si>
    <t>33-1399-3903</t>
  </si>
  <si>
    <t>Juan Palomar y Arias #300 Casa 20 Coto La Ceiba, Zapopan</t>
  </si>
  <si>
    <t>Tapete de lana, Prem. PURT</t>
  </si>
  <si>
    <t>61-2218-7337</t>
  </si>
  <si>
    <t>Av Novelistas #5646 Int 119, Zapopan</t>
  </si>
  <si>
    <t>Sala 5 p t f, Chaise, Eco</t>
  </si>
  <si>
    <t>Nancy Livier Alfaro</t>
  </si>
  <si>
    <t>33-1365-3951</t>
  </si>
  <si>
    <t>Arbolada #2 Casa A14 Col Bosques de Sta Anita, Tlajo</t>
  </si>
  <si>
    <t>Sala 5 p r r, Silla a y r, Senc</t>
  </si>
  <si>
    <t>Sala 8 p r r, Sillas s a, Bancos, Senc</t>
  </si>
  <si>
    <t>242/24</t>
  </si>
  <si>
    <t>243/24</t>
  </si>
  <si>
    <t>Eduardo González</t>
  </si>
  <si>
    <t>33-2478-5042</t>
  </si>
  <si>
    <t>Paseo San Jorge #2574 Col Valle Real, Zapopan</t>
  </si>
  <si>
    <t>Sala 6 p t f, Tapete sint, Prem, Extracción</t>
  </si>
  <si>
    <t>Adriana García Isais</t>
  </si>
  <si>
    <t>Se manda WA, súper bien</t>
  </si>
  <si>
    <t>Se manda WA, Excelente</t>
  </si>
  <si>
    <t>Roxana Andrea Arias</t>
  </si>
  <si>
    <t>33-2511-6567</t>
  </si>
  <si>
    <t>Manuel M dieguez #900 Int B1004, Col Ayuntamiento Edif Urban Life, Gdl</t>
  </si>
  <si>
    <t>Sala 6 p r r, Sala 2 p t f, Sillas a y r, Eco</t>
  </si>
  <si>
    <t>Sala 6 p t , Tapete sint, Prem, Extracción</t>
  </si>
  <si>
    <t>Se manda WA, muy bien, nos recomendará</t>
  </si>
  <si>
    <t>244/24</t>
  </si>
  <si>
    <t>245/24</t>
  </si>
  <si>
    <t>246/24</t>
  </si>
  <si>
    <t>Catherine Hernández</t>
  </si>
  <si>
    <t>33-1810-7521</t>
  </si>
  <si>
    <t>Gral Eulogio Parra #2743 Int 6 Col Lomas de Guevara,Gdl</t>
  </si>
  <si>
    <t>Tapete de Lana, Eco</t>
  </si>
  <si>
    <t>Todavía quedó con un poco de olor, pero lo lavará mas adelante</t>
  </si>
  <si>
    <t>Sala 3 p t r, Eco</t>
  </si>
  <si>
    <t>Quedó muy bien, excelente servicio</t>
  </si>
  <si>
    <t>Patricia Valle Enrique</t>
  </si>
  <si>
    <t>33-3028-5222</t>
  </si>
  <si>
    <t>Luis Aguirre #3759 Col Eliodoro Hernández Loza 1a Secc, Gdl</t>
  </si>
  <si>
    <t>Sala 6 p t f, senc</t>
  </si>
  <si>
    <t>Tapete de lana Eco</t>
  </si>
  <si>
    <t>247/24</t>
  </si>
  <si>
    <t>Magui Alfaro</t>
  </si>
  <si>
    <t>33-3147-2076</t>
  </si>
  <si>
    <t>Av San Arturo #920 Col Valle real, Zapopan</t>
  </si>
  <si>
    <t>Le encantó, repetira</t>
  </si>
  <si>
    <t>Le encantó repetirá</t>
  </si>
  <si>
    <t>248/24</t>
  </si>
  <si>
    <t>Sara Varela</t>
  </si>
  <si>
    <t>33-1702-5937</t>
  </si>
  <si>
    <t>Calle Ejido Lote 40 Col La Higuera, El Salto</t>
  </si>
  <si>
    <t>Colchon KS, Mat, Ind, Eco</t>
  </si>
  <si>
    <t>249/24</t>
  </si>
  <si>
    <t>Profirio Bravo</t>
  </si>
  <si>
    <t>33-2795-4784</t>
  </si>
  <si>
    <t>Coto Andalucía Casa 27 Col Pta de Hierro, Zapopan</t>
  </si>
  <si>
    <t>Tapete sint, Eco, Tapete de lana Prem, PURT</t>
  </si>
  <si>
    <t>Le gustó mucho</t>
  </si>
  <si>
    <t>250/24</t>
  </si>
  <si>
    <t>Silvia López Galindo</t>
  </si>
  <si>
    <t>33-3129-2754</t>
  </si>
  <si>
    <t>Isla Bermudas #2966 Col Cruz del Sur, Gdl</t>
  </si>
  <si>
    <t>Sala 5 p t f, Coj, Tapete sint, Eco</t>
  </si>
  <si>
    <t>Muy nefasta, incredula y complicada</t>
  </si>
  <si>
    <t>Porfirio Bravo</t>
  </si>
  <si>
    <t>Tapete sint Eco, Tapete lana Prem, PURT</t>
  </si>
  <si>
    <t>251/24</t>
  </si>
  <si>
    <t>Andrea Espinosa</t>
  </si>
  <si>
    <t>33-1117-1117</t>
  </si>
  <si>
    <t>Florencia #2453 Casa 46 Col Providencia, Zapopan</t>
  </si>
  <si>
    <t>Sala 5 p t r, Coj, Tapete sint, Eco, PURT</t>
  </si>
  <si>
    <t>252/24</t>
  </si>
  <si>
    <t>253/24</t>
  </si>
  <si>
    <t>254/24</t>
  </si>
  <si>
    <t>Virginia Bonilla</t>
  </si>
  <si>
    <t>37-3101-4627</t>
  </si>
  <si>
    <t>Valle de Sto Domingo #2339 Col Viveros del Valle, Zapopan</t>
  </si>
  <si>
    <t>Sala 2 p t f, 2 tapetes delana, Eco, PURT</t>
  </si>
  <si>
    <t>Gerardo Martínez</t>
  </si>
  <si>
    <t>33-1799-9754</t>
  </si>
  <si>
    <t>Blvd Pta de Hierro #5662, Andares, Zapopan</t>
  </si>
  <si>
    <t>Parece que quedó oliendo a humedad, es un lugar MUY encerrado, se regresará</t>
  </si>
  <si>
    <t>Iris Mendez</t>
  </si>
  <si>
    <t>33-3595-4436</t>
  </si>
  <si>
    <t>Calle La Rioja #2837 Depto 18 Torre Montevideo, Col Colomos Providencia, Zapopan</t>
  </si>
  <si>
    <t>255/24</t>
  </si>
  <si>
    <t>256/24</t>
  </si>
  <si>
    <t>Verónica Ruiz</t>
  </si>
  <si>
    <t>33-3821-2080</t>
  </si>
  <si>
    <t>Av Conchita #3052 Col Loma Bonita, Zapopan</t>
  </si>
  <si>
    <t>Sala 6 p r r, tab, Coj, Sillas a y r, Senc</t>
  </si>
  <si>
    <t>Lourdes Castro</t>
  </si>
  <si>
    <t>33-3115-0967</t>
  </si>
  <si>
    <t>Calz Pirules #400 Casa 8 Coto Fazenda Townhouses, Cd Granja, Zapopan</t>
  </si>
  <si>
    <t>Sala 4 p r r, Coj, Sala 2 p t f, Eco</t>
  </si>
  <si>
    <t>Super limpio</t>
  </si>
  <si>
    <t>Se manda WA, muy bien, se ve la diferencia</t>
  </si>
  <si>
    <t>257/24</t>
  </si>
  <si>
    <t>258/24</t>
  </si>
  <si>
    <t>Eréndira Carrillo / B &amp; F Business Fruit</t>
  </si>
  <si>
    <t>33-1338-5737</t>
  </si>
  <si>
    <t>Av Universidad #604 Pido 1 Col Pta de Hierro, Zapopan</t>
  </si>
  <si>
    <t>Sillas secre, Sala 7 p t f, Bancos, Sillón ejec, Tab, Banca, Senc</t>
  </si>
  <si>
    <t>Juan Daniel Hernández</t>
  </si>
  <si>
    <t>33-1370-9183</t>
  </si>
  <si>
    <t>Oscar Wilde #6117 Col Lomas Universidad, Zapopan</t>
  </si>
  <si>
    <t>Sala 6 p r r, Coj, Silla s a, Prot</t>
  </si>
  <si>
    <t>Se manda WA, se regresa por los tapetes, quedaron oliendo feo</t>
  </si>
  <si>
    <t>Se manda WA, quedó muy bien, quiere pulido de piso</t>
  </si>
  <si>
    <t>Quedaron muy bien, excelente trabajo</t>
  </si>
  <si>
    <t>259/24</t>
  </si>
  <si>
    <t>260/24</t>
  </si>
  <si>
    <t>33-1572-9169</t>
  </si>
  <si>
    <t>Alma Manzo</t>
  </si>
  <si>
    <t>C Tomás Dosal y Hermosillo #4095 Torre 7 Depto 405 Col Rancho Nuevo, Gdl</t>
  </si>
  <si>
    <t>Sala 4 p r r, Coj, Senc, PURT</t>
  </si>
  <si>
    <t>Fernando Echeverría</t>
  </si>
  <si>
    <t>41-5190-0313</t>
  </si>
  <si>
    <t>Gabriel Ramos Millán #735 Col Sta Teresita, Zapopan</t>
  </si>
  <si>
    <t>Sala 6 p r r, Senc</t>
  </si>
  <si>
    <t>Es num fijo</t>
  </si>
  <si>
    <t>261/24</t>
  </si>
  <si>
    <t>Coto Andalucía casa 27 Col Pta de Hierro Zapopan</t>
  </si>
  <si>
    <t>Se manda WA, quedó bien</t>
  </si>
  <si>
    <t>262/24</t>
  </si>
  <si>
    <t>263/24</t>
  </si>
  <si>
    <t>264/24</t>
  </si>
  <si>
    <t>265/24</t>
  </si>
  <si>
    <t>Arrate Iturrioz</t>
  </si>
  <si>
    <t>33-3191-9349</t>
  </si>
  <si>
    <t>Paseo del Prado #306 Club de Golf Sta Anita, Tlajomulco</t>
  </si>
  <si>
    <t>3 Tapete sint, Tapete de lana Prot</t>
  </si>
  <si>
    <t>Diana Murillo</t>
  </si>
  <si>
    <t>33-1429-8114</t>
  </si>
  <si>
    <t>Logroño #763 Fracc La Rioja, Tlajo</t>
  </si>
  <si>
    <t>2 tapete sint, Sala 6 p r r, Bancos, Sillas a y r, Senc</t>
  </si>
  <si>
    <t>Alejandra / Yesenia</t>
  </si>
  <si>
    <t>33-1324-2184</t>
  </si>
  <si>
    <t>Av Universidad #933 Col Pta del Bosque Int 102, Zapopan</t>
  </si>
  <si>
    <t>Sala 4 p t r, Tab, Sala 2 p t f, Sala 1 p t r, Prot</t>
  </si>
  <si>
    <t>Elva Mendoza</t>
  </si>
  <si>
    <t>33-2762-5321</t>
  </si>
  <si>
    <t>Guacamaya #1698 Col Misión de San Isidro, Zapopan</t>
  </si>
  <si>
    <t>Sala 4 p t f, Eco</t>
  </si>
  <si>
    <t>266/24</t>
  </si>
  <si>
    <t>267/24</t>
  </si>
  <si>
    <t>268/24</t>
  </si>
  <si>
    <t>269/24</t>
  </si>
  <si>
    <t>270/24</t>
  </si>
  <si>
    <t>Luisa Fernanda</t>
  </si>
  <si>
    <t>55-2344-2867</t>
  </si>
  <si>
    <t>Eva Briseño #332 Int 17 Col Sta Fe, Zapopan</t>
  </si>
  <si>
    <t>Se manda WA, repite</t>
  </si>
  <si>
    <t>Se manda WA, clienta problemática para pagar</t>
  </si>
  <si>
    <t>Gergina Sánchez</t>
  </si>
  <si>
    <t>Av Justo Sierra # 2620 Col Ladrón de Guevara, Gdl</t>
  </si>
  <si>
    <t>Sala 4 p t f, Silla a y r, Senc</t>
  </si>
  <si>
    <t>Colchón KS, Mat, Eco PURT</t>
  </si>
  <si>
    <t>Bertha García</t>
  </si>
  <si>
    <t>33-3441-1201</t>
  </si>
  <si>
    <t>José Ma Heredia #2706 Col Providencia, Zapopan</t>
  </si>
  <si>
    <t>Tía</t>
  </si>
  <si>
    <t>Sala 6 p r r Eco, 2 sala 1 p t f, Silla a y r, Prot, Coj, Senc</t>
  </si>
  <si>
    <t>Raúl pregunta</t>
  </si>
  <si>
    <t>271/24</t>
  </si>
  <si>
    <t>Clarissa Valdéz Inzunza</t>
  </si>
  <si>
    <t>33-1895-9872</t>
  </si>
  <si>
    <t>Blvrd Valle del Silicio #150 Coto Cadiz Casa 27 Fracc Nva Galicia, Tlajomulco</t>
  </si>
  <si>
    <t>Tapete sint, PURT</t>
  </si>
  <si>
    <t>272/24</t>
  </si>
  <si>
    <t>273/24</t>
  </si>
  <si>
    <t>Fabian Behn</t>
  </si>
  <si>
    <t>55-8537-4777</t>
  </si>
  <si>
    <t>Juan Ruiz De Alarcón #129 A Col Lafayette, Gdl</t>
  </si>
  <si>
    <t>Tapete de lana, Senc</t>
  </si>
  <si>
    <t>Se manda WA, quedó excelente</t>
  </si>
  <si>
    <t>Se manda WA, se regresa a poner mas PURT</t>
  </si>
  <si>
    <t>Jazmín Villar</t>
  </si>
  <si>
    <t>33-3955-3725</t>
  </si>
  <si>
    <t>Colina Imperial #2182 Col Colinas de Atemajac, Zapopan</t>
  </si>
  <si>
    <t>2 Tapetes Sint, Prem, PURT</t>
  </si>
  <si>
    <t>274/22</t>
  </si>
  <si>
    <t>Luis Alberto Espinoza / Antonia Santoyo Orozco</t>
  </si>
  <si>
    <t>33-1109-0288</t>
  </si>
  <si>
    <t>Arroyo del Cotorro #173 Fracc Los Ruiseñores, Tala</t>
  </si>
  <si>
    <t>Sala 5 p r r, Prot, Sillas a y r, Senc</t>
  </si>
  <si>
    <t>275/24</t>
  </si>
  <si>
    <t>276/24</t>
  </si>
  <si>
    <t>277/24</t>
  </si>
  <si>
    <t>Esteban Farrera</t>
  </si>
  <si>
    <t>96-1593-1961</t>
  </si>
  <si>
    <t>Av Aviación #4412 Int 53 Coto El Real II, zapopan</t>
  </si>
  <si>
    <t>Alejanro Gutíerrez</t>
  </si>
  <si>
    <t>33-3077-2645</t>
  </si>
  <si>
    <t>Martha Dueñas #5286 Col Paseos del Sol, Zapopan</t>
  </si>
  <si>
    <t>Interior coche gde, Eco</t>
  </si>
  <si>
    <t>Astrid Gabriela Reyes Salcido</t>
  </si>
  <si>
    <t>33-2398-4726</t>
  </si>
  <si>
    <t>Isla de Hierro #3061 Col Jardines de la Cruz, Gdl</t>
  </si>
  <si>
    <t>Colchón Mat, Prot</t>
  </si>
  <si>
    <t>Quedó como nuevo</t>
  </si>
  <si>
    <t>2 tapete sint, Eco, PURT</t>
  </si>
  <si>
    <t>Sala 6 p t r, Sala 2 p t  f, Reposet, Sala 1 p t f, Tab, Silla s a, Sala 3 p r r, Colchón KS, Senc</t>
  </si>
  <si>
    <t>Colchón Ind, Healty, Sillas s a, Interior coche tela, Prot</t>
  </si>
  <si>
    <t>278/24</t>
  </si>
  <si>
    <t>Marisa Ontiveros</t>
  </si>
  <si>
    <t>33-1945-0230</t>
  </si>
  <si>
    <t>San Gonzalo #1970 Int 16 Coto San Bernardo, Zapopan</t>
  </si>
  <si>
    <t>Sala 3 p r r, Prot</t>
  </si>
  <si>
    <t>279/24</t>
  </si>
  <si>
    <t>Ma Elena Gómez</t>
  </si>
  <si>
    <t>33-3496-4731</t>
  </si>
  <si>
    <t>Torre Altamira Depto 303 Calle Hacienda Altamira #2175 Col Altamira, Zapopan</t>
  </si>
  <si>
    <t>Sala 4 p t f, Piel, Colchón KS, Healty</t>
  </si>
  <si>
    <t>280/24</t>
  </si>
  <si>
    <t>281/24</t>
  </si>
  <si>
    <t>282/24</t>
  </si>
  <si>
    <t>283/24</t>
  </si>
  <si>
    <t>Fernanda Durán</t>
  </si>
  <si>
    <t>33-2789-8014</t>
  </si>
  <si>
    <t>Av Paseo del Origen, Blvrd Sta Anita # 500 Casa 10 El Origen Torrenta, Tlajomulco</t>
  </si>
  <si>
    <t>Sala 5 p r r, Tapete sint. Senc, PURT</t>
  </si>
  <si>
    <t>Se manda WA, se regresa a repasar</t>
  </si>
  <si>
    <t>Se manda WA, SUPER SATISFACTORIO</t>
  </si>
  <si>
    <t>Galup Lizárraga</t>
  </si>
  <si>
    <t>66-7105-8643</t>
  </si>
  <si>
    <t>Paseo de la Estrella #633 Int 46 Coto P de los Eucaliptos, Solares, Zapopan</t>
  </si>
  <si>
    <t>Sala 5 p t f, Coj, Eco</t>
  </si>
  <si>
    <t>Diana / Anan Teresa Cervantes</t>
  </si>
  <si>
    <t>33-3388-1448</t>
  </si>
  <si>
    <t>Ayotlán #1053 Col Colegio del aire, Zapopan</t>
  </si>
  <si>
    <t>Colchón QS, Healty</t>
  </si>
  <si>
    <t>Gerardo Dominguez</t>
  </si>
  <si>
    <t>33-3631-5634</t>
  </si>
  <si>
    <t>Chichen Itzá #442 Jardines del Sol, Zapopan</t>
  </si>
  <si>
    <t>Colchón QS, Eco PURT</t>
  </si>
  <si>
    <t>284/24</t>
  </si>
  <si>
    <t>285/24</t>
  </si>
  <si>
    <t>286/24</t>
  </si>
  <si>
    <t>287/24</t>
  </si>
  <si>
    <t>No los han puesto</t>
  </si>
  <si>
    <t>Se madna WA, es fijo</t>
  </si>
  <si>
    <t>Rodolfo Pérez</t>
  </si>
  <si>
    <t>33-3100-0735</t>
  </si>
  <si>
    <t>Nápoles #32 Valle Real, Zapopan</t>
  </si>
  <si>
    <t>Sala 5 p r r, Sala 7 p t f, Coj, Prot</t>
  </si>
  <si>
    <t>Claudia / Cristina Ruelas</t>
  </si>
  <si>
    <t>33-2051-1199</t>
  </si>
  <si>
    <t>Calle Jazmín #33 La tijera, Tlajo</t>
  </si>
  <si>
    <t>Colchón mat, Prem</t>
  </si>
  <si>
    <t>Georgina Sánchez</t>
  </si>
  <si>
    <t>Sala 2 p r r, Silla a y r, Sillón ejec, Senc</t>
  </si>
  <si>
    <t>Se regresa a repasar</t>
  </si>
  <si>
    <t>288/24</t>
  </si>
  <si>
    <t>289/24</t>
  </si>
  <si>
    <t>Mari Carmen García</t>
  </si>
  <si>
    <t>33-3968-1358</t>
  </si>
  <si>
    <t>Av Inglaterra #7645 Casa 13 Mz 7 Fracc Rinconada del Bosque, Zapopan</t>
  </si>
  <si>
    <t>Madre Ana Rosa García Padilla</t>
  </si>
  <si>
    <t>33-3831-9741</t>
  </si>
  <si>
    <t>Bernardo de Blabuena #240, Gdl</t>
  </si>
  <si>
    <t>2 tapetes sint Prot, 2 tapete sint Senc</t>
  </si>
  <si>
    <t>290/24</t>
  </si>
  <si>
    <t>291/24</t>
  </si>
  <si>
    <t>Luis Torres</t>
  </si>
  <si>
    <t>87-1132-5844</t>
  </si>
  <si>
    <t>Circ. Laurel Nte #3781 Coto Puerta Laurel Nte, Col Nuevo México, Zapopan</t>
  </si>
  <si>
    <t>Sala 5 p r r, Tab, Colchón Mat, Senc</t>
  </si>
  <si>
    <t>Se manda wa, no contesta</t>
  </si>
  <si>
    <t>Claudia Gazca Segoviano</t>
  </si>
  <si>
    <t>33-3201-7174</t>
  </si>
  <si>
    <t>Pablo Neruda #3273 Int 1101 Col Providencia, Edif La Sebastiana, Zapopan</t>
  </si>
  <si>
    <t>Colchón KS, Prot, PURT</t>
  </si>
  <si>
    <t>292/24</t>
  </si>
  <si>
    <t>293/24</t>
  </si>
  <si>
    <t>294/24</t>
  </si>
  <si>
    <t>295/24</t>
  </si>
  <si>
    <t>296/24</t>
  </si>
  <si>
    <t>297/24</t>
  </si>
  <si>
    <t>Monserratt De Aguinaga Oliver</t>
  </si>
  <si>
    <t>33-1245-0102</t>
  </si>
  <si>
    <t>Av Niños Héroes #2571 Torre Vive Depto 1104 Col Jardines del Bosque, Zapopan</t>
  </si>
  <si>
    <t>Tapete sint Prem</t>
  </si>
  <si>
    <t>lo revisará</t>
  </si>
  <si>
    <t>Se manda WA, se regresa a repasar un cojín</t>
  </si>
  <si>
    <t>Se manda WA, no ha terminado de secar</t>
  </si>
  <si>
    <t>Aurora Martínez</t>
  </si>
  <si>
    <t>33-3968-3148</t>
  </si>
  <si>
    <t>Diamante #2836-208 Col Valle Verde Guadalajara</t>
  </si>
  <si>
    <t>Se manda WA todo muy bien</t>
  </si>
  <si>
    <t>33-3176-2851</t>
  </si>
  <si>
    <t>Velia Landeros</t>
  </si>
  <si>
    <t>Av Río Blanco #1295 Int 91 Col Parques de Tesistán, Zapopan</t>
  </si>
  <si>
    <t>Le gustó</t>
  </si>
  <si>
    <t>Claudia Cerda</t>
  </si>
  <si>
    <t>33-1172-4802</t>
  </si>
  <si>
    <t>Alcamo #2870 Depto 802 Col Prados Providencia, Zapopan</t>
  </si>
  <si>
    <t>Sala 7 p t r, Sala 3 p r r, Silla a y r, Senc</t>
  </si>
  <si>
    <t>Zuri Sadai Cruz de la Rosa</t>
  </si>
  <si>
    <t>33-1463-0332</t>
  </si>
  <si>
    <t>Telefonistas #3360 Col Lagos de Oriente, Gdl</t>
  </si>
  <si>
    <t>Sala 3 p r r, Colchón QS, Eco, PURT</t>
  </si>
  <si>
    <t>Le gustó mucho, muy satisfecha</t>
  </si>
  <si>
    <t>Karla Santiago Velazquez</t>
  </si>
  <si>
    <t>33-2256-6420</t>
  </si>
  <si>
    <t>José Encarnación Rosas #468 Depto 1, Gdl</t>
  </si>
  <si>
    <t>Colchón KS, 2 Reposet, Tapete Sint, Silla a y r, Sala 2 p a r, Coj, Sala 2 p t r, tab Senc</t>
  </si>
  <si>
    <t>298/24</t>
  </si>
  <si>
    <t>Se manda WA, se regresará, por que quedaron manchas</t>
  </si>
  <si>
    <t>Se manda WA, muy bien, quiere repetir</t>
  </si>
  <si>
    <t>299/24</t>
  </si>
  <si>
    <t>Eduardo Delgado / Medyarthros Surgery Center</t>
  </si>
  <si>
    <t>33-1276-9967</t>
  </si>
  <si>
    <t>Av Vallarta #3060 Col Vallarta Pte, Gdl</t>
  </si>
  <si>
    <t>22 reposet Prem</t>
  </si>
  <si>
    <t>300/24</t>
  </si>
  <si>
    <t>301/24</t>
  </si>
  <si>
    <t>Catalina Avila</t>
  </si>
  <si>
    <t>33-1195-3025</t>
  </si>
  <si>
    <t>Paseo Solares #1632 Int 82 Fracc Solares, Zapopan</t>
  </si>
  <si>
    <t>Sala 1 p t f, Sillas a y r, Eco</t>
  </si>
  <si>
    <t>Sergio Garza / Berries Paradise</t>
  </si>
  <si>
    <t>33-3809-5945</t>
  </si>
  <si>
    <t>Anillo Periférico Nte #1086 Col Pta del Valle, Zapopan</t>
  </si>
  <si>
    <t>Mamparas, Sillas a y r, Senc</t>
  </si>
  <si>
    <t>302/24</t>
  </si>
  <si>
    <t>303/24</t>
  </si>
  <si>
    <t>304/24</t>
  </si>
  <si>
    <t>Margarita Villareal</t>
  </si>
  <si>
    <t>33-3455-7882</t>
  </si>
  <si>
    <t>Av Cubilete #76 Int 203 Col Chapalita, Zapopan</t>
  </si>
  <si>
    <t xml:space="preserve">Se manda WA, parece que bien </t>
  </si>
  <si>
    <t>Violeta Moreno / Intouch México</t>
  </si>
  <si>
    <t>33-3707-2599</t>
  </si>
  <si>
    <t>Av Cristobal Colón #6013 Edif 1 Módulo % Col Sta Ma Tequepexpan, Parque Industrial Tecnológico III, Tlaquepaque</t>
  </si>
  <si>
    <t>Gabriel Marquez</t>
  </si>
  <si>
    <t>33-2137-4164</t>
  </si>
  <si>
    <t>Av Vallarta #5145 Ts 205 Col Camino Real, Zapopan</t>
  </si>
  <si>
    <t>Tapete de lana, tapete sint, Eco</t>
  </si>
  <si>
    <t>Se manda WA, lo revisará</t>
  </si>
  <si>
    <t>305/24</t>
  </si>
  <si>
    <t>Ma Fernanda Alvarez</t>
  </si>
  <si>
    <t>33-2516-8355</t>
  </si>
  <si>
    <t>Av Hidalgo #1990-304 Col Ladrón de Guevara, Gdl</t>
  </si>
  <si>
    <t>Sala 4 p t r, Coj, Tab, Colchón Mat, Sala 1 p t f, Senc</t>
  </si>
  <si>
    <t>306/24</t>
  </si>
  <si>
    <t>Rossana Chang</t>
  </si>
  <si>
    <t>33-3167-5930</t>
  </si>
  <si>
    <t>San Juan Bosco #4419 Col Chapalita, Gdl</t>
  </si>
  <si>
    <t>Sala 8 p t f, Eco</t>
  </si>
  <si>
    <t>307/24</t>
  </si>
  <si>
    <t>308/24</t>
  </si>
  <si>
    <t>309/24</t>
  </si>
  <si>
    <t>Azul Miramontes</t>
  </si>
  <si>
    <t>33-1158-4745</t>
  </si>
  <si>
    <t>Xavier Scheiffler de Amezaga #625 Col Parques del bosque, Tlajo</t>
  </si>
  <si>
    <t>Tapete sint, Prem, Cabecera y base mat, Eco</t>
  </si>
  <si>
    <t>Se manda WA, quedó bien poer con algunas manchitas que no salieron, el piso muy pegajoso</t>
  </si>
  <si>
    <t>Paola Alcaráz</t>
  </si>
  <si>
    <t>33-3032-5020</t>
  </si>
  <si>
    <t>Paseo Valle Real #4000 Depto 704 Torre A Torre Alada, Zapopan</t>
  </si>
  <si>
    <t>Sala 6 p t r, Sala 3 p r r + cuna, Sillas a y r, Senc</t>
  </si>
  <si>
    <t>Le encantó el servicio, los muebles aún húmedos, por que salió</t>
  </si>
  <si>
    <t>Sala 3 p t f, 2 reposet, Senc PURT</t>
  </si>
  <si>
    <t>310/24</t>
  </si>
  <si>
    <t>311/24</t>
  </si>
  <si>
    <t>312/24</t>
  </si>
  <si>
    <t>313/24</t>
  </si>
  <si>
    <t>Damaris Aceves</t>
  </si>
  <si>
    <t>33-3952-6676</t>
  </si>
  <si>
    <t>Valle San Sebastian #2394 Coto viveros del Valle, Zapopan</t>
  </si>
  <si>
    <t>Sala 3 p t f, Silla a y r, Colcchón KS, Eco</t>
  </si>
  <si>
    <t>Se manda WA, supér bien</t>
  </si>
  <si>
    <t>Diana Alvarez</t>
  </si>
  <si>
    <t>33-3466-6826</t>
  </si>
  <si>
    <t>Av Altavista Pte #303 Casa 11-A Fracc Res Vitana, Col. La Villa, Zapopan</t>
  </si>
  <si>
    <t>Interior cochechico, Eco</t>
  </si>
  <si>
    <t>Ignacio Morales / Francisco Puga</t>
  </si>
  <si>
    <t>33-1222-2861</t>
  </si>
  <si>
    <t>Arcos #267 Col Arcos Sur, Zapopan</t>
  </si>
  <si>
    <t>Sala 4 p r r, piel, Sillas a y r, senc, sillas a y r prot</t>
  </si>
  <si>
    <t>Ma Elena Toscano / Servicios Imagenológicos / Grupo Rio</t>
  </si>
  <si>
    <t>33-4261-6534</t>
  </si>
  <si>
    <t>López Mateos Sur #1042 Col Italia Providencia / Av. Pablo Neruda #2828 4o. P, Providencia, Zapopan</t>
  </si>
  <si>
    <t>Alfombra, 6 tapetes, Prot</t>
  </si>
  <si>
    <t>Muy limpia, pero aún húmeda</t>
  </si>
  <si>
    <t>314/24</t>
  </si>
  <si>
    <t>315/24</t>
  </si>
  <si>
    <t>316/24</t>
  </si>
  <si>
    <t>Tapete de lana, Eco</t>
  </si>
  <si>
    <t>Raúl habla con ella, les gusto, el tapete MUY descuidado</t>
  </si>
  <si>
    <t xml:space="preserve">Tapete sint, Senc </t>
  </si>
  <si>
    <t>Ciro Castrejón / Mely Martínez</t>
  </si>
  <si>
    <t>33-3105-0170</t>
  </si>
  <si>
    <t>Av Acueducto #6075 Depto 503-B Edif Cosmocrat Col Pta de Hierro, Zapopan</t>
  </si>
  <si>
    <t>317/24</t>
  </si>
  <si>
    <t>Susana Ornelas</t>
  </si>
  <si>
    <t>33-1312-3297</t>
  </si>
  <si>
    <t>Francisco Javier Alegre #443 Col Vallarta Sur, Zapopan</t>
  </si>
  <si>
    <t>3 tapetes sint, Senc</t>
  </si>
  <si>
    <t>Se manda WA, les encantó incluye un colchón</t>
  </si>
  <si>
    <t>Limpieza profunda, Colchón KS, senc</t>
  </si>
  <si>
    <t>318/24</t>
  </si>
  <si>
    <t>Alejandro Espinosa García</t>
  </si>
  <si>
    <t>33-3379-2446</t>
  </si>
  <si>
    <t>Coto Antara casa 168 Fracc Solares, Zapopan</t>
  </si>
  <si>
    <t>Colchón KS, Eco, Antiac,</t>
  </si>
  <si>
    <t>319/24</t>
  </si>
  <si>
    <t>320/24</t>
  </si>
  <si>
    <t>321/24</t>
  </si>
  <si>
    <t>322/24</t>
  </si>
  <si>
    <t>Aidee Dominguez</t>
  </si>
  <si>
    <t>33-1895-1479</t>
  </si>
  <si>
    <t>Av Paseo de la toscana #808 casa 92 Fracc la Toscana, Zapopan</t>
  </si>
  <si>
    <t>Sala 2 p r r, sala 2 p t f, tapete sint, Prem</t>
  </si>
  <si>
    <t>Paseo Lomas del bosque #4389 Int 21 Cond El Prado Col Atlas Colomos, Zapopan</t>
  </si>
  <si>
    <t>Ma Dolores García Rangel</t>
  </si>
  <si>
    <t>33-3955-9199</t>
  </si>
  <si>
    <t>Av Acueducto #5555 Casa 61 Coto Real del parque, Zapopan</t>
  </si>
  <si>
    <t>Sala 9 p t f, Sala 5 p t f, Tapete sint, Senc, PURT</t>
  </si>
  <si>
    <t>Sara Toledo Montes</t>
  </si>
  <si>
    <t>33-1413-3562</t>
  </si>
  <si>
    <t>Milled #308 Col La Estancia, Zapopan</t>
  </si>
  <si>
    <t>Sala 6 p t f, Coj, Senc</t>
  </si>
  <si>
    <t>323/24</t>
  </si>
  <si>
    <t>324/24</t>
  </si>
  <si>
    <t>325/24</t>
  </si>
  <si>
    <t>Ma Dolores Vazquez Castorena</t>
  </si>
  <si>
    <t>33-1130-2854</t>
  </si>
  <si>
    <t>Volcán Pochutla #204 Col Huentitán El Bajo, Zapopan</t>
  </si>
  <si>
    <t>Sala 6 p a r, Sillas s a, Senc</t>
  </si>
  <si>
    <t>Se madna Wano contesta</t>
  </si>
  <si>
    <t>Se madna WA, todo excelente</t>
  </si>
  <si>
    <t>Maguie Alfaro</t>
  </si>
  <si>
    <t>San Arturo #920 Col Valle Real, Zapopan</t>
  </si>
  <si>
    <t>Sala 11 p t r, Tab, Coj, Senc</t>
  </si>
  <si>
    <t>Barcelona #2478 Col Sta Mónica, Gdl</t>
  </si>
  <si>
    <t>Sala 2 p t f, Sala 5 p t f, Eco</t>
  </si>
  <si>
    <t>326/24</t>
  </si>
  <si>
    <t>Jaqueline Díaz</t>
  </si>
  <si>
    <t>33-1108-5716</t>
  </si>
  <si>
    <t>Calle Orquídea #462 Col Rinc Santa Rita, Gdl</t>
  </si>
  <si>
    <t>Se manda WA, quedaron manchas, se regresará a repasar</t>
  </si>
  <si>
    <t>327/24</t>
  </si>
  <si>
    <t>328/24</t>
  </si>
  <si>
    <t>329/24</t>
  </si>
  <si>
    <t>Ismael Zepeda Flores</t>
  </si>
  <si>
    <t>33-1299-8422</t>
  </si>
  <si>
    <t>Pedro de Marchena #1556 Fracc Colón Industrial, Gdl</t>
  </si>
  <si>
    <t>Tapete de lana Senc</t>
  </si>
  <si>
    <t>Carol Massiel</t>
  </si>
  <si>
    <t>33-3065-4948</t>
  </si>
  <si>
    <t>Eutimio Pinzón #927 Cond 3 Lagos Torre 7 Depto 203 Col Lomas de la Independencia, Gdl</t>
  </si>
  <si>
    <t>Sala 6 p r r, Tab, Sillas a y r</t>
  </si>
  <si>
    <t>Alfombra, Sillas a y r, Eco</t>
  </si>
  <si>
    <t>330/24</t>
  </si>
  <si>
    <t>331/24</t>
  </si>
  <si>
    <t>332/24</t>
  </si>
  <si>
    <t>333/24</t>
  </si>
  <si>
    <t>Joanna Flores</t>
  </si>
  <si>
    <t>33-1451-6354</t>
  </si>
  <si>
    <t>Coto Barcelona casa 366 Fracc Nva Galicia; Tlajo</t>
  </si>
  <si>
    <t>No se manda WA, MUY grosero</t>
  </si>
  <si>
    <t>Alma Soto</t>
  </si>
  <si>
    <t>33-2496-8485</t>
  </si>
  <si>
    <t>Rinc Vallarta #5 Int 38 Cd Granja, Zapoapn</t>
  </si>
  <si>
    <t>Sala 5 p t f, Prot</t>
  </si>
  <si>
    <t>Aurora Mancilla</t>
  </si>
  <si>
    <t>33-3156-9359</t>
  </si>
  <si>
    <t>Paseo de la Estrella #3579 Col Parques Vallarta, Zapopan</t>
  </si>
  <si>
    <t>Sala 4 p t r, Sala 2 p a r, Senc</t>
  </si>
  <si>
    <t>Se manda WA, toso bien</t>
  </si>
  <si>
    <t>334/24</t>
  </si>
  <si>
    <t>Katia Ladròn de Guevara</t>
  </si>
  <si>
    <t>33-1319-4586</t>
  </si>
  <si>
    <t>Av Univesidad ·185 Casa D-13 Fracc Pta del Bosque, Zapopan</t>
  </si>
  <si>
    <t>Se manda WA, quedaron manchas, se regresa a repasar</t>
  </si>
  <si>
    <t>Quedaron muy bien, manchas pequeñas, pero espera se quiten a la siguiente</t>
  </si>
  <si>
    <t>335/24</t>
  </si>
  <si>
    <t>Ana Gòmez</t>
  </si>
  <si>
    <t>33-1606-8291</t>
  </si>
  <si>
    <t>Camino al Arenero ·1052 Casa 28 Col Bajìo Habitat, Zapopan</t>
  </si>
  <si>
    <t>3 tapete sint, Sala 6 p t f, Senc, PURT</t>
  </si>
  <si>
    <t>336/24</t>
  </si>
  <si>
    <t>Amelia Zaragoza</t>
  </si>
  <si>
    <t>55-7448-5104</t>
  </si>
  <si>
    <t>Mariano Bàrcenas ·1483 Depto 1 Col San Miguel de Mezquita, Gdl</t>
  </si>
  <si>
    <t>Futòn, Prot</t>
  </si>
  <si>
    <t>337/24</t>
  </si>
  <si>
    <t xml:space="preserve">Fernanda Duràn </t>
  </si>
  <si>
    <t>Blvrd Sta Anita #500 Paseo del Origen Casa 10 Fracc El Origen, Tlajo</t>
  </si>
  <si>
    <t>338/24</t>
  </si>
  <si>
    <t>Roberto Castillo</t>
  </si>
  <si>
    <t>33-2921-3510</t>
  </si>
  <si>
    <t>Félix Palavicini #1880 Depto F2 Col Jardines Alclade, Gdl</t>
  </si>
  <si>
    <t>Colchón mat, colchón Ind, Senc, PURT</t>
  </si>
  <si>
    <t>Es fijo</t>
  </si>
  <si>
    <t>339/24</t>
  </si>
  <si>
    <t>Flor Carreòn</t>
  </si>
  <si>
    <t>Blvrd Santillana 11 Coto 1 Casa E7 Solares, Zapopan</t>
  </si>
  <si>
    <t>Sala 6 p t f, Sala 1 p t f, Colchòn mat, futón, Senc</t>
  </si>
  <si>
    <t>340/24</t>
  </si>
  <si>
    <t>Yolanda Zepeda</t>
  </si>
  <si>
    <t>33-3815-1414</t>
  </si>
  <si>
    <t>Formosa #1914 Depto 21 Col Lomas del Country, Zapopan</t>
  </si>
  <si>
    <t>341/24</t>
  </si>
  <si>
    <t>Aurora Mancilla / Ana Teresa Gonzàlez</t>
  </si>
  <si>
    <t>33-1384-3559</t>
  </si>
  <si>
    <t>Camino Real a Colima Fracc Aurea residencial, Casa 79, Tlajo</t>
  </si>
  <si>
    <t>Sala 3 p t r, Chaise, tab, Silla a y r, Senc</t>
  </si>
  <si>
    <t>Se manda WA, todo muy bien, repetirà</t>
  </si>
  <si>
    <t>342/24</t>
  </si>
  <si>
    <t>Sala 4 p t f, 2 reposet, coj, Healty</t>
  </si>
  <si>
    <t xml:space="preserve">Res </t>
  </si>
  <si>
    <t>Se manda WA, le gustó mucho</t>
  </si>
  <si>
    <t>Sala 3 p t f, Silla a y r, Colchón KS, Eco</t>
  </si>
  <si>
    <t>Interior coche chico, Eco</t>
  </si>
  <si>
    <t>Se manda WA, todo excelente</t>
  </si>
  <si>
    <t>343/24</t>
  </si>
  <si>
    <t>Rocìo Acevedo</t>
  </si>
  <si>
    <t>33-3105-9918</t>
  </si>
  <si>
    <t>Jade #3125 Col Res Victoria, Zapopan</t>
  </si>
  <si>
    <t>Coj, Silla a y r, Senc</t>
  </si>
  <si>
    <t>344/24</t>
  </si>
  <si>
    <t>Jacqueline Yang González</t>
  </si>
  <si>
    <t>33-3485-2828</t>
  </si>
  <si>
    <t>Puerto Batabampo #110 Int 82 B Col Miramar, Gdl</t>
  </si>
  <si>
    <t>No se llama, parecen Hùngaros, de poca confianza</t>
  </si>
  <si>
    <t>345/24</t>
  </si>
  <si>
    <t>Luis Olavarrieta</t>
  </si>
  <si>
    <t>33-3809-4245</t>
  </si>
  <si>
    <t>Torre Maple Detos Andares Vida Depto 602, Zapopan</t>
  </si>
  <si>
    <t>Sala 8 p t r, Coj, Tapete sint, Healty, PURT</t>
  </si>
  <si>
    <t>346/24</t>
  </si>
  <si>
    <t>Cintia Navarro</t>
  </si>
  <si>
    <t>33-3156-8592</t>
  </si>
  <si>
    <t>Arenque #2884 Residencial Loma Bonita, Zapopan</t>
  </si>
  <si>
    <t>Sala 6 p`t r, Sillas a y r, Senc</t>
  </si>
  <si>
    <t>347/24</t>
  </si>
  <si>
    <t>Sala 6 p t f, Silla a yr, Sala 1 p t f, 3 reposet, Cama para perro Eco</t>
  </si>
  <si>
    <t>Se manda WA, le encantò</t>
  </si>
  <si>
    <t>Se manda WA, no han secado, pero parece que todo bien</t>
  </si>
  <si>
    <t>348/24</t>
  </si>
  <si>
    <t>Sala 6 p r r, Eco</t>
  </si>
  <si>
    <t>349/24</t>
  </si>
  <si>
    <t>Ana Marìa Aldrete</t>
  </si>
  <si>
    <t>33-1347-8954</t>
  </si>
  <si>
    <t>Asirios #485 Col. Altamira, Zapopan</t>
  </si>
  <si>
    <t>2 tapetes sint, Prot</t>
  </si>
  <si>
    <t>Lo va a revisar</t>
  </si>
  <si>
    <t>Se manda WA, todo muy bien</t>
  </si>
  <si>
    <t>350/24</t>
  </si>
  <si>
    <t>Oscar Gonzàlez</t>
  </si>
  <si>
    <t>33-2105-3034</t>
  </si>
  <si>
    <t>Calle Peral #1491 Col Fresno, Gdl</t>
  </si>
  <si>
    <t>Colchòn Ind, Prem</t>
  </si>
  <si>
    <t>351/24</t>
  </si>
  <si>
    <t>Pulido piso màrmol</t>
  </si>
  <si>
    <t>352/24</t>
  </si>
  <si>
    <t>Gabriela Ponce</t>
  </si>
  <si>
    <t>33-1553-7939</t>
  </si>
  <si>
    <t>Av Rìo Blanco #1900 casa 137 Cond Res Argenta, Zapopan</t>
  </si>
  <si>
    <t>Sala 5 p t f, Colchón mat, Senc</t>
  </si>
  <si>
    <t>Se manda WA, quedó muy bien y satisfecho</t>
  </si>
  <si>
    <t>353/24</t>
  </si>
  <si>
    <t>Tomás Ramírez</t>
  </si>
  <si>
    <t>32-2888-9230</t>
  </si>
  <si>
    <t>Av de los emperadores #400 Coto Maples Casa 129 Col Valle Imperial, zapopan</t>
  </si>
  <si>
    <t>Amigo</t>
  </si>
  <si>
    <t>Sala 2 p t f, Sala 4 p a r, Sala 3 p r r, Silla a y r, coj, tab, Eco</t>
  </si>
  <si>
    <t>Le encantó, repetirá</t>
  </si>
  <si>
    <t>354/24</t>
  </si>
  <si>
    <t>Alejandra Vega</t>
  </si>
  <si>
    <t>33-3799-7361</t>
  </si>
  <si>
    <t>Jaime Torres Bodet ·3043 Edif B Depto 42 Col Parques Colón, Gdl</t>
  </si>
  <si>
    <t>Sala 5 p r r, Senc, PURT</t>
  </si>
  <si>
    <t>355/24</t>
  </si>
  <si>
    <t>Servando Valdéz Orozco</t>
  </si>
  <si>
    <t>33-1917-1132</t>
  </si>
  <si>
    <t>Hac Sepúlveda #85 coto Hacienda, Tlaquepaque</t>
  </si>
  <si>
    <t>356/24</t>
  </si>
  <si>
    <t>Ingrid Coronado</t>
  </si>
  <si>
    <t>33-1862-6147</t>
  </si>
  <si>
    <t>Fracc Villa Verona Casa n7, Zapopan</t>
  </si>
  <si>
    <t>2 tapete de lana, Eco, PURT</t>
  </si>
  <si>
    <t>357/24</t>
  </si>
  <si>
    <t>Luis Enrique Cornejo Lomelí</t>
  </si>
  <si>
    <t>33-1212-0896</t>
  </si>
  <si>
    <t>Pedro Simón Laplace #5608 Int A1 Col Arboledas, Zapopan</t>
  </si>
  <si>
    <t>2 tapete sint, Senc, Sala 2 p r r, Silla a y r Prot</t>
  </si>
  <si>
    <t>muy satisfecho</t>
  </si>
  <si>
    <t>358/24</t>
  </si>
  <si>
    <t>Marcelo De Anda</t>
  </si>
  <si>
    <t>33-2506-4297</t>
  </si>
  <si>
    <t>Av Naciones Unidas #6111 coto Villa Cadiz Casa 109, Zapopan</t>
  </si>
  <si>
    <t>Sala 5 p t f, Colchòn mat. Senc</t>
  </si>
  <si>
    <t>359/24</t>
  </si>
  <si>
    <t>360/24</t>
  </si>
  <si>
    <t>Colegio Cervantes Primaria / Odemaris Hubbard</t>
  </si>
  <si>
    <t>33-3250-7217</t>
  </si>
  <si>
    <t>Marcelino Champagnat #2845 Col Loma Bonita Sur, Zapopan</t>
  </si>
  <si>
    <t>10 Silla a y r, Sala 3 p t f, Senc</t>
  </si>
  <si>
    <t>361/24</t>
  </si>
  <si>
    <t>Carlos Alonso Zepeda Morán</t>
  </si>
  <si>
    <t>33-2298-8010</t>
  </si>
  <si>
    <t>Lope de Vega #112 Int 23 Col Arcos Vallarta, Zapopan</t>
  </si>
  <si>
    <t>Limpieza profunda con desinfección, Sala 6 p t f, Silla a y r, Tapete sint, Interior de coche gde, Eco</t>
  </si>
  <si>
    <t>362/24</t>
  </si>
  <si>
    <t>Alejandra Rodríguez</t>
  </si>
  <si>
    <t>33-2496-8800</t>
  </si>
  <si>
    <t>Blvrd Pte #846 Col Jardín Real, Zapopan</t>
  </si>
  <si>
    <t>Sala 7 p r r, Prot</t>
  </si>
  <si>
    <t>363/24</t>
  </si>
  <si>
    <t>Gloria Cruz</t>
  </si>
  <si>
    <t>33-1295-3390</t>
  </si>
  <si>
    <t>Av Paseo de la Estrella #3652 Int 13 Col Parques Vallarta, Zapopan</t>
  </si>
  <si>
    <t>Sala 4 p r r, camita abajo, coj, Eco</t>
  </si>
  <si>
    <t>364/24</t>
  </si>
  <si>
    <t>Ulises Salinas</t>
  </si>
  <si>
    <t>87-8117-4884</t>
  </si>
  <si>
    <t>Circunvalación Jorge Alvarez del Castillo #1210 Col. Constitucón, Gdl</t>
  </si>
  <si>
    <t>Colchón QS, Eco, PURT</t>
  </si>
  <si>
    <t>365/24</t>
  </si>
  <si>
    <t>Miriam Blancas Manriquez</t>
  </si>
  <si>
    <t>33-1670-5369</t>
  </si>
  <si>
    <t>Clemente Orozco #5940 Col Jardines de los Belenes, Zapopan</t>
  </si>
  <si>
    <t>Sala 5 p t f, Coj, Tapete sint, Colchón KS, Senc PURT</t>
  </si>
  <si>
    <t>366/24</t>
  </si>
  <si>
    <t>Josè Alfredo Machado</t>
  </si>
  <si>
    <t>33-1781-9196</t>
  </si>
  <si>
    <t>Fco de Palou #544 Int 29, Zapopan</t>
  </si>
  <si>
    <t>367/24</t>
  </si>
  <si>
    <t>Thania Aradillas</t>
  </si>
  <si>
    <t>33-3446-3896</t>
  </si>
  <si>
    <t>Carabelas #1719 PA Col Colón, Gdl</t>
  </si>
  <si>
    <t>368/24</t>
  </si>
  <si>
    <t>Berenice Bravo orozco / Briggs Equipment</t>
  </si>
  <si>
    <t>31-4165-1459</t>
  </si>
  <si>
    <t>Av Obreros de Cananea #2000 Int 5 y 6 Col Constitución, Zapopan</t>
  </si>
  <si>
    <t>12 sillas a y r, Senc</t>
  </si>
  <si>
    <t>369/24</t>
  </si>
  <si>
    <t>5 sala 1 p t f, Senc</t>
  </si>
  <si>
    <t>370/24</t>
  </si>
  <si>
    <t>Víctor León</t>
  </si>
  <si>
    <t>99-8577-1529</t>
  </si>
  <si>
    <t>Géminis #4105 Col Juan Manuel Ayala, Zapopan</t>
  </si>
  <si>
    <t>Sala 5 p r r, Reposet, Senc</t>
  </si>
  <si>
    <t>371/24</t>
  </si>
  <si>
    <t>Fausto Martínez De La Torre</t>
  </si>
  <si>
    <t>33-3676-2587</t>
  </si>
  <si>
    <t>Coto Maya casa 73 Valle Imperial, Zapopan</t>
  </si>
  <si>
    <t>3 tapates de algodón Senc</t>
  </si>
  <si>
    <t>372/24</t>
  </si>
  <si>
    <t>Deya Vargas</t>
  </si>
  <si>
    <t>33-2785-8490</t>
  </si>
  <si>
    <t>Prol Colón #155 Tossá Res Int Reus #142, Tlaque</t>
  </si>
  <si>
    <t>Tapete sint, sala 5 p t r, Prem, Coj, Eco, PURT</t>
  </si>
  <si>
    <t>373/24</t>
  </si>
  <si>
    <t>Ma Guadalupe Castro Mosqueda</t>
  </si>
  <si>
    <t>33-1120-8608</t>
  </si>
  <si>
    <t>Coto Altaterra II Av Sendero de los robles # 4218 Int 81 Col Valle Imperial, Zapopan</t>
  </si>
  <si>
    <t>Sala 5 p r r, tapete sint, Senc</t>
  </si>
  <si>
    <t>374/24</t>
  </si>
  <si>
    <t>Alejandra Gutiérrez</t>
  </si>
  <si>
    <t>81-1037-0148</t>
  </si>
  <si>
    <t>Av Juan Palomar y Arias #765 Depto 1603 Torre C Col Pados Providencia, Gdl</t>
  </si>
  <si>
    <t>375/24</t>
  </si>
  <si>
    <t>Sala 8 p t r, Cabecera, Silla a y r, Prot</t>
  </si>
  <si>
    <t>376/24</t>
  </si>
  <si>
    <t>Base y cabecera Ind, Eco</t>
  </si>
  <si>
    <t>377/24</t>
  </si>
  <si>
    <t>Mauricio Servín</t>
  </si>
  <si>
    <t>33-3809-2272</t>
  </si>
  <si>
    <t>San Telmo #1761 Col Sta Isabel, Zapopan</t>
  </si>
  <si>
    <t>Sala 3 p t r, eco</t>
  </si>
  <si>
    <t>Se manda WA, todo bien, como siempre</t>
  </si>
  <si>
    <t>378/24</t>
  </si>
  <si>
    <t>Eugenia Hernández</t>
  </si>
  <si>
    <t>33-1697-0576</t>
  </si>
  <si>
    <t>Eulogia Parra #3131, Zapopan</t>
  </si>
  <si>
    <t>Sala 6 p a r, coj, Senc</t>
  </si>
  <si>
    <t>379/24</t>
  </si>
  <si>
    <t>Ma Teresa González</t>
  </si>
  <si>
    <t>33-1241-8976</t>
  </si>
  <si>
    <t>Rayo #2561 Col Jardines del Bosque, Gdl</t>
  </si>
  <si>
    <t>Sala 3 p t r, Sala 2 p t r, Sala 2 p a r, Sala 1 p t f, Silla a y r, Eco</t>
  </si>
  <si>
    <t>380/24</t>
  </si>
  <si>
    <t xml:space="preserve"> Anexo 627 suc Patria 131</t>
  </si>
  <si>
    <t>Sala 1 p t f, Silla a y r Prem</t>
  </si>
  <si>
    <t>381/24</t>
  </si>
  <si>
    <t>Rosa María Rodríguez</t>
  </si>
  <si>
    <t>33-1215-0394</t>
  </si>
  <si>
    <t>Elba #1168 Int 1 Col Chapultepec Country, Gdl</t>
  </si>
  <si>
    <t>382/24</t>
  </si>
  <si>
    <t>Martha Juárez</t>
  </si>
  <si>
    <t>33-1512-3011</t>
  </si>
  <si>
    <t>Rubén Gómez #1161 Col Los Arrayanes, Gdl</t>
  </si>
  <si>
    <t>383/24</t>
  </si>
  <si>
    <t xml:space="preserve">Banregio </t>
  </si>
  <si>
    <t>Suc Loby 33 Anexo 798</t>
  </si>
  <si>
    <t>Silla a y r, 2 Sala 1 p t f, Sala 3 p t f, Prem</t>
  </si>
  <si>
    <t>384/24</t>
  </si>
  <si>
    <t>Norma Fontes</t>
  </si>
  <si>
    <t>33-2184-0865</t>
  </si>
  <si>
    <t>Colonias #480 Depto 2-A Condominios One House Col Americana, Gdl</t>
  </si>
  <si>
    <t>4 colchon Ind, Healty</t>
  </si>
  <si>
    <t>385/24</t>
  </si>
  <si>
    <t>Manuel Ramírez</t>
  </si>
  <si>
    <t>33-1409-9574</t>
  </si>
  <si>
    <t>Luis Cabrera #474 Col Colinas de la normal, Gdl</t>
  </si>
  <si>
    <t>Sala 7 p t f, silla a y r, Prot</t>
  </si>
  <si>
    <t>386/24</t>
  </si>
  <si>
    <t>Sala 7 p t f, Coj, Protex</t>
  </si>
  <si>
    <t>Raúl lo checa</t>
  </si>
  <si>
    <t>387/24</t>
  </si>
  <si>
    <t>Alma Carranza</t>
  </si>
  <si>
    <t>33-3808-0980</t>
  </si>
  <si>
    <t>Circ Madrigal #4009 Col Colinas de San Javier, Zapopan</t>
  </si>
  <si>
    <t>Amiga</t>
  </si>
  <si>
    <t>Sala 6 p t r, tapete sint, Eco</t>
  </si>
  <si>
    <t>388/24</t>
  </si>
  <si>
    <t>Marisol Vallarta / Arq Mauricio Dueñas</t>
  </si>
  <si>
    <t>33-3150-6727</t>
  </si>
  <si>
    <t>Fracc Valle del Lago casa 15 Tapalpa</t>
  </si>
  <si>
    <t>Silla a y r, 7 sala 1 p t r, tab, 4 sala r r, 6 sala 1 p t f, viáticos</t>
  </si>
  <si>
    <t xml:space="preserve">Raúl pregunta, revisar hoja de servicio, se cotizó diferente a lo que había </t>
  </si>
  <si>
    <t>Roberto Galván Galindo</t>
  </si>
  <si>
    <t>33-1080-1331</t>
  </si>
  <si>
    <t>Tlacotalpan #1300 Col San Pedrito, Tlaque</t>
  </si>
  <si>
    <t>Interior tela coche gde, Eco</t>
  </si>
  <si>
    <t>389/24</t>
  </si>
  <si>
    <t>390/24</t>
  </si>
  <si>
    <t xml:space="preserve">Laura García </t>
  </si>
  <si>
    <t>33-3440-0618</t>
  </si>
  <si>
    <t>Turquesa #3353 Col Res Victoria, Gdl</t>
  </si>
  <si>
    <t>Colchón mat, tapete sint, Eco</t>
  </si>
  <si>
    <t>Se madna WA, todo muy bien, felicitaciones</t>
  </si>
  <si>
    <t>Se manda WA, muy buen servicio</t>
  </si>
  <si>
    <t>Se manda WA super bien</t>
  </si>
  <si>
    <t>391/24</t>
  </si>
  <si>
    <t>Ing Rubén Rosales</t>
  </si>
  <si>
    <t>33-3809-5028</t>
  </si>
  <si>
    <t>Ricardo Palma #3066 Col Providencia, Zapopan</t>
  </si>
  <si>
    <t>392/24</t>
  </si>
  <si>
    <t>Ma de Los Angeles Sandoval</t>
  </si>
  <si>
    <t>33-1364-8238</t>
  </si>
  <si>
    <t>Rio Juchipila #1580 Col Las Aguilas, Zapopan</t>
  </si>
  <si>
    <t>Quedó con manchas, se regresará a repasar</t>
  </si>
  <si>
    <t>393/24</t>
  </si>
  <si>
    <t>Ma De los Angeles Castillo / Paciere</t>
  </si>
  <si>
    <t>33-1657-8834</t>
  </si>
  <si>
    <t>Mezquitán #2218 Col La Guadalupana, Gdl</t>
  </si>
  <si>
    <t>11 Colchón Ind, Eco</t>
  </si>
  <si>
    <t>394/24</t>
  </si>
  <si>
    <t>33-1667-8659</t>
  </si>
  <si>
    <t>Coj, Eco</t>
  </si>
  <si>
    <t>395/24</t>
  </si>
  <si>
    <t>Leonardo III Esquivel Jiménez</t>
  </si>
  <si>
    <t>33-3131-8087</t>
  </si>
  <si>
    <t>Circ Parques del Centinela #795 Int 8 Fracc Parques del Centinela, Zapopan</t>
  </si>
  <si>
    <t>Sala 6 p t f, Sillas s a, Banca, Senc</t>
  </si>
  <si>
    <t>396/24</t>
  </si>
  <si>
    <t>12 Colchón Ind Eco</t>
  </si>
  <si>
    <t>397/24</t>
  </si>
  <si>
    <t>Israel Cabrera</t>
  </si>
  <si>
    <t>33-2693-0584</t>
  </si>
  <si>
    <t>Nueva Escocia #1876 Int 302 Col Colomos Providencia, Zapopan</t>
  </si>
  <si>
    <t>2 tapete sint, Prot</t>
  </si>
  <si>
    <t>Se manda WA, quedaron muy bien</t>
  </si>
  <si>
    <t>398/24</t>
  </si>
  <si>
    <t>Griselda Dueñas</t>
  </si>
  <si>
    <t>33-1358-1363</t>
  </si>
  <si>
    <t>Fracc Orange Calle Ma Uribe #737 Casa 31 Col Villas del Nilo, Gdl</t>
  </si>
  <si>
    <t>Sala 6 p r r, Coj, Silla a y r, Banco, Interior tela coche med, Eco, PURT</t>
  </si>
  <si>
    <t>Todo muy bien, como siempre</t>
  </si>
  <si>
    <t>399/24</t>
  </si>
  <si>
    <t>Delia González</t>
  </si>
  <si>
    <t>33-1727-0065</t>
  </si>
  <si>
    <t>Sta Margarita #4950 Int Nube Cirrus #145 Coto Valle Esmeralda, Zapopan</t>
  </si>
  <si>
    <t>Sala 4 p t f, Tapete sint, Eco</t>
  </si>
  <si>
    <t>400/24</t>
  </si>
  <si>
    <t>Octacio Mojarro Dávila</t>
  </si>
  <si>
    <t>33-1845-5933</t>
  </si>
  <si>
    <t>Bosques de San Isidro sur #87-1 Col Bosques de San Isidro, Zapopan</t>
  </si>
  <si>
    <t>Sala 6 t r, Coj, Senc</t>
  </si>
  <si>
    <t>401/24</t>
  </si>
  <si>
    <t>Rosa Ma Vazquez / Condominio Vibranta</t>
  </si>
  <si>
    <t>33-1252-6263</t>
  </si>
  <si>
    <t>Av Niños Héroes #2050 Col Moderna, Gdl</t>
  </si>
  <si>
    <t>Alfombra, Sala 5 p r r, Banco, Tapete sint, Senc</t>
  </si>
  <si>
    <t>Quedan manchas, se regresa a repasar</t>
  </si>
  <si>
    <t>Se madna WA, el sillón bien, el tapete quedó duro</t>
  </si>
  <si>
    <t>402/24</t>
  </si>
  <si>
    <t>Martha Tovar</t>
  </si>
  <si>
    <t>33-2085-3658</t>
  </si>
  <si>
    <t>Paseo San Victor #2686 Col Valle Real, Zapopan</t>
  </si>
  <si>
    <t>Sala 7 p t f, Silla a y r, Senc</t>
  </si>
  <si>
    <t>403/24</t>
  </si>
  <si>
    <t>Suc Américas 130</t>
  </si>
  <si>
    <t>Silla a y r, 2 Sala 1 p t f, Prem</t>
  </si>
  <si>
    <t>404/24</t>
  </si>
  <si>
    <t>Isela Mojica / Speak Comunnications</t>
  </si>
  <si>
    <t>33-1985-9716</t>
  </si>
  <si>
    <t xml:space="preserve">Real Acueducto #240 Piso 9 </t>
  </si>
  <si>
    <t>5 tapete de lana, tapete sint, Eco</t>
  </si>
  <si>
    <t>Se madna WA</t>
  </si>
  <si>
    <t>405/24</t>
  </si>
  <si>
    <t>Ma Teresa De Solís</t>
  </si>
  <si>
    <t>33-3166-7769</t>
  </si>
  <si>
    <t>Hidalgo #221 Fracc Los Gavilanes Pte, Tlajo</t>
  </si>
  <si>
    <t>Sala 5 p t r, Tapete de lana, Healty</t>
  </si>
  <si>
    <t>No se llama, mujer conflictiva y muy tnta</t>
  </si>
  <si>
    <t>406/24</t>
  </si>
  <si>
    <t>Regina Lomelín</t>
  </si>
  <si>
    <t>Av Central #500 Ventura Vertical Torre West 400 Depto 1802, Zapopan</t>
  </si>
  <si>
    <t>33-1599-8344</t>
  </si>
  <si>
    <t>Sala 1 p t f, Tapete de lana, Senc</t>
  </si>
  <si>
    <t>407/24</t>
  </si>
  <si>
    <t>Tapalpa</t>
  </si>
  <si>
    <t>Silla a y r, 7 sala 1 p t r, tab, 4 sala 1 p r r, 6 sala 1 p t f, Prot viáticos</t>
  </si>
  <si>
    <t>408/24</t>
  </si>
  <si>
    <t>Volcán de Sn Fco #95 Col Huentitán El Bajo, Zapopan</t>
  </si>
  <si>
    <t>Sala 2 p t f, Sillas a y r, Banca, 3 Tapete sint, Silla a y r, Prot</t>
  </si>
  <si>
    <t>409/24</t>
  </si>
  <si>
    <t>Elsa Priscila López León</t>
  </si>
  <si>
    <t>33-4086-7501</t>
  </si>
  <si>
    <t>Calle Osa Mayor #3546 Col La Calma, Zapopan</t>
  </si>
  <si>
    <t>Sala 6 p t f, Calchón Ind, Senc</t>
  </si>
  <si>
    <t>410/24</t>
  </si>
  <si>
    <t>Martha Rayas Franco</t>
  </si>
  <si>
    <t>33-1455-1498</t>
  </si>
  <si>
    <t>Quebrada #2693 Col Bosques de la Victoria, Zapopan</t>
  </si>
  <si>
    <t>Sala 5 p t f, Silla a y r, Prot</t>
  </si>
  <si>
    <t>Se manda WA, todo muy bien, le encantó</t>
  </si>
  <si>
    <t>411/24</t>
  </si>
  <si>
    <t>Claudia Santana</t>
  </si>
  <si>
    <t>33-1824-8479</t>
  </si>
  <si>
    <t>Circunvalación Sur#300-9 Col Las Fuentes, Zpopan</t>
  </si>
  <si>
    <t>412/24</t>
  </si>
  <si>
    <t>Francisco Bravo</t>
  </si>
  <si>
    <t>33-1880-8817</t>
  </si>
  <si>
    <t>Priv de Bugambilias #1083 Col La Florida, Zapopan</t>
  </si>
  <si>
    <t>413/24</t>
  </si>
  <si>
    <t>Ma Luisa Martinez</t>
  </si>
  <si>
    <t>33-1118-1187</t>
  </si>
  <si>
    <t>Bahía Quino #3457 Col Miramar, Zapopan</t>
  </si>
  <si>
    <t>Sala 4 p r r, Silla s a, Senc</t>
  </si>
  <si>
    <t>Se manda WA, no lo ha revisado</t>
  </si>
  <si>
    <t>414/24</t>
  </si>
  <si>
    <t>415/24</t>
  </si>
  <si>
    <t>Miriam Sanchez Orozco</t>
  </si>
  <si>
    <t>33-1061-3793</t>
  </si>
  <si>
    <t>Las Rosas #165 Col Valle Real, Zapopan</t>
  </si>
  <si>
    <t>Silla a y r, Sala 9 p r r, Coj, 3 reposet, Sala 1 p t f, 3 tapetes sint, Senc</t>
  </si>
  <si>
    <t>Se rompío la pata de una silla, se le cobran 3 p t f y un reposet, y es al reves, 1 p t f,y 3 reposet, no se le dice, todo bien, como nuevos</t>
  </si>
  <si>
    <t>416/24</t>
  </si>
  <si>
    <t>Claudia Leo</t>
  </si>
  <si>
    <t>20-9303-9706</t>
  </si>
  <si>
    <t>David Alfaro Siqueiros #194 Col Sta Paula, Tonalá</t>
  </si>
  <si>
    <t>5 reposet, silla a y r, Senc</t>
  </si>
  <si>
    <t>Se cobra 6 p t f, pero son 5 reposet, no se le avisa ni se cobra, Se manda WA</t>
  </si>
  <si>
    <t>417/24</t>
  </si>
  <si>
    <t>Rebeca Rodríguez</t>
  </si>
  <si>
    <t>33-1605-2414</t>
  </si>
  <si>
    <t>Durango #1539-A Col Mezquitán Country, Zapopan</t>
  </si>
  <si>
    <t>Sala 2 p t f, Sala 2 p a r, tab, Silla a y r, Tapete sint, Prot</t>
  </si>
  <si>
    <t>418/24</t>
  </si>
  <si>
    <t>Nohema Bautista</t>
  </si>
  <si>
    <t>33-1098-8002</t>
  </si>
  <si>
    <t>Av Aviacion #4304 casa 4 Fracc El Real I, zapopan</t>
  </si>
  <si>
    <t>419/24</t>
  </si>
  <si>
    <t>José IgnacioGomez-Ibarra Bórquez / Majo Aritzi</t>
  </si>
  <si>
    <t>33-3200-3807</t>
  </si>
  <si>
    <t>Mar Caribe #1120 Int 7 Col Country Club, Zapopan</t>
  </si>
  <si>
    <t>Limpieza profunda, pulido mármol, limpieza piso, lavado parede se tela, senc</t>
  </si>
  <si>
    <t>todo muy bien, pero faltó un closet de escobas, se regresa</t>
  </si>
  <si>
    <t>420/24</t>
  </si>
  <si>
    <t>Regina Plasencia</t>
  </si>
  <si>
    <t>33-1600-4115</t>
  </si>
  <si>
    <t>Mar Amarillo #1545 Casa 5 Col Country Club, Zapopan</t>
  </si>
  <si>
    <t>Sala 10 p t r, Sala 1 p t f, 3 tapetes de lana, Senc</t>
  </si>
  <si>
    <t>421/24</t>
  </si>
  <si>
    <t>Katia Aguirre</t>
  </si>
  <si>
    <t>33-1449-0306</t>
  </si>
  <si>
    <t>Los Robles #145 Coto Puerta Serena Int. Hoja Palmeada #4, Zapopan</t>
  </si>
  <si>
    <t>Sala 4 p t f, Coj, Silla a y r, Tapete sint, Senc</t>
  </si>
  <si>
    <t>422/24</t>
  </si>
  <si>
    <t>Paola Vazquez Casillas</t>
  </si>
  <si>
    <t>33-3954-4326</t>
  </si>
  <si>
    <t>Paseo de los Cedros @52 Pinar de la Venta, Zapopan</t>
  </si>
  <si>
    <t>Sala 8 p t f, Senc, PURT</t>
  </si>
  <si>
    <t>423/24</t>
  </si>
  <si>
    <t>Roxana Cervantes</t>
  </si>
  <si>
    <t>99-8423-4852</t>
  </si>
  <si>
    <t>Andrés Terán #1371 Int 12 Col Lomas del Country, Zapopan</t>
  </si>
  <si>
    <t>Daniel Sandt / Carlos Cubeiro</t>
  </si>
  <si>
    <t>424/24</t>
  </si>
  <si>
    <t>Martha Silvia Sahagún Ortega</t>
  </si>
  <si>
    <t>33-1450-7956</t>
  </si>
  <si>
    <t>Paseo San Victor #2885 Col Valle Real, Zapopan</t>
  </si>
  <si>
    <t>425/24</t>
  </si>
  <si>
    <t>Beatriz Uribe</t>
  </si>
  <si>
    <t>33-144-2749</t>
  </si>
  <si>
    <t>Santo Santiago #3632 Col Jardines de los Arcos, Zapopan</t>
  </si>
  <si>
    <t>426/24</t>
  </si>
  <si>
    <t>Sala 2 p t f, Healty</t>
  </si>
  <si>
    <t>427/24</t>
  </si>
  <si>
    <t>Julia Rodriguez</t>
  </si>
  <si>
    <t>33-1545-4700</t>
  </si>
  <si>
    <t>Av De la Huerta #290-121 Coto Victoria Fracc Campestre Res, Zapopan</t>
  </si>
  <si>
    <t>Se manda WA, quedó percudido</t>
  </si>
  <si>
    <t>428/24</t>
  </si>
  <si>
    <t>Turín #2747 Int 104 Col Providencia, Zapopan</t>
  </si>
  <si>
    <t>Sala 3 p t r, Sala 2 p t f, Senc</t>
  </si>
  <si>
    <t>429/24</t>
  </si>
  <si>
    <t>Héctor Miranda</t>
  </si>
  <si>
    <t>33-1042-8813</t>
  </si>
  <si>
    <t>Inglaterra #6363 casa 37 Col Paseos Universidad, Zapopan</t>
  </si>
  <si>
    <t>6 tapete sint, Healty</t>
  </si>
  <si>
    <t>430/24</t>
  </si>
  <si>
    <t>Cecilia Jasso / Clinica Atempo Smart Aging</t>
  </si>
  <si>
    <t>33-3449-6917</t>
  </si>
  <si>
    <t>Av Real Acueducto #270 piso 8 Zafiro Tower Fracc Real Acueducto, Zapopan</t>
  </si>
  <si>
    <t>Silla a y r, 3 reposet, 2 sala 1 p t f, Sala 4 p t f, Senc</t>
  </si>
  <si>
    <t>431/24</t>
  </si>
  <si>
    <t>Karen Tapia</t>
  </si>
  <si>
    <t>33-2258-5609</t>
  </si>
  <si>
    <t>La Rioja Calle Herce #413, Tlajomulco</t>
  </si>
  <si>
    <t>Tapete sint, Eco</t>
  </si>
  <si>
    <t>Llama por que se echo a perder su tapete</t>
  </si>
  <si>
    <t>Se madna WA, quedaron bien</t>
  </si>
  <si>
    <t>432/24</t>
  </si>
  <si>
    <t>Respaldo de sillones, Tapete sint, Senc, PURT</t>
  </si>
  <si>
    <t>Sala 6 p t f, Colchón Ind, Senc</t>
  </si>
  <si>
    <t>Se manda WA, muy satisfactorio</t>
  </si>
  <si>
    <t>Alejandro Gutíerrez</t>
  </si>
  <si>
    <t>Octavio Mojarro Dávila</t>
  </si>
  <si>
    <t>Diana / Ana Teresa Cervantes</t>
  </si>
  <si>
    <t>1.5 Años</t>
  </si>
  <si>
    <t>2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</si>
</sst>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14" fontId="3" fillId="2" borderId="0" xfId="0" applyNumberFormat="1" applyFont="1" applyFill="1" applyAlignment="1">
      <alignment wrapText="1"/>
    </xf>
    <xf numFmtId="0" fontId="3" fillId="2" borderId="0" xfId="0" applyFont="1" applyFill="1"/>
    <xf numFmtId="9" fontId="3" fillId="2" borderId="0" xfId="2" applyFont="1" applyFill="1"/>
    <xf numFmtId="164" fontId="3" fillId="2" borderId="0" xfId="1" applyNumberFormat="1" applyFont="1" applyFill="1"/>
    <xf numFmtId="44" fontId="3" fillId="2" borderId="0" xfId="1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ont="1"/>
    <xf numFmtId="0" fontId="0" fillId="0" borderId="1" xfId="0" applyFont="1" applyBorder="1"/>
    <xf numFmtId="9" fontId="0" fillId="0" borderId="2" xfId="2" applyFon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Font="1" applyBorder="1"/>
    <xf numFmtId="164" fontId="0" fillId="0" borderId="5" xfId="2" applyNumberFormat="1" applyFont="1" applyBorder="1"/>
    <xf numFmtId="0" fontId="0" fillId="0" borderId="0" xfId="0" applyBorder="1"/>
    <xf numFmtId="9" fontId="0" fillId="0" borderId="5" xfId="2" applyFont="1" applyBorder="1"/>
    <xf numFmtId="1" fontId="0" fillId="0" borderId="0" xfId="0" applyNumberFormat="1"/>
    <xf numFmtId="0" fontId="0" fillId="0" borderId="6" xfId="0" applyFont="1" applyBorder="1"/>
    <xf numFmtId="44" fontId="0" fillId="0" borderId="7" xfId="1" applyFont="1" applyBorder="1"/>
    <xf numFmtId="9" fontId="0" fillId="0" borderId="0" xfId="2" applyFont="1"/>
    <xf numFmtId="0" fontId="0" fillId="0" borderId="8" xfId="0" applyBorder="1"/>
    <xf numFmtId="9" fontId="0" fillId="0" borderId="7" xfId="2" applyFont="1" applyBorder="1"/>
    <xf numFmtId="0" fontId="0" fillId="0" borderId="4" xfId="0" applyBorder="1"/>
    <xf numFmtId="49" fontId="0" fillId="0" borderId="4" xfId="0" applyNumberFormat="1" applyBorder="1"/>
    <xf numFmtId="0" fontId="0" fillId="0" borderId="6" xfId="0" applyBorder="1"/>
    <xf numFmtId="0" fontId="0" fillId="0" borderId="0" xfId="0" applyFill="1" applyBorder="1"/>
    <xf numFmtId="49" fontId="0" fillId="0" borderId="6" xfId="0" applyNumberFormat="1" applyBorder="1"/>
    <xf numFmtId="0" fontId="0" fillId="0" borderId="4" xfId="0" applyFill="1" applyBorder="1"/>
    <xf numFmtId="49" fontId="0" fillId="0" borderId="1" xfId="0" applyNumberFormat="1" applyBorder="1"/>
    <xf numFmtId="0" fontId="0" fillId="0" borderId="6" xfId="0" applyFill="1" applyBorder="1"/>
    <xf numFmtId="49" fontId="0" fillId="0" borderId="4" xfId="0" applyNumberFormat="1" applyFont="1" applyBorder="1"/>
    <xf numFmtId="49" fontId="0" fillId="0" borderId="6" xfId="0" applyNumberFormat="1" applyFont="1" applyBorder="1"/>
    <xf numFmtId="49" fontId="0" fillId="0" borderId="0" xfId="0" applyNumberFormat="1" applyFont="1"/>
    <xf numFmtId="49" fontId="0" fillId="0" borderId="1" xfId="0" applyNumberFormat="1" applyFont="1" applyBorder="1"/>
    <xf numFmtId="49" fontId="0" fillId="0" borderId="0" xfId="0" applyNumberFormat="1" applyBorder="1"/>
    <xf numFmtId="9" fontId="0" fillId="0" borderId="0" xfId="2" applyFont="1" applyBorder="1"/>
    <xf numFmtId="0" fontId="0" fillId="4" borderId="4" xfId="0" applyFill="1" applyBorder="1"/>
    <xf numFmtId="0" fontId="0" fillId="4" borderId="6" xfId="0" applyFill="1" applyBorder="1"/>
    <xf numFmtId="49" fontId="0" fillId="0" borderId="9" xfId="0" applyNumberFormat="1" applyBorder="1"/>
    <xf numFmtId="49" fontId="0" fillId="0" borderId="11" xfId="0" applyNumberFormat="1" applyBorder="1"/>
    <xf numFmtId="164" fontId="0" fillId="0" borderId="12" xfId="0" applyNumberFormat="1" applyBorder="1"/>
    <xf numFmtId="44" fontId="0" fillId="0" borderId="12" xfId="1" applyFont="1" applyBorder="1"/>
    <xf numFmtId="0" fontId="0" fillId="0" borderId="13" xfId="0" applyBorder="1"/>
    <xf numFmtId="164" fontId="0" fillId="0" borderId="14" xfId="0" applyNumberFormat="1" applyBorder="1"/>
    <xf numFmtId="49" fontId="3" fillId="2" borderId="0" xfId="0" applyNumberFormat="1" applyFont="1" applyFill="1" applyAlignment="1">
      <alignment wrapText="1"/>
    </xf>
    <xf numFmtId="44" fontId="3" fillId="2" borderId="0" xfId="1" applyFont="1" applyFill="1"/>
    <xf numFmtId="0" fontId="0" fillId="3" borderId="15" xfId="0" applyFill="1" applyBorder="1"/>
    <xf numFmtId="44" fontId="4" fillId="3" borderId="15" xfId="1" applyFont="1" applyFill="1" applyBorder="1"/>
    <xf numFmtId="44" fontId="0" fillId="3" borderId="15" xfId="1" applyFont="1" applyFill="1" applyBorder="1"/>
    <xf numFmtId="1" fontId="0" fillId="3" borderId="15" xfId="1" applyNumberFormat="1" applyFont="1" applyFill="1" applyBorder="1"/>
    <xf numFmtId="9" fontId="0" fillId="3" borderId="15" xfId="2" applyFont="1" applyFill="1" applyBorder="1"/>
    <xf numFmtId="44" fontId="0" fillId="0" borderId="15" xfId="1" applyFont="1" applyBorder="1"/>
    <xf numFmtId="0" fontId="0" fillId="0" borderId="15" xfId="0" applyBorder="1"/>
    <xf numFmtId="9" fontId="0" fillId="0" borderId="15" xfId="2" applyFont="1" applyBorder="1"/>
    <xf numFmtId="44" fontId="0" fillId="0" borderId="0" xfId="1" applyFont="1"/>
    <xf numFmtId="44" fontId="0" fillId="0" borderId="15" xfId="0" applyNumberFormat="1" applyBorder="1"/>
    <xf numFmtId="9" fontId="0" fillId="0" borderId="15" xfId="0" applyNumberFormat="1" applyBorder="1"/>
    <xf numFmtId="0" fontId="0" fillId="3" borderId="12" xfId="0" applyFill="1" applyBorder="1"/>
    <xf numFmtId="0" fontId="0" fillId="3" borderId="11" xfId="0" applyFill="1" applyBorder="1"/>
    <xf numFmtId="9" fontId="0" fillId="0" borderId="12" xfId="2" applyFont="1" applyBorder="1"/>
    <xf numFmtId="0" fontId="0" fillId="3" borderId="13" xfId="0" applyFill="1" applyBorder="1"/>
    <xf numFmtId="9" fontId="0" fillId="0" borderId="18" xfId="2" applyFont="1" applyBorder="1"/>
    <xf numFmtId="9" fontId="0" fillId="0" borderId="14" xfId="2" applyFont="1" applyBorder="1"/>
    <xf numFmtId="1" fontId="0" fillId="3" borderId="11" xfId="0" applyNumberFormat="1" applyFill="1" applyBorder="1"/>
    <xf numFmtId="9" fontId="0" fillId="0" borderId="15" xfId="2" applyFont="1" applyFill="1" applyBorder="1"/>
    <xf numFmtId="1" fontId="0" fillId="3" borderId="13" xfId="0" applyNumberFormat="1" applyFill="1" applyBorder="1"/>
    <xf numFmtId="9" fontId="0" fillId="0" borderId="18" xfId="2" applyFont="1" applyFill="1" applyBorder="1"/>
    <xf numFmtId="0" fontId="0" fillId="3" borderId="11" xfId="0" applyFill="1" applyBorder="1" applyAlignment="1">
      <alignment horizontal="left"/>
    </xf>
    <xf numFmtId="9" fontId="0" fillId="4" borderId="15" xfId="2" applyFont="1" applyFill="1" applyBorder="1"/>
    <xf numFmtId="9" fontId="0" fillId="4" borderId="12" xfId="2" applyFont="1" applyFill="1" applyBorder="1"/>
    <xf numFmtId="9" fontId="0" fillId="0" borderId="15" xfId="2" applyNumberFormat="1" applyFont="1" applyBorder="1"/>
    <xf numFmtId="0" fontId="0" fillId="3" borderId="9" xfId="0" applyFill="1" applyBorder="1"/>
    <xf numFmtId="0" fontId="0" fillId="0" borderId="12" xfId="0" applyBorder="1"/>
    <xf numFmtId="49" fontId="0" fillId="3" borderId="11" xfId="0" applyNumberFormat="1" applyFill="1" applyBorder="1"/>
    <xf numFmtId="0" fontId="0" fillId="3" borderId="11" xfId="0" applyFont="1" applyFill="1" applyBorder="1"/>
    <xf numFmtId="0" fontId="0" fillId="3" borderId="13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8" fontId="0" fillId="0" borderId="0" xfId="0" applyNumberFormat="1"/>
    <xf numFmtId="164" fontId="0" fillId="0" borderId="10" xfId="0" applyNumberFormat="1" applyBorder="1"/>
    <xf numFmtId="165" fontId="0" fillId="0" borderId="0" xfId="3" applyNumberFormat="1" applyFont="1"/>
    <xf numFmtId="44" fontId="6" fillId="0" borderId="15" xfId="1" applyFont="1" applyBorder="1"/>
    <xf numFmtId="44" fontId="0" fillId="0" borderId="5" xfId="1" applyFont="1" applyBorder="1"/>
    <xf numFmtId="0" fontId="0" fillId="0" borderId="21" xfId="0" applyBorder="1"/>
    <xf numFmtId="44" fontId="5" fillId="0" borderId="16" xfId="1" applyFont="1" applyBorder="1" applyAlignment="1">
      <alignment horizontal="center"/>
    </xf>
    <xf numFmtId="49" fontId="0" fillId="9" borderId="0" xfId="0" applyNumberFormat="1" applyFill="1"/>
    <xf numFmtId="44" fontId="0" fillId="0" borderId="5" xfId="0" applyNumberFormat="1" applyBorder="1"/>
    <xf numFmtId="49" fontId="0" fillId="10" borderId="0" xfId="0" applyNumberFormat="1" applyFill="1"/>
    <xf numFmtId="0" fontId="0" fillId="4" borderId="0" xfId="0" applyFill="1"/>
    <xf numFmtId="0" fontId="0" fillId="3" borderId="0" xfId="0" applyFont="1" applyFill="1" applyAlignment="1">
      <alignment horizontal="center"/>
    </xf>
    <xf numFmtId="9" fontId="0" fillId="3" borderId="15" xfId="2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baseline="0"/>
              <a:t>% cliente residencial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88815.959999999992</c:v>
                </c:pt>
                <c:pt idx="1">
                  <c:v>37145.35</c:v>
                </c:pt>
                <c:pt idx="2">
                  <c:v>43402.36</c:v>
                </c:pt>
                <c:pt idx="3">
                  <c:v>134285.45000000001</c:v>
                </c:pt>
                <c:pt idx="4">
                  <c:v>91981.860000000015</c:v>
                </c:pt>
                <c:pt idx="5">
                  <c:v>110810.4958108108</c:v>
                </c:pt>
                <c:pt idx="6">
                  <c:v>103431.78</c:v>
                </c:pt>
                <c:pt idx="7">
                  <c:v>82358.100000000006</c:v>
                </c:pt>
                <c:pt idx="8">
                  <c:v>131225.00999999998</c:v>
                </c:pt>
                <c:pt idx="9">
                  <c:v>95602.069999999992</c:v>
                </c:pt>
                <c:pt idx="10">
                  <c:v>101436.3</c:v>
                </c:pt>
                <c:pt idx="11">
                  <c:v>103272.67000000001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5C-42CB-9462-6D5FED1F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2816640"/>
        <c:axId val="232818176"/>
      </c:barChart>
      <c:lineChart>
        <c:grouping val="standard"/>
        <c:varyColors val="0"/>
        <c:ser>
          <c:idx val="1"/>
          <c:order val="1"/>
          <c:tx>
            <c:strRef>
              <c:f>'Estadísticas finales'!$H$1:$H$13</c:f>
              <c:strCache>
                <c:ptCount val="1"/>
                <c:pt idx="0">
                  <c:v>% Cliente Res 95% 83% 96% 85% 80% 93% 96% 91% 86% 98% 82% 79%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646-4F1F-BE49-A8A924148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16640"/>
        <c:axId val="232818176"/>
      </c:lineChart>
      <c:catAx>
        <c:axId val="2328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18176"/>
        <c:crosses val="autoZero"/>
        <c:auto val="1"/>
        <c:lblAlgn val="ctr"/>
        <c:lblOffset val="100"/>
        <c:noMultiLvlLbl val="0"/>
      </c:catAx>
      <c:valAx>
        <c:axId val="23281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repetición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88815.959999999992</c:v>
                </c:pt>
                <c:pt idx="1">
                  <c:v>37145.35</c:v>
                </c:pt>
                <c:pt idx="2">
                  <c:v>43402.36</c:v>
                </c:pt>
                <c:pt idx="3">
                  <c:v>134285.45000000001</c:v>
                </c:pt>
                <c:pt idx="4">
                  <c:v>91981.860000000015</c:v>
                </c:pt>
                <c:pt idx="5">
                  <c:v>110810.4958108108</c:v>
                </c:pt>
                <c:pt idx="6">
                  <c:v>103431.78</c:v>
                </c:pt>
                <c:pt idx="7">
                  <c:v>82358.100000000006</c:v>
                </c:pt>
                <c:pt idx="8">
                  <c:v>131225.00999999998</c:v>
                </c:pt>
                <c:pt idx="9">
                  <c:v>95602.069999999992</c:v>
                </c:pt>
                <c:pt idx="10">
                  <c:v>101436.3</c:v>
                </c:pt>
                <c:pt idx="11">
                  <c:v>103272.67000000001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DA-458A-BE5A-70D9FA567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2840576"/>
        <c:axId val="233280640"/>
      </c:barChart>
      <c:lineChart>
        <c:grouping val="standard"/>
        <c:varyColors val="0"/>
        <c:ser>
          <c:idx val="1"/>
          <c:order val="1"/>
          <c:tx>
            <c:strRef>
              <c:f>'Estadísticas finales'!$J$1:$J$13</c:f>
              <c:strCache>
                <c:ptCount val="1"/>
                <c:pt idx="0">
                  <c:v>% Rep 41% 67% 65% 69% 54% 50% 52% 49% 48% 50% 50% 64%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3B-44E4-9976-1BEB67D5E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40576"/>
        <c:axId val="233280640"/>
      </c:lineChart>
      <c:catAx>
        <c:axId val="2328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3280640"/>
        <c:crosses val="autoZero"/>
        <c:auto val="1"/>
        <c:lblAlgn val="ctr"/>
        <c:lblOffset val="100"/>
        <c:noMultiLvlLbl val="0"/>
      </c:catAx>
      <c:valAx>
        <c:axId val="23328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mueble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04-4DA9-AEFF-257CB087C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88815.959999999992</c:v>
                </c:pt>
                <c:pt idx="1">
                  <c:v>37145.35</c:v>
                </c:pt>
                <c:pt idx="2">
                  <c:v>43402.36</c:v>
                </c:pt>
                <c:pt idx="3">
                  <c:v>134285.45000000001</c:v>
                </c:pt>
                <c:pt idx="4">
                  <c:v>91981.860000000015</c:v>
                </c:pt>
                <c:pt idx="5">
                  <c:v>110810.4958108108</c:v>
                </c:pt>
                <c:pt idx="6">
                  <c:v>103431.78</c:v>
                </c:pt>
                <c:pt idx="7">
                  <c:v>82358.100000000006</c:v>
                </c:pt>
                <c:pt idx="8">
                  <c:v>131225.00999999998</c:v>
                </c:pt>
                <c:pt idx="9">
                  <c:v>95602.069999999992</c:v>
                </c:pt>
                <c:pt idx="10">
                  <c:v>101436.3</c:v>
                </c:pt>
                <c:pt idx="11">
                  <c:v>103272.67000000001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C8-4130-B927-8230EAD25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255104"/>
        <c:axId val="234256640"/>
      </c:barChart>
      <c:lineChart>
        <c:grouping val="standard"/>
        <c:varyColors val="0"/>
        <c:ser>
          <c:idx val="1"/>
          <c:order val="1"/>
          <c:tx>
            <c:strRef>
              <c:f>'Estadísticas finales'!$K$2:$K$13</c:f>
              <c:strCache>
                <c:ptCount val="1"/>
                <c:pt idx="0">
                  <c:v>Sala Sala/Tapete Tapete Sala Sala Sala Sala Tapete Otro Sala Sala Sala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B04-4DA9-AEFF-257CB087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76352"/>
        <c:axId val="234274816"/>
      </c:lineChart>
      <c:catAx>
        <c:axId val="2342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256640"/>
        <c:crosses val="autoZero"/>
        <c:auto val="1"/>
        <c:lblAlgn val="ctr"/>
        <c:lblOffset val="100"/>
        <c:noMultiLvlLbl val="0"/>
      </c:catAx>
      <c:valAx>
        <c:axId val="2342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255104"/>
        <c:crosses val="autoZero"/>
        <c:crossBetween val="between"/>
      </c:valAx>
      <c:valAx>
        <c:axId val="234274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276352"/>
        <c:crosses val="max"/>
        <c:crossBetween val="between"/>
      </c:valAx>
      <c:catAx>
        <c:axId val="23427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34274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paquete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88815.959999999992</c:v>
                </c:pt>
                <c:pt idx="1">
                  <c:v>37145.35</c:v>
                </c:pt>
                <c:pt idx="2">
                  <c:v>43402.36</c:v>
                </c:pt>
                <c:pt idx="3">
                  <c:v>134285.45000000001</c:v>
                </c:pt>
                <c:pt idx="4">
                  <c:v>91981.860000000015</c:v>
                </c:pt>
                <c:pt idx="5">
                  <c:v>110810.4958108108</c:v>
                </c:pt>
                <c:pt idx="6">
                  <c:v>103431.78</c:v>
                </c:pt>
                <c:pt idx="7">
                  <c:v>82358.100000000006</c:v>
                </c:pt>
                <c:pt idx="8">
                  <c:v>131225.00999999998</c:v>
                </c:pt>
                <c:pt idx="9">
                  <c:v>95602.069999999992</c:v>
                </c:pt>
                <c:pt idx="10">
                  <c:v>101436.3</c:v>
                </c:pt>
                <c:pt idx="11">
                  <c:v>103272.67000000001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AE-4678-A713-6784B4406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481152"/>
        <c:axId val="234482688"/>
      </c:barChart>
      <c:lineChart>
        <c:grouping val="standard"/>
        <c:varyColors val="0"/>
        <c:ser>
          <c:idx val="1"/>
          <c:order val="1"/>
          <c:tx>
            <c:strRef>
              <c:f>'Estadísticas finales'!$L$2:$L$13</c:f>
              <c:strCache>
                <c:ptCount val="1"/>
                <c:pt idx="0">
                  <c:v>30% 22% 38% 33% 28% 26% 31% 22% 32% 37% 40% 27%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6.5615764564862225E-3"/>
                  <c:y val="4.629629629629629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5.6587926509186343E-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BD5-4AEE-818E-FE4C137248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D5-4AEE-818E-FE4C1372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02400"/>
        <c:axId val="234500864"/>
      </c:lineChart>
      <c:catAx>
        <c:axId val="2344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482688"/>
        <c:crosses val="autoZero"/>
        <c:auto val="1"/>
        <c:lblAlgn val="ctr"/>
        <c:lblOffset val="100"/>
        <c:noMultiLvlLbl val="0"/>
      </c:catAx>
      <c:valAx>
        <c:axId val="2344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481152"/>
        <c:crosses val="autoZero"/>
        <c:crossBetween val="between"/>
      </c:valAx>
      <c:valAx>
        <c:axId val="234500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02400"/>
        <c:crosses val="max"/>
        <c:crossBetween val="between"/>
      </c:valAx>
      <c:catAx>
        <c:axId val="234502400"/>
        <c:scaling>
          <c:orientation val="minMax"/>
        </c:scaling>
        <c:delete val="1"/>
        <c:axPos val="b"/>
        <c:majorTickMark val="out"/>
        <c:minorTickMark val="none"/>
        <c:tickLblPos val="nextTo"/>
        <c:crossAx val="234500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satisfacción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'Estadísticas finales'!$I$1</c:f>
              <c:strCache>
                <c:ptCount val="1"/>
                <c:pt idx="0">
                  <c:v>Satisfacción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finales'!$I$2:$I$13</c:f>
              <c:numCache>
                <c:formatCode>0%</c:formatCode>
                <c:ptCount val="12"/>
                <c:pt idx="0">
                  <c:v>0.68</c:v>
                </c:pt>
                <c:pt idx="1">
                  <c:v>0.61</c:v>
                </c:pt>
                <c:pt idx="2">
                  <c:v>0.83</c:v>
                </c:pt>
                <c:pt idx="3">
                  <c:v>0.79</c:v>
                </c:pt>
                <c:pt idx="4">
                  <c:v>0.74</c:v>
                </c:pt>
                <c:pt idx="5">
                  <c:v>0.62</c:v>
                </c:pt>
                <c:pt idx="6">
                  <c:v>0.67</c:v>
                </c:pt>
                <c:pt idx="7">
                  <c:v>0.71</c:v>
                </c:pt>
                <c:pt idx="8">
                  <c:v>0.69</c:v>
                </c:pt>
                <c:pt idx="9">
                  <c:v>0.83</c:v>
                </c:pt>
                <c:pt idx="10">
                  <c:v>0.76</c:v>
                </c:pt>
                <c:pt idx="11">
                  <c:v>0.73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E4-4790-BB3C-2C96396C5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525056"/>
        <c:axId val="234526592"/>
      </c:barChart>
      <c:catAx>
        <c:axId val="2345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26592"/>
        <c:crosses val="autoZero"/>
        <c:auto val="1"/>
        <c:lblAlgn val="ctr"/>
        <c:lblOffset val="100"/>
        <c:noMultiLvlLbl val="0"/>
      </c:catAx>
      <c:valAx>
        <c:axId val="2345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2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88815.959999999992</c:v>
                </c:pt>
                <c:pt idx="1">
                  <c:v>37145.35</c:v>
                </c:pt>
                <c:pt idx="2">
                  <c:v>43402.36</c:v>
                </c:pt>
                <c:pt idx="3">
                  <c:v>134285.45000000001</c:v>
                </c:pt>
                <c:pt idx="4">
                  <c:v>91981.860000000015</c:v>
                </c:pt>
                <c:pt idx="5">
                  <c:v>110810.4958108108</c:v>
                </c:pt>
                <c:pt idx="6">
                  <c:v>103431.78</c:v>
                </c:pt>
                <c:pt idx="7">
                  <c:v>82358.100000000006</c:v>
                </c:pt>
                <c:pt idx="8">
                  <c:v>131225.00999999998</c:v>
                </c:pt>
                <c:pt idx="9">
                  <c:v>95602.069999999992</c:v>
                </c:pt>
                <c:pt idx="10">
                  <c:v>101436.3</c:v>
                </c:pt>
                <c:pt idx="11">
                  <c:v>103272.67000000001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15-4C0A-86B1-964A0D66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560128"/>
        <c:axId val="234561920"/>
      </c:barChart>
      <c:catAx>
        <c:axId val="2345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61920"/>
        <c:crosses val="autoZero"/>
        <c:auto val="1"/>
        <c:lblAlgn val="ctr"/>
        <c:lblOffset val="100"/>
        <c:noMultiLvlLbl val="0"/>
      </c:catAx>
      <c:valAx>
        <c:axId val="234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6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'Estadísticas finales'!$D$1</c:f>
              <c:strCache>
                <c:ptCount val="1"/>
                <c:pt idx="0">
                  <c:v>Ganancia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finales'!$D$2:$D$13</c:f>
              <c:numCache>
                <c:formatCode>_("$"* #,##0.00_);_("$"* \(#,##0.00\);_("$"* "-"??_);_(@_)</c:formatCode>
                <c:ptCount val="12"/>
                <c:pt idx="0">
                  <c:v>42522.299999999988</c:v>
                </c:pt>
                <c:pt idx="1">
                  <c:v>-6214.3100000000049</c:v>
                </c:pt>
                <c:pt idx="2">
                  <c:v>-9369.8000000000029</c:v>
                </c:pt>
                <c:pt idx="3">
                  <c:v>65897.16</c:v>
                </c:pt>
                <c:pt idx="4">
                  <c:v>31172.780000000013</c:v>
                </c:pt>
                <c:pt idx="5">
                  <c:v>48515.015810810801</c:v>
                </c:pt>
                <c:pt idx="6">
                  <c:v>38419</c:v>
                </c:pt>
                <c:pt idx="7">
                  <c:v>10014.010000000009</c:v>
                </c:pt>
                <c:pt idx="8">
                  <c:v>75611.989999999976</c:v>
                </c:pt>
                <c:pt idx="9">
                  <c:v>26107.909999999989</c:v>
                </c:pt>
                <c:pt idx="10">
                  <c:v>36728.380000000005</c:v>
                </c:pt>
                <c:pt idx="11">
                  <c:v>27556.430000000022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AC7-42E1-9AAD-03BD1C4E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572416"/>
        <c:axId val="23458649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finales'!$B$1</c15:sqref>
                        </c15:formulaRef>
                      </c:ext>
                    </c:extLst>
                    <c:strCache>
                      <c:ptCount val="1"/>
                      <c:pt idx="0">
                        <c:v>Venta mensual bruta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finales'!$B$2:$B$13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88815.959999999992</c:v>
                      </c:pt>
                      <c:pt idx="1">
                        <c:v>37145.35</c:v>
                      </c:pt>
                      <c:pt idx="2">
                        <c:v>43402.36</c:v>
                      </c:pt>
                      <c:pt idx="3">
                        <c:v>134285.45000000001</c:v>
                      </c:pt>
                      <c:pt idx="4">
                        <c:v>91981.860000000015</c:v>
                      </c:pt>
                      <c:pt idx="5">
                        <c:v>110810.4958108108</c:v>
                      </c:pt>
                      <c:pt idx="6">
                        <c:v>103431.78</c:v>
                      </c:pt>
                      <c:pt idx="7">
                        <c:v>82358.100000000006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C7-42E1-9AAD-03BD1C4E0E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finales'!$C$1</c15:sqref>
                        </c15:formulaRef>
                      </c:ext>
                    </c:extLst>
                    <c:strCache>
                      <c:ptCount val="1"/>
                      <c:pt idx="0">
                        <c:v>Gastos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finales'!$C$2:$C$13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46293.66</c:v>
                      </c:pt>
                      <c:pt idx="1">
                        <c:v>43359.66</c:v>
                      </c:pt>
                      <c:pt idx="2">
                        <c:v>52772.160000000003</c:v>
                      </c:pt>
                      <c:pt idx="3">
                        <c:v>68388.290000000008</c:v>
                      </c:pt>
                      <c:pt idx="4">
                        <c:v>60809.08</c:v>
                      </c:pt>
                      <c:pt idx="5">
                        <c:v>62295.479999999996</c:v>
                      </c:pt>
                      <c:pt idx="6">
                        <c:v>65012.78</c:v>
                      </c:pt>
                      <c:pt idx="7">
                        <c:v>72344.09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AC7-42E1-9AAD-03BD1C4E0E8D}"/>
                  </c:ext>
                </c:extLst>
              </c15:ser>
            </c15:filteredBarSeries>
          </c:ext>
        </c:extLst>
      </c:barChart>
      <c:catAx>
        <c:axId val="2345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86496"/>
        <c:crosses val="autoZero"/>
        <c:auto val="1"/>
        <c:lblAlgn val="ctr"/>
        <c:lblOffset val="100"/>
        <c:noMultiLvlLbl val="0"/>
      </c:catAx>
      <c:valAx>
        <c:axId val="2345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'Estadísticas finales'!$G$1</c:f>
              <c:strCache>
                <c:ptCount val="1"/>
                <c:pt idx="0">
                  <c:v>No. Servicios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finales'!$G$2:$G$13</c:f>
              <c:numCache>
                <c:formatCode>General</c:formatCode>
                <c:ptCount val="12"/>
                <c:pt idx="0">
                  <c:v>41</c:v>
                </c:pt>
                <c:pt idx="1">
                  <c:v>18</c:v>
                </c:pt>
                <c:pt idx="2">
                  <c:v>23</c:v>
                </c:pt>
                <c:pt idx="3">
                  <c:v>39</c:v>
                </c:pt>
                <c:pt idx="4">
                  <c:v>35</c:v>
                </c:pt>
                <c:pt idx="5">
                  <c:v>42</c:v>
                </c:pt>
                <c:pt idx="6">
                  <c:v>46</c:v>
                </c:pt>
                <c:pt idx="7">
                  <c:v>35</c:v>
                </c:pt>
                <c:pt idx="8">
                  <c:v>42</c:v>
                </c:pt>
                <c:pt idx="9">
                  <c:v>40</c:v>
                </c:pt>
                <c:pt idx="10">
                  <c:v>38</c:v>
                </c:pt>
                <c:pt idx="11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3-45F7-A1B5-EB7543864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148032"/>
        <c:axId val="23514956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finales'!$B$1</c15:sqref>
                        </c15:formulaRef>
                      </c:ext>
                    </c:extLst>
                    <c:strCache>
                      <c:ptCount val="1"/>
                      <c:pt idx="0">
                        <c:v>Venta mensual bruta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finales'!$B$2:$B$13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88815.959999999992</c:v>
                      </c:pt>
                      <c:pt idx="1">
                        <c:v>37145.35</c:v>
                      </c:pt>
                      <c:pt idx="2">
                        <c:v>43402.36</c:v>
                      </c:pt>
                      <c:pt idx="3">
                        <c:v>134285.45000000001</c:v>
                      </c:pt>
                      <c:pt idx="4">
                        <c:v>91981.860000000015</c:v>
                      </c:pt>
                      <c:pt idx="5">
                        <c:v>110810.4958108108</c:v>
                      </c:pt>
                      <c:pt idx="6">
                        <c:v>103431.78</c:v>
                      </c:pt>
                      <c:pt idx="7">
                        <c:v>82358.100000000006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463-45F7-A1B5-EB754386414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finales'!$C$1</c15:sqref>
                        </c15:formulaRef>
                      </c:ext>
                    </c:extLst>
                    <c:strCache>
                      <c:ptCount val="1"/>
                      <c:pt idx="0">
                        <c:v>Gastos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finales'!$C$2:$C$13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46293.66</c:v>
                      </c:pt>
                      <c:pt idx="1">
                        <c:v>43359.66</c:v>
                      </c:pt>
                      <c:pt idx="2">
                        <c:v>52772.160000000003</c:v>
                      </c:pt>
                      <c:pt idx="3">
                        <c:v>68388.290000000008</c:v>
                      </c:pt>
                      <c:pt idx="4">
                        <c:v>60809.08</c:v>
                      </c:pt>
                      <c:pt idx="5">
                        <c:v>62295.479999999996</c:v>
                      </c:pt>
                      <c:pt idx="6">
                        <c:v>65012.78</c:v>
                      </c:pt>
                      <c:pt idx="7">
                        <c:v>72344.09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63-45F7-A1B5-EB754386414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finales'!$D$1</c15:sqref>
                        </c15:formulaRef>
                      </c:ext>
                    </c:extLst>
                    <c:strCache>
                      <c:ptCount val="1"/>
                      <c:pt idx="0">
                        <c:v>Ganancia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finales'!$D$2:$D$13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42522.299999999988</c:v>
                      </c:pt>
                      <c:pt idx="1">
                        <c:v>-6214.3100000000049</c:v>
                      </c:pt>
                      <c:pt idx="2">
                        <c:v>-9369.8000000000029</c:v>
                      </c:pt>
                      <c:pt idx="3">
                        <c:v>65897.16</c:v>
                      </c:pt>
                      <c:pt idx="4">
                        <c:v>31172.780000000013</c:v>
                      </c:pt>
                      <c:pt idx="5">
                        <c:v>48515.015810810801</c:v>
                      </c:pt>
                      <c:pt idx="6">
                        <c:v>38419</c:v>
                      </c:pt>
                      <c:pt idx="7">
                        <c:v>10014.010000000009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63-45F7-A1B5-EB754386414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finales'!$E$1</c15:sqref>
                        </c15:formulaRef>
                      </c:ext>
                    </c:extLst>
                    <c:strCache>
                      <c:ptCount val="1"/>
                      <c:pt idx="0">
                        <c:v>Venta diaria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finales'!$E$2:$E$13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3415.998461538461</c:v>
                      </c:pt>
                      <c:pt idx="1">
                        <c:v>1547.7229166666666</c:v>
                      </c:pt>
                      <c:pt idx="2">
                        <c:v>1887.0591304347827</c:v>
                      </c:pt>
                      <c:pt idx="3">
                        <c:v>5164.8250000000007</c:v>
                      </c:pt>
                      <c:pt idx="4">
                        <c:v>3537.7638461538468</c:v>
                      </c:pt>
                      <c:pt idx="5">
                        <c:v>4432.4198324324316</c:v>
                      </c:pt>
                      <c:pt idx="6">
                        <c:v>3830.8066666666659</c:v>
                      </c:pt>
                      <c:pt idx="7">
                        <c:v>3050.3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63-45F7-A1B5-EB754386414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finales'!$F$1</c15:sqref>
                        </c15:formulaRef>
                      </c:ext>
                    </c:extLst>
                    <c:strCache>
                      <c:ptCount val="1"/>
                      <c:pt idx="0">
                        <c:v>Venta promedio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finales'!$F$2:$F$13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2166.2429268292681</c:v>
                      </c:pt>
                      <c:pt idx="1">
                        <c:v>2063.6305555555555</c:v>
                      </c:pt>
                      <c:pt idx="2">
                        <c:v>1887.0591304347827</c:v>
                      </c:pt>
                      <c:pt idx="3">
                        <c:v>3443.2166666666672</c:v>
                      </c:pt>
                      <c:pt idx="4">
                        <c:v>2628.0531428571435</c:v>
                      </c:pt>
                      <c:pt idx="5">
                        <c:v>2638.3451383526381</c:v>
                      </c:pt>
                      <c:pt idx="6">
                        <c:v>2248.5169565217393</c:v>
                      </c:pt>
                      <c:pt idx="7">
                        <c:v>2353.0885714285714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63-45F7-A1B5-EB754386414E}"/>
                  </c:ext>
                </c:extLst>
              </c15:ser>
            </c15:filteredBarSeries>
          </c:ext>
        </c:extLst>
      </c:barChart>
      <c:catAx>
        <c:axId val="2351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149568"/>
        <c:crosses val="autoZero"/>
        <c:auto val="1"/>
        <c:lblAlgn val="ctr"/>
        <c:lblOffset val="100"/>
        <c:noMultiLvlLbl val="0"/>
      </c:catAx>
      <c:valAx>
        <c:axId val="2351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1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D20-4D65-87EE-7C2BDA408B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D20-4D65-87EE-7C2BDA408B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D20-4D65-87EE-7C2BDA408B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D20-4D65-87EE-7C2BDA408B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D20-4D65-87EE-7C2BDA408B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D20-4D65-87EE-7C2BDA408B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D20-4D65-87EE-7C2BDA408BC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D20-4D65-87EE-7C2BDA408BC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D20-4D65-87EE-7C2BDA408BC7}"/>
              </c:ext>
            </c:extLst>
          </c:dPt>
          <c:cat>
            <c:strRef>
              <c:f>'Estadísticas Específicas'!$N$3:$N$11</c:f>
              <c:strCache>
                <c:ptCount val="9"/>
                <c:pt idx="0">
                  <c:v>Alfombra</c:v>
                </c:pt>
                <c:pt idx="1">
                  <c:v>Tapete</c:v>
                </c:pt>
                <c:pt idx="2">
                  <c:v>Sala</c:v>
                </c:pt>
                <c:pt idx="3">
                  <c:v>Sala piel</c:v>
                </c:pt>
                <c:pt idx="4">
                  <c:v>Sillas</c:v>
                </c:pt>
                <c:pt idx="5">
                  <c:v>Autos</c:v>
                </c:pt>
                <c:pt idx="6">
                  <c:v>Colchones</c:v>
                </c:pt>
                <c:pt idx="7">
                  <c:v>Futón</c:v>
                </c:pt>
                <c:pt idx="8">
                  <c:v>Otro</c:v>
                </c:pt>
              </c:strCache>
            </c:strRef>
          </c:cat>
          <c:val>
            <c:numRef>
              <c:f>'Estadísticas Específicas'!$O$3:$O$11</c:f>
              <c:numCache>
                <c:formatCode>0%</c:formatCode>
                <c:ptCount val="9"/>
                <c:pt idx="0">
                  <c:v>3.1428828487910634E-2</c:v>
                </c:pt>
                <c:pt idx="1">
                  <c:v>0.23976658605209419</c:v>
                </c:pt>
                <c:pt idx="2">
                  <c:v>0.32435580182947182</c:v>
                </c:pt>
                <c:pt idx="3">
                  <c:v>4.2606210510448125E-3</c:v>
                </c:pt>
                <c:pt idx="4">
                  <c:v>0.12705900668443568</c:v>
                </c:pt>
                <c:pt idx="5">
                  <c:v>1.6112901531148908E-2</c:v>
                </c:pt>
                <c:pt idx="6">
                  <c:v>0.12682817011270014</c:v>
                </c:pt>
                <c:pt idx="7">
                  <c:v>8.8341934474259493E-3</c:v>
                </c:pt>
                <c:pt idx="8">
                  <c:v>0.20468722413710119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0D20-4D65-87EE-7C2BDA40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4A0-4658-88EB-6D48775FB63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4A0-4658-88EB-6D48775FB63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4A0-4658-88EB-6D48775FB63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4A0-4658-88EB-6D48775FB63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4A0-4658-88EB-6D48775FB63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4A0-4658-88EB-6D48775FB63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4A0-4658-88EB-6D48775FB63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4A0-4658-88EB-6D48775FB63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4A0-4658-88EB-6D48775FB63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4A0-4658-88EB-6D48775FB634}"/>
              </c:ext>
            </c:extLst>
          </c:dPt>
          <c:cat>
            <c:strRef>
              <c:f>'Estadísticas Específicas'!$N$15:$N$24</c:f>
              <c:strCache>
                <c:ptCount val="10"/>
                <c:pt idx="0">
                  <c:v>Senc</c:v>
                </c:pt>
                <c:pt idx="1">
                  <c:v>Eco</c:v>
                </c:pt>
                <c:pt idx="2">
                  <c:v>Prot</c:v>
                </c:pt>
                <c:pt idx="3">
                  <c:v>Prem</c:v>
                </c:pt>
                <c:pt idx="4">
                  <c:v>Healty</c:v>
                </c:pt>
                <c:pt idx="5">
                  <c:v>Protex</c:v>
                </c:pt>
                <c:pt idx="6">
                  <c:v>Aspirado</c:v>
                </c:pt>
                <c:pt idx="7">
                  <c:v>Extracción</c:v>
                </c:pt>
                <c:pt idx="8">
                  <c:v>Piel</c:v>
                </c:pt>
                <c:pt idx="9">
                  <c:v>PURT</c:v>
                </c:pt>
              </c:strCache>
            </c:strRef>
          </c:cat>
          <c:val>
            <c:numRef>
              <c:f>'Estadísticas Específicas'!$O$15:$O$24</c:f>
              <c:numCache>
                <c:formatCode>0%</c:formatCode>
                <c:ptCount val="10"/>
                <c:pt idx="0">
                  <c:v>0.38024968226091582</c:v>
                </c:pt>
                <c:pt idx="1">
                  <c:v>0.22225036619111851</c:v>
                </c:pt>
                <c:pt idx="2">
                  <c:v>0.11887066781989723</c:v>
                </c:pt>
                <c:pt idx="3">
                  <c:v>0.10935482001171308</c:v>
                </c:pt>
                <c:pt idx="4">
                  <c:v>8.5138190076954112E-2</c:v>
                </c:pt>
                <c:pt idx="5">
                  <c:v>6.4284114183307739E-3</c:v>
                </c:pt>
                <c:pt idx="6">
                  <c:v>3.7202380952380955E-3</c:v>
                </c:pt>
                <c:pt idx="7">
                  <c:v>7.6452599388379206E-4</c:v>
                </c:pt>
                <c:pt idx="8">
                  <c:v>4.8716192915809692E-3</c:v>
                </c:pt>
                <c:pt idx="9">
                  <c:v>6.8351478840367588E-2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4A0-4658-88EB-6D48775F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22C-46D4-9CE5-E72D2AC692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22C-46D4-9CE5-E72D2AC692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22C-46D4-9CE5-E72D2AC6925F}"/>
              </c:ext>
            </c:extLst>
          </c:dPt>
          <c:cat>
            <c:strRef>
              <c:f>'Estadísticas Específicas'!$N$28:$N$30</c:f>
              <c:strCache>
                <c:ptCount val="3"/>
                <c:pt idx="0">
                  <c:v>Todo fijo</c:v>
                </c:pt>
                <c:pt idx="1">
                  <c:v>A o R removible</c:v>
                </c:pt>
                <c:pt idx="2">
                  <c:v>Todo Removible</c:v>
                </c:pt>
              </c:strCache>
            </c:strRef>
          </c:cat>
          <c:val>
            <c:numRef>
              <c:f>'Estadísticas Específicas'!$O$28:$O$30</c:f>
              <c:numCache>
                <c:formatCode>0%</c:formatCode>
                <c:ptCount val="3"/>
                <c:pt idx="0">
                  <c:v>0.50870704859210603</c:v>
                </c:pt>
                <c:pt idx="1">
                  <c:v>0.3360208267679532</c:v>
                </c:pt>
                <c:pt idx="2">
                  <c:v>0.20037313474095078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22C-46D4-9CE5-E72D2AC69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48E-48D3-B300-65013B7F7D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48E-48D3-B300-65013B7F7D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48E-48D3-B300-65013B7F7D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48E-48D3-B300-65013B7F7D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48E-48D3-B300-65013B7F7D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48E-48D3-B300-65013B7F7D1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48E-48D3-B300-65013B7F7D1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48E-48D3-B300-65013B7F7D1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48E-48D3-B300-65013B7F7D1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48E-48D3-B300-65013B7F7D1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48E-48D3-B300-65013B7F7D1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48E-48D3-B300-65013B7F7D15}"/>
              </c:ext>
            </c:extLst>
          </c:dPt>
          <c:cat>
            <c:strRef>
              <c:f>'Estadísticas Específicas'!$N$34:$N$45</c:f>
              <c:strCache>
                <c:ptCount val="12"/>
                <c:pt idx="0">
                  <c:v>1 Plaza</c:v>
                </c:pt>
                <c:pt idx="1">
                  <c:v>2 Plazas</c:v>
                </c:pt>
                <c:pt idx="2">
                  <c:v>3 Plazas</c:v>
                </c:pt>
                <c:pt idx="3">
                  <c:v>4 Plazas</c:v>
                </c:pt>
                <c:pt idx="4">
                  <c:v>5 Plazas</c:v>
                </c:pt>
                <c:pt idx="5">
                  <c:v>6 Plazas</c:v>
                </c:pt>
                <c:pt idx="6">
                  <c:v>7 Plazas</c:v>
                </c:pt>
                <c:pt idx="7">
                  <c:v>8 Plazas</c:v>
                </c:pt>
                <c:pt idx="8">
                  <c:v>9 Plazas</c:v>
                </c:pt>
                <c:pt idx="9">
                  <c:v>10 Plazas</c:v>
                </c:pt>
                <c:pt idx="10">
                  <c:v>11 Plazas</c:v>
                </c:pt>
                <c:pt idx="11">
                  <c:v>12 Plazas</c:v>
                </c:pt>
              </c:strCache>
            </c:strRef>
          </c:cat>
          <c:val>
            <c:numRef>
              <c:f>'Estadísticas Específicas'!$O$34:$O$45</c:f>
              <c:numCache>
                <c:formatCode>0%</c:formatCode>
                <c:ptCount val="12"/>
                <c:pt idx="0">
                  <c:v>0.12580798405511048</c:v>
                </c:pt>
                <c:pt idx="1">
                  <c:v>0.1732108095182808</c:v>
                </c:pt>
                <c:pt idx="2">
                  <c:v>9.3789267884095473E-2</c:v>
                </c:pt>
                <c:pt idx="3">
                  <c:v>8.4897946349095796E-2</c:v>
                </c:pt>
                <c:pt idx="4">
                  <c:v>0.15142994670293519</c:v>
                </c:pt>
                <c:pt idx="5">
                  <c:v>0.26948803856849829</c:v>
                </c:pt>
                <c:pt idx="6">
                  <c:v>3.0393805321966241E-2</c:v>
                </c:pt>
                <c:pt idx="7">
                  <c:v>3.5144687156181409E-2</c:v>
                </c:pt>
                <c:pt idx="8">
                  <c:v>1.1504515599343184E-2</c:v>
                </c:pt>
                <c:pt idx="9">
                  <c:v>1.5532293377120962E-2</c:v>
                </c:pt>
                <c:pt idx="10">
                  <c:v>2.3809523809523807E-3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48E-48D3-B300-65013B7F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283-40CB-9B66-815C42C81A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283-40CB-9B66-815C42C81A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283-40CB-9B66-815C42C81ADD}"/>
              </c:ext>
            </c:extLst>
          </c:dPt>
          <c:cat>
            <c:strRef>
              <c:f>'Estadísticas Específicas'!$N$49:$N$51</c:f>
              <c:strCache>
                <c:ptCount val="3"/>
                <c:pt idx="0">
                  <c:v>Lana</c:v>
                </c:pt>
                <c:pt idx="1">
                  <c:v>Sintético</c:v>
                </c:pt>
                <c:pt idx="2">
                  <c:v>Seda</c:v>
                </c:pt>
              </c:strCache>
            </c:strRef>
          </c:cat>
          <c:val>
            <c:numRef>
              <c:f>'Estadísticas Específicas'!$O$49:$O$51</c:f>
              <c:numCache>
                <c:formatCode>0%</c:formatCode>
                <c:ptCount val="3"/>
                <c:pt idx="0">
                  <c:v>0.24892489046900812</c:v>
                </c:pt>
                <c:pt idx="1">
                  <c:v>0.71853542699130923</c:v>
                </c:pt>
                <c:pt idx="2">
                  <c:v>3.650793650793651E-2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283-40CB-9B66-815C42C81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89-4A4B-8C35-49744E38F5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89-4A4B-8C35-49744E38F5FB}"/>
              </c:ext>
            </c:extLst>
          </c:dPt>
          <c:cat>
            <c:strRef>
              <c:f>'Estadísticas Específicas'!$N$55:$N$56</c:f>
              <c:strCache>
                <c:ptCount val="2"/>
                <c:pt idx="0">
                  <c:v>Asiento</c:v>
                </c:pt>
                <c:pt idx="1">
                  <c:v>Asiento y respaldo</c:v>
                </c:pt>
              </c:strCache>
            </c:strRef>
          </c:cat>
          <c:val>
            <c:numRef>
              <c:f>'Estadísticas Específicas'!$O$55:$O$56</c:f>
              <c:numCache>
                <c:formatCode>0%</c:formatCode>
                <c:ptCount val="2"/>
                <c:pt idx="0">
                  <c:v>0.17</c:v>
                </c:pt>
                <c:pt idx="1">
                  <c:v>0.83000000000000007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389-4A4B-8C35-49744E38F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colchón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AD6-4976-A981-E5A435B2D0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AD6-4976-A981-E5A435B2D0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AD6-4976-A981-E5A435B2D0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AD6-4976-A981-E5A435B2D07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AD6-4976-A981-E5A435B2D07B}"/>
              </c:ext>
            </c:extLst>
          </c:dPt>
          <c:cat>
            <c:strRef>
              <c:f>'Estadísticas Específicas'!$N$60:$N$64</c:f>
              <c:strCache>
                <c:ptCount val="5"/>
                <c:pt idx="0">
                  <c:v>Cuna</c:v>
                </c:pt>
                <c:pt idx="1">
                  <c:v>Ind</c:v>
                </c:pt>
                <c:pt idx="2">
                  <c:v>Mat</c:v>
                </c:pt>
                <c:pt idx="3">
                  <c:v>QS</c:v>
                </c:pt>
                <c:pt idx="4">
                  <c:v>KS</c:v>
                </c:pt>
              </c:strCache>
            </c:strRef>
          </c:cat>
          <c:val>
            <c:numRef>
              <c:f>'Estadísticas Específicas'!$O$60:$O$64</c:f>
              <c:numCache>
                <c:formatCode>0%</c:formatCode>
                <c:ptCount val="5"/>
                <c:pt idx="0">
                  <c:v>6.4102564102564109E-3</c:v>
                </c:pt>
                <c:pt idx="1">
                  <c:v>0.35208465997939681</c:v>
                </c:pt>
                <c:pt idx="2">
                  <c:v>0.283386204438836</c:v>
                </c:pt>
                <c:pt idx="3">
                  <c:v>0.12172048224679803</c:v>
                </c:pt>
                <c:pt idx="4">
                  <c:v>0.23639839692471273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AD6-4976-A981-E5A435B2D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  <a:r>
              <a:rPr lang="es-MX" baseline="0"/>
              <a:t>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FA-4E4A-958A-8BCC95F3F7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8FA-4E4A-958A-8BCC95F3F7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8FA-4E4A-958A-8BCC95F3F7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8FA-4E4A-958A-8BCC95F3F7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8FA-4E4A-958A-8BCC95F3F7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8FA-4E4A-958A-8BCC95F3F77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8FA-4E4A-958A-8BCC95F3F77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8FA-4E4A-958A-8BCC95F3F77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8FA-4E4A-958A-8BCC95F3F77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8FA-4E4A-958A-8BCC95F3F775}"/>
              </c:ext>
            </c:extLst>
          </c:dPt>
          <c:cat>
            <c:strRef>
              <c:f>'Estadísticas Específicas'!$N$68:$N$77</c:f>
              <c:strCache>
                <c:ptCount val="10"/>
                <c:pt idx="0">
                  <c:v>Taburete</c:v>
                </c:pt>
                <c:pt idx="1">
                  <c:v>Cabecera</c:v>
                </c:pt>
                <c:pt idx="2">
                  <c:v>Carriola y porta bebé</c:v>
                </c:pt>
                <c:pt idx="3">
                  <c:v>Piso</c:v>
                </c:pt>
                <c:pt idx="4">
                  <c:v>Cojines</c:v>
                </c:pt>
                <c:pt idx="5">
                  <c:v>Banca</c:v>
                </c:pt>
                <c:pt idx="6">
                  <c:v>Banco</c:v>
                </c:pt>
                <c:pt idx="7">
                  <c:v>Reposet</c:v>
                </c:pt>
                <c:pt idx="8">
                  <c:v>Colchón interno</c:v>
                </c:pt>
                <c:pt idx="9">
                  <c:v>Torre de gatos</c:v>
                </c:pt>
              </c:strCache>
            </c:strRef>
          </c:cat>
          <c:val>
            <c:numRef>
              <c:f>'Estadísticas Específicas'!$O$68:$O$77</c:f>
              <c:numCache>
                <c:formatCode>0%</c:formatCode>
                <c:ptCount val="10"/>
                <c:pt idx="0">
                  <c:v>0.14159024800598366</c:v>
                </c:pt>
                <c:pt idx="1">
                  <c:v>0.11465271914188324</c:v>
                </c:pt>
                <c:pt idx="2">
                  <c:v>0</c:v>
                </c:pt>
                <c:pt idx="3">
                  <c:v>2.4261493655086331E-2</c:v>
                </c:pt>
                <c:pt idx="4">
                  <c:v>0.24067832201076919</c:v>
                </c:pt>
                <c:pt idx="5">
                  <c:v>8.785067617430653E-2</c:v>
                </c:pt>
                <c:pt idx="6">
                  <c:v>4.294661568520769E-2</c:v>
                </c:pt>
                <c:pt idx="7">
                  <c:v>0.28994386396122834</c:v>
                </c:pt>
                <c:pt idx="8">
                  <c:v>2.3088023088023088E-2</c:v>
                </c:pt>
                <c:pt idx="9">
                  <c:v>2.11489898989899E-2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68FA-4E4A-958A-8BCC95F3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</c:f>
              <c:strCache>
                <c:ptCount val="1"/>
                <c:pt idx="0">
                  <c:v>Alfombra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Específicas'!$B$3:$M$3</c:f>
              <c:numCache>
                <c:formatCode>0%</c:formatCode>
                <c:ptCount val="12"/>
                <c:pt idx="0">
                  <c:v>5.4794520547945202E-2</c:v>
                </c:pt>
                <c:pt idx="1">
                  <c:v>6.25E-2</c:v>
                </c:pt>
                <c:pt idx="2">
                  <c:v>0</c:v>
                </c:pt>
                <c:pt idx="3">
                  <c:v>3.7383177570093455E-2</c:v>
                </c:pt>
                <c:pt idx="4">
                  <c:v>3.3333333333333333E-2</c:v>
                </c:pt>
                <c:pt idx="5">
                  <c:v>4.3956043956043959E-2</c:v>
                </c:pt>
                <c:pt idx="6">
                  <c:v>1.0309278350515464E-2</c:v>
                </c:pt>
                <c:pt idx="7">
                  <c:v>2.6315789473684209E-2</c:v>
                </c:pt>
                <c:pt idx="8">
                  <c:v>1.7094017094017096E-2</c:v>
                </c:pt>
                <c:pt idx="9">
                  <c:v>1.0526315789473684E-2</c:v>
                </c:pt>
                <c:pt idx="10">
                  <c:v>5.2631578947368418E-2</c:v>
                </c:pt>
                <c:pt idx="11">
                  <c:v>2.8301886792452831E-2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E4-4F8A-A47D-02B6DC746E44}"/>
            </c:ext>
          </c:extLst>
        </c:ser>
        <c:ser>
          <c:idx val="1"/>
          <c:order val="1"/>
          <c:tx>
            <c:strRef>
              <c:f>'Estadísticas Específicas'!$A$4</c:f>
              <c:strCache>
                <c:ptCount val="1"/>
                <c:pt idx="0">
                  <c:v>Tapete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Específicas'!$B$4:$M$4</c:f>
              <c:numCache>
                <c:formatCode>0%</c:formatCode>
                <c:ptCount val="12"/>
                <c:pt idx="0">
                  <c:v>0.28767123287671231</c:v>
                </c:pt>
                <c:pt idx="1">
                  <c:v>0.21875</c:v>
                </c:pt>
                <c:pt idx="2">
                  <c:v>0.3783783783783784</c:v>
                </c:pt>
                <c:pt idx="3">
                  <c:v>0.14953271028037382</c:v>
                </c:pt>
                <c:pt idx="4">
                  <c:v>0.23333333333333334</c:v>
                </c:pt>
                <c:pt idx="5">
                  <c:v>0.14285714285714285</c:v>
                </c:pt>
                <c:pt idx="6">
                  <c:v>0.20618556701030927</c:v>
                </c:pt>
                <c:pt idx="7">
                  <c:v>0.22368421052631579</c:v>
                </c:pt>
                <c:pt idx="8">
                  <c:v>0.20512820512820512</c:v>
                </c:pt>
                <c:pt idx="9">
                  <c:v>0.15789473684210525</c:v>
                </c:pt>
                <c:pt idx="10">
                  <c:v>0.44736842105263158</c:v>
                </c:pt>
                <c:pt idx="11">
                  <c:v>0.22641509433962265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2E4-4F8A-A47D-02B6DC746E44}"/>
            </c:ext>
          </c:extLst>
        </c:ser>
        <c:ser>
          <c:idx val="2"/>
          <c:order val="2"/>
          <c:tx>
            <c:strRef>
              <c:f>'Estadísticas Específicas'!$A$5</c:f>
              <c:strCache>
                <c:ptCount val="1"/>
                <c:pt idx="0">
                  <c:v>Sala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Específicas'!$B$5:$M$5</c:f>
              <c:numCache>
                <c:formatCode>0%</c:formatCode>
                <c:ptCount val="12"/>
                <c:pt idx="0">
                  <c:v>0.30136986301369861</c:v>
                </c:pt>
                <c:pt idx="1">
                  <c:v>0.21875</c:v>
                </c:pt>
                <c:pt idx="2">
                  <c:v>0.21621621621621623</c:v>
                </c:pt>
                <c:pt idx="3">
                  <c:v>0.32710280373831774</c:v>
                </c:pt>
                <c:pt idx="4">
                  <c:v>0.27777777777777779</c:v>
                </c:pt>
                <c:pt idx="5">
                  <c:v>0.26373626373626374</c:v>
                </c:pt>
                <c:pt idx="6">
                  <c:v>0.30927835051546393</c:v>
                </c:pt>
                <c:pt idx="7">
                  <c:v>0.36842105263157893</c:v>
                </c:pt>
                <c:pt idx="8">
                  <c:v>0.23076923076923078</c:v>
                </c:pt>
                <c:pt idx="9">
                  <c:v>0.36842105263157893</c:v>
                </c:pt>
                <c:pt idx="10">
                  <c:v>0.73684210526315785</c:v>
                </c:pt>
                <c:pt idx="11">
                  <c:v>0.27358490566037735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2E4-4F8A-A47D-02B6DC746E44}"/>
            </c:ext>
          </c:extLst>
        </c:ser>
        <c:ser>
          <c:idx val="3"/>
          <c:order val="3"/>
          <c:tx>
            <c:strRef>
              <c:f>'Estadísticas Específicas'!$A$6</c:f>
              <c:strCache>
                <c:ptCount val="1"/>
                <c:pt idx="0">
                  <c:v>Sala piel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Específicas'!$B$6:$M$6</c:f>
              <c:numCache>
                <c:formatCode>0%</c:formatCode>
                <c:ptCount val="12"/>
                <c:pt idx="0">
                  <c:v>1.3698630136986301E-2</c:v>
                </c:pt>
                <c:pt idx="1">
                  <c:v>0</c:v>
                </c:pt>
                <c:pt idx="2">
                  <c:v>0</c:v>
                </c:pt>
                <c:pt idx="3">
                  <c:v>9.3457943925233638E-3</c:v>
                </c:pt>
                <c:pt idx="4">
                  <c:v>0</c:v>
                </c:pt>
                <c:pt idx="5">
                  <c:v>1.098901098901099E-2</c:v>
                </c:pt>
                <c:pt idx="6">
                  <c:v>0</c:v>
                </c:pt>
                <c:pt idx="7">
                  <c:v>0</c:v>
                </c:pt>
                <c:pt idx="8">
                  <c:v>1.7094017094017096E-2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2E4-4F8A-A47D-02B6DC746E44}"/>
            </c:ext>
          </c:extLst>
        </c:ser>
        <c:ser>
          <c:idx val="4"/>
          <c:order val="4"/>
          <c:tx>
            <c:strRef>
              <c:f>'Estadísticas Específicas'!$A$7</c:f>
              <c:strCache>
                <c:ptCount val="1"/>
                <c:pt idx="0">
                  <c:v>Sillas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Específicas'!$B$7:$M$7</c:f>
              <c:numCache>
                <c:formatCode>0%</c:formatCode>
                <c:ptCount val="12"/>
                <c:pt idx="0">
                  <c:v>9.5890410958904104E-2</c:v>
                </c:pt>
                <c:pt idx="1">
                  <c:v>9.375E-2</c:v>
                </c:pt>
                <c:pt idx="2">
                  <c:v>0.13513513513513514</c:v>
                </c:pt>
                <c:pt idx="3">
                  <c:v>0.19626168224299065</c:v>
                </c:pt>
                <c:pt idx="4">
                  <c:v>0.1111111111111111</c:v>
                </c:pt>
                <c:pt idx="5">
                  <c:v>9.8901098901098897E-2</c:v>
                </c:pt>
                <c:pt idx="6">
                  <c:v>0.1134020618556701</c:v>
                </c:pt>
                <c:pt idx="7">
                  <c:v>0.11842105263157894</c:v>
                </c:pt>
                <c:pt idx="8">
                  <c:v>8.5470085470085472E-2</c:v>
                </c:pt>
                <c:pt idx="9">
                  <c:v>0.12631578947368421</c:v>
                </c:pt>
                <c:pt idx="10">
                  <c:v>0.23684210526315788</c:v>
                </c:pt>
                <c:pt idx="11">
                  <c:v>0.11320754716981132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2E4-4F8A-A47D-02B6DC746E44}"/>
            </c:ext>
          </c:extLst>
        </c:ser>
        <c:ser>
          <c:idx val="5"/>
          <c:order val="5"/>
          <c:tx>
            <c:strRef>
              <c:f>'Estadísticas Específicas'!$A$8</c:f>
              <c:strCache>
                <c:ptCount val="1"/>
                <c:pt idx="0">
                  <c:v>Autos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Específicas'!$B$8:$M$8</c:f>
              <c:numCache>
                <c:formatCode>0%</c:formatCode>
                <c:ptCount val="12"/>
                <c:pt idx="0">
                  <c:v>4.1095890410958902E-2</c:v>
                </c:pt>
                <c:pt idx="1">
                  <c:v>3.125E-2</c:v>
                </c:pt>
                <c:pt idx="2">
                  <c:v>0</c:v>
                </c:pt>
                <c:pt idx="3">
                  <c:v>0</c:v>
                </c:pt>
                <c:pt idx="4">
                  <c:v>1.1111111111111112E-2</c:v>
                </c:pt>
                <c:pt idx="5">
                  <c:v>1.098901098901099E-2</c:v>
                </c:pt>
                <c:pt idx="6">
                  <c:v>3.0927835051546393E-2</c:v>
                </c:pt>
                <c:pt idx="7">
                  <c:v>1.3157894736842105E-2</c:v>
                </c:pt>
                <c:pt idx="8">
                  <c:v>8.5470085470085479E-3</c:v>
                </c:pt>
                <c:pt idx="9">
                  <c:v>1.0526315789473684E-2</c:v>
                </c:pt>
                <c:pt idx="10">
                  <c:v>2.6315789473684209E-2</c:v>
                </c:pt>
                <c:pt idx="11">
                  <c:v>9.433962264150943E-3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2E4-4F8A-A47D-02B6DC746E44}"/>
            </c:ext>
          </c:extLst>
        </c:ser>
        <c:ser>
          <c:idx val="6"/>
          <c:order val="6"/>
          <c:tx>
            <c:strRef>
              <c:f>'Estadísticas Específicas'!$A$9</c:f>
              <c:strCache>
                <c:ptCount val="1"/>
                <c:pt idx="0">
                  <c:v>Colchones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Específicas'!$B$9:$M$9</c:f>
              <c:numCache>
                <c:formatCode>0%</c:formatCode>
                <c:ptCount val="12"/>
                <c:pt idx="0">
                  <c:v>0.15068493150684931</c:v>
                </c:pt>
                <c:pt idx="1">
                  <c:v>0.15625</c:v>
                </c:pt>
                <c:pt idx="2">
                  <c:v>0.1891891891891892</c:v>
                </c:pt>
                <c:pt idx="3">
                  <c:v>8.4112149532710276E-2</c:v>
                </c:pt>
                <c:pt idx="4">
                  <c:v>0.1111111111111111</c:v>
                </c:pt>
                <c:pt idx="5">
                  <c:v>0.14285714285714285</c:v>
                </c:pt>
                <c:pt idx="6">
                  <c:v>0.13402061855670103</c:v>
                </c:pt>
                <c:pt idx="7">
                  <c:v>7.8947368421052627E-2</c:v>
                </c:pt>
                <c:pt idx="8">
                  <c:v>0.1111111111111111</c:v>
                </c:pt>
                <c:pt idx="9">
                  <c:v>7.3684210526315783E-2</c:v>
                </c:pt>
                <c:pt idx="10">
                  <c:v>0.15789473684210525</c:v>
                </c:pt>
                <c:pt idx="11">
                  <c:v>0.13207547169811321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2E4-4F8A-A47D-02B6DC746E44}"/>
            </c:ext>
          </c:extLst>
        </c:ser>
        <c:ser>
          <c:idx val="7"/>
          <c:order val="7"/>
          <c:tx>
            <c:strRef>
              <c:f>'Estadísticas Específicas'!$A$10</c:f>
              <c:strCache>
                <c:ptCount val="1"/>
                <c:pt idx="0">
                  <c:v>Futón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Específicas'!$B$10:$M$10</c:f>
              <c:numCache>
                <c:formatCode>0%</c:formatCode>
                <c:ptCount val="12"/>
                <c:pt idx="0">
                  <c:v>0</c:v>
                </c:pt>
                <c:pt idx="1">
                  <c:v>3.125E-2</c:v>
                </c:pt>
                <c:pt idx="2">
                  <c:v>0</c:v>
                </c:pt>
                <c:pt idx="3">
                  <c:v>0</c:v>
                </c:pt>
                <c:pt idx="4">
                  <c:v>1.1111111111111112E-2</c:v>
                </c:pt>
                <c:pt idx="5">
                  <c:v>2.197802197802198E-2</c:v>
                </c:pt>
                <c:pt idx="6">
                  <c:v>2.0618556701030927E-2</c:v>
                </c:pt>
                <c:pt idx="7">
                  <c:v>0</c:v>
                </c:pt>
                <c:pt idx="8">
                  <c:v>0</c:v>
                </c:pt>
                <c:pt idx="9">
                  <c:v>2.1052631578947368E-2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2E4-4F8A-A47D-02B6DC746E44}"/>
            </c:ext>
          </c:extLst>
        </c:ser>
        <c:ser>
          <c:idx val="8"/>
          <c:order val="8"/>
          <c:tx>
            <c:strRef>
              <c:f>'Estadísticas Específicas'!$A$11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Específicas'!$B$11:$M$11</c:f>
              <c:numCache>
                <c:formatCode>0%</c:formatCode>
                <c:ptCount val="12"/>
                <c:pt idx="0">
                  <c:v>5.4794520547945202E-2</c:v>
                </c:pt>
                <c:pt idx="1">
                  <c:v>0.1875</c:v>
                </c:pt>
                <c:pt idx="2">
                  <c:v>8.1081081081081086E-2</c:v>
                </c:pt>
                <c:pt idx="3">
                  <c:v>0.19626168224299065</c:v>
                </c:pt>
                <c:pt idx="4">
                  <c:v>0.21111111111111111</c:v>
                </c:pt>
                <c:pt idx="5">
                  <c:v>0.26373626373626374</c:v>
                </c:pt>
                <c:pt idx="6">
                  <c:v>0.17525773195876287</c:v>
                </c:pt>
                <c:pt idx="7">
                  <c:v>0.17105263157894737</c:v>
                </c:pt>
                <c:pt idx="8">
                  <c:v>0.3247863247863248</c:v>
                </c:pt>
                <c:pt idx="9">
                  <c:v>0.23157894736842105</c:v>
                </c:pt>
                <c:pt idx="10">
                  <c:v>0.34210526315789475</c:v>
                </c:pt>
                <c:pt idx="11">
                  <c:v>0.21698113207547171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E4-4F8A-A47D-02B6DC746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484672"/>
        <c:axId val="235486208"/>
      </c:barChart>
      <c:catAx>
        <c:axId val="23548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486208"/>
        <c:crosses val="autoZero"/>
        <c:auto val="1"/>
        <c:lblAlgn val="ctr"/>
        <c:lblOffset val="100"/>
        <c:noMultiLvlLbl val="0"/>
      </c:catAx>
      <c:valAx>
        <c:axId val="2354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4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Servicio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Específicas'!$A$15</c:f>
              <c:strCache>
                <c:ptCount val="1"/>
                <c:pt idx="0">
                  <c:v>Senc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Específicas'!$B$15:$M$15</c:f>
              <c:numCache>
                <c:formatCode>0%</c:formatCode>
                <c:ptCount val="12"/>
                <c:pt idx="0">
                  <c:v>0.16867469879518071</c:v>
                </c:pt>
                <c:pt idx="1">
                  <c:v>0.29411764705882354</c:v>
                </c:pt>
                <c:pt idx="2">
                  <c:v>0.5</c:v>
                </c:pt>
                <c:pt idx="3">
                  <c:v>0.30357142857142855</c:v>
                </c:pt>
                <c:pt idx="4">
                  <c:v>0.51546391752577314</c:v>
                </c:pt>
                <c:pt idx="5">
                  <c:v>0.375</c:v>
                </c:pt>
                <c:pt idx="6">
                  <c:v>0.37614678899082571</c:v>
                </c:pt>
                <c:pt idx="7">
                  <c:v>0.32558139534883723</c:v>
                </c:pt>
                <c:pt idx="8">
                  <c:v>0.37398373983739835</c:v>
                </c:pt>
                <c:pt idx="9">
                  <c:v>0.49504950495049505</c:v>
                </c:pt>
                <c:pt idx="10">
                  <c:v>0.33064516129032256</c:v>
                </c:pt>
                <c:pt idx="11">
                  <c:v>0.50476190476190474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9-4463-9525-F6A04446DF8E}"/>
            </c:ext>
          </c:extLst>
        </c:ser>
        <c:ser>
          <c:idx val="1"/>
          <c:order val="1"/>
          <c:tx>
            <c:strRef>
              <c:f>'Estadísticas Específicas'!$A$16</c:f>
              <c:strCache>
                <c:ptCount val="1"/>
                <c:pt idx="0">
                  <c:v>Eco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Específicas'!$B$16:$M$16</c:f>
              <c:numCache>
                <c:formatCode>0%</c:formatCode>
                <c:ptCount val="12"/>
                <c:pt idx="0">
                  <c:v>0.2289156626506024</c:v>
                </c:pt>
                <c:pt idx="1">
                  <c:v>0.17647058823529413</c:v>
                </c:pt>
                <c:pt idx="2">
                  <c:v>0.125</c:v>
                </c:pt>
                <c:pt idx="3">
                  <c:v>0.20535714285714285</c:v>
                </c:pt>
                <c:pt idx="4">
                  <c:v>0.21649484536082475</c:v>
                </c:pt>
                <c:pt idx="5">
                  <c:v>0.23958333333333334</c:v>
                </c:pt>
                <c:pt idx="6">
                  <c:v>0.24770642201834864</c:v>
                </c:pt>
                <c:pt idx="7">
                  <c:v>0.30232558139534882</c:v>
                </c:pt>
                <c:pt idx="8">
                  <c:v>0.17886178861788618</c:v>
                </c:pt>
                <c:pt idx="9">
                  <c:v>0.25742574257425743</c:v>
                </c:pt>
                <c:pt idx="10">
                  <c:v>0.29838709677419356</c:v>
                </c:pt>
                <c:pt idx="11">
                  <c:v>0.19047619047619047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39-4463-9525-F6A04446DF8E}"/>
            </c:ext>
          </c:extLst>
        </c:ser>
        <c:ser>
          <c:idx val="2"/>
          <c:order val="2"/>
          <c:tx>
            <c:strRef>
              <c:f>'Estadísticas Específicas'!$A$17</c:f>
              <c:strCache>
                <c:ptCount val="1"/>
                <c:pt idx="0">
                  <c:v>Prot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Específicas'!$B$17:$M$17</c:f>
              <c:numCache>
                <c:formatCode>0%</c:formatCode>
                <c:ptCount val="12"/>
                <c:pt idx="0">
                  <c:v>0.20481927710843373</c:v>
                </c:pt>
                <c:pt idx="1">
                  <c:v>5.8823529411764705E-2</c:v>
                </c:pt>
                <c:pt idx="2">
                  <c:v>0</c:v>
                </c:pt>
                <c:pt idx="3">
                  <c:v>0.21428571428571427</c:v>
                </c:pt>
                <c:pt idx="4">
                  <c:v>5.1546391752577317E-2</c:v>
                </c:pt>
                <c:pt idx="5">
                  <c:v>0.10416666666666667</c:v>
                </c:pt>
                <c:pt idx="6">
                  <c:v>2.7522935779816515E-2</c:v>
                </c:pt>
                <c:pt idx="7">
                  <c:v>0.19767441860465115</c:v>
                </c:pt>
                <c:pt idx="8">
                  <c:v>0.12195121951219512</c:v>
                </c:pt>
                <c:pt idx="9">
                  <c:v>5.9405940594059403E-2</c:v>
                </c:pt>
                <c:pt idx="10">
                  <c:v>0.23387096774193547</c:v>
                </c:pt>
                <c:pt idx="11">
                  <c:v>0.15238095238095239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D39-4463-9525-F6A04446DF8E}"/>
            </c:ext>
          </c:extLst>
        </c:ser>
        <c:ser>
          <c:idx val="3"/>
          <c:order val="3"/>
          <c:tx>
            <c:strRef>
              <c:f>'Estadísticas Específicas'!$A$18</c:f>
              <c:strCache>
                <c:ptCount val="1"/>
                <c:pt idx="0">
                  <c:v>Prem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Específicas'!$B$18:$M$18</c:f>
              <c:numCache>
                <c:formatCode>0%</c:formatCode>
                <c:ptCount val="12"/>
                <c:pt idx="0">
                  <c:v>0.16867469879518071</c:v>
                </c:pt>
                <c:pt idx="1">
                  <c:v>0.14705882352941177</c:v>
                </c:pt>
                <c:pt idx="2">
                  <c:v>0.15</c:v>
                </c:pt>
                <c:pt idx="3">
                  <c:v>8.0357142857142863E-2</c:v>
                </c:pt>
                <c:pt idx="4">
                  <c:v>0.14432989690721648</c:v>
                </c:pt>
                <c:pt idx="5">
                  <c:v>8.3333333333333329E-2</c:v>
                </c:pt>
                <c:pt idx="6">
                  <c:v>0.10091743119266056</c:v>
                </c:pt>
                <c:pt idx="7">
                  <c:v>5.8139534883720929E-2</c:v>
                </c:pt>
                <c:pt idx="8">
                  <c:v>0.23577235772357724</c:v>
                </c:pt>
                <c:pt idx="9">
                  <c:v>3.9603960396039604E-2</c:v>
                </c:pt>
                <c:pt idx="10">
                  <c:v>5.6451612903225805E-2</c:v>
                </c:pt>
                <c:pt idx="11">
                  <c:v>4.7619047619047616E-2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D39-4463-9525-F6A04446DF8E}"/>
            </c:ext>
          </c:extLst>
        </c:ser>
        <c:ser>
          <c:idx val="4"/>
          <c:order val="4"/>
          <c:tx>
            <c:strRef>
              <c:f>'Estadísticas Específicas'!$A$19</c:f>
              <c:strCache>
                <c:ptCount val="1"/>
                <c:pt idx="0">
                  <c:v>Healty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Específicas'!$B$19:$M$19</c:f>
              <c:numCache>
                <c:formatCode>0%</c:formatCode>
                <c:ptCount val="12"/>
                <c:pt idx="0">
                  <c:v>8.4337349397590355E-2</c:v>
                </c:pt>
                <c:pt idx="1">
                  <c:v>0.26470588235294118</c:v>
                </c:pt>
                <c:pt idx="2">
                  <c:v>0.15</c:v>
                </c:pt>
                <c:pt idx="3">
                  <c:v>8.9285714285714288E-2</c:v>
                </c:pt>
                <c:pt idx="4">
                  <c:v>0</c:v>
                </c:pt>
                <c:pt idx="5">
                  <c:v>9.375E-2</c:v>
                </c:pt>
                <c:pt idx="6">
                  <c:v>0.11926605504587157</c:v>
                </c:pt>
                <c:pt idx="7">
                  <c:v>1.1627906976744186E-2</c:v>
                </c:pt>
                <c:pt idx="8">
                  <c:v>1.6260162601626018E-2</c:v>
                </c:pt>
                <c:pt idx="9">
                  <c:v>6.9306930693069313E-2</c:v>
                </c:pt>
                <c:pt idx="10">
                  <c:v>5.6451612903225805E-2</c:v>
                </c:pt>
                <c:pt idx="11">
                  <c:v>6.6666666666666666E-2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D39-4463-9525-F6A04446DF8E}"/>
            </c:ext>
          </c:extLst>
        </c:ser>
        <c:ser>
          <c:idx val="5"/>
          <c:order val="5"/>
          <c:tx>
            <c:strRef>
              <c:f>'Estadísticas Específicas'!$A$20</c:f>
              <c:strCache>
                <c:ptCount val="1"/>
                <c:pt idx="0">
                  <c:v>Protex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Específicas'!$B$20:$M$20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8.9285714285714281E-3</c:v>
                </c:pt>
                <c:pt idx="4">
                  <c:v>0</c:v>
                </c:pt>
                <c:pt idx="5">
                  <c:v>5.2083333333333336E-2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1.6129032258064516E-2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D39-4463-9525-F6A04446DF8E}"/>
            </c:ext>
          </c:extLst>
        </c:ser>
        <c:ser>
          <c:idx val="6"/>
          <c:order val="6"/>
          <c:tx>
            <c:strRef>
              <c:f>'Estadísticas Específicas'!$A$21</c:f>
              <c:strCache>
                <c:ptCount val="1"/>
                <c:pt idx="0">
                  <c:v>Aspirado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Específicas'!$B$21:$M$21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4.4642857142857144E-2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D39-4463-9525-F6A04446DF8E}"/>
            </c:ext>
          </c:extLst>
        </c:ser>
        <c:ser>
          <c:idx val="7"/>
          <c:order val="7"/>
          <c:tx>
            <c:strRef>
              <c:f>'Estadísticas Específicas'!$A$22</c:f>
              <c:strCache>
                <c:ptCount val="1"/>
                <c:pt idx="0">
                  <c:v>Extracción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Específicas'!$B$22:$M$22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9.1743119266055051E-3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D39-4463-9525-F6A04446DF8E}"/>
            </c:ext>
          </c:extLst>
        </c:ser>
        <c:ser>
          <c:idx val="8"/>
          <c:order val="8"/>
          <c:tx>
            <c:strRef>
              <c:f>'Estadísticas Específicas'!$A$23</c:f>
              <c:strCache>
                <c:ptCount val="1"/>
                <c:pt idx="0">
                  <c:v>Piel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Específicas'!$B$23:$M$23</c:f>
              <c:numCache>
                <c:formatCode>0%</c:formatCode>
                <c:ptCount val="12"/>
                <c:pt idx="0">
                  <c:v>2.4096385542168676E-2</c:v>
                </c:pt>
                <c:pt idx="1">
                  <c:v>0</c:v>
                </c:pt>
                <c:pt idx="2">
                  <c:v>0</c:v>
                </c:pt>
                <c:pt idx="3">
                  <c:v>8.9285714285714281E-3</c:v>
                </c:pt>
                <c:pt idx="4">
                  <c:v>0</c:v>
                </c:pt>
                <c:pt idx="5">
                  <c:v>0</c:v>
                </c:pt>
                <c:pt idx="6">
                  <c:v>9.1743119266055051E-3</c:v>
                </c:pt>
                <c:pt idx="7">
                  <c:v>0</c:v>
                </c:pt>
                <c:pt idx="8">
                  <c:v>1.6260162601626018E-2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D39-4463-9525-F6A04446DF8E}"/>
            </c:ext>
          </c:extLst>
        </c:ser>
        <c:ser>
          <c:idx val="9"/>
          <c:order val="9"/>
          <c:tx>
            <c:strRef>
              <c:f>'Estadísticas Específicas'!$A$24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Específicas'!$B$24:$M$24</c:f>
              <c:numCache>
                <c:formatCode>0%</c:formatCode>
                <c:ptCount val="12"/>
                <c:pt idx="0">
                  <c:v>0.12048192771084337</c:v>
                </c:pt>
                <c:pt idx="1">
                  <c:v>5.8823529411764705E-2</c:v>
                </c:pt>
                <c:pt idx="2">
                  <c:v>7.4999999999999997E-2</c:v>
                </c:pt>
                <c:pt idx="3">
                  <c:v>4.4642857142857144E-2</c:v>
                </c:pt>
                <c:pt idx="4">
                  <c:v>7.2164948453608241E-2</c:v>
                </c:pt>
                <c:pt idx="5">
                  <c:v>5.2083333333333336E-2</c:v>
                </c:pt>
                <c:pt idx="6">
                  <c:v>0.11009174311926606</c:v>
                </c:pt>
                <c:pt idx="7">
                  <c:v>0.10465116279069768</c:v>
                </c:pt>
                <c:pt idx="8">
                  <c:v>5.6910569105691054E-2</c:v>
                </c:pt>
                <c:pt idx="9">
                  <c:v>7.9207920792079209E-2</c:v>
                </c:pt>
                <c:pt idx="10">
                  <c:v>8.0645161290322578E-3</c:v>
                </c:pt>
                <c:pt idx="11">
                  <c:v>3.8095238095238099E-2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D39-4463-9525-F6A04446D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579648"/>
        <c:axId val="235597824"/>
      </c:barChart>
      <c:catAx>
        <c:axId val="23557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597824"/>
        <c:crosses val="autoZero"/>
        <c:auto val="1"/>
        <c:lblAlgn val="ctr"/>
        <c:lblOffset val="100"/>
        <c:noMultiLvlLbl val="0"/>
      </c:catAx>
      <c:valAx>
        <c:axId val="2355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5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Específicas'!$A$28</c:f>
              <c:strCache>
                <c:ptCount val="1"/>
                <c:pt idx="0">
                  <c:v>Todo fijo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Específicas'!$B$28:$M$28</c:f>
              <c:numCache>
                <c:formatCode>0%</c:formatCode>
                <c:ptCount val="12"/>
                <c:pt idx="0">
                  <c:v>0.5</c:v>
                </c:pt>
                <c:pt idx="1">
                  <c:v>0.14285714285714285</c:v>
                </c:pt>
                <c:pt idx="2">
                  <c:v>0.375</c:v>
                </c:pt>
                <c:pt idx="3">
                  <c:v>0.8</c:v>
                </c:pt>
                <c:pt idx="4">
                  <c:v>0.48</c:v>
                </c:pt>
                <c:pt idx="5">
                  <c:v>0.375</c:v>
                </c:pt>
                <c:pt idx="6">
                  <c:v>0.53333333333333333</c:v>
                </c:pt>
                <c:pt idx="7">
                  <c:v>0.4642857142857143</c:v>
                </c:pt>
                <c:pt idx="8">
                  <c:v>0.40740740740740738</c:v>
                </c:pt>
                <c:pt idx="9">
                  <c:v>0.51428571428571423</c:v>
                </c:pt>
                <c:pt idx="10">
                  <c:v>0.8571428571428571</c:v>
                </c:pt>
                <c:pt idx="11">
                  <c:v>0.65517241379310343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08-4100-B263-3A3528693150}"/>
            </c:ext>
          </c:extLst>
        </c:ser>
        <c:ser>
          <c:idx val="1"/>
          <c:order val="1"/>
          <c:tx>
            <c:strRef>
              <c:f>'Estadísticas Específicas'!$A$29</c:f>
              <c:strCache>
                <c:ptCount val="1"/>
                <c:pt idx="0">
                  <c:v>A o R removible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Específicas'!$B$29:$M$29</c:f>
              <c:numCache>
                <c:formatCode>0%</c:formatCode>
                <c:ptCount val="12"/>
                <c:pt idx="0">
                  <c:v>0.22727272727272727</c:v>
                </c:pt>
                <c:pt idx="1">
                  <c:v>0.2857142857142857</c:v>
                </c:pt>
                <c:pt idx="2">
                  <c:v>0.375</c:v>
                </c:pt>
                <c:pt idx="3">
                  <c:v>0.14285714285714285</c:v>
                </c:pt>
                <c:pt idx="4">
                  <c:v>0.28000000000000003</c:v>
                </c:pt>
                <c:pt idx="5">
                  <c:v>0.54166666666666663</c:v>
                </c:pt>
                <c:pt idx="6">
                  <c:v>0.3</c:v>
                </c:pt>
                <c:pt idx="7">
                  <c:v>0.39285714285714285</c:v>
                </c:pt>
                <c:pt idx="8">
                  <c:v>0.40740740740740738</c:v>
                </c:pt>
                <c:pt idx="9">
                  <c:v>0.31428571428571428</c:v>
                </c:pt>
                <c:pt idx="10">
                  <c:v>0.52380952380952384</c:v>
                </c:pt>
                <c:pt idx="11">
                  <c:v>0.2413793103448276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08-4100-B263-3A3528693150}"/>
            </c:ext>
          </c:extLst>
        </c:ser>
        <c:ser>
          <c:idx val="2"/>
          <c:order val="2"/>
          <c:tx>
            <c:strRef>
              <c:f>'Estadísticas Específicas'!$A$30</c:f>
              <c:strCache>
                <c:ptCount val="1"/>
                <c:pt idx="0">
                  <c:v>Todo Removible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Específicas'!$B$30:$M$30</c:f>
              <c:numCache>
                <c:formatCode>0%</c:formatCode>
                <c:ptCount val="12"/>
                <c:pt idx="0">
                  <c:v>0.22727272727272727</c:v>
                </c:pt>
                <c:pt idx="1">
                  <c:v>0.5714285714285714</c:v>
                </c:pt>
                <c:pt idx="2">
                  <c:v>0.25</c:v>
                </c:pt>
                <c:pt idx="3">
                  <c:v>5.7142857142857141E-2</c:v>
                </c:pt>
                <c:pt idx="4">
                  <c:v>0.16</c:v>
                </c:pt>
                <c:pt idx="5">
                  <c:v>8.3333333333333329E-2</c:v>
                </c:pt>
                <c:pt idx="6">
                  <c:v>0.16666666666666666</c:v>
                </c:pt>
                <c:pt idx="7">
                  <c:v>0.14285714285714285</c:v>
                </c:pt>
                <c:pt idx="8">
                  <c:v>0.18518518518518517</c:v>
                </c:pt>
                <c:pt idx="9">
                  <c:v>0.17142857142857143</c:v>
                </c:pt>
                <c:pt idx="10">
                  <c:v>0.28571428571428575</c:v>
                </c:pt>
                <c:pt idx="11">
                  <c:v>0.10344827586206896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08-4100-B263-3A3528693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747968"/>
        <c:axId val="235762048"/>
      </c:barChart>
      <c:catAx>
        <c:axId val="2357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762048"/>
        <c:crosses val="autoZero"/>
        <c:auto val="1"/>
        <c:lblAlgn val="ctr"/>
        <c:lblOffset val="100"/>
        <c:noMultiLvlLbl val="0"/>
      </c:catAx>
      <c:valAx>
        <c:axId val="2357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7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Específicas'!$A$34</c:f>
              <c:strCache>
                <c:ptCount val="1"/>
                <c:pt idx="0">
                  <c:v>1 Plaza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Específicas'!$B$34:$M$34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0.125</c:v>
                </c:pt>
                <c:pt idx="3">
                  <c:v>8.5714285714285715E-2</c:v>
                </c:pt>
                <c:pt idx="4">
                  <c:v>0</c:v>
                </c:pt>
                <c:pt idx="5">
                  <c:v>4.1666666666666664E-2</c:v>
                </c:pt>
                <c:pt idx="6">
                  <c:v>0.16666666666666666</c:v>
                </c:pt>
                <c:pt idx="7">
                  <c:v>0.10714285714285714</c:v>
                </c:pt>
                <c:pt idx="8">
                  <c:v>7.407407407407407E-2</c:v>
                </c:pt>
                <c:pt idx="9">
                  <c:v>5.7142857142857141E-2</c:v>
                </c:pt>
                <c:pt idx="10">
                  <c:v>0.52</c:v>
                </c:pt>
                <c:pt idx="11">
                  <c:v>0.2413793103448276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9E-4358-AE07-F0750777055D}"/>
            </c:ext>
          </c:extLst>
        </c:ser>
        <c:ser>
          <c:idx val="1"/>
          <c:order val="1"/>
          <c:tx>
            <c:strRef>
              <c:f>'Estadísticas Específicas'!$A$35</c:f>
              <c:strCache>
                <c:ptCount val="1"/>
                <c:pt idx="0">
                  <c:v>2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Específicas'!$B$35:$M$35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0.2857142857142857</c:v>
                </c:pt>
                <c:pt idx="2">
                  <c:v>0.25</c:v>
                </c:pt>
                <c:pt idx="3">
                  <c:v>0.51428571428571423</c:v>
                </c:pt>
                <c:pt idx="4">
                  <c:v>0.12</c:v>
                </c:pt>
                <c:pt idx="5">
                  <c:v>4.1666666666666664E-2</c:v>
                </c:pt>
                <c:pt idx="6">
                  <c:v>0.16666666666666666</c:v>
                </c:pt>
                <c:pt idx="7">
                  <c:v>0.14285714285714285</c:v>
                </c:pt>
                <c:pt idx="8">
                  <c:v>0.18518518518518517</c:v>
                </c:pt>
                <c:pt idx="9">
                  <c:v>0.11428571428571428</c:v>
                </c:pt>
                <c:pt idx="10">
                  <c:v>0.04</c:v>
                </c:pt>
                <c:pt idx="11">
                  <c:v>0.17241379310344829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39E-4358-AE07-F0750777055D}"/>
            </c:ext>
          </c:extLst>
        </c:ser>
        <c:ser>
          <c:idx val="2"/>
          <c:order val="2"/>
          <c:tx>
            <c:strRef>
              <c:f>'Estadísticas Específicas'!$A$36</c:f>
              <c:strCache>
                <c:ptCount val="1"/>
                <c:pt idx="0">
                  <c:v>3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Específicas'!$B$36:$M$36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0.14285714285714285</c:v>
                </c:pt>
                <c:pt idx="2">
                  <c:v>0.125</c:v>
                </c:pt>
                <c:pt idx="3">
                  <c:v>5.7142857142857141E-2</c:v>
                </c:pt>
                <c:pt idx="4">
                  <c:v>0.08</c:v>
                </c:pt>
                <c:pt idx="5">
                  <c:v>0.16666666666666666</c:v>
                </c:pt>
                <c:pt idx="6">
                  <c:v>3.3333333333333333E-2</c:v>
                </c:pt>
                <c:pt idx="7">
                  <c:v>3.5714285714285712E-2</c:v>
                </c:pt>
                <c:pt idx="8">
                  <c:v>0.22222222222222221</c:v>
                </c:pt>
                <c:pt idx="9">
                  <c:v>5.7142857142857141E-2</c:v>
                </c:pt>
                <c:pt idx="10">
                  <c:v>0.08</c:v>
                </c:pt>
                <c:pt idx="11">
                  <c:v>3.4482758620689655E-2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39E-4358-AE07-F0750777055D}"/>
            </c:ext>
          </c:extLst>
        </c:ser>
        <c:ser>
          <c:idx val="3"/>
          <c:order val="3"/>
          <c:tx>
            <c:strRef>
              <c:f>'Estadísticas Específicas'!$A$37</c:f>
              <c:strCache>
                <c:ptCount val="1"/>
                <c:pt idx="0">
                  <c:v>4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Específicas'!$B$37:$M$37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0.14285714285714285</c:v>
                </c:pt>
                <c:pt idx="2">
                  <c:v>0.125</c:v>
                </c:pt>
                <c:pt idx="3">
                  <c:v>2.8571428571428571E-2</c:v>
                </c:pt>
                <c:pt idx="4">
                  <c:v>0.12</c:v>
                </c:pt>
                <c:pt idx="5">
                  <c:v>0</c:v>
                </c:pt>
                <c:pt idx="6">
                  <c:v>6.6666666666666666E-2</c:v>
                </c:pt>
                <c:pt idx="7">
                  <c:v>0.17857142857142858</c:v>
                </c:pt>
                <c:pt idx="8">
                  <c:v>3.7037037037037035E-2</c:v>
                </c:pt>
                <c:pt idx="9">
                  <c:v>8.5714285714285715E-2</c:v>
                </c:pt>
                <c:pt idx="10">
                  <c:v>0.04</c:v>
                </c:pt>
                <c:pt idx="11">
                  <c:v>0.10344827586206896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39E-4358-AE07-F0750777055D}"/>
            </c:ext>
          </c:extLst>
        </c:ser>
        <c:ser>
          <c:idx val="4"/>
          <c:order val="4"/>
          <c:tx>
            <c:strRef>
              <c:f>'Estadísticas Específicas'!$A$38</c:f>
              <c:strCache>
                <c:ptCount val="1"/>
                <c:pt idx="0">
                  <c:v>5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Específicas'!$B$38:$M$38</c:f>
              <c:numCache>
                <c:formatCode>0%</c:formatCode>
                <c:ptCount val="12"/>
                <c:pt idx="0">
                  <c:v>0.18181818181818182</c:v>
                </c:pt>
                <c:pt idx="1">
                  <c:v>0.2857142857142857</c:v>
                </c:pt>
                <c:pt idx="2">
                  <c:v>0</c:v>
                </c:pt>
                <c:pt idx="3">
                  <c:v>0.11428571428571428</c:v>
                </c:pt>
                <c:pt idx="4">
                  <c:v>0.2</c:v>
                </c:pt>
                <c:pt idx="5">
                  <c:v>0.125</c:v>
                </c:pt>
                <c:pt idx="6">
                  <c:v>0.13333333333333333</c:v>
                </c:pt>
                <c:pt idx="7">
                  <c:v>0.21428571428571427</c:v>
                </c:pt>
                <c:pt idx="8">
                  <c:v>0.18518518518518517</c:v>
                </c:pt>
                <c:pt idx="9">
                  <c:v>0.22857142857142856</c:v>
                </c:pt>
                <c:pt idx="10">
                  <c:v>0.08</c:v>
                </c:pt>
                <c:pt idx="11">
                  <c:v>6.8965517241379309E-2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39E-4358-AE07-F0750777055D}"/>
            </c:ext>
          </c:extLst>
        </c:ser>
        <c:ser>
          <c:idx val="5"/>
          <c:order val="5"/>
          <c:tx>
            <c:strRef>
              <c:f>'Estadísticas Específicas'!$A$39</c:f>
              <c:strCache>
                <c:ptCount val="1"/>
                <c:pt idx="0">
                  <c:v>6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Específicas'!$B$39:$M$39</c:f>
              <c:numCache>
                <c:formatCode>0%</c:formatCode>
                <c:ptCount val="12"/>
                <c:pt idx="0">
                  <c:v>0.40909090909090912</c:v>
                </c:pt>
                <c:pt idx="1">
                  <c:v>0.14285714285714285</c:v>
                </c:pt>
                <c:pt idx="2">
                  <c:v>0.375</c:v>
                </c:pt>
                <c:pt idx="3">
                  <c:v>0.14285714285714285</c:v>
                </c:pt>
                <c:pt idx="4">
                  <c:v>0.28000000000000003</c:v>
                </c:pt>
                <c:pt idx="5">
                  <c:v>0.375</c:v>
                </c:pt>
                <c:pt idx="6">
                  <c:v>0.36666666666666664</c:v>
                </c:pt>
                <c:pt idx="7">
                  <c:v>0.25</c:v>
                </c:pt>
                <c:pt idx="8">
                  <c:v>0.14814814814814814</c:v>
                </c:pt>
                <c:pt idx="9">
                  <c:v>0.34285714285714286</c:v>
                </c:pt>
                <c:pt idx="10">
                  <c:v>0.16</c:v>
                </c:pt>
                <c:pt idx="11">
                  <c:v>0.2413793103448276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39E-4358-AE07-F0750777055D}"/>
            </c:ext>
          </c:extLst>
        </c:ser>
        <c:ser>
          <c:idx val="6"/>
          <c:order val="6"/>
          <c:tx>
            <c:strRef>
              <c:f>'Estadísticas Específicas'!$A$40</c:f>
              <c:strCache>
                <c:ptCount val="1"/>
                <c:pt idx="0">
                  <c:v>7 Plazas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Específicas'!$B$40:$M$40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4.1666666666666664E-2</c:v>
                </c:pt>
                <c:pt idx="6">
                  <c:v>3.3333333333333333E-2</c:v>
                </c:pt>
                <c:pt idx="7">
                  <c:v>3.5714285714285712E-2</c:v>
                </c:pt>
                <c:pt idx="8">
                  <c:v>7.407407407407407E-2</c:v>
                </c:pt>
                <c:pt idx="9">
                  <c:v>0</c:v>
                </c:pt>
                <c:pt idx="10">
                  <c:v>0.06</c:v>
                </c:pt>
                <c:pt idx="11">
                  <c:v>3.4482758620689655E-2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39E-4358-AE07-F0750777055D}"/>
            </c:ext>
          </c:extLst>
        </c:ser>
        <c:ser>
          <c:idx val="7"/>
          <c:order val="7"/>
          <c:tx>
            <c:strRef>
              <c:f>'Estadísticas Específicas'!$A$41</c:f>
              <c:strCache>
                <c:ptCount val="1"/>
                <c:pt idx="0">
                  <c:v>8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Específicas'!$B$41:$M$41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0</c:v>
                </c:pt>
                <c:pt idx="2">
                  <c:v>0</c:v>
                </c:pt>
                <c:pt idx="3">
                  <c:v>2.8571428571428571E-2</c:v>
                </c:pt>
                <c:pt idx="4">
                  <c:v>0.08</c:v>
                </c:pt>
                <c:pt idx="5">
                  <c:v>8.3333333333333329E-2</c:v>
                </c:pt>
                <c:pt idx="6">
                  <c:v>0</c:v>
                </c:pt>
                <c:pt idx="7">
                  <c:v>3.5714285714285712E-2</c:v>
                </c:pt>
                <c:pt idx="8">
                  <c:v>3.7037037037037035E-2</c:v>
                </c:pt>
                <c:pt idx="9">
                  <c:v>5.7142857142857141E-2</c:v>
                </c:pt>
                <c:pt idx="10">
                  <c:v>0.02</c:v>
                </c:pt>
                <c:pt idx="11">
                  <c:v>3.4482758620689655E-2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39E-4358-AE07-F0750777055D}"/>
            </c:ext>
          </c:extLst>
        </c:ser>
        <c:ser>
          <c:idx val="8"/>
          <c:order val="8"/>
          <c:tx>
            <c:strRef>
              <c:f>'Estadísticas Específicas'!$A$42</c:f>
              <c:strCache>
                <c:ptCount val="1"/>
                <c:pt idx="0">
                  <c:v>9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Específicas'!$B$42:$M$42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4.1666666666666664E-2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2.8571428571428571E-2</c:v>
                </c:pt>
                <c:pt idx="10">
                  <c:v>0</c:v>
                </c:pt>
                <c:pt idx="11">
                  <c:v>3.4482758620689655E-2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39E-4358-AE07-F0750777055D}"/>
            </c:ext>
          </c:extLst>
        </c:ser>
        <c:ser>
          <c:idx val="9"/>
          <c:order val="9"/>
          <c:tx>
            <c:strRef>
              <c:f>'Estadísticas Específicas'!$A$43</c:f>
              <c:strCache>
                <c:ptCount val="1"/>
                <c:pt idx="0">
                  <c:v>10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2.8571428571428571E-2</c:v>
                </c:pt>
                <c:pt idx="4">
                  <c:v>0.04</c:v>
                </c:pt>
                <c:pt idx="5">
                  <c:v>8.3333333333333329E-2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3.4482758620689655E-2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39E-4358-AE07-F0750777055D}"/>
            </c:ext>
          </c:extLst>
        </c:ser>
        <c:ser>
          <c:idx val="10"/>
          <c:order val="10"/>
          <c:tx>
            <c:strRef>
              <c:f>'Estadísticas Específicas'!$A$44</c:f>
              <c:strCache>
                <c:ptCount val="1"/>
                <c:pt idx="0">
                  <c:v>11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2.8571428571428571E-2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39E-4358-AE07-F0750777055D}"/>
            </c:ext>
          </c:extLst>
        </c:ser>
        <c:ser>
          <c:idx val="11"/>
          <c:order val="11"/>
          <c:tx>
            <c:strRef>
              <c:f>'Estadísticas Específicas'!$A$45</c:f>
              <c:strCache>
                <c:ptCount val="1"/>
                <c:pt idx="0">
                  <c:v>12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Específicas'!$B$45:$M$45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139E-4358-AE07-F0750777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6111744"/>
        <c:axId val="236113280"/>
      </c:barChart>
      <c:catAx>
        <c:axId val="2361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113280"/>
        <c:crosses val="autoZero"/>
        <c:auto val="1"/>
        <c:lblAlgn val="ctr"/>
        <c:lblOffset val="100"/>
        <c:noMultiLvlLbl val="0"/>
      </c:catAx>
      <c:valAx>
        <c:axId val="2361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11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tapete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Específicas'!$A$49</c:f>
              <c:strCache>
                <c:ptCount val="1"/>
                <c:pt idx="0">
                  <c:v>Lana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Específicas'!$B$49:$M$49</c:f>
              <c:numCache>
                <c:formatCode>0%</c:formatCode>
                <c:ptCount val="12"/>
                <c:pt idx="0">
                  <c:v>0.23809523809523808</c:v>
                </c:pt>
                <c:pt idx="1">
                  <c:v>0.2857142857142857</c:v>
                </c:pt>
                <c:pt idx="2">
                  <c:v>0.21428571428571427</c:v>
                </c:pt>
                <c:pt idx="3">
                  <c:v>0.125</c:v>
                </c:pt>
                <c:pt idx="4">
                  <c:v>4.7619047619047616E-2</c:v>
                </c:pt>
                <c:pt idx="5">
                  <c:v>0.46153846153846156</c:v>
                </c:pt>
                <c:pt idx="6">
                  <c:v>0.3</c:v>
                </c:pt>
                <c:pt idx="7">
                  <c:v>0.35294117647058826</c:v>
                </c:pt>
                <c:pt idx="8">
                  <c:v>0.125</c:v>
                </c:pt>
                <c:pt idx="9">
                  <c:v>0.2</c:v>
                </c:pt>
                <c:pt idx="10">
                  <c:v>0.42857142857142855</c:v>
                </c:pt>
                <c:pt idx="11">
                  <c:v>0.20833333333333334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28-49D7-B4AC-C5D867524596}"/>
            </c:ext>
          </c:extLst>
        </c:ser>
        <c:ser>
          <c:idx val="1"/>
          <c:order val="1"/>
          <c:tx>
            <c:strRef>
              <c:f>'Estadísticas Específicas'!$A$50</c:f>
              <c:strCache>
                <c:ptCount val="1"/>
                <c:pt idx="0">
                  <c:v>Sintético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Específicas'!$B$50:$M$50</c:f>
              <c:numCache>
                <c:formatCode>0%</c:formatCode>
                <c:ptCount val="12"/>
                <c:pt idx="0">
                  <c:v>0.76190476190476186</c:v>
                </c:pt>
                <c:pt idx="1">
                  <c:v>0.5714285714285714</c:v>
                </c:pt>
                <c:pt idx="2">
                  <c:v>0.7857142857142857</c:v>
                </c:pt>
                <c:pt idx="3">
                  <c:v>0.875</c:v>
                </c:pt>
                <c:pt idx="4">
                  <c:v>0.90476190476190477</c:v>
                </c:pt>
                <c:pt idx="5">
                  <c:v>0.53846153846153844</c:v>
                </c:pt>
                <c:pt idx="6">
                  <c:v>0.7</c:v>
                </c:pt>
                <c:pt idx="7">
                  <c:v>0.6470588235294118</c:v>
                </c:pt>
                <c:pt idx="8">
                  <c:v>0.875</c:v>
                </c:pt>
                <c:pt idx="9">
                  <c:v>0.6</c:v>
                </c:pt>
                <c:pt idx="10">
                  <c:v>0.5714285714285714</c:v>
                </c:pt>
                <c:pt idx="11">
                  <c:v>0.79166666666666663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B28-49D7-B4AC-C5D867524596}"/>
            </c:ext>
          </c:extLst>
        </c:ser>
        <c:ser>
          <c:idx val="2"/>
          <c:order val="2"/>
          <c:tx>
            <c:strRef>
              <c:f>'Estadísticas Específicas'!$A$51</c:f>
              <c:strCache>
                <c:ptCount val="1"/>
                <c:pt idx="0">
                  <c:v>Seda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Específicas'!$B$51:$M$51</c:f>
              <c:numCache>
                <c:formatCode>0%</c:formatCode>
                <c:ptCount val="12"/>
                <c:pt idx="0">
                  <c:v>4.7619047619047616E-2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4.7619047619047616E-2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B28-49D7-B4AC-C5D867524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833984"/>
        <c:axId val="235848064"/>
      </c:barChart>
      <c:catAx>
        <c:axId val="2358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848064"/>
        <c:crosses val="autoZero"/>
        <c:auto val="1"/>
        <c:lblAlgn val="ctr"/>
        <c:lblOffset val="100"/>
        <c:noMultiLvlLbl val="0"/>
      </c:catAx>
      <c:valAx>
        <c:axId val="2358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83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silla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Específicas'!$A$55</c:f>
              <c:strCache>
                <c:ptCount val="1"/>
                <c:pt idx="0">
                  <c:v>Asiento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Específicas'!$B$55:$M$55</c:f>
              <c:numCache>
                <c:formatCode>0%</c:formatCode>
                <c:ptCount val="12"/>
                <c:pt idx="0">
                  <c:v>0.43</c:v>
                </c:pt>
                <c:pt idx="1">
                  <c:v>0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</c:v>
                </c:pt>
                <c:pt idx="5">
                  <c:v>0.22</c:v>
                </c:pt>
                <c:pt idx="6">
                  <c:v>0.45</c:v>
                </c:pt>
                <c:pt idx="7">
                  <c:v>0.22</c:v>
                </c:pt>
                <c:pt idx="8">
                  <c:v>0</c:v>
                </c:pt>
                <c:pt idx="9">
                  <c:v>0.17</c:v>
                </c:pt>
                <c:pt idx="10">
                  <c:v>0.03</c:v>
                </c:pt>
                <c:pt idx="11">
                  <c:v>0.08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C2-4804-82BD-A7F112016BF9}"/>
            </c:ext>
          </c:extLst>
        </c:ser>
        <c:ser>
          <c:idx val="1"/>
          <c:order val="1"/>
          <c:tx>
            <c:strRef>
              <c:f>'Estadísticas Específicas'!$A$56</c:f>
              <c:strCache>
                <c:ptCount val="1"/>
                <c:pt idx="0">
                  <c:v>Asiento y respaldo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Específicas'!$B$56:$M$56</c:f>
              <c:numCache>
                <c:formatCode>0%</c:formatCode>
                <c:ptCount val="12"/>
                <c:pt idx="0">
                  <c:v>0.56999999999999995</c:v>
                </c:pt>
                <c:pt idx="1">
                  <c:v>1</c:v>
                </c:pt>
                <c:pt idx="2">
                  <c:v>0.8</c:v>
                </c:pt>
                <c:pt idx="3">
                  <c:v>0.86</c:v>
                </c:pt>
                <c:pt idx="4">
                  <c:v>0.9</c:v>
                </c:pt>
                <c:pt idx="5">
                  <c:v>0.78</c:v>
                </c:pt>
                <c:pt idx="6">
                  <c:v>0.55000000000000004</c:v>
                </c:pt>
                <c:pt idx="7">
                  <c:v>0.78</c:v>
                </c:pt>
                <c:pt idx="8">
                  <c:v>1</c:v>
                </c:pt>
                <c:pt idx="9">
                  <c:v>0.83</c:v>
                </c:pt>
                <c:pt idx="10">
                  <c:v>0.97</c:v>
                </c:pt>
                <c:pt idx="11">
                  <c:v>0.92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C2-4804-82BD-A7F112016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5943808"/>
        <c:axId val="235945344"/>
      </c:barChart>
      <c:catAx>
        <c:axId val="2359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945344"/>
        <c:crosses val="autoZero"/>
        <c:auto val="1"/>
        <c:lblAlgn val="ctr"/>
        <c:lblOffset val="100"/>
        <c:noMultiLvlLbl val="0"/>
      </c:catAx>
      <c:valAx>
        <c:axId val="2359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594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colchón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Específicas'!$A$60</c:f>
              <c:strCache>
                <c:ptCount val="1"/>
                <c:pt idx="0">
                  <c:v>Cuna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Específicas'!$B$60:$M$60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7.6923076923076927E-2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05-43F5-9BB9-61FBFA85F1DD}"/>
            </c:ext>
          </c:extLst>
        </c:ser>
        <c:ser>
          <c:idx val="1"/>
          <c:order val="1"/>
          <c:tx>
            <c:strRef>
              <c:f>'Estadísticas Específicas'!$A$61</c:f>
              <c:strCache>
                <c:ptCount val="1"/>
                <c:pt idx="0">
                  <c:v>Ind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Específicas'!$B$61:$M$61</c:f>
              <c:numCache>
                <c:formatCode>0%</c:formatCode>
                <c:ptCount val="12"/>
                <c:pt idx="0">
                  <c:v>0.18181818181818182</c:v>
                </c:pt>
                <c:pt idx="1">
                  <c:v>1</c:v>
                </c:pt>
                <c:pt idx="2">
                  <c:v>0.14285714285714285</c:v>
                </c:pt>
                <c:pt idx="3">
                  <c:v>0.22222222222222221</c:v>
                </c:pt>
                <c:pt idx="4">
                  <c:v>0.2</c:v>
                </c:pt>
                <c:pt idx="5">
                  <c:v>7.6923076923076927E-2</c:v>
                </c:pt>
                <c:pt idx="6">
                  <c:v>0.23076923076923078</c:v>
                </c:pt>
                <c:pt idx="7">
                  <c:v>0.16666666666666666</c:v>
                </c:pt>
                <c:pt idx="8">
                  <c:v>0</c:v>
                </c:pt>
                <c:pt idx="9">
                  <c:v>0.2857142857142857</c:v>
                </c:pt>
                <c:pt idx="10">
                  <c:v>0.78947368421052633</c:v>
                </c:pt>
                <c:pt idx="11">
                  <c:v>0.9285714285714286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805-43F5-9BB9-61FBFA85F1DD}"/>
            </c:ext>
          </c:extLst>
        </c:ser>
        <c:ser>
          <c:idx val="2"/>
          <c:order val="2"/>
          <c:tx>
            <c:strRef>
              <c:f>'Estadísticas Específicas'!$A$62</c:f>
              <c:strCache>
                <c:ptCount val="1"/>
                <c:pt idx="0">
                  <c:v>Mat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Específicas'!$B$62:$M$62</c:f>
              <c:numCache>
                <c:formatCode>0%</c:formatCode>
                <c:ptCount val="12"/>
                <c:pt idx="0">
                  <c:v>0.18181818181818182</c:v>
                </c:pt>
                <c:pt idx="1">
                  <c:v>0</c:v>
                </c:pt>
                <c:pt idx="2">
                  <c:v>0.42857142857142855</c:v>
                </c:pt>
                <c:pt idx="3">
                  <c:v>0.33333333333333331</c:v>
                </c:pt>
                <c:pt idx="4">
                  <c:v>0.5</c:v>
                </c:pt>
                <c:pt idx="5">
                  <c:v>0.46153846153846156</c:v>
                </c:pt>
                <c:pt idx="6">
                  <c:v>0.23076923076923078</c:v>
                </c:pt>
                <c:pt idx="7">
                  <c:v>0.5</c:v>
                </c:pt>
                <c:pt idx="8">
                  <c:v>0.23076923076923078</c:v>
                </c:pt>
                <c:pt idx="9">
                  <c:v>0.42857142857142855</c:v>
                </c:pt>
                <c:pt idx="10">
                  <c:v>0.10526315789473684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805-43F5-9BB9-61FBFA85F1DD}"/>
            </c:ext>
          </c:extLst>
        </c:ser>
        <c:ser>
          <c:idx val="3"/>
          <c:order val="3"/>
          <c:tx>
            <c:strRef>
              <c:f>'Estadísticas Específicas'!$A$63</c:f>
              <c:strCache>
                <c:ptCount val="1"/>
                <c:pt idx="0">
                  <c:v>QS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Específicas'!$B$63:$M$63</c:f>
              <c:numCache>
                <c:formatCode>0%</c:formatCode>
                <c:ptCount val="12"/>
                <c:pt idx="0">
                  <c:v>0.27272727272727271</c:v>
                </c:pt>
                <c:pt idx="1">
                  <c:v>0</c:v>
                </c:pt>
                <c:pt idx="2">
                  <c:v>0.2857142857142857</c:v>
                </c:pt>
                <c:pt idx="3">
                  <c:v>0.1111111111111111</c:v>
                </c:pt>
                <c:pt idx="4">
                  <c:v>0.2</c:v>
                </c:pt>
                <c:pt idx="5">
                  <c:v>0.30769230769230771</c:v>
                </c:pt>
                <c:pt idx="6">
                  <c:v>0</c:v>
                </c:pt>
                <c:pt idx="7">
                  <c:v>0</c:v>
                </c:pt>
                <c:pt idx="8">
                  <c:v>0.23076923076923078</c:v>
                </c:pt>
                <c:pt idx="9">
                  <c:v>0</c:v>
                </c:pt>
                <c:pt idx="10">
                  <c:v>5.2631578947368418E-2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805-43F5-9BB9-61FBFA85F1DD}"/>
            </c:ext>
          </c:extLst>
        </c:ser>
        <c:ser>
          <c:idx val="4"/>
          <c:order val="4"/>
          <c:tx>
            <c:strRef>
              <c:f>'Estadísticas Específicas'!$A$64</c:f>
              <c:strCache>
                <c:ptCount val="1"/>
                <c:pt idx="0">
                  <c:v>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Específicas'!$B$64:$M$64</c:f>
              <c:numCache>
                <c:formatCode>0%</c:formatCode>
                <c:ptCount val="12"/>
                <c:pt idx="0">
                  <c:v>0.36363636363636365</c:v>
                </c:pt>
                <c:pt idx="1">
                  <c:v>0</c:v>
                </c:pt>
                <c:pt idx="2">
                  <c:v>0.14285714285714285</c:v>
                </c:pt>
                <c:pt idx="3">
                  <c:v>0.33333333333333331</c:v>
                </c:pt>
                <c:pt idx="4">
                  <c:v>0.1</c:v>
                </c:pt>
                <c:pt idx="5">
                  <c:v>0.15384615384615385</c:v>
                </c:pt>
                <c:pt idx="6">
                  <c:v>0.53846153846153844</c:v>
                </c:pt>
                <c:pt idx="7">
                  <c:v>0.33333333333333331</c:v>
                </c:pt>
                <c:pt idx="8">
                  <c:v>0.46153846153846156</c:v>
                </c:pt>
                <c:pt idx="9">
                  <c:v>0.2857142857142857</c:v>
                </c:pt>
                <c:pt idx="10">
                  <c:v>5.2631578947368418E-2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805-43F5-9BB9-61FBFA85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6131072"/>
        <c:axId val="236132608"/>
      </c:barChart>
      <c:catAx>
        <c:axId val="23613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132608"/>
        <c:crosses val="autoZero"/>
        <c:auto val="1"/>
        <c:lblAlgn val="ctr"/>
        <c:lblOffset val="100"/>
        <c:noMultiLvlLbl val="0"/>
      </c:catAx>
      <c:valAx>
        <c:axId val="2361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1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 tipo de mueble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Específicas'!$A$68</c:f>
              <c:strCache>
                <c:ptCount val="1"/>
                <c:pt idx="0">
                  <c:v>Taburete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Específicas'!$B$68:$M$68</c:f>
              <c:numCache>
                <c:formatCode>0%</c:formatCode>
                <c:ptCount val="12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4.7619047619047616E-2</c:v>
                </c:pt>
                <c:pt idx="4">
                  <c:v>0.15789473684210525</c:v>
                </c:pt>
                <c:pt idx="5">
                  <c:v>0.25</c:v>
                </c:pt>
                <c:pt idx="6">
                  <c:v>0.11764705882352941</c:v>
                </c:pt>
                <c:pt idx="7">
                  <c:v>0.23076923076923078</c:v>
                </c:pt>
                <c:pt idx="8">
                  <c:v>7.8947368421052627E-2</c:v>
                </c:pt>
                <c:pt idx="9">
                  <c:v>0.18181818181818182</c:v>
                </c:pt>
                <c:pt idx="10">
                  <c:v>9.0909090909090912E-2</c:v>
                </c:pt>
                <c:pt idx="11">
                  <c:v>4.3478260869565216E-2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8F-497E-842D-A5C460ED459D}"/>
            </c:ext>
          </c:extLst>
        </c:ser>
        <c:ser>
          <c:idx val="1"/>
          <c:order val="1"/>
          <c:tx>
            <c:strRef>
              <c:f>'Estadísticas Específicas'!$A$69</c:f>
              <c:strCache>
                <c:ptCount val="1"/>
                <c:pt idx="0">
                  <c:v>Cabecera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Específicas'!$B$69:$M$69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0.15789473684210525</c:v>
                </c:pt>
                <c:pt idx="5">
                  <c:v>0</c:v>
                </c:pt>
                <c:pt idx="6">
                  <c:v>0.17647058823529413</c:v>
                </c:pt>
                <c:pt idx="7">
                  <c:v>0</c:v>
                </c:pt>
                <c:pt idx="8">
                  <c:v>2.6315789473684209E-2</c:v>
                </c:pt>
                <c:pt idx="9">
                  <c:v>0</c:v>
                </c:pt>
                <c:pt idx="10">
                  <c:v>0.18181818181818182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58F-497E-842D-A5C460ED459D}"/>
            </c:ext>
          </c:extLst>
        </c:ser>
        <c:ser>
          <c:idx val="2"/>
          <c:order val="2"/>
          <c:tx>
            <c:strRef>
              <c:f>'Estadísticas Específicas'!$A$70</c:f>
              <c:strCache>
                <c:ptCount val="1"/>
                <c:pt idx="0">
                  <c:v>Carriola y porta bebé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Específicas'!$B$70:$M$70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58F-497E-842D-A5C460ED459D}"/>
            </c:ext>
          </c:extLst>
        </c:ser>
        <c:ser>
          <c:idx val="3"/>
          <c:order val="3"/>
          <c:tx>
            <c:strRef>
              <c:f>'Estadísticas Específicas'!$A$71</c:f>
              <c:strCache>
                <c:ptCount val="1"/>
                <c:pt idx="0">
                  <c:v>Piso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Específicas'!$B$71:$M$71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2.6315789473684209E-2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0.17391304347826086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58F-497E-842D-A5C460ED459D}"/>
            </c:ext>
          </c:extLst>
        </c:ser>
        <c:ser>
          <c:idx val="4"/>
          <c:order val="4"/>
          <c:tx>
            <c:strRef>
              <c:f>'Estadísticas Específicas'!$A$72</c:f>
              <c:strCache>
                <c:ptCount val="1"/>
                <c:pt idx="0">
                  <c:v>Cojines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Específicas'!$B$72:$M$72</c:f>
              <c:numCache>
                <c:formatCode>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0</c:v>
                </c:pt>
                <c:pt idx="3">
                  <c:v>0.23809523809523808</c:v>
                </c:pt>
                <c:pt idx="4">
                  <c:v>0.15789473684210525</c:v>
                </c:pt>
                <c:pt idx="5">
                  <c:v>0.29166666666666669</c:v>
                </c:pt>
                <c:pt idx="6">
                  <c:v>0.35294117647058826</c:v>
                </c:pt>
                <c:pt idx="7">
                  <c:v>0.53846153846153844</c:v>
                </c:pt>
                <c:pt idx="8">
                  <c:v>0.15789473684210525</c:v>
                </c:pt>
                <c:pt idx="9">
                  <c:v>0.36363636363636365</c:v>
                </c:pt>
                <c:pt idx="10">
                  <c:v>0.36363636363636365</c:v>
                </c:pt>
                <c:pt idx="11">
                  <c:v>0.17391304347826086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58F-497E-842D-A5C460ED459D}"/>
            </c:ext>
          </c:extLst>
        </c:ser>
        <c:ser>
          <c:idx val="5"/>
          <c:order val="5"/>
          <c:tx>
            <c:strRef>
              <c:f>'Estadísticas Específicas'!$A$73</c:f>
              <c:strCache>
                <c:ptCount val="1"/>
                <c:pt idx="0">
                  <c:v>Banca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Específicas'!$B$73:$M$73</c:f>
              <c:numCache>
                <c:formatCode>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0.33333333333333331</c:v>
                </c:pt>
                <c:pt idx="3">
                  <c:v>4.7619047619047616E-2</c:v>
                </c:pt>
                <c:pt idx="4">
                  <c:v>5.2631578947368418E-2</c:v>
                </c:pt>
                <c:pt idx="5">
                  <c:v>4.1666666666666664E-2</c:v>
                </c:pt>
                <c:pt idx="6">
                  <c:v>0.11764705882352941</c:v>
                </c:pt>
                <c:pt idx="7">
                  <c:v>7.6923076923076927E-2</c:v>
                </c:pt>
                <c:pt idx="8">
                  <c:v>0</c:v>
                </c:pt>
                <c:pt idx="9">
                  <c:v>0</c:v>
                </c:pt>
                <c:pt idx="10">
                  <c:v>9.0909090909090912E-2</c:v>
                </c:pt>
                <c:pt idx="11">
                  <c:v>4.3478260869565216E-2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58F-497E-842D-A5C460ED459D}"/>
            </c:ext>
          </c:extLst>
        </c:ser>
        <c:ser>
          <c:idx val="6"/>
          <c:order val="6"/>
          <c:tx>
            <c:strRef>
              <c:f>'Estadísticas Específicas'!$A$74</c:f>
              <c:strCache>
                <c:ptCount val="1"/>
                <c:pt idx="0">
                  <c:v>Banco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Específicas'!$B$74:$M$74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5.2631578947368418E-2</c:v>
                </c:pt>
                <c:pt idx="5">
                  <c:v>0</c:v>
                </c:pt>
                <c:pt idx="6">
                  <c:v>0.17647058823529413</c:v>
                </c:pt>
                <c:pt idx="7">
                  <c:v>0.15384615384615385</c:v>
                </c:pt>
                <c:pt idx="8">
                  <c:v>0</c:v>
                </c:pt>
                <c:pt idx="9">
                  <c:v>4.5454545454545456E-2</c:v>
                </c:pt>
                <c:pt idx="10">
                  <c:v>0</c:v>
                </c:pt>
                <c:pt idx="11">
                  <c:v>8.6956521739130432E-2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58F-497E-842D-A5C460ED459D}"/>
            </c:ext>
          </c:extLst>
        </c:ser>
        <c:ser>
          <c:idx val="7"/>
          <c:order val="7"/>
          <c:tx>
            <c:strRef>
              <c:f>'Estadísticas Específicas'!$A$75</c:f>
              <c:strCache>
                <c:ptCount val="1"/>
                <c:pt idx="0">
                  <c:v>Reposet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Específicas'!$B$75:$M$75</c:f>
              <c:numCache>
                <c:formatCode>0%</c:formatCode>
                <c:ptCount val="12"/>
                <c:pt idx="0">
                  <c:v>0</c:v>
                </c:pt>
                <c:pt idx="1">
                  <c:v>0.83333333333333337</c:v>
                </c:pt>
                <c:pt idx="2">
                  <c:v>0</c:v>
                </c:pt>
                <c:pt idx="3">
                  <c:v>0.5714285714285714</c:v>
                </c:pt>
                <c:pt idx="4">
                  <c:v>0.36842105263157893</c:v>
                </c:pt>
                <c:pt idx="5">
                  <c:v>0.16666666666666666</c:v>
                </c:pt>
                <c:pt idx="6">
                  <c:v>5.8823529411764705E-2</c:v>
                </c:pt>
                <c:pt idx="7">
                  <c:v>0</c:v>
                </c:pt>
                <c:pt idx="8">
                  <c:v>0.68421052631578949</c:v>
                </c:pt>
                <c:pt idx="9">
                  <c:v>0.22727272727272727</c:v>
                </c:pt>
                <c:pt idx="10">
                  <c:v>9.0909090909090912E-2</c:v>
                </c:pt>
                <c:pt idx="11">
                  <c:v>0.47826086956521741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58F-497E-842D-A5C460ED459D}"/>
            </c:ext>
          </c:extLst>
        </c:ser>
        <c:ser>
          <c:idx val="8"/>
          <c:order val="8"/>
          <c:tx>
            <c:strRef>
              <c:f>'Estadísticas Específicas'!$A$76</c:f>
              <c:strCache>
                <c:ptCount val="1"/>
                <c:pt idx="0">
                  <c:v>Colchón interno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Específicas'!$B$76:$M$76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9.5238095238095233E-2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0.18181818181818182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58F-497E-842D-A5C460ED459D}"/>
            </c:ext>
          </c:extLst>
        </c:ser>
        <c:ser>
          <c:idx val="9"/>
          <c:order val="9"/>
          <c:tx>
            <c:strRef>
              <c:f>'Estadísticas Específicas'!$A$77</c:f>
              <c:strCache>
                <c:ptCount val="1"/>
                <c:pt idx="0">
                  <c:v>Torre de gatos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Específicas'!$B$77:$M$77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0.20833333333333334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4.5454545454545456E-2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58F-497E-842D-A5C460ED4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6500480"/>
        <c:axId val="236502016"/>
      </c:barChart>
      <c:catAx>
        <c:axId val="2365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502016"/>
        <c:crosses val="autoZero"/>
        <c:auto val="1"/>
        <c:lblAlgn val="ctr"/>
        <c:lblOffset val="100"/>
        <c:noMultiLvlLbl val="0"/>
      </c:catAx>
      <c:valAx>
        <c:axId val="236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5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Específicas'!$A$81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Específicas'!$B$79:$M$80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Específicas'!$B$81:$M$81</c:f>
              <c:numCache>
                <c:formatCode>0%</c:formatCode>
                <c:ptCount val="12"/>
                <c:pt idx="0">
                  <c:v>0.12</c:v>
                </c:pt>
                <c:pt idx="1">
                  <c:v>0.06</c:v>
                </c:pt>
                <c:pt idx="2">
                  <c:v>0.08</c:v>
                </c:pt>
                <c:pt idx="3">
                  <c:v>0.04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0.11</c:v>
                </c:pt>
                <c:pt idx="7">
                  <c:v>0.1</c:v>
                </c:pt>
                <c:pt idx="8">
                  <c:v>0.06</c:v>
                </c:pt>
                <c:pt idx="9">
                  <c:v>0.08</c:v>
                </c:pt>
                <c:pt idx="10">
                  <c:v>0.01</c:v>
                </c:pt>
                <c:pt idx="11">
                  <c:v>0.04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5A-4890-9D9F-5DA153065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6260736"/>
        <c:axId val="236270720"/>
      </c:barChart>
      <c:catAx>
        <c:axId val="2362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270720"/>
        <c:crosses val="autoZero"/>
        <c:auto val="1"/>
        <c:lblAlgn val="ctr"/>
        <c:lblOffset val="100"/>
        <c:noMultiLvlLbl val="0"/>
      </c:catAx>
      <c:valAx>
        <c:axId val="2362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26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venta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'Estadísticas Específicas'!$A$86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Específicas'!$B$86:$M$86</c:f>
              <c:numCache>
                <c:formatCode>0%</c:formatCode>
                <c:ptCount val="12"/>
                <c:pt idx="0">
                  <c:v>0.48780487804878048</c:v>
                </c:pt>
                <c:pt idx="1">
                  <c:v>0.27777777777777779</c:v>
                </c:pt>
                <c:pt idx="2">
                  <c:v>0.30434782608695654</c:v>
                </c:pt>
                <c:pt idx="3">
                  <c:v>0.28205128205128205</c:v>
                </c:pt>
                <c:pt idx="4">
                  <c:v>0.37142857142857144</c:v>
                </c:pt>
                <c:pt idx="5">
                  <c:v>0.40476190476190477</c:v>
                </c:pt>
                <c:pt idx="6">
                  <c:v>0.36956521739130432</c:v>
                </c:pt>
                <c:pt idx="7">
                  <c:v>0.45714285714285713</c:v>
                </c:pt>
                <c:pt idx="8">
                  <c:v>0.35714285714285715</c:v>
                </c:pt>
                <c:pt idx="9">
                  <c:v>0.375</c:v>
                </c:pt>
                <c:pt idx="10">
                  <c:v>0.31578947368421051</c:v>
                </c:pt>
                <c:pt idx="11">
                  <c:v>0.24242424242424243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B-41AA-A824-C0489E0A8EFF}"/>
            </c:ext>
          </c:extLst>
        </c:ser>
        <c:ser>
          <c:idx val="2"/>
          <c:order val="2"/>
          <c:tx>
            <c:strRef>
              <c:f>'Estadísticas Específicas'!$A$87</c:f>
              <c:strCache>
                <c:ptCount val="1"/>
                <c:pt idx="0">
                  <c:v>Recomendación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Específicas'!$B$87:$M$87</c:f>
              <c:numCache>
                <c:formatCode>0%</c:formatCode>
                <c:ptCount val="12"/>
                <c:pt idx="0">
                  <c:v>7.3170731707317069E-2</c:v>
                </c:pt>
                <c:pt idx="1">
                  <c:v>5.5555555555555552E-2</c:v>
                </c:pt>
                <c:pt idx="2">
                  <c:v>4.3478260869565216E-2</c:v>
                </c:pt>
                <c:pt idx="3">
                  <c:v>0</c:v>
                </c:pt>
                <c:pt idx="4">
                  <c:v>5.7142857142857141E-2</c:v>
                </c:pt>
                <c:pt idx="5">
                  <c:v>9.5238095238095233E-2</c:v>
                </c:pt>
                <c:pt idx="6">
                  <c:v>0.10869565217391304</c:v>
                </c:pt>
                <c:pt idx="7">
                  <c:v>2.8571428571428571E-2</c:v>
                </c:pt>
                <c:pt idx="8">
                  <c:v>7.1428571428571425E-2</c:v>
                </c:pt>
                <c:pt idx="9">
                  <c:v>0.125</c:v>
                </c:pt>
                <c:pt idx="10">
                  <c:v>0.13157894736842105</c:v>
                </c:pt>
                <c:pt idx="11">
                  <c:v>6.0606060606060608E-2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BB-41AA-A824-C0489E0A8EFF}"/>
            </c:ext>
          </c:extLst>
        </c:ser>
        <c:ser>
          <c:idx val="3"/>
          <c:order val="3"/>
          <c:tx>
            <c:strRef>
              <c:f>'Estadísticas Específicas'!$A$88</c:f>
              <c:strCache>
                <c:ptCount val="1"/>
                <c:pt idx="0">
                  <c:v>Folletos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Específicas'!$B$88:$M$88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332928"/>
        <c:axId val="236334464"/>
        <c:extLst xmlns:c16r2="http://schemas.microsoft.com/office/drawing/2015/06/chart"/>
      </c:barChart>
      <c:lineChart>
        <c:grouping val="standard"/>
        <c:varyColors val="0"/>
        <c:ser>
          <c:idx val="4"/>
          <c:order val="4"/>
          <c:tx>
            <c:strRef>
              <c:f>'Estadísticas Específicas'!$A$89</c:f>
              <c:strCache>
                <c:ptCount val="1"/>
                <c:pt idx="0">
                  <c:v>Vendedores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Específicas'!$B$89:$M$89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7.1428571428571425E-2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0BB-41AA-A824-C0489E0A8EFF}"/>
            </c:ext>
          </c:extLst>
        </c:ser>
        <c:ser>
          <c:idx val="5"/>
          <c:order val="5"/>
          <c:tx>
            <c:strRef>
              <c:f>'Estadísticas Específicas'!$A$90</c:f>
              <c:strCache>
                <c:ptCount val="1"/>
                <c:pt idx="0">
                  <c:v>Repetición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Específicas'!$B$90:$M$90</c:f>
              <c:numCache>
                <c:formatCode>0%</c:formatCode>
                <c:ptCount val="12"/>
                <c:pt idx="0">
                  <c:v>0.41463414634146339</c:v>
                </c:pt>
                <c:pt idx="1">
                  <c:v>0.66666666666666663</c:v>
                </c:pt>
                <c:pt idx="2">
                  <c:v>0.65217391304347827</c:v>
                </c:pt>
                <c:pt idx="3">
                  <c:v>0.69230769230769229</c:v>
                </c:pt>
                <c:pt idx="4">
                  <c:v>0.54285714285714282</c:v>
                </c:pt>
                <c:pt idx="5">
                  <c:v>0.5</c:v>
                </c:pt>
                <c:pt idx="6">
                  <c:v>0</c:v>
                </c:pt>
                <c:pt idx="7">
                  <c:v>0.48571428571428571</c:v>
                </c:pt>
                <c:pt idx="8">
                  <c:v>0.47619047619047616</c:v>
                </c:pt>
                <c:pt idx="9">
                  <c:v>0.5</c:v>
                </c:pt>
                <c:pt idx="10">
                  <c:v>0.5</c:v>
                </c:pt>
                <c:pt idx="11">
                  <c:v>0.63636363636363635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0BB-41AA-A824-C0489E0A8EFF}"/>
            </c:ext>
          </c:extLst>
        </c:ser>
        <c:ser>
          <c:idx val="6"/>
          <c:order val="6"/>
          <c:tx>
            <c:strRef>
              <c:f>'Estadísticas Específicas'!$A$91</c:f>
              <c:strCache>
                <c:ptCount val="1"/>
                <c:pt idx="0">
                  <c:v>Otro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Específicas'!$B$91:$M$91</c:f>
              <c:numCache>
                <c:formatCode>0%</c:formatCode>
                <c:ptCount val="12"/>
                <c:pt idx="0">
                  <c:v>2.4390243902439025E-2</c:v>
                </c:pt>
                <c:pt idx="1">
                  <c:v>0</c:v>
                </c:pt>
                <c:pt idx="2">
                  <c:v>0</c:v>
                </c:pt>
                <c:pt idx="3">
                  <c:v>2.564102564102564E-2</c:v>
                </c:pt>
                <c:pt idx="4">
                  <c:v>2.8571428571428571E-2</c:v>
                </c:pt>
                <c:pt idx="5">
                  <c:v>0</c:v>
                </c:pt>
                <c:pt idx="6">
                  <c:v>0</c:v>
                </c:pt>
                <c:pt idx="7">
                  <c:v>2.8571428571428571E-2</c:v>
                </c:pt>
                <c:pt idx="8">
                  <c:v>2.3809523809523808E-2</c:v>
                </c:pt>
                <c:pt idx="9">
                  <c:v>0</c:v>
                </c:pt>
                <c:pt idx="10">
                  <c:v>5.2631578947368418E-2</c:v>
                </c:pt>
                <c:pt idx="11">
                  <c:v>6.0606060606060608E-2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32928"/>
        <c:axId val="236334464"/>
      </c:lineChart>
      <c:lineChart>
        <c:grouping val="standard"/>
        <c:varyColors val="0"/>
        <c:ser>
          <c:idx val="0"/>
          <c:order val="0"/>
          <c:tx>
            <c:strRef>
              <c:f>'Estadísticas Específicas'!$A$85</c:f>
              <c:strCache>
                <c:ptCount val="1"/>
                <c:pt idx="0">
                  <c:v>num de Serv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Específicas'!$B$85:$M$85</c:f>
              <c:numCache>
                <c:formatCode>General</c:formatCode>
                <c:ptCount val="12"/>
                <c:pt idx="0">
                  <c:v>41</c:v>
                </c:pt>
                <c:pt idx="1">
                  <c:v>18</c:v>
                </c:pt>
                <c:pt idx="2">
                  <c:v>23</c:v>
                </c:pt>
                <c:pt idx="3">
                  <c:v>39</c:v>
                </c:pt>
                <c:pt idx="4">
                  <c:v>35</c:v>
                </c:pt>
                <c:pt idx="5">
                  <c:v>42</c:v>
                </c:pt>
                <c:pt idx="6">
                  <c:v>46</c:v>
                </c:pt>
                <c:pt idx="7">
                  <c:v>35</c:v>
                </c:pt>
                <c:pt idx="8">
                  <c:v>42</c:v>
                </c:pt>
                <c:pt idx="9">
                  <c:v>40</c:v>
                </c:pt>
                <c:pt idx="10">
                  <c:v>38</c:v>
                </c:pt>
                <c:pt idx="11">
                  <c:v>33</c:v>
                </c:pt>
              </c:numCache>
            </c:numRef>
          </c:val>
          <c:smooth val="0"/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6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54176"/>
        <c:axId val="236352640"/>
      </c:lineChart>
      <c:catAx>
        <c:axId val="2363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334464"/>
        <c:crosses val="autoZero"/>
        <c:auto val="1"/>
        <c:lblAlgn val="ctr"/>
        <c:lblOffset val="100"/>
        <c:noMultiLvlLbl val="0"/>
      </c:catAx>
      <c:valAx>
        <c:axId val="2363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332928"/>
        <c:crosses val="autoZero"/>
        <c:crossBetween val="between"/>
      </c:valAx>
      <c:valAx>
        <c:axId val="236352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6354176"/>
        <c:crosses val="max"/>
        <c:crossBetween val="between"/>
      </c:valAx>
      <c:catAx>
        <c:axId val="23635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635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33</xdr:row>
      <xdr:rowOff>109537</xdr:rowOff>
    </xdr:from>
    <xdr:to>
      <xdr:col>12</xdr:col>
      <xdr:colOff>133350</xdr:colOff>
      <xdr:row>47</xdr:row>
      <xdr:rowOff>185737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109537</xdr:rowOff>
    </xdr:from>
    <xdr:to>
      <xdr:col>5</xdr:col>
      <xdr:colOff>657225</xdr:colOff>
      <xdr:row>63</xdr:row>
      <xdr:rowOff>185737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49</xdr:row>
      <xdr:rowOff>109537</xdr:rowOff>
    </xdr:from>
    <xdr:to>
      <xdr:col>12</xdr:col>
      <xdr:colOff>95250</xdr:colOff>
      <xdr:row>63</xdr:row>
      <xdr:rowOff>185737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66</xdr:row>
      <xdr:rowOff>19050</xdr:rowOff>
    </xdr:from>
    <xdr:to>
      <xdr:col>5</xdr:col>
      <xdr:colOff>666750</xdr:colOff>
      <xdr:row>80</xdr:row>
      <xdr:rowOff>95250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142875</xdr:colOff>
      <xdr:row>66</xdr:row>
      <xdr:rowOff>14287</xdr:rowOff>
    </xdr:from>
    <xdr:to>
      <xdr:col>12</xdr:col>
      <xdr:colOff>142875</xdr:colOff>
      <xdr:row>80</xdr:row>
      <xdr:rowOff>90487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17</xdr:row>
      <xdr:rowOff>114300</xdr:rowOff>
    </xdr:from>
    <xdr:to>
      <xdr:col>5</xdr:col>
      <xdr:colOff>390525</xdr:colOff>
      <xdr:row>32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133350</xdr:colOff>
      <xdr:row>17</xdr:row>
      <xdr:rowOff>142875</xdr:rowOff>
    </xdr:from>
    <xdr:to>
      <xdr:col>12</xdr:col>
      <xdr:colOff>133350</xdr:colOff>
      <xdr:row>32</xdr:row>
      <xdr:rowOff>28575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33</xdr:row>
      <xdr:rowOff>57150</xdr:rowOff>
    </xdr:from>
    <xdr:to>
      <xdr:col>5</xdr:col>
      <xdr:colOff>390525</xdr:colOff>
      <xdr:row>47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0</xdr:row>
      <xdr:rowOff>80962</xdr:rowOff>
    </xdr:from>
    <xdr:to>
      <xdr:col>21</xdr:col>
      <xdr:colOff>352425</xdr:colOff>
      <xdr:row>14</xdr:row>
      <xdr:rowOff>147637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19050</xdr:colOff>
      <xdr:row>0</xdr:row>
      <xdr:rowOff>61912</xdr:rowOff>
    </xdr:from>
    <xdr:to>
      <xdr:col>28</xdr:col>
      <xdr:colOff>19050</xdr:colOff>
      <xdr:row>14</xdr:row>
      <xdr:rowOff>128587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371475</xdr:colOff>
      <xdr:row>15</xdr:row>
      <xdr:rowOff>90487</xdr:rowOff>
    </xdr:from>
    <xdr:to>
      <xdr:col>21</xdr:col>
      <xdr:colOff>371475</xdr:colOff>
      <xdr:row>29</xdr:row>
      <xdr:rowOff>157162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15</xdr:row>
      <xdr:rowOff>109537</xdr:rowOff>
    </xdr:from>
    <xdr:to>
      <xdr:col>28</xdr:col>
      <xdr:colOff>0</xdr:colOff>
      <xdr:row>29</xdr:row>
      <xdr:rowOff>176212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304800</xdr:colOff>
      <xdr:row>32</xdr:row>
      <xdr:rowOff>109537</xdr:rowOff>
    </xdr:from>
    <xdr:to>
      <xdr:col>21</xdr:col>
      <xdr:colOff>304800</xdr:colOff>
      <xdr:row>46</xdr:row>
      <xdr:rowOff>166687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76200</xdr:colOff>
      <xdr:row>32</xdr:row>
      <xdr:rowOff>128587</xdr:rowOff>
    </xdr:from>
    <xdr:to>
      <xdr:col>28</xdr:col>
      <xdr:colOff>76200</xdr:colOff>
      <xdr:row>46</xdr:row>
      <xdr:rowOff>185737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276225</xdr:colOff>
      <xdr:row>48</xdr:row>
      <xdr:rowOff>23812</xdr:rowOff>
    </xdr:from>
    <xdr:to>
      <xdr:col>21</xdr:col>
      <xdr:colOff>276225</xdr:colOff>
      <xdr:row>62</xdr:row>
      <xdr:rowOff>61912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552450</xdr:colOff>
      <xdr:row>48</xdr:row>
      <xdr:rowOff>23812</xdr:rowOff>
    </xdr:from>
    <xdr:to>
      <xdr:col>27</xdr:col>
      <xdr:colOff>552450</xdr:colOff>
      <xdr:row>62</xdr:row>
      <xdr:rowOff>61912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92</xdr:row>
      <xdr:rowOff>166686</xdr:rowOff>
    </xdr:from>
    <xdr:to>
      <xdr:col>8</xdr:col>
      <xdr:colOff>723900</xdr:colOff>
      <xdr:row>110</xdr:row>
      <xdr:rowOff>190499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142874</xdr:colOff>
      <xdr:row>92</xdr:row>
      <xdr:rowOff>147636</xdr:rowOff>
    </xdr:from>
    <xdr:to>
      <xdr:col>17</xdr:col>
      <xdr:colOff>761999</xdr:colOff>
      <xdr:row>110</xdr:row>
      <xdr:rowOff>171449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112</xdr:row>
      <xdr:rowOff>147637</xdr:rowOff>
    </xdr:from>
    <xdr:to>
      <xdr:col>8</xdr:col>
      <xdr:colOff>733424</xdr:colOff>
      <xdr:row>132</xdr:row>
      <xdr:rowOff>9525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142874</xdr:colOff>
      <xdr:row>112</xdr:row>
      <xdr:rowOff>147637</xdr:rowOff>
    </xdr:from>
    <xdr:to>
      <xdr:col>17</xdr:col>
      <xdr:colOff>761999</xdr:colOff>
      <xdr:row>132</xdr:row>
      <xdr:rowOff>9525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</xdr:colOff>
      <xdr:row>133</xdr:row>
      <xdr:rowOff>14287</xdr:rowOff>
    </xdr:from>
    <xdr:to>
      <xdr:col>8</xdr:col>
      <xdr:colOff>714375</xdr:colOff>
      <xdr:row>153</xdr:row>
      <xdr:rowOff>161925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133349</xdr:colOff>
      <xdr:row>133</xdr:row>
      <xdr:rowOff>33337</xdr:rowOff>
    </xdr:from>
    <xdr:to>
      <xdr:col>17</xdr:col>
      <xdr:colOff>752474</xdr:colOff>
      <xdr:row>153</xdr:row>
      <xdr:rowOff>161925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156</xdr:row>
      <xdr:rowOff>23812</xdr:rowOff>
    </xdr:from>
    <xdr:to>
      <xdr:col>8</xdr:col>
      <xdr:colOff>704850</xdr:colOff>
      <xdr:row>177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161924</xdr:colOff>
      <xdr:row>156</xdr:row>
      <xdr:rowOff>4761</xdr:rowOff>
    </xdr:from>
    <xdr:to>
      <xdr:col>17</xdr:col>
      <xdr:colOff>761999</xdr:colOff>
      <xdr:row>176</xdr:row>
      <xdr:rowOff>180974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178</xdr:row>
      <xdr:rowOff>176211</xdr:rowOff>
    </xdr:from>
    <xdr:to>
      <xdr:col>8</xdr:col>
      <xdr:colOff>676274</xdr:colOff>
      <xdr:row>200</xdr:row>
      <xdr:rowOff>9524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142874</xdr:colOff>
      <xdr:row>179</xdr:row>
      <xdr:rowOff>4762</xdr:rowOff>
    </xdr:from>
    <xdr:to>
      <xdr:col>18</xdr:col>
      <xdr:colOff>38099</xdr:colOff>
      <xdr:row>200</xdr:row>
      <xdr:rowOff>19050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0"/>
  <sheetViews>
    <sheetView tabSelected="1" topLeftCell="B403" workbookViewId="0">
      <selection activeCell="B423" sqref="B423"/>
    </sheetView>
  </sheetViews>
  <sheetFormatPr baseColWidth="10" defaultRowHeight="15" x14ac:dyDescent="0.25"/>
  <cols>
    <col min="1" max="1" width="5.7109375" customWidth="1"/>
    <col min="2" max="2" width="11.7109375" style="8" customWidth="1"/>
    <col min="4" max="4" width="38.140625" customWidth="1"/>
    <col min="5" max="5" width="12.42578125" customWidth="1"/>
    <col min="6" max="6" width="45.85546875" customWidth="1"/>
    <col min="7" max="7" width="7.7109375" customWidth="1"/>
    <col min="8" max="8" width="11.42578125" style="59"/>
    <col min="9" max="9" width="45.5703125" customWidth="1"/>
  </cols>
  <sheetData>
    <row r="1" spans="1:15" ht="15" customHeight="1" x14ac:dyDescent="0.25">
      <c r="A1" s="6" t="s">
        <v>120</v>
      </c>
      <c r="B1" s="49" t="s">
        <v>121</v>
      </c>
      <c r="C1" s="1" t="s">
        <v>0</v>
      </c>
      <c r="D1" s="2" t="s">
        <v>1</v>
      </c>
      <c r="E1" s="2" t="s">
        <v>122</v>
      </c>
      <c r="F1" s="2" t="s">
        <v>2</v>
      </c>
      <c r="G1" s="2" t="s">
        <v>4</v>
      </c>
      <c r="H1" s="50" t="s">
        <v>5</v>
      </c>
      <c r="I1" s="5" t="s">
        <v>6</v>
      </c>
      <c r="J1" s="6" t="s">
        <v>7</v>
      </c>
      <c r="K1" s="2" t="s">
        <v>123</v>
      </c>
      <c r="L1" s="2" t="s">
        <v>124</v>
      </c>
      <c r="M1" s="2" t="s">
        <v>125</v>
      </c>
      <c r="N1" s="2" t="s">
        <v>2338</v>
      </c>
      <c r="O1" s="2" t="s">
        <v>2339</v>
      </c>
    </row>
    <row r="2" spans="1:15" x14ac:dyDescent="0.25">
      <c r="A2" s="82">
        <v>1</v>
      </c>
      <c r="B2" s="8" t="s">
        <v>186</v>
      </c>
      <c r="C2" s="9">
        <v>45293</v>
      </c>
      <c r="D2" t="s">
        <v>187</v>
      </c>
      <c r="E2" t="s">
        <v>188</v>
      </c>
      <c r="F2" t="s">
        <v>189</v>
      </c>
      <c r="G2" t="s">
        <v>118</v>
      </c>
      <c r="H2" s="59">
        <v>975</v>
      </c>
      <c r="I2" t="s">
        <v>190</v>
      </c>
      <c r="J2" t="s">
        <v>197</v>
      </c>
      <c r="K2" t="s">
        <v>619</v>
      </c>
      <c r="L2" t="s">
        <v>619</v>
      </c>
      <c r="M2" t="s">
        <v>619</v>
      </c>
      <c r="N2" t="s">
        <v>619</v>
      </c>
      <c r="O2" t="s">
        <v>619</v>
      </c>
    </row>
    <row r="3" spans="1:15" x14ac:dyDescent="0.25">
      <c r="A3">
        <f>A2+1</f>
        <v>2</v>
      </c>
      <c r="B3" s="8" t="s">
        <v>191</v>
      </c>
      <c r="C3" s="9">
        <v>45294</v>
      </c>
      <c r="D3" t="s">
        <v>192</v>
      </c>
      <c r="E3" t="s">
        <v>193</v>
      </c>
      <c r="F3" t="s">
        <v>194</v>
      </c>
      <c r="G3" t="s">
        <v>195</v>
      </c>
      <c r="H3" s="59">
        <v>1539</v>
      </c>
      <c r="I3" t="s">
        <v>196</v>
      </c>
      <c r="J3" t="s">
        <v>204</v>
      </c>
      <c r="K3" t="s">
        <v>619</v>
      </c>
      <c r="L3" t="s">
        <v>619</v>
      </c>
      <c r="M3" t="s">
        <v>619</v>
      </c>
      <c r="N3" t="s">
        <v>619</v>
      </c>
      <c r="O3" t="s">
        <v>619</v>
      </c>
    </row>
    <row r="4" spans="1:15" x14ac:dyDescent="0.25">
      <c r="A4" s="83">
        <f t="shared" ref="A4:A67" si="0">A3+1</f>
        <v>3</v>
      </c>
      <c r="B4" s="8" t="s">
        <v>198</v>
      </c>
      <c r="C4" s="9">
        <v>45295</v>
      </c>
      <c r="D4" t="s">
        <v>200</v>
      </c>
      <c r="E4" t="s">
        <v>201</v>
      </c>
      <c r="F4" t="s">
        <v>202</v>
      </c>
      <c r="G4" t="s">
        <v>118</v>
      </c>
      <c r="H4" s="59">
        <v>4341.8999999999996</v>
      </c>
      <c r="I4" t="s">
        <v>203</v>
      </c>
      <c r="J4" t="s">
        <v>217</v>
      </c>
      <c r="K4" t="s">
        <v>619</v>
      </c>
      <c r="L4" t="s">
        <v>619</v>
      </c>
      <c r="M4" t="s">
        <v>619</v>
      </c>
      <c r="N4" t="s">
        <v>619</v>
      </c>
      <c r="O4" t="s">
        <v>619</v>
      </c>
    </row>
    <row r="5" spans="1:15" x14ac:dyDescent="0.25">
      <c r="A5">
        <f t="shared" si="0"/>
        <v>4</v>
      </c>
      <c r="B5" s="8" t="s">
        <v>199</v>
      </c>
      <c r="C5" s="9">
        <v>45295</v>
      </c>
      <c r="D5" t="s">
        <v>205</v>
      </c>
      <c r="E5" t="s">
        <v>206</v>
      </c>
      <c r="F5" t="s">
        <v>207</v>
      </c>
      <c r="G5" t="s">
        <v>195</v>
      </c>
      <c r="H5" s="59">
        <v>2676</v>
      </c>
      <c r="I5" t="s">
        <v>208</v>
      </c>
      <c r="J5" t="s">
        <v>209</v>
      </c>
      <c r="K5" t="s">
        <v>619</v>
      </c>
      <c r="L5" t="s">
        <v>619</v>
      </c>
      <c r="M5" t="s">
        <v>619</v>
      </c>
      <c r="N5" t="s">
        <v>619</v>
      </c>
      <c r="O5" t="s">
        <v>619</v>
      </c>
    </row>
    <row r="6" spans="1:15" x14ac:dyDescent="0.25">
      <c r="A6">
        <f t="shared" si="0"/>
        <v>5</v>
      </c>
      <c r="B6" s="8" t="s">
        <v>210</v>
      </c>
      <c r="C6" s="9">
        <v>45296</v>
      </c>
      <c r="D6" t="s">
        <v>212</v>
      </c>
      <c r="E6" t="s">
        <v>213</v>
      </c>
      <c r="F6" t="s">
        <v>214</v>
      </c>
      <c r="G6" t="s">
        <v>119</v>
      </c>
      <c r="H6" s="59">
        <v>2299</v>
      </c>
      <c r="I6" t="s">
        <v>215</v>
      </c>
      <c r="J6" t="s">
        <v>216</v>
      </c>
      <c r="K6" t="s">
        <v>619</v>
      </c>
      <c r="L6" t="s">
        <v>619</v>
      </c>
      <c r="M6" t="s">
        <v>619</v>
      </c>
      <c r="N6" t="s">
        <v>619</v>
      </c>
      <c r="O6" t="s">
        <v>619</v>
      </c>
    </row>
    <row r="7" spans="1:15" x14ac:dyDescent="0.25">
      <c r="A7">
        <f t="shared" si="0"/>
        <v>6</v>
      </c>
      <c r="B7" s="8" t="s">
        <v>211</v>
      </c>
      <c r="C7" s="9">
        <v>45297</v>
      </c>
      <c r="D7" t="s">
        <v>218</v>
      </c>
      <c r="E7" t="s">
        <v>219</v>
      </c>
      <c r="F7" t="s">
        <v>220</v>
      </c>
      <c r="G7" t="s">
        <v>195</v>
      </c>
      <c r="H7" s="59">
        <v>3475</v>
      </c>
      <c r="I7" t="s">
        <v>221</v>
      </c>
      <c r="J7" t="s">
        <v>222</v>
      </c>
      <c r="K7" t="s">
        <v>619</v>
      </c>
      <c r="L7" t="s">
        <v>619</v>
      </c>
      <c r="M7" t="s">
        <v>619</v>
      </c>
      <c r="N7" t="s">
        <v>619</v>
      </c>
      <c r="O7" t="s">
        <v>619</v>
      </c>
    </row>
    <row r="8" spans="1:15" x14ac:dyDescent="0.25">
      <c r="A8">
        <f t="shared" si="0"/>
        <v>7</v>
      </c>
      <c r="B8" s="8" t="s">
        <v>223</v>
      </c>
      <c r="C8" s="9">
        <v>45299</v>
      </c>
      <c r="D8" t="s">
        <v>224</v>
      </c>
      <c r="E8" t="s">
        <v>225</v>
      </c>
      <c r="F8" t="s">
        <v>226</v>
      </c>
      <c r="G8" t="s">
        <v>195</v>
      </c>
      <c r="H8" s="59">
        <v>1305</v>
      </c>
      <c r="I8" t="s">
        <v>227</v>
      </c>
      <c r="J8" t="s">
        <v>236</v>
      </c>
      <c r="K8" t="s">
        <v>619</v>
      </c>
      <c r="L8" t="s">
        <v>619</v>
      </c>
      <c r="M8" t="s">
        <v>619</v>
      </c>
      <c r="N8" t="s">
        <v>619</v>
      </c>
      <c r="O8" t="s">
        <v>619</v>
      </c>
    </row>
    <row r="9" spans="1:15" x14ac:dyDescent="0.25">
      <c r="A9">
        <f t="shared" si="0"/>
        <v>8</v>
      </c>
      <c r="B9" s="8" t="s">
        <v>229</v>
      </c>
      <c r="C9" s="9">
        <v>44929</v>
      </c>
      <c r="D9" t="s">
        <v>232</v>
      </c>
      <c r="E9" t="s">
        <v>233</v>
      </c>
      <c r="F9" t="s">
        <v>234</v>
      </c>
      <c r="G9" t="s">
        <v>195</v>
      </c>
      <c r="H9" s="59">
        <v>1450</v>
      </c>
      <c r="I9" t="s">
        <v>235</v>
      </c>
      <c r="J9" t="s">
        <v>245</v>
      </c>
      <c r="K9" t="s">
        <v>619</v>
      </c>
      <c r="L9" t="s">
        <v>619</v>
      </c>
      <c r="M9" t="s">
        <v>619</v>
      </c>
      <c r="N9" t="s">
        <v>619</v>
      </c>
      <c r="O9" t="s">
        <v>619</v>
      </c>
    </row>
    <row r="10" spans="1:15" x14ac:dyDescent="0.25">
      <c r="A10" s="82">
        <f t="shared" si="0"/>
        <v>9</v>
      </c>
      <c r="B10" s="8" t="s">
        <v>230</v>
      </c>
      <c r="C10" s="9">
        <v>45296</v>
      </c>
      <c r="D10" t="s">
        <v>237</v>
      </c>
      <c r="E10" t="s">
        <v>238</v>
      </c>
      <c r="F10" t="s">
        <v>239</v>
      </c>
      <c r="G10" t="s">
        <v>118</v>
      </c>
      <c r="H10" s="59">
        <v>1518</v>
      </c>
      <c r="I10" t="s">
        <v>240</v>
      </c>
      <c r="J10" t="s">
        <v>236</v>
      </c>
      <c r="K10" t="s">
        <v>619</v>
      </c>
      <c r="L10" t="s">
        <v>619</v>
      </c>
      <c r="M10" t="s">
        <v>619</v>
      </c>
      <c r="N10" t="s">
        <v>619</v>
      </c>
      <c r="O10" t="s">
        <v>619</v>
      </c>
    </row>
    <row r="11" spans="1:15" x14ac:dyDescent="0.25">
      <c r="A11">
        <f t="shared" si="0"/>
        <v>10</v>
      </c>
      <c r="B11" s="8" t="s">
        <v>231</v>
      </c>
      <c r="C11" s="9">
        <v>45300</v>
      </c>
      <c r="D11" t="s">
        <v>241</v>
      </c>
      <c r="E11" t="s">
        <v>242</v>
      </c>
      <c r="F11" t="s">
        <v>243</v>
      </c>
      <c r="G11" t="s">
        <v>195</v>
      </c>
      <c r="H11" s="59">
        <v>6051</v>
      </c>
      <c r="I11" t="s">
        <v>244</v>
      </c>
      <c r="J11" t="s">
        <v>236</v>
      </c>
      <c r="K11" t="s">
        <v>619</v>
      </c>
      <c r="L11" t="s">
        <v>619</v>
      </c>
      <c r="M11" t="s">
        <v>619</v>
      </c>
      <c r="N11" t="s">
        <v>619</v>
      </c>
      <c r="O11" t="s">
        <v>619</v>
      </c>
    </row>
    <row r="12" spans="1:15" x14ac:dyDescent="0.25">
      <c r="A12">
        <f t="shared" si="0"/>
        <v>11</v>
      </c>
      <c r="B12" s="8" t="s">
        <v>246</v>
      </c>
      <c r="C12" s="9">
        <v>44932</v>
      </c>
      <c r="D12" t="s">
        <v>248</v>
      </c>
      <c r="E12" t="s">
        <v>249</v>
      </c>
      <c r="F12" t="s">
        <v>250</v>
      </c>
      <c r="G12" t="s">
        <v>119</v>
      </c>
      <c r="H12" s="59">
        <v>1289</v>
      </c>
      <c r="I12" t="s">
        <v>251</v>
      </c>
      <c r="J12" t="s">
        <v>252</v>
      </c>
      <c r="K12" t="s">
        <v>619</v>
      </c>
      <c r="L12" t="s">
        <v>619</v>
      </c>
      <c r="M12" t="s">
        <v>619</v>
      </c>
      <c r="N12" t="s">
        <v>619</v>
      </c>
      <c r="O12" t="s">
        <v>619</v>
      </c>
    </row>
    <row r="13" spans="1:15" x14ac:dyDescent="0.25">
      <c r="A13">
        <f t="shared" si="0"/>
        <v>12</v>
      </c>
      <c r="B13" s="8" t="s">
        <v>247</v>
      </c>
      <c r="C13" s="9">
        <v>45301</v>
      </c>
      <c r="D13" t="s">
        <v>253</v>
      </c>
      <c r="E13" t="s">
        <v>254</v>
      </c>
      <c r="F13" t="s">
        <v>255</v>
      </c>
      <c r="G13" t="s">
        <v>195</v>
      </c>
      <c r="H13" s="59">
        <v>1944</v>
      </c>
      <c r="I13" t="s">
        <v>256</v>
      </c>
      <c r="J13" t="s">
        <v>265</v>
      </c>
      <c r="K13" t="s">
        <v>619</v>
      </c>
      <c r="L13" t="s">
        <v>619</v>
      </c>
      <c r="M13" t="s">
        <v>619</v>
      </c>
      <c r="N13" t="s">
        <v>619</v>
      </c>
      <c r="O13" t="s">
        <v>619</v>
      </c>
    </row>
    <row r="14" spans="1:15" x14ac:dyDescent="0.25">
      <c r="A14" s="82">
        <f t="shared" si="0"/>
        <v>13</v>
      </c>
      <c r="B14" s="8" t="s">
        <v>257</v>
      </c>
      <c r="C14" s="9">
        <v>44937</v>
      </c>
      <c r="D14" t="s">
        <v>260</v>
      </c>
      <c r="E14" t="s">
        <v>261</v>
      </c>
      <c r="F14" t="s">
        <v>262</v>
      </c>
      <c r="G14" t="s">
        <v>118</v>
      </c>
      <c r="H14" s="59">
        <v>3757.5</v>
      </c>
      <c r="I14" t="s">
        <v>263</v>
      </c>
      <c r="J14" t="s">
        <v>264</v>
      </c>
      <c r="K14" t="s">
        <v>619</v>
      </c>
      <c r="L14" t="s">
        <v>619</v>
      </c>
      <c r="M14" t="s">
        <v>619</v>
      </c>
      <c r="N14" t="s">
        <v>619</v>
      </c>
      <c r="O14" t="s">
        <v>619</v>
      </c>
    </row>
    <row r="15" spans="1:15" x14ac:dyDescent="0.25">
      <c r="A15">
        <f t="shared" si="0"/>
        <v>14</v>
      </c>
      <c r="B15" s="8" t="s">
        <v>258</v>
      </c>
      <c r="C15" s="9">
        <v>44938</v>
      </c>
      <c r="D15" t="s">
        <v>266</v>
      </c>
      <c r="E15" t="s">
        <v>267</v>
      </c>
      <c r="F15" t="s">
        <v>268</v>
      </c>
      <c r="G15" t="s">
        <v>195</v>
      </c>
      <c r="H15" s="59">
        <v>2786</v>
      </c>
      <c r="I15" t="s">
        <v>269</v>
      </c>
      <c r="J15" t="s">
        <v>295</v>
      </c>
      <c r="K15" t="s">
        <v>619</v>
      </c>
      <c r="L15" t="s">
        <v>619</v>
      </c>
      <c r="M15" t="s">
        <v>619</v>
      </c>
      <c r="N15" t="s">
        <v>619</v>
      </c>
      <c r="O15" t="s">
        <v>619</v>
      </c>
    </row>
    <row r="16" spans="1:15" x14ac:dyDescent="0.25">
      <c r="A16">
        <f t="shared" si="0"/>
        <v>15</v>
      </c>
      <c r="B16" s="8" t="s">
        <v>259</v>
      </c>
      <c r="C16" s="9">
        <v>45304</v>
      </c>
      <c r="D16" t="s">
        <v>270</v>
      </c>
      <c r="E16" t="s">
        <v>271</v>
      </c>
      <c r="F16" t="s">
        <v>272</v>
      </c>
      <c r="G16" t="s">
        <v>195</v>
      </c>
      <c r="H16" s="59">
        <v>2987</v>
      </c>
      <c r="I16" t="s">
        <v>273</v>
      </c>
      <c r="J16" t="s">
        <v>274</v>
      </c>
      <c r="K16" t="s">
        <v>619</v>
      </c>
      <c r="L16" t="s">
        <v>619</v>
      </c>
      <c r="M16" t="s">
        <v>619</v>
      </c>
      <c r="N16" t="s">
        <v>619</v>
      </c>
      <c r="O16" t="s">
        <v>619</v>
      </c>
    </row>
    <row r="17" spans="1:15" x14ac:dyDescent="0.25">
      <c r="A17" s="82">
        <f t="shared" si="0"/>
        <v>16</v>
      </c>
      <c r="B17" s="8" t="s">
        <v>275</v>
      </c>
      <c r="C17" s="9">
        <v>45306</v>
      </c>
      <c r="D17" t="s">
        <v>277</v>
      </c>
      <c r="E17" t="s">
        <v>278</v>
      </c>
      <c r="F17" t="s">
        <v>279</v>
      </c>
      <c r="G17" t="s">
        <v>118</v>
      </c>
      <c r="H17" s="59">
        <v>3795</v>
      </c>
      <c r="I17" t="s">
        <v>280</v>
      </c>
      <c r="J17" t="s">
        <v>245</v>
      </c>
      <c r="K17" t="s">
        <v>619</v>
      </c>
      <c r="L17" t="s">
        <v>619</v>
      </c>
      <c r="M17" t="s">
        <v>619</v>
      </c>
      <c r="N17" t="s">
        <v>619</v>
      </c>
      <c r="O17" t="s">
        <v>619</v>
      </c>
    </row>
    <row r="18" spans="1:15" x14ac:dyDescent="0.25">
      <c r="A18">
        <f t="shared" si="0"/>
        <v>17</v>
      </c>
      <c r="B18" s="8" t="s">
        <v>276</v>
      </c>
      <c r="C18" s="9">
        <v>45307</v>
      </c>
      <c r="D18" t="s">
        <v>281</v>
      </c>
      <c r="E18" t="s">
        <v>282</v>
      </c>
      <c r="F18" t="s">
        <v>283</v>
      </c>
      <c r="G18" t="s">
        <v>195</v>
      </c>
      <c r="H18" s="59">
        <v>1150</v>
      </c>
      <c r="I18" t="s">
        <v>284</v>
      </c>
      <c r="J18" t="s">
        <v>296</v>
      </c>
      <c r="K18" t="s">
        <v>619</v>
      </c>
      <c r="L18" t="s">
        <v>619</v>
      </c>
      <c r="M18" t="s">
        <v>619</v>
      </c>
      <c r="N18" t="s">
        <v>619</v>
      </c>
      <c r="O18" t="s">
        <v>619</v>
      </c>
    </row>
    <row r="19" spans="1:15" x14ac:dyDescent="0.25">
      <c r="A19">
        <f t="shared" si="0"/>
        <v>18</v>
      </c>
      <c r="B19" s="95" t="s">
        <v>285</v>
      </c>
      <c r="C19" s="9">
        <v>45307</v>
      </c>
      <c r="D19" t="s">
        <v>286</v>
      </c>
      <c r="E19" t="s">
        <v>287</v>
      </c>
      <c r="F19" t="s">
        <v>288</v>
      </c>
      <c r="G19" t="s">
        <v>195</v>
      </c>
      <c r="H19" s="59">
        <v>1395</v>
      </c>
      <c r="I19" t="s">
        <v>227</v>
      </c>
      <c r="J19" s="11" t="s">
        <v>297</v>
      </c>
      <c r="K19" t="s">
        <v>619</v>
      </c>
      <c r="L19" t="s">
        <v>619</v>
      </c>
      <c r="M19" t="s">
        <v>619</v>
      </c>
      <c r="N19" t="s">
        <v>619</v>
      </c>
      <c r="O19" t="s">
        <v>619</v>
      </c>
    </row>
    <row r="20" spans="1:15" x14ac:dyDescent="0.25">
      <c r="A20" s="82">
        <f t="shared" si="0"/>
        <v>19</v>
      </c>
      <c r="B20" s="8" t="s">
        <v>289</v>
      </c>
      <c r="C20" s="9">
        <v>45299</v>
      </c>
      <c r="D20" t="s">
        <v>291</v>
      </c>
      <c r="E20" t="s">
        <v>292</v>
      </c>
      <c r="F20" t="s">
        <v>293</v>
      </c>
      <c r="G20" t="s">
        <v>118</v>
      </c>
      <c r="H20" s="59">
        <v>4004.1</v>
      </c>
      <c r="I20" t="s">
        <v>294</v>
      </c>
      <c r="J20" t="s">
        <v>236</v>
      </c>
      <c r="K20" t="s">
        <v>619</v>
      </c>
      <c r="L20" t="s">
        <v>619</v>
      </c>
      <c r="M20" t="s">
        <v>619</v>
      </c>
      <c r="N20" t="s">
        <v>619</v>
      </c>
      <c r="O20" t="s">
        <v>619</v>
      </c>
    </row>
    <row r="21" spans="1:15" x14ac:dyDescent="0.25">
      <c r="A21" s="84">
        <f t="shared" si="0"/>
        <v>20</v>
      </c>
      <c r="B21" s="8" t="s">
        <v>290</v>
      </c>
      <c r="C21" s="9">
        <v>45308</v>
      </c>
      <c r="D21" t="s">
        <v>298</v>
      </c>
      <c r="E21" t="s">
        <v>299</v>
      </c>
      <c r="F21" t="s">
        <v>300</v>
      </c>
      <c r="G21" t="s">
        <v>195</v>
      </c>
      <c r="H21" s="59">
        <v>975</v>
      </c>
      <c r="I21" t="s">
        <v>301</v>
      </c>
      <c r="J21" t="s">
        <v>302</v>
      </c>
      <c r="K21" t="s">
        <v>619</v>
      </c>
      <c r="L21" t="s">
        <v>619</v>
      </c>
      <c r="M21" t="s">
        <v>619</v>
      </c>
      <c r="N21" t="s">
        <v>619</v>
      </c>
      <c r="O21" t="s">
        <v>619</v>
      </c>
    </row>
    <row r="22" spans="1:15" x14ac:dyDescent="0.25">
      <c r="A22">
        <f t="shared" si="0"/>
        <v>21</v>
      </c>
      <c r="B22" s="8" t="s">
        <v>303</v>
      </c>
      <c r="C22" s="9">
        <v>44944</v>
      </c>
      <c r="D22" t="s">
        <v>304</v>
      </c>
      <c r="E22" t="s">
        <v>305</v>
      </c>
      <c r="F22" t="s">
        <v>306</v>
      </c>
      <c r="G22" t="s">
        <v>195</v>
      </c>
      <c r="H22" s="59">
        <v>4016.7</v>
      </c>
      <c r="I22" t="s">
        <v>307</v>
      </c>
      <c r="J22" t="s">
        <v>317</v>
      </c>
      <c r="K22" t="s">
        <v>619</v>
      </c>
      <c r="L22" t="s">
        <v>619</v>
      </c>
      <c r="M22" t="s">
        <v>619</v>
      </c>
      <c r="N22" t="s">
        <v>619</v>
      </c>
      <c r="O22" t="s">
        <v>619</v>
      </c>
    </row>
    <row r="23" spans="1:15" x14ac:dyDescent="0.25">
      <c r="A23">
        <f t="shared" si="0"/>
        <v>22</v>
      </c>
      <c r="B23" s="8" t="s">
        <v>308</v>
      </c>
      <c r="C23" s="9">
        <v>45308</v>
      </c>
      <c r="D23" t="s">
        <v>313</v>
      </c>
      <c r="E23" t="s">
        <v>314</v>
      </c>
      <c r="F23" t="s">
        <v>315</v>
      </c>
      <c r="G23" t="s">
        <v>195</v>
      </c>
      <c r="H23" s="59">
        <v>2162</v>
      </c>
      <c r="I23" t="s">
        <v>316</v>
      </c>
      <c r="J23" t="s">
        <v>343</v>
      </c>
      <c r="K23" t="s">
        <v>619</v>
      </c>
      <c r="L23" t="s">
        <v>619</v>
      </c>
      <c r="M23" t="s">
        <v>619</v>
      </c>
      <c r="N23" t="s">
        <v>619</v>
      </c>
      <c r="O23" t="s">
        <v>619</v>
      </c>
    </row>
    <row r="24" spans="1:15" x14ac:dyDescent="0.25">
      <c r="A24" s="84">
        <f t="shared" si="0"/>
        <v>23</v>
      </c>
      <c r="B24" s="8" t="s">
        <v>309</v>
      </c>
      <c r="C24" s="9">
        <v>45310</v>
      </c>
      <c r="D24" t="s">
        <v>318</v>
      </c>
      <c r="E24" t="s">
        <v>319</v>
      </c>
      <c r="F24" t="s">
        <v>320</v>
      </c>
      <c r="G24" t="s">
        <v>118</v>
      </c>
      <c r="H24" s="59">
        <v>276</v>
      </c>
      <c r="I24" t="s">
        <v>321</v>
      </c>
      <c r="J24" t="s">
        <v>322</v>
      </c>
      <c r="K24" t="s">
        <v>619</v>
      </c>
      <c r="L24" t="s">
        <v>619</v>
      </c>
      <c r="M24" t="s">
        <v>619</v>
      </c>
      <c r="N24" t="s">
        <v>619</v>
      </c>
      <c r="O24" t="s">
        <v>619</v>
      </c>
    </row>
    <row r="25" spans="1:15" x14ac:dyDescent="0.25">
      <c r="A25" s="82">
        <f t="shared" si="0"/>
        <v>24</v>
      </c>
      <c r="B25" s="8" t="s">
        <v>310</v>
      </c>
      <c r="C25" s="9">
        <v>45310</v>
      </c>
      <c r="D25" t="s">
        <v>270</v>
      </c>
      <c r="E25" t="s">
        <v>271</v>
      </c>
      <c r="F25" t="s">
        <v>272</v>
      </c>
      <c r="G25" t="s">
        <v>118</v>
      </c>
      <c r="H25" s="59">
        <v>2688</v>
      </c>
      <c r="I25" t="s">
        <v>323</v>
      </c>
      <c r="J25" t="s">
        <v>344</v>
      </c>
      <c r="K25" t="s">
        <v>619</v>
      </c>
      <c r="L25" t="s">
        <v>619</v>
      </c>
      <c r="M25" t="s">
        <v>619</v>
      </c>
      <c r="N25" t="s">
        <v>619</v>
      </c>
      <c r="O25" t="s">
        <v>619</v>
      </c>
    </row>
    <row r="26" spans="1:15" x14ac:dyDescent="0.25">
      <c r="A26">
        <f t="shared" si="0"/>
        <v>25</v>
      </c>
      <c r="B26" s="8" t="s">
        <v>311</v>
      </c>
      <c r="C26" s="9">
        <v>45311</v>
      </c>
      <c r="D26" t="s">
        <v>515</v>
      </c>
      <c r="E26" t="s">
        <v>324</v>
      </c>
      <c r="F26" t="s">
        <v>325</v>
      </c>
      <c r="G26" t="s">
        <v>326</v>
      </c>
      <c r="H26" s="59">
        <v>3386</v>
      </c>
      <c r="I26" t="s">
        <v>327</v>
      </c>
      <c r="J26" t="s">
        <v>345</v>
      </c>
      <c r="K26" t="s">
        <v>619</v>
      </c>
      <c r="L26" t="s">
        <v>619</v>
      </c>
      <c r="M26" t="s">
        <v>619</v>
      </c>
      <c r="N26" t="s">
        <v>619</v>
      </c>
      <c r="O26" t="s">
        <v>619</v>
      </c>
    </row>
    <row r="27" spans="1:15" x14ac:dyDescent="0.25">
      <c r="A27">
        <f t="shared" si="0"/>
        <v>26</v>
      </c>
      <c r="B27" s="8" t="s">
        <v>312</v>
      </c>
      <c r="C27" s="9">
        <v>45313</v>
      </c>
      <c r="D27" t="s">
        <v>328</v>
      </c>
      <c r="E27" t="s">
        <v>329</v>
      </c>
      <c r="F27" t="s">
        <v>330</v>
      </c>
      <c r="G27" t="s">
        <v>119</v>
      </c>
      <c r="H27" s="59">
        <v>2327</v>
      </c>
      <c r="I27" t="s">
        <v>331</v>
      </c>
      <c r="J27" t="s">
        <v>236</v>
      </c>
      <c r="K27" t="s">
        <v>619</v>
      </c>
      <c r="L27" t="s">
        <v>619</v>
      </c>
      <c r="M27" t="s">
        <v>619</v>
      </c>
      <c r="N27" t="s">
        <v>619</v>
      </c>
      <c r="O27" t="s">
        <v>619</v>
      </c>
    </row>
    <row r="28" spans="1:15" x14ac:dyDescent="0.25">
      <c r="A28">
        <f t="shared" si="0"/>
        <v>27</v>
      </c>
      <c r="B28" s="8" t="s">
        <v>332</v>
      </c>
      <c r="C28" s="9">
        <v>45313</v>
      </c>
      <c r="D28" t="s">
        <v>334</v>
      </c>
      <c r="E28" t="s">
        <v>335</v>
      </c>
      <c r="F28" t="s">
        <v>336</v>
      </c>
      <c r="G28" t="s">
        <v>195</v>
      </c>
      <c r="H28" s="59">
        <v>1395</v>
      </c>
      <c r="I28" t="s">
        <v>337</v>
      </c>
      <c r="J28" t="s">
        <v>338</v>
      </c>
      <c r="K28" t="s">
        <v>619</v>
      </c>
      <c r="L28" t="s">
        <v>619</v>
      </c>
      <c r="M28" t="s">
        <v>619</v>
      </c>
      <c r="N28" t="s">
        <v>619</v>
      </c>
      <c r="O28" t="s">
        <v>619</v>
      </c>
    </row>
    <row r="29" spans="1:15" x14ac:dyDescent="0.25">
      <c r="A29" s="85">
        <f t="shared" si="0"/>
        <v>28</v>
      </c>
      <c r="B29" s="8" t="s">
        <v>333</v>
      </c>
      <c r="C29" s="9">
        <v>44951</v>
      </c>
      <c r="D29" t="s">
        <v>339</v>
      </c>
      <c r="E29" t="s">
        <v>340</v>
      </c>
      <c r="F29" t="s">
        <v>341</v>
      </c>
      <c r="G29" t="s">
        <v>195</v>
      </c>
      <c r="H29" s="59">
        <v>1624</v>
      </c>
      <c r="I29" t="s">
        <v>342</v>
      </c>
      <c r="J29" t="s">
        <v>353</v>
      </c>
      <c r="K29" t="s">
        <v>619</v>
      </c>
      <c r="L29" t="s">
        <v>619</v>
      </c>
      <c r="M29" t="s">
        <v>619</v>
      </c>
      <c r="N29" t="s">
        <v>619</v>
      </c>
      <c r="O29" t="s">
        <v>619</v>
      </c>
    </row>
    <row r="30" spans="1:15" x14ac:dyDescent="0.25">
      <c r="A30" s="82">
        <f t="shared" si="0"/>
        <v>29</v>
      </c>
      <c r="B30" s="8" t="s">
        <v>346</v>
      </c>
      <c r="C30" s="9">
        <v>45317</v>
      </c>
      <c r="D30" t="s">
        <v>349</v>
      </c>
      <c r="E30" t="s">
        <v>350</v>
      </c>
      <c r="F30" t="s">
        <v>351</v>
      </c>
      <c r="G30" t="s">
        <v>118</v>
      </c>
      <c r="H30" s="59">
        <v>918</v>
      </c>
      <c r="I30" t="s">
        <v>352</v>
      </c>
      <c r="J30" t="s">
        <v>371</v>
      </c>
      <c r="K30" t="s">
        <v>619</v>
      </c>
      <c r="L30" t="s">
        <v>619</v>
      </c>
      <c r="M30" t="s">
        <v>619</v>
      </c>
      <c r="N30" t="s">
        <v>619</v>
      </c>
      <c r="O30" t="s">
        <v>619</v>
      </c>
    </row>
    <row r="31" spans="1:15" x14ac:dyDescent="0.25">
      <c r="A31" s="82">
        <f t="shared" si="0"/>
        <v>30</v>
      </c>
      <c r="B31" s="95" t="s">
        <v>347</v>
      </c>
      <c r="C31" s="9">
        <v>45317</v>
      </c>
      <c r="D31" t="s">
        <v>354</v>
      </c>
      <c r="E31" t="s">
        <v>355</v>
      </c>
      <c r="F31" t="s">
        <v>356</v>
      </c>
      <c r="G31" t="s">
        <v>118</v>
      </c>
      <c r="H31" s="59">
        <v>3433</v>
      </c>
      <c r="I31" t="s">
        <v>357</v>
      </c>
      <c r="J31" t="s">
        <v>296</v>
      </c>
      <c r="K31" t="s">
        <v>619</v>
      </c>
      <c r="L31" t="s">
        <v>619</v>
      </c>
      <c r="M31" t="s">
        <v>619</v>
      </c>
      <c r="N31" t="s">
        <v>619</v>
      </c>
      <c r="O31" t="s">
        <v>619</v>
      </c>
    </row>
    <row r="32" spans="1:15" x14ac:dyDescent="0.25">
      <c r="A32">
        <f t="shared" si="0"/>
        <v>31</v>
      </c>
      <c r="B32" s="8" t="s">
        <v>348</v>
      </c>
      <c r="C32" s="9">
        <v>45318</v>
      </c>
      <c r="D32" t="s">
        <v>358</v>
      </c>
      <c r="E32" t="s">
        <v>359</v>
      </c>
      <c r="F32" t="s">
        <v>360</v>
      </c>
      <c r="G32" t="s">
        <v>195</v>
      </c>
      <c r="H32" s="59">
        <v>1043</v>
      </c>
      <c r="I32" t="s">
        <v>190</v>
      </c>
      <c r="J32" t="s">
        <v>372</v>
      </c>
      <c r="K32" t="s">
        <v>619</v>
      </c>
      <c r="L32" t="s">
        <v>619</v>
      </c>
      <c r="M32" t="s">
        <v>619</v>
      </c>
      <c r="N32" t="s">
        <v>619</v>
      </c>
      <c r="O32" t="s">
        <v>619</v>
      </c>
    </row>
    <row r="33" spans="1:15" x14ac:dyDescent="0.25">
      <c r="A33" s="82">
        <f t="shared" si="0"/>
        <v>32</v>
      </c>
      <c r="B33" s="8" t="s">
        <v>365</v>
      </c>
      <c r="C33" s="9">
        <v>45314</v>
      </c>
      <c r="D33" t="s">
        <v>367</v>
      </c>
      <c r="E33" t="s">
        <v>369</v>
      </c>
      <c r="F33" t="s">
        <v>368</v>
      </c>
      <c r="G33" t="s">
        <v>118</v>
      </c>
      <c r="H33" s="59">
        <v>1074.4000000000001</v>
      </c>
      <c r="I33" t="s">
        <v>370</v>
      </c>
      <c r="J33" t="s">
        <v>386</v>
      </c>
      <c r="K33" t="s">
        <v>619</v>
      </c>
      <c r="L33" t="s">
        <v>619</v>
      </c>
      <c r="M33" t="s">
        <v>619</v>
      </c>
      <c r="N33" t="s">
        <v>619</v>
      </c>
      <c r="O33" t="s">
        <v>619</v>
      </c>
    </row>
    <row r="34" spans="1:15" x14ac:dyDescent="0.25">
      <c r="A34" s="82">
        <f t="shared" si="0"/>
        <v>33</v>
      </c>
      <c r="B34" s="8" t="s">
        <v>366</v>
      </c>
      <c r="C34" s="9">
        <v>45315</v>
      </c>
      <c r="D34" t="s">
        <v>373</v>
      </c>
      <c r="E34" t="s">
        <v>374</v>
      </c>
      <c r="F34" t="s">
        <v>375</v>
      </c>
      <c r="G34" t="s">
        <v>118</v>
      </c>
      <c r="H34" s="59">
        <v>2323.8000000000002</v>
      </c>
      <c r="I34" t="s">
        <v>376</v>
      </c>
      <c r="J34" t="s">
        <v>387</v>
      </c>
      <c r="K34" t="s">
        <v>619</v>
      </c>
      <c r="L34" t="s">
        <v>619</v>
      </c>
      <c r="M34" t="s">
        <v>619</v>
      </c>
      <c r="N34" t="s">
        <v>619</v>
      </c>
      <c r="O34" t="s">
        <v>619</v>
      </c>
    </row>
    <row r="35" spans="1:15" x14ac:dyDescent="0.25">
      <c r="A35">
        <f t="shared" si="0"/>
        <v>34</v>
      </c>
      <c r="B35" s="8" t="s">
        <v>381</v>
      </c>
      <c r="C35" s="9">
        <v>45321</v>
      </c>
      <c r="D35" t="s">
        <v>377</v>
      </c>
      <c r="E35" t="s">
        <v>382</v>
      </c>
      <c r="F35" t="s">
        <v>383</v>
      </c>
      <c r="G35" t="s">
        <v>195</v>
      </c>
      <c r="H35" s="59">
        <v>950</v>
      </c>
      <c r="I35" t="s">
        <v>384</v>
      </c>
      <c r="J35" t="s">
        <v>385</v>
      </c>
      <c r="K35" t="s">
        <v>619</v>
      </c>
      <c r="L35" t="s">
        <v>619</v>
      </c>
      <c r="M35" t="s">
        <v>619</v>
      </c>
      <c r="N35" t="s">
        <v>619</v>
      </c>
      <c r="O35" t="s">
        <v>619</v>
      </c>
    </row>
    <row r="36" spans="1:15" x14ac:dyDescent="0.25">
      <c r="A36">
        <f t="shared" si="0"/>
        <v>35</v>
      </c>
      <c r="B36" s="8" t="s">
        <v>388</v>
      </c>
      <c r="C36" s="9">
        <v>45322</v>
      </c>
      <c r="D36" t="s">
        <v>379</v>
      </c>
      <c r="E36" t="s">
        <v>389</v>
      </c>
      <c r="F36" t="s">
        <v>390</v>
      </c>
      <c r="G36" t="s">
        <v>195</v>
      </c>
      <c r="H36" s="59">
        <v>2110.5</v>
      </c>
      <c r="I36" t="s">
        <v>391</v>
      </c>
      <c r="J36" t="s">
        <v>392</v>
      </c>
      <c r="K36" t="s">
        <v>619</v>
      </c>
      <c r="L36" t="s">
        <v>619</v>
      </c>
      <c r="M36" t="s">
        <v>619</v>
      </c>
      <c r="N36" t="s">
        <v>619</v>
      </c>
      <c r="O36" t="s">
        <v>619</v>
      </c>
    </row>
    <row r="37" spans="1:15" x14ac:dyDescent="0.25">
      <c r="A37" s="82">
        <f t="shared" si="0"/>
        <v>36</v>
      </c>
      <c r="B37" s="8" t="s">
        <v>393</v>
      </c>
      <c r="C37" s="9">
        <v>45311</v>
      </c>
      <c r="D37" t="s">
        <v>398</v>
      </c>
      <c r="E37" t="s">
        <v>399</v>
      </c>
      <c r="F37" t="s">
        <v>400</v>
      </c>
      <c r="G37" t="s">
        <v>118</v>
      </c>
      <c r="H37" s="59">
        <v>2122</v>
      </c>
      <c r="I37" t="s">
        <v>401</v>
      </c>
      <c r="J37" t="s">
        <v>392</v>
      </c>
      <c r="K37" t="s">
        <v>619</v>
      </c>
      <c r="L37" t="s">
        <v>619</v>
      </c>
      <c r="M37" t="s">
        <v>619</v>
      </c>
      <c r="N37" t="s">
        <v>619</v>
      </c>
      <c r="O37" t="s">
        <v>619</v>
      </c>
    </row>
    <row r="38" spans="1:15" x14ac:dyDescent="0.25">
      <c r="A38" s="82">
        <f t="shared" si="0"/>
        <v>37</v>
      </c>
      <c r="B38" s="8" t="s">
        <v>394</v>
      </c>
      <c r="C38" s="9">
        <v>45311</v>
      </c>
      <c r="D38" t="s">
        <v>349</v>
      </c>
      <c r="E38" t="s">
        <v>350</v>
      </c>
      <c r="F38" t="s">
        <v>351</v>
      </c>
      <c r="G38" t="s">
        <v>118</v>
      </c>
      <c r="H38" s="59">
        <v>340</v>
      </c>
      <c r="I38" t="s">
        <v>402</v>
      </c>
      <c r="J38" t="s">
        <v>407</v>
      </c>
      <c r="K38" t="s">
        <v>619</v>
      </c>
      <c r="L38" t="s">
        <v>619</v>
      </c>
      <c r="M38" t="s">
        <v>619</v>
      </c>
      <c r="N38" t="s">
        <v>619</v>
      </c>
      <c r="O38" t="s">
        <v>619</v>
      </c>
    </row>
    <row r="39" spans="1:15" x14ac:dyDescent="0.25">
      <c r="A39">
        <f t="shared" si="0"/>
        <v>38</v>
      </c>
      <c r="B39" s="8" t="s">
        <v>395</v>
      </c>
      <c r="C39" s="9">
        <v>45320</v>
      </c>
      <c r="D39" t="s">
        <v>618</v>
      </c>
      <c r="E39" t="s">
        <v>404</v>
      </c>
      <c r="F39" t="s">
        <v>405</v>
      </c>
      <c r="G39" t="s">
        <v>195</v>
      </c>
      <c r="H39" s="59">
        <v>2364</v>
      </c>
      <c r="I39" t="s">
        <v>406</v>
      </c>
      <c r="J39" t="s">
        <v>446</v>
      </c>
      <c r="K39" t="s">
        <v>619</v>
      </c>
      <c r="L39" t="s">
        <v>619</v>
      </c>
      <c r="M39" t="s">
        <v>619</v>
      </c>
      <c r="N39" t="s">
        <v>619</v>
      </c>
      <c r="O39" t="s">
        <v>619</v>
      </c>
    </row>
    <row r="40" spans="1:15" x14ac:dyDescent="0.25">
      <c r="A40" s="83">
        <f t="shared" si="0"/>
        <v>39</v>
      </c>
      <c r="B40" s="8" t="s">
        <v>396</v>
      </c>
      <c r="C40" s="9">
        <v>45324</v>
      </c>
      <c r="D40" t="s">
        <v>558</v>
      </c>
      <c r="E40" t="s">
        <v>408</v>
      </c>
      <c r="F40" t="s">
        <v>409</v>
      </c>
      <c r="G40" t="s">
        <v>118</v>
      </c>
      <c r="H40" s="59">
        <v>3130.49</v>
      </c>
      <c r="I40" t="s">
        <v>410</v>
      </c>
      <c r="J40" t="s">
        <v>445</v>
      </c>
      <c r="K40" t="s">
        <v>619</v>
      </c>
      <c r="L40" t="s">
        <v>619</v>
      </c>
      <c r="M40" t="s">
        <v>619</v>
      </c>
      <c r="N40" t="s">
        <v>619</v>
      </c>
      <c r="O40" t="s">
        <v>619</v>
      </c>
    </row>
    <row r="41" spans="1:15" x14ac:dyDescent="0.25">
      <c r="A41" s="82">
        <f t="shared" si="0"/>
        <v>40</v>
      </c>
      <c r="B41" s="8" t="s">
        <v>397</v>
      </c>
      <c r="C41" s="9">
        <v>45329</v>
      </c>
      <c r="D41" t="s">
        <v>411</v>
      </c>
      <c r="E41" t="s">
        <v>412</v>
      </c>
      <c r="F41" t="s">
        <v>413</v>
      </c>
      <c r="G41" t="s">
        <v>118</v>
      </c>
      <c r="H41" s="59">
        <v>2066.46</v>
      </c>
      <c r="I41" t="s">
        <v>414</v>
      </c>
      <c r="J41" t="s">
        <v>265</v>
      </c>
      <c r="K41" t="s">
        <v>619</v>
      </c>
      <c r="L41" t="s">
        <v>619</v>
      </c>
      <c r="M41" t="s">
        <v>619</v>
      </c>
      <c r="N41" t="s">
        <v>619</v>
      </c>
      <c r="O41" t="s">
        <v>619</v>
      </c>
    </row>
    <row r="42" spans="1:15" x14ac:dyDescent="0.25">
      <c r="A42">
        <f t="shared" si="0"/>
        <v>41</v>
      </c>
      <c r="B42" s="8" t="s">
        <v>415</v>
      </c>
      <c r="C42" s="9">
        <v>45329</v>
      </c>
      <c r="D42" t="s">
        <v>416</v>
      </c>
      <c r="E42" t="s">
        <v>417</v>
      </c>
      <c r="F42" t="s">
        <v>418</v>
      </c>
      <c r="G42" t="s">
        <v>195</v>
      </c>
      <c r="H42" s="59">
        <v>3096</v>
      </c>
      <c r="I42" t="s">
        <v>419</v>
      </c>
      <c r="J42" t="s">
        <v>447</v>
      </c>
      <c r="K42" t="s">
        <v>619</v>
      </c>
      <c r="L42" t="s">
        <v>619</v>
      </c>
      <c r="M42" t="s">
        <v>619</v>
      </c>
      <c r="N42" t="s">
        <v>619</v>
      </c>
      <c r="O42" t="s">
        <v>619</v>
      </c>
    </row>
    <row r="43" spans="1:15" x14ac:dyDescent="0.25">
      <c r="A43">
        <f t="shared" si="0"/>
        <v>42</v>
      </c>
      <c r="B43" s="8" t="s">
        <v>420</v>
      </c>
      <c r="C43" s="9">
        <v>45331</v>
      </c>
      <c r="D43" t="s">
        <v>421</v>
      </c>
      <c r="E43" t="s">
        <v>422</v>
      </c>
      <c r="F43" t="s">
        <v>423</v>
      </c>
      <c r="G43" t="s">
        <v>195</v>
      </c>
      <c r="H43" s="59">
        <v>1431</v>
      </c>
      <c r="I43" t="s">
        <v>424</v>
      </c>
      <c r="J43" t="s">
        <v>228</v>
      </c>
      <c r="K43" t="s">
        <v>619</v>
      </c>
      <c r="L43" t="s">
        <v>619</v>
      </c>
      <c r="M43" t="s">
        <v>619</v>
      </c>
      <c r="N43" t="s">
        <v>619</v>
      </c>
      <c r="O43" t="s">
        <v>619</v>
      </c>
    </row>
    <row r="44" spans="1:15" x14ac:dyDescent="0.25">
      <c r="A44" s="82">
        <f t="shared" si="0"/>
        <v>43</v>
      </c>
      <c r="B44" s="95" t="s">
        <v>425</v>
      </c>
      <c r="C44" s="9">
        <v>45337</v>
      </c>
      <c r="D44" t="s">
        <v>426</v>
      </c>
      <c r="G44" t="s">
        <v>118</v>
      </c>
      <c r="H44" s="59">
        <v>3710</v>
      </c>
      <c r="I44" t="s">
        <v>427</v>
      </c>
      <c r="J44" t="s">
        <v>428</v>
      </c>
      <c r="K44" t="s">
        <v>619</v>
      </c>
      <c r="L44" t="s">
        <v>619</v>
      </c>
      <c r="M44" t="s">
        <v>619</v>
      </c>
      <c r="N44" t="s">
        <v>619</v>
      </c>
      <c r="O44" t="s">
        <v>619</v>
      </c>
    </row>
    <row r="45" spans="1:15" x14ac:dyDescent="0.25">
      <c r="A45" s="82">
        <f t="shared" si="0"/>
        <v>44</v>
      </c>
      <c r="B45" s="8" t="s">
        <v>429</v>
      </c>
      <c r="C45" s="9">
        <v>45338</v>
      </c>
      <c r="D45" t="s">
        <v>430</v>
      </c>
      <c r="E45" t="s">
        <v>431</v>
      </c>
      <c r="F45" t="s">
        <v>432</v>
      </c>
      <c r="G45" t="s">
        <v>118</v>
      </c>
      <c r="H45" s="59">
        <v>1305.72</v>
      </c>
      <c r="I45" t="s">
        <v>402</v>
      </c>
      <c r="J45" t="s">
        <v>448</v>
      </c>
      <c r="K45" t="s">
        <v>619</v>
      </c>
      <c r="L45" t="s">
        <v>619</v>
      </c>
      <c r="M45" t="s">
        <v>619</v>
      </c>
      <c r="N45" t="s">
        <v>619</v>
      </c>
      <c r="O45" t="s">
        <v>619</v>
      </c>
    </row>
    <row r="46" spans="1:15" x14ac:dyDescent="0.25">
      <c r="A46" s="82">
        <f t="shared" si="0"/>
        <v>45</v>
      </c>
      <c r="B46" s="8" t="s">
        <v>433</v>
      </c>
      <c r="C46" s="9">
        <v>45341</v>
      </c>
      <c r="D46" t="s">
        <v>434</v>
      </c>
      <c r="E46" t="s">
        <v>435</v>
      </c>
      <c r="F46" t="s">
        <v>436</v>
      </c>
      <c r="G46" t="s">
        <v>118</v>
      </c>
      <c r="H46" s="59">
        <v>1453</v>
      </c>
      <c r="I46" t="s">
        <v>437</v>
      </c>
      <c r="J46" t="s">
        <v>438</v>
      </c>
      <c r="K46" t="s">
        <v>619</v>
      </c>
      <c r="L46" t="s">
        <v>619</v>
      </c>
      <c r="M46" t="s">
        <v>619</v>
      </c>
      <c r="N46" t="s">
        <v>619</v>
      </c>
      <c r="O46" t="s">
        <v>619</v>
      </c>
    </row>
    <row r="47" spans="1:15" x14ac:dyDescent="0.25">
      <c r="A47" s="83">
        <f t="shared" si="0"/>
        <v>46</v>
      </c>
      <c r="B47" s="8" t="s">
        <v>439</v>
      </c>
      <c r="C47" s="9">
        <v>45346</v>
      </c>
      <c r="D47" t="s">
        <v>441</v>
      </c>
      <c r="E47" t="s">
        <v>442</v>
      </c>
      <c r="F47" t="s">
        <v>443</v>
      </c>
      <c r="G47" t="s">
        <v>118</v>
      </c>
      <c r="H47" s="59">
        <v>1774.8</v>
      </c>
      <c r="I47" t="s">
        <v>444</v>
      </c>
      <c r="J47" t="s">
        <v>245</v>
      </c>
      <c r="K47" t="s">
        <v>619</v>
      </c>
      <c r="L47" t="s">
        <v>619</v>
      </c>
      <c r="M47" t="s">
        <v>619</v>
      </c>
      <c r="N47" t="s">
        <v>619</v>
      </c>
      <c r="O47" t="s">
        <v>619</v>
      </c>
    </row>
    <row r="48" spans="1:15" x14ac:dyDescent="0.25">
      <c r="A48" s="83">
        <f t="shared" si="0"/>
        <v>47</v>
      </c>
      <c r="B48" s="8" t="s">
        <v>440</v>
      </c>
      <c r="C48" s="9">
        <v>45346</v>
      </c>
      <c r="D48" t="s">
        <v>449</v>
      </c>
      <c r="E48" t="s">
        <v>450</v>
      </c>
      <c r="F48" t="s">
        <v>451</v>
      </c>
      <c r="G48" t="s">
        <v>118</v>
      </c>
      <c r="H48" s="59">
        <v>2524.16</v>
      </c>
      <c r="I48" t="s">
        <v>452</v>
      </c>
      <c r="J48" t="s">
        <v>453</v>
      </c>
      <c r="K48" t="s">
        <v>619</v>
      </c>
      <c r="L48" t="s">
        <v>619</v>
      </c>
      <c r="M48" t="s">
        <v>619</v>
      </c>
      <c r="N48" t="s">
        <v>619</v>
      </c>
      <c r="O48" t="s">
        <v>619</v>
      </c>
    </row>
    <row r="49" spans="1:15" x14ac:dyDescent="0.25">
      <c r="A49" s="82">
        <f t="shared" si="0"/>
        <v>48</v>
      </c>
      <c r="B49" s="8" t="s">
        <v>454</v>
      </c>
      <c r="C49" s="9">
        <v>45348</v>
      </c>
      <c r="D49" t="s">
        <v>455</v>
      </c>
      <c r="E49" t="s">
        <v>456</v>
      </c>
      <c r="F49" t="s">
        <v>457</v>
      </c>
      <c r="G49" t="s">
        <v>118</v>
      </c>
      <c r="H49" s="59">
        <v>534</v>
      </c>
      <c r="I49" t="s">
        <v>458</v>
      </c>
      <c r="J49" t="s">
        <v>464</v>
      </c>
      <c r="K49" t="s">
        <v>619</v>
      </c>
      <c r="L49" t="s">
        <v>619</v>
      </c>
      <c r="M49" t="s">
        <v>619</v>
      </c>
      <c r="N49" t="s">
        <v>619</v>
      </c>
      <c r="O49" t="s">
        <v>619</v>
      </c>
    </row>
    <row r="50" spans="1:15" x14ac:dyDescent="0.25">
      <c r="A50" s="82">
        <f t="shared" si="0"/>
        <v>49</v>
      </c>
      <c r="B50" s="8" t="s">
        <v>459</v>
      </c>
      <c r="C50" s="9">
        <v>45317</v>
      </c>
      <c r="D50" t="s">
        <v>460</v>
      </c>
      <c r="E50" t="s">
        <v>461</v>
      </c>
      <c r="F50" t="s">
        <v>462</v>
      </c>
      <c r="G50" t="s">
        <v>118</v>
      </c>
      <c r="H50" s="59">
        <v>1668.22</v>
      </c>
      <c r="I50" t="s">
        <v>463</v>
      </c>
      <c r="J50" t="s">
        <v>236</v>
      </c>
      <c r="K50" t="s">
        <v>619</v>
      </c>
      <c r="L50" t="s">
        <v>619</v>
      </c>
      <c r="M50" t="s">
        <v>619</v>
      </c>
      <c r="N50" t="s">
        <v>619</v>
      </c>
      <c r="O50" t="s">
        <v>619</v>
      </c>
    </row>
    <row r="51" spans="1:15" x14ac:dyDescent="0.25">
      <c r="A51">
        <f t="shared" si="0"/>
        <v>50</v>
      </c>
      <c r="B51" s="95" t="s">
        <v>465</v>
      </c>
      <c r="C51" s="9">
        <v>45343</v>
      </c>
      <c r="D51" t="s">
        <v>471</v>
      </c>
      <c r="E51" t="s">
        <v>472</v>
      </c>
      <c r="F51" t="s">
        <v>473</v>
      </c>
      <c r="G51" t="s">
        <v>119</v>
      </c>
      <c r="H51" s="59">
        <v>5010</v>
      </c>
      <c r="I51" t="s">
        <v>474</v>
      </c>
      <c r="J51" t="s">
        <v>480</v>
      </c>
      <c r="K51" t="s">
        <v>619</v>
      </c>
      <c r="L51" t="s">
        <v>619</v>
      </c>
      <c r="M51" t="s">
        <v>619</v>
      </c>
      <c r="N51" t="s">
        <v>619</v>
      </c>
      <c r="O51" t="s">
        <v>619</v>
      </c>
    </row>
    <row r="52" spans="1:15" x14ac:dyDescent="0.25">
      <c r="A52">
        <f t="shared" si="0"/>
        <v>51</v>
      </c>
      <c r="B52" s="8" t="s">
        <v>466</v>
      </c>
      <c r="C52" s="9">
        <v>45350</v>
      </c>
      <c r="D52" t="s">
        <v>475</v>
      </c>
      <c r="E52" t="s">
        <v>476</v>
      </c>
      <c r="F52" t="s">
        <v>477</v>
      </c>
      <c r="G52" t="s">
        <v>195</v>
      </c>
      <c r="H52" s="59">
        <v>966</v>
      </c>
      <c r="I52" t="s">
        <v>478</v>
      </c>
      <c r="J52" t="s">
        <v>236</v>
      </c>
      <c r="K52" t="s">
        <v>619</v>
      </c>
      <c r="L52" t="s">
        <v>619</v>
      </c>
      <c r="M52" t="s">
        <v>619</v>
      </c>
      <c r="N52" t="s">
        <v>619</v>
      </c>
      <c r="O52" t="s">
        <v>619</v>
      </c>
    </row>
    <row r="53" spans="1:15" x14ac:dyDescent="0.25">
      <c r="A53" s="82">
        <f t="shared" si="0"/>
        <v>52</v>
      </c>
      <c r="B53" s="8" t="s">
        <v>467</v>
      </c>
      <c r="C53" s="9">
        <v>45311</v>
      </c>
      <c r="D53" t="s">
        <v>349</v>
      </c>
      <c r="E53" t="s">
        <v>350</v>
      </c>
      <c r="F53" t="s">
        <v>351</v>
      </c>
      <c r="G53" t="s">
        <v>118</v>
      </c>
      <c r="H53" s="59">
        <v>881.84</v>
      </c>
      <c r="I53" t="s">
        <v>479</v>
      </c>
      <c r="J53" t="s">
        <v>392</v>
      </c>
      <c r="K53" t="s">
        <v>619</v>
      </c>
      <c r="L53" t="s">
        <v>619</v>
      </c>
      <c r="M53" t="s">
        <v>619</v>
      </c>
      <c r="N53" t="s">
        <v>619</v>
      </c>
      <c r="O53" t="s">
        <v>619</v>
      </c>
    </row>
    <row r="54" spans="1:15" x14ac:dyDescent="0.25">
      <c r="A54" s="82">
        <f t="shared" si="0"/>
        <v>53</v>
      </c>
      <c r="B54" s="8" t="s">
        <v>468</v>
      </c>
      <c r="C54" s="9">
        <v>45321</v>
      </c>
      <c r="D54" t="s">
        <v>481</v>
      </c>
      <c r="E54" t="s">
        <v>482</v>
      </c>
      <c r="F54" t="s">
        <v>483</v>
      </c>
      <c r="G54" t="s">
        <v>118</v>
      </c>
      <c r="H54" s="59">
        <v>2000</v>
      </c>
      <c r="I54" t="s">
        <v>484</v>
      </c>
      <c r="J54" t="s">
        <v>392</v>
      </c>
      <c r="K54" t="s">
        <v>619</v>
      </c>
      <c r="L54" t="s">
        <v>619</v>
      </c>
      <c r="M54" t="s">
        <v>619</v>
      </c>
      <c r="N54" t="s">
        <v>619</v>
      </c>
      <c r="O54" t="s">
        <v>619</v>
      </c>
    </row>
    <row r="55" spans="1:15" x14ac:dyDescent="0.25">
      <c r="A55" s="83">
        <f t="shared" si="0"/>
        <v>54</v>
      </c>
      <c r="B55" s="8" t="s">
        <v>469</v>
      </c>
      <c r="C55" s="9">
        <v>45351</v>
      </c>
      <c r="D55" t="s">
        <v>485</v>
      </c>
      <c r="E55" t="s">
        <v>486</v>
      </c>
      <c r="F55" t="s">
        <v>487</v>
      </c>
      <c r="G55" t="s">
        <v>118</v>
      </c>
      <c r="H55" s="59">
        <v>1648.36</v>
      </c>
      <c r="I55" t="s">
        <v>488</v>
      </c>
      <c r="J55" t="s">
        <v>236</v>
      </c>
      <c r="K55" t="s">
        <v>619</v>
      </c>
      <c r="L55" t="s">
        <v>619</v>
      </c>
      <c r="M55" t="s">
        <v>619</v>
      </c>
      <c r="N55" t="s">
        <v>619</v>
      </c>
      <c r="O55" t="s">
        <v>619</v>
      </c>
    </row>
    <row r="56" spans="1:15" x14ac:dyDescent="0.25">
      <c r="A56" s="84">
        <f t="shared" si="0"/>
        <v>55</v>
      </c>
      <c r="B56" s="8" t="s">
        <v>470</v>
      </c>
      <c r="C56" s="9">
        <v>45351</v>
      </c>
      <c r="D56" t="s">
        <v>489</v>
      </c>
      <c r="E56" t="s">
        <v>490</v>
      </c>
      <c r="F56" t="s">
        <v>491</v>
      </c>
      <c r="G56" t="s">
        <v>195</v>
      </c>
      <c r="H56" s="59">
        <v>1640</v>
      </c>
      <c r="I56" t="s">
        <v>492</v>
      </c>
      <c r="J56" t="s">
        <v>493</v>
      </c>
      <c r="K56" t="s">
        <v>619</v>
      </c>
      <c r="L56" t="s">
        <v>619</v>
      </c>
      <c r="M56" t="s">
        <v>619</v>
      </c>
      <c r="N56" t="s">
        <v>619</v>
      </c>
      <c r="O56" t="s">
        <v>619</v>
      </c>
    </row>
    <row r="57" spans="1:15" x14ac:dyDescent="0.25">
      <c r="A57" s="82">
        <f t="shared" si="0"/>
        <v>56</v>
      </c>
      <c r="B57" s="8" t="s">
        <v>494</v>
      </c>
      <c r="C57" s="9">
        <v>45350</v>
      </c>
      <c r="D57" t="s">
        <v>498</v>
      </c>
      <c r="E57" s="9" t="s">
        <v>499</v>
      </c>
      <c r="F57" t="s">
        <v>500</v>
      </c>
      <c r="G57" t="s">
        <v>118</v>
      </c>
      <c r="H57" s="59">
        <v>1089</v>
      </c>
      <c r="I57" t="s">
        <v>501</v>
      </c>
      <c r="J57" t="s">
        <v>502</v>
      </c>
      <c r="K57" t="s">
        <v>619</v>
      </c>
      <c r="L57" t="s">
        <v>619</v>
      </c>
      <c r="M57" t="s">
        <v>619</v>
      </c>
      <c r="N57" t="s">
        <v>619</v>
      </c>
      <c r="O57" t="s">
        <v>619</v>
      </c>
    </row>
    <row r="58" spans="1:15" x14ac:dyDescent="0.25">
      <c r="A58">
        <f t="shared" si="0"/>
        <v>57</v>
      </c>
      <c r="B58" s="8" t="s">
        <v>495</v>
      </c>
      <c r="C58" s="9">
        <v>45352</v>
      </c>
      <c r="D58" t="s">
        <v>503</v>
      </c>
      <c r="E58" t="s">
        <v>504</v>
      </c>
      <c r="F58" t="s">
        <v>505</v>
      </c>
      <c r="G58" t="s">
        <v>195</v>
      </c>
      <c r="H58" s="59">
        <v>2649</v>
      </c>
      <c r="I58" t="s">
        <v>506</v>
      </c>
      <c r="J58" t="s">
        <v>502</v>
      </c>
      <c r="K58" t="s">
        <v>619</v>
      </c>
      <c r="L58" t="s">
        <v>619</v>
      </c>
      <c r="M58" t="s">
        <v>619</v>
      </c>
      <c r="N58" t="s">
        <v>619</v>
      </c>
      <c r="O58" t="s">
        <v>619</v>
      </c>
    </row>
    <row r="59" spans="1:15" x14ac:dyDescent="0.25">
      <c r="A59" s="82">
        <f t="shared" si="0"/>
        <v>58</v>
      </c>
      <c r="B59" s="8" t="s">
        <v>496</v>
      </c>
      <c r="C59" s="9">
        <v>45352</v>
      </c>
      <c r="D59" t="s">
        <v>507</v>
      </c>
      <c r="E59" t="s">
        <v>508</v>
      </c>
      <c r="F59" t="s">
        <v>509</v>
      </c>
      <c r="G59" t="s">
        <v>118</v>
      </c>
      <c r="H59" s="59">
        <v>1670</v>
      </c>
      <c r="I59" t="s">
        <v>510</v>
      </c>
      <c r="J59" t="s">
        <v>502</v>
      </c>
      <c r="K59" t="s">
        <v>619</v>
      </c>
      <c r="L59" t="s">
        <v>619</v>
      </c>
      <c r="M59" t="s">
        <v>619</v>
      </c>
      <c r="N59" t="s">
        <v>619</v>
      </c>
      <c r="O59" t="s">
        <v>619</v>
      </c>
    </row>
    <row r="60" spans="1:15" x14ac:dyDescent="0.25">
      <c r="A60" s="82">
        <f t="shared" si="0"/>
        <v>59</v>
      </c>
      <c r="B60" s="8" t="s">
        <v>497</v>
      </c>
      <c r="C60" s="9">
        <v>45353</v>
      </c>
      <c r="D60" t="s">
        <v>511</v>
      </c>
      <c r="E60" t="s">
        <v>512</v>
      </c>
      <c r="F60" t="s">
        <v>513</v>
      </c>
      <c r="G60" t="s">
        <v>118</v>
      </c>
      <c r="H60" s="59">
        <v>1328</v>
      </c>
      <c r="I60" t="s">
        <v>514</v>
      </c>
      <c r="J60" t="s">
        <v>502</v>
      </c>
      <c r="K60" t="s">
        <v>619</v>
      </c>
      <c r="L60" t="s">
        <v>619</v>
      </c>
      <c r="M60" t="s">
        <v>619</v>
      </c>
      <c r="N60" t="s">
        <v>619</v>
      </c>
      <c r="O60" t="s">
        <v>619</v>
      </c>
    </row>
    <row r="61" spans="1:15" x14ac:dyDescent="0.25">
      <c r="A61" s="82">
        <f t="shared" si="0"/>
        <v>60</v>
      </c>
      <c r="B61" s="8" t="s">
        <v>518</v>
      </c>
      <c r="C61" s="9">
        <v>45344</v>
      </c>
      <c r="D61" t="s">
        <v>523</v>
      </c>
      <c r="E61" t="s">
        <v>524</v>
      </c>
      <c r="F61" t="s">
        <v>525</v>
      </c>
      <c r="G61" t="s">
        <v>118</v>
      </c>
      <c r="H61" s="59">
        <v>2109.36</v>
      </c>
      <c r="I61" t="s">
        <v>526</v>
      </c>
      <c r="J61" t="s">
        <v>527</v>
      </c>
      <c r="K61" t="s">
        <v>619</v>
      </c>
      <c r="L61" t="s">
        <v>619</v>
      </c>
      <c r="M61" t="s">
        <v>619</v>
      </c>
      <c r="N61" t="s">
        <v>619</v>
      </c>
      <c r="O61" t="s">
        <v>619</v>
      </c>
    </row>
    <row r="62" spans="1:15" x14ac:dyDescent="0.25">
      <c r="A62" s="82">
        <f t="shared" si="0"/>
        <v>61</v>
      </c>
      <c r="B62" s="8" t="s">
        <v>519</v>
      </c>
      <c r="C62" s="9">
        <v>45344</v>
      </c>
      <c r="D62" t="s">
        <v>528</v>
      </c>
      <c r="E62" t="s">
        <v>529</v>
      </c>
      <c r="F62" t="s">
        <v>530</v>
      </c>
      <c r="G62" t="s">
        <v>118</v>
      </c>
      <c r="H62" s="59">
        <v>1509</v>
      </c>
      <c r="I62" t="s">
        <v>531</v>
      </c>
      <c r="J62" t="s">
        <v>551</v>
      </c>
      <c r="K62" t="s">
        <v>619</v>
      </c>
      <c r="L62" t="s">
        <v>619</v>
      </c>
      <c r="M62" t="s">
        <v>619</v>
      </c>
      <c r="N62" t="s">
        <v>619</v>
      </c>
      <c r="O62" t="s">
        <v>619</v>
      </c>
    </row>
    <row r="63" spans="1:15" x14ac:dyDescent="0.25">
      <c r="A63">
        <f t="shared" si="0"/>
        <v>62</v>
      </c>
      <c r="B63" s="8" t="s">
        <v>520</v>
      </c>
      <c r="C63" s="9">
        <v>45356</v>
      </c>
      <c r="D63" t="s">
        <v>532</v>
      </c>
      <c r="E63" t="s">
        <v>533</v>
      </c>
      <c r="F63" t="s">
        <v>534</v>
      </c>
      <c r="G63" t="s">
        <v>195</v>
      </c>
      <c r="H63" s="59">
        <v>1635</v>
      </c>
      <c r="I63" t="s">
        <v>535</v>
      </c>
      <c r="J63" t="s">
        <v>536</v>
      </c>
      <c r="K63" t="s">
        <v>619</v>
      </c>
      <c r="L63" t="s">
        <v>619</v>
      </c>
      <c r="M63" t="s">
        <v>619</v>
      </c>
      <c r="N63" t="s">
        <v>619</v>
      </c>
      <c r="O63" t="s">
        <v>619</v>
      </c>
    </row>
    <row r="64" spans="1:15" x14ac:dyDescent="0.25">
      <c r="A64" s="82">
        <f t="shared" si="0"/>
        <v>63</v>
      </c>
      <c r="B64" s="8" t="s">
        <v>521</v>
      </c>
      <c r="C64" s="9">
        <v>45356</v>
      </c>
      <c r="D64" t="s">
        <v>538</v>
      </c>
      <c r="E64" t="s">
        <v>539</v>
      </c>
      <c r="F64" t="s">
        <v>537</v>
      </c>
      <c r="G64" t="s">
        <v>118</v>
      </c>
      <c r="H64" s="59">
        <v>1467</v>
      </c>
      <c r="I64" t="s">
        <v>540</v>
      </c>
      <c r="J64" t="s">
        <v>216</v>
      </c>
      <c r="K64" t="s">
        <v>619</v>
      </c>
      <c r="L64" t="s">
        <v>619</v>
      </c>
      <c r="M64" t="s">
        <v>619</v>
      </c>
      <c r="N64" t="s">
        <v>619</v>
      </c>
      <c r="O64" t="s">
        <v>619</v>
      </c>
    </row>
    <row r="65" spans="1:15" x14ac:dyDescent="0.25">
      <c r="A65" s="84">
        <f t="shared" si="0"/>
        <v>64</v>
      </c>
      <c r="B65" s="8" t="s">
        <v>522</v>
      </c>
      <c r="C65" s="9">
        <v>45356</v>
      </c>
      <c r="D65" t="s">
        <v>541</v>
      </c>
      <c r="E65" t="s">
        <v>542</v>
      </c>
      <c r="F65" t="s">
        <v>543</v>
      </c>
      <c r="G65" t="s">
        <v>118</v>
      </c>
      <c r="H65" s="59">
        <v>842</v>
      </c>
      <c r="I65" t="s">
        <v>544</v>
      </c>
      <c r="J65" t="s">
        <v>545</v>
      </c>
      <c r="K65" t="s">
        <v>619</v>
      </c>
      <c r="L65" t="s">
        <v>619</v>
      </c>
      <c r="M65" t="s">
        <v>619</v>
      </c>
      <c r="N65" t="s">
        <v>619</v>
      </c>
      <c r="O65" t="s">
        <v>619</v>
      </c>
    </row>
    <row r="66" spans="1:15" x14ac:dyDescent="0.25">
      <c r="A66">
        <f t="shared" si="0"/>
        <v>65</v>
      </c>
      <c r="B66" s="8" t="s">
        <v>546</v>
      </c>
      <c r="C66" s="9">
        <v>45350</v>
      </c>
      <c r="D66" t="s">
        <v>547</v>
      </c>
      <c r="E66" t="s">
        <v>548</v>
      </c>
      <c r="F66" t="s">
        <v>549</v>
      </c>
      <c r="G66" t="s">
        <v>195</v>
      </c>
      <c r="H66" s="59">
        <v>2148</v>
      </c>
      <c r="I66" t="s">
        <v>550</v>
      </c>
      <c r="J66" t="s">
        <v>236</v>
      </c>
      <c r="K66" t="s">
        <v>619</v>
      </c>
      <c r="L66" t="s">
        <v>619</v>
      </c>
      <c r="M66" t="s">
        <v>619</v>
      </c>
      <c r="N66" t="s">
        <v>619</v>
      </c>
      <c r="O66" t="s">
        <v>619</v>
      </c>
    </row>
    <row r="67" spans="1:15" x14ac:dyDescent="0.25">
      <c r="A67">
        <f t="shared" si="0"/>
        <v>66</v>
      </c>
      <c r="B67" s="8" t="s">
        <v>552</v>
      </c>
      <c r="C67" s="9">
        <v>45358</v>
      </c>
      <c r="D67" t="s">
        <v>553</v>
      </c>
      <c r="E67" t="s">
        <v>554</v>
      </c>
      <c r="F67" t="s">
        <v>555</v>
      </c>
      <c r="G67" t="s">
        <v>195</v>
      </c>
      <c r="H67" s="59">
        <v>925</v>
      </c>
      <c r="I67" t="s">
        <v>556</v>
      </c>
      <c r="J67" t="s">
        <v>502</v>
      </c>
      <c r="K67" t="s">
        <v>619</v>
      </c>
      <c r="L67" t="s">
        <v>619</v>
      </c>
      <c r="M67" t="s">
        <v>619</v>
      </c>
      <c r="N67" t="s">
        <v>619</v>
      </c>
      <c r="O67" t="s">
        <v>619</v>
      </c>
    </row>
    <row r="68" spans="1:15" x14ac:dyDescent="0.25">
      <c r="A68" s="85">
        <f t="shared" ref="A68:A131" si="1">A67+1</f>
        <v>67</v>
      </c>
      <c r="B68" s="8" t="s">
        <v>560</v>
      </c>
      <c r="C68" s="9">
        <v>45362</v>
      </c>
      <c r="D68" t="s">
        <v>561</v>
      </c>
      <c r="E68" t="s">
        <v>562</v>
      </c>
      <c r="F68" t="s">
        <v>563</v>
      </c>
      <c r="G68" t="s">
        <v>195</v>
      </c>
      <c r="H68" s="59">
        <v>2353.64</v>
      </c>
      <c r="I68" t="s">
        <v>564</v>
      </c>
      <c r="J68" t="s">
        <v>245</v>
      </c>
      <c r="K68" t="s">
        <v>619</v>
      </c>
      <c r="L68" t="s">
        <v>619</v>
      </c>
      <c r="M68" t="s">
        <v>619</v>
      </c>
      <c r="N68" t="s">
        <v>619</v>
      </c>
      <c r="O68" t="s">
        <v>619</v>
      </c>
    </row>
    <row r="69" spans="1:15" x14ac:dyDescent="0.25">
      <c r="A69" s="82">
        <f t="shared" si="1"/>
        <v>68</v>
      </c>
      <c r="B69" s="8" t="s">
        <v>565</v>
      </c>
      <c r="C69" s="9">
        <v>45355</v>
      </c>
      <c r="D69" t="s">
        <v>566</v>
      </c>
      <c r="E69" t="s">
        <v>567</v>
      </c>
      <c r="F69" t="s">
        <v>568</v>
      </c>
      <c r="G69" t="s">
        <v>118</v>
      </c>
      <c r="H69" s="59">
        <v>1756.5</v>
      </c>
      <c r="I69" t="s">
        <v>569</v>
      </c>
      <c r="J69" t="s">
        <v>574</v>
      </c>
      <c r="K69" t="s">
        <v>619</v>
      </c>
      <c r="L69" t="s">
        <v>619</v>
      </c>
      <c r="M69" t="s">
        <v>619</v>
      </c>
      <c r="N69" t="s">
        <v>619</v>
      </c>
      <c r="O69" t="s">
        <v>619</v>
      </c>
    </row>
    <row r="70" spans="1:15" x14ac:dyDescent="0.25">
      <c r="A70">
        <f t="shared" si="1"/>
        <v>69</v>
      </c>
      <c r="B70" s="8" t="s">
        <v>570</v>
      </c>
      <c r="C70" s="9">
        <v>45365</v>
      </c>
      <c r="D70" t="s">
        <v>571</v>
      </c>
      <c r="E70" t="s">
        <v>572</v>
      </c>
      <c r="F70" t="s">
        <v>573</v>
      </c>
      <c r="G70" t="s">
        <v>195</v>
      </c>
      <c r="H70" s="59">
        <v>1254</v>
      </c>
      <c r="I70" t="s">
        <v>580</v>
      </c>
      <c r="J70" t="s">
        <v>581</v>
      </c>
      <c r="K70" t="s">
        <v>619</v>
      </c>
      <c r="L70" t="s">
        <v>619</v>
      </c>
      <c r="M70" t="s">
        <v>619</v>
      </c>
      <c r="N70" t="s">
        <v>619</v>
      </c>
      <c r="O70" t="s">
        <v>619</v>
      </c>
    </row>
    <row r="71" spans="1:15" x14ac:dyDescent="0.25">
      <c r="A71" s="82">
        <f t="shared" si="1"/>
        <v>70</v>
      </c>
      <c r="B71" s="8" t="s">
        <v>575</v>
      </c>
      <c r="C71" s="9">
        <v>45362</v>
      </c>
      <c r="D71" t="s">
        <v>577</v>
      </c>
      <c r="E71" t="s">
        <v>578</v>
      </c>
      <c r="F71" t="s">
        <v>579</v>
      </c>
      <c r="G71" t="s">
        <v>118</v>
      </c>
      <c r="H71" s="59">
        <v>1171.26</v>
      </c>
      <c r="I71" t="s">
        <v>402</v>
      </c>
      <c r="J71" t="s">
        <v>603</v>
      </c>
      <c r="K71" t="s">
        <v>619</v>
      </c>
      <c r="L71" t="s">
        <v>619</v>
      </c>
      <c r="M71" t="s">
        <v>619</v>
      </c>
      <c r="N71" t="s">
        <v>619</v>
      </c>
      <c r="O71" t="s">
        <v>619</v>
      </c>
    </row>
    <row r="72" spans="1:15" x14ac:dyDescent="0.25">
      <c r="A72" s="82">
        <f t="shared" si="1"/>
        <v>71</v>
      </c>
      <c r="B72" s="8" t="s">
        <v>576</v>
      </c>
      <c r="C72" s="9">
        <v>45366</v>
      </c>
      <c r="D72" t="s">
        <v>582</v>
      </c>
      <c r="E72" t="s">
        <v>583</v>
      </c>
      <c r="F72" t="s">
        <v>584</v>
      </c>
      <c r="G72" t="s">
        <v>118</v>
      </c>
      <c r="H72" s="59">
        <v>1038</v>
      </c>
      <c r="I72" t="s">
        <v>585</v>
      </c>
      <c r="J72" t="s">
        <v>216</v>
      </c>
      <c r="K72" t="s">
        <v>619</v>
      </c>
      <c r="L72" t="s">
        <v>619</v>
      </c>
      <c r="M72" t="s">
        <v>619</v>
      </c>
      <c r="N72" t="s">
        <v>619</v>
      </c>
      <c r="O72" t="s">
        <v>619</v>
      </c>
    </row>
    <row r="73" spans="1:15" x14ac:dyDescent="0.25">
      <c r="A73" s="82">
        <f t="shared" si="1"/>
        <v>72</v>
      </c>
      <c r="B73" s="8" t="s">
        <v>586</v>
      </c>
      <c r="C73" s="9">
        <v>45362</v>
      </c>
      <c r="D73" t="s">
        <v>587</v>
      </c>
      <c r="E73" t="s">
        <v>588</v>
      </c>
      <c r="F73" t="s">
        <v>589</v>
      </c>
      <c r="G73" t="s">
        <v>118</v>
      </c>
      <c r="H73" s="59">
        <v>1906.6</v>
      </c>
      <c r="I73" t="s">
        <v>590</v>
      </c>
      <c r="J73" t="s">
        <v>591</v>
      </c>
      <c r="K73" t="s">
        <v>619</v>
      </c>
      <c r="L73" t="s">
        <v>619</v>
      </c>
      <c r="M73" t="s">
        <v>619</v>
      </c>
      <c r="N73" t="s">
        <v>619</v>
      </c>
      <c r="O73" t="s">
        <v>619</v>
      </c>
    </row>
    <row r="74" spans="1:15" x14ac:dyDescent="0.25">
      <c r="A74" s="82">
        <f t="shared" si="1"/>
        <v>73</v>
      </c>
      <c r="B74" s="8" t="s">
        <v>592</v>
      </c>
      <c r="C74" s="9">
        <v>45369</v>
      </c>
      <c r="D74" t="s">
        <v>594</v>
      </c>
      <c r="E74" t="s">
        <v>595</v>
      </c>
      <c r="F74" t="s">
        <v>596</v>
      </c>
      <c r="G74" t="s">
        <v>118</v>
      </c>
      <c r="H74" s="59">
        <v>1625.56</v>
      </c>
      <c r="I74" t="s">
        <v>597</v>
      </c>
      <c r="J74" t="s">
        <v>216</v>
      </c>
      <c r="K74" t="s">
        <v>619</v>
      </c>
      <c r="L74" t="s">
        <v>619</v>
      </c>
      <c r="M74" t="s">
        <v>619</v>
      </c>
      <c r="N74" t="s">
        <v>619</v>
      </c>
      <c r="O74" t="s">
        <v>619</v>
      </c>
    </row>
    <row r="75" spans="1:15" x14ac:dyDescent="0.25">
      <c r="A75">
        <f t="shared" si="1"/>
        <v>74</v>
      </c>
      <c r="B75" s="8" t="s">
        <v>593</v>
      </c>
      <c r="C75" s="9">
        <v>45372</v>
      </c>
      <c r="D75" t="s">
        <v>598</v>
      </c>
      <c r="E75" t="s">
        <v>599</v>
      </c>
      <c r="F75" t="s">
        <v>600</v>
      </c>
      <c r="G75" t="s">
        <v>195</v>
      </c>
      <c r="H75" s="59">
        <v>952</v>
      </c>
      <c r="I75" t="s">
        <v>601</v>
      </c>
      <c r="J75" t="s">
        <v>602</v>
      </c>
      <c r="K75" t="s">
        <v>619</v>
      </c>
      <c r="L75" t="s">
        <v>619</v>
      </c>
      <c r="M75" t="s">
        <v>619</v>
      </c>
      <c r="N75" t="s">
        <v>619</v>
      </c>
      <c r="O75" t="s">
        <v>619</v>
      </c>
    </row>
    <row r="76" spans="1:15" x14ac:dyDescent="0.25">
      <c r="A76" s="82">
        <f t="shared" si="1"/>
        <v>75</v>
      </c>
      <c r="B76" s="8" t="s">
        <v>604</v>
      </c>
      <c r="C76" s="9">
        <v>45373</v>
      </c>
      <c r="D76" t="s">
        <v>605</v>
      </c>
      <c r="E76" t="s">
        <v>606</v>
      </c>
      <c r="F76" t="s">
        <v>607</v>
      </c>
      <c r="G76" t="s">
        <v>118</v>
      </c>
      <c r="H76" s="59">
        <v>984</v>
      </c>
      <c r="I76" t="s">
        <v>608</v>
      </c>
      <c r="J76" t="s">
        <v>609</v>
      </c>
      <c r="K76" t="s">
        <v>619</v>
      </c>
      <c r="L76" t="s">
        <v>619</v>
      </c>
      <c r="M76" t="s">
        <v>619</v>
      </c>
      <c r="N76" t="s">
        <v>619</v>
      </c>
      <c r="O76" t="s">
        <v>619</v>
      </c>
    </row>
    <row r="77" spans="1:15" x14ac:dyDescent="0.25">
      <c r="A77">
        <f t="shared" si="1"/>
        <v>76</v>
      </c>
      <c r="B77" s="8" t="s">
        <v>610</v>
      </c>
      <c r="C77" s="9">
        <v>45371</v>
      </c>
      <c r="D77" t="s">
        <v>611</v>
      </c>
      <c r="E77" t="s">
        <v>612</v>
      </c>
      <c r="F77" t="s">
        <v>613</v>
      </c>
      <c r="G77" t="s">
        <v>195</v>
      </c>
      <c r="H77" s="59">
        <v>1265</v>
      </c>
      <c r="I77" t="s">
        <v>614</v>
      </c>
      <c r="J77" t="s">
        <v>265</v>
      </c>
      <c r="K77" t="s">
        <v>619</v>
      </c>
      <c r="L77" t="s">
        <v>619</v>
      </c>
      <c r="M77" t="s">
        <v>619</v>
      </c>
      <c r="N77" t="s">
        <v>619</v>
      </c>
      <c r="O77" t="s">
        <v>619</v>
      </c>
    </row>
    <row r="78" spans="1:15" x14ac:dyDescent="0.25">
      <c r="A78" s="82">
        <f t="shared" si="1"/>
        <v>77</v>
      </c>
      <c r="B78" s="8" t="s">
        <v>615</v>
      </c>
      <c r="C78" s="9">
        <v>45373</v>
      </c>
      <c r="D78" t="s">
        <v>515</v>
      </c>
      <c r="E78" t="s">
        <v>324</v>
      </c>
      <c r="F78" t="s">
        <v>325</v>
      </c>
      <c r="G78" t="s">
        <v>118</v>
      </c>
      <c r="H78" s="59">
        <v>230.4</v>
      </c>
      <c r="I78" t="s">
        <v>616</v>
      </c>
      <c r="J78" t="s">
        <v>617</v>
      </c>
      <c r="K78" t="s">
        <v>619</v>
      </c>
      <c r="L78" t="s">
        <v>619</v>
      </c>
      <c r="M78" t="s">
        <v>619</v>
      </c>
      <c r="N78" t="s">
        <v>619</v>
      </c>
      <c r="O78" t="s">
        <v>619</v>
      </c>
    </row>
    <row r="79" spans="1:15" x14ac:dyDescent="0.25">
      <c r="A79" s="82">
        <f t="shared" si="1"/>
        <v>78</v>
      </c>
      <c r="B79" s="95" t="s">
        <v>620</v>
      </c>
      <c r="C79" s="9">
        <v>45376</v>
      </c>
      <c r="D79" t="s">
        <v>622</v>
      </c>
      <c r="F79" t="s">
        <v>623</v>
      </c>
      <c r="G79" t="s">
        <v>118</v>
      </c>
      <c r="H79" s="59">
        <v>6099</v>
      </c>
      <c r="I79" t="s">
        <v>352</v>
      </c>
      <c r="K79" t="s">
        <v>619</v>
      </c>
      <c r="L79" t="s">
        <v>619</v>
      </c>
      <c r="M79" t="s">
        <v>619</v>
      </c>
      <c r="N79" t="s">
        <v>619</v>
      </c>
      <c r="O79" t="s">
        <v>619</v>
      </c>
    </row>
    <row r="80" spans="1:15" x14ac:dyDescent="0.25">
      <c r="A80" s="82">
        <f t="shared" si="1"/>
        <v>79</v>
      </c>
      <c r="B80" s="95" t="s">
        <v>621</v>
      </c>
      <c r="C80" s="9">
        <v>45377</v>
      </c>
      <c r="D80" t="s">
        <v>622</v>
      </c>
      <c r="F80" t="s">
        <v>624</v>
      </c>
      <c r="G80" t="s">
        <v>118</v>
      </c>
      <c r="H80" s="59">
        <v>6148.4</v>
      </c>
      <c r="I80" t="s">
        <v>352</v>
      </c>
      <c r="K80" t="s">
        <v>619</v>
      </c>
      <c r="L80" t="s">
        <v>619</v>
      </c>
      <c r="M80" t="s">
        <v>619</v>
      </c>
      <c r="N80" t="s">
        <v>619</v>
      </c>
      <c r="O80" t="s">
        <v>619</v>
      </c>
    </row>
    <row r="81" spans="1:15" x14ac:dyDescent="0.25">
      <c r="A81" s="82">
        <f t="shared" si="1"/>
        <v>80</v>
      </c>
      <c r="B81" s="8" t="s">
        <v>625</v>
      </c>
      <c r="C81" s="9">
        <v>45371</v>
      </c>
      <c r="D81" t="s">
        <v>398</v>
      </c>
      <c r="E81" t="s">
        <v>399</v>
      </c>
      <c r="F81" t="s">
        <v>627</v>
      </c>
      <c r="G81" t="s">
        <v>118</v>
      </c>
      <c r="H81" s="59">
        <v>2122</v>
      </c>
      <c r="I81" t="s">
        <v>628</v>
      </c>
      <c r="J81" t="s">
        <v>445</v>
      </c>
      <c r="K81" t="s">
        <v>619</v>
      </c>
      <c r="L81" t="s">
        <v>619</v>
      </c>
      <c r="M81" t="s">
        <v>619</v>
      </c>
      <c r="N81" t="s">
        <v>619</v>
      </c>
      <c r="O81" t="s">
        <v>619</v>
      </c>
    </row>
    <row r="82" spans="1:15" x14ac:dyDescent="0.25">
      <c r="A82">
        <f t="shared" si="1"/>
        <v>81</v>
      </c>
      <c r="B82" s="8" t="s">
        <v>626</v>
      </c>
      <c r="C82" s="9">
        <v>45376</v>
      </c>
      <c r="D82" t="s">
        <v>629</v>
      </c>
      <c r="E82" t="s">
        <v>630</v>
      </c>
      <c r="F82" t="s">
        <v>631</v>
      </c>
      <c r="G82" t="s">
        <v>119</v>
      </c>
      <c r="H82" s="59">
        <v>3130</v>
      </c>
      <c r="I82" t="s">
        <v>632</v>
      </c>
      <c r="J82" t="s">
        <v>236</v>
      </c>
      <c r="K82" t="s">
        <v>619</v>
      </c>
      <c r="L82" t="s">
        <v>619</v>
      </c>
      <c r="M82" t="s">
        <v>619</v>
      </c>
      <c r="N82" t="s">
        <v>619</v>
      </c>
      <c r="O82" t="s">
        <v>619</v>
      </c>
    </row>
    <row r="83" spans="1:15" x14ac:dyDescent="0.25">
      <c r="A83" s="82">
        <f t="shared" si="1"/>
        <v>82</v>
      </c>
      <c r="B83" s="8" t="s">
        <v>633</v>
      </c>
      <c r="C83" s="9">
        <v>45384</v>
      </c>
      <c r="D83" t="s">
        <v>634</v>
      </c>
      <c r="E83" t="s">
        <v>635</v>
      </c>
      <c r="F83" t="s">
        <v>636</v>
      </c>
      <c r="G83" t="s">
        <v>118</v>
      </c>
      <c r="H83" s="59">
        <v>2391</v>
      </c>
      <c r="I83" t="s">
        <v>637</v>
      </c>
      <c r="J83" t="s">
        <v>646</v>
      </c>
      <c r="K83" t="s">
        <v>619</v>
      </c>
      <c r="L83" t="s">
        <v>619</v>
      </c>
      <c r="M83" t="s">
        <v>619</v>
      </c>
      <c r="N83" t="s">
        <v>619</v>
      </c>
    </row>
    <row r="84" spans="1:15" x14ac:dyDescent="0.25">
      <c r="A84" s="82">
        <f t="shared" si="1"/>
        <v>83</v>
      </c>
      <c r="B84" s="8" t="s">
        <v>638</v>
      </c>
      <c r="C84" s="9">
        <v>45385</v>
      </c>
      <c r="D84" t="s">
        <v>642</v>
      </c>
      <c r="E84" t="s">
        <v>643</v>
      </c>
      <c r="F84" t="s">
        <v>644</v>
      </c>
      <c r="G84" t="s">
        <v>118</v>
      </c>
      <c r="H84" s="59">
        <v>2627</v>
      </c>
      <c r="I84" t="s">
        <v>645</v>
      </c>
      <c r="J84" t="s">
        <v>245</v>
      </c>
      <c r="K84" t="s">
        <v>619</v>
      </c>
      <c r="L84" t="s">
        <v>619</v>
      </c>
      <c r="M84" t="s">
        <v>619</v>
      </c>
      <c r="N84" t="s">
        <v>619</v>
      </c>
    </row>
    <row r="85" spans="1:15" x14ac:dyDescent="0.25">
      <c r="A85" s="82">
        <f t="shared" si="1"/>
        <v>84</v>
      </c>
      <c r="B85" s="8" t="s">
        <v>639</v>
      </c>
      <c r="C85" s="9">
        <v>45385</v>
      </c>
      <c r="D85" t="s">
        <v>622</v>
      </c>
      <c r="F85" t="s">
        <v>647</v>
      </c>
      <c r="G85" t="s">
        <v>118</v>
      </c>
      <c r="H85" s="59">
        <v>5886.2</v>
      </c>
      <c r="I85" t="s">
        <v>648</v>
      </c>
      <c r="K85" t="s">
        <v>619</v>
      </c>
      <c r="L85" t="s">
        <v>619</v>
      </c>
      <c r="M85" t="s">
        <v>619</v>
      </c>
      <c r="N85" t="s">
        <v>619</v>
      </c>
    </row>
    <row r="86" spans="1:15" x14ac:dyDescent="0.25">
      <c r="A86">
        <f t="shared" si="1"/>
        <v>85</v>
      </c>
      <c r="B86" s="8" t="s">
        <v>640</v>
      </c>
      <c r="C86" s="9">
        <v>45386</v>
      </c>
      <c r="D86" t="s">
        <v>1219</v>
      </c>
      <c r="E86" t="s">
        <v>650</v>
      </c>
      <c r="F86" t="s">
        <v>651</v>
      </c>
      <c r="G86" t="s">
        <v>195</v>
      </c>
      <c r="H86" s="59">
        <v>1884</v>
      </c>
      <c r="I86" t="s">
        <v>652</v>
      </c>
      <c r="J86" t="s">
        <v>653</v>
      </c>
      <c r="K86" t="s">
        <v>619</v>
      </c>
      <c r="L86" t="s">
        <v>619</v>
      </c>
      <c r="M86" t="s">
        <v>619</v>
      </c>
      <c r="N86" t="s">
        <v>619</v>
      </c>
    </row>
    <row r="87" spans="1:15" x14ac:dyDescent="0.25">
      <c r="A87" s="82">
        <f t="shared" si="1"/>
        <v>86</v>
      </c>
      <c r="B87" s="8" t="s">
        <v>641</v>
      </c>
      <c r="C87" s="9">
        <v>45386</v>
      </c>
      <c r="D87" t="s">
        <v>622</v>
      </c>
      <c r="F87" t="s">
        <v>654</v>
      </c>
      <c r="G87" t="s">
        <v>118</v>
      </c>
      <c r="H87" s="59">
        <v>4567.6000000000004</v>
      </c>
      <c r="I87" t="s">
        <v>655</v>
      </c>
      <c r="K87" t="s">
        <v>619</v>
      </c>
      <c r="L87" t="s">
        <v>619</v>
      </c>
      <c r="M87" t="s">
        <v>619</v>
      </c>
      <c r="N87" t="s">
        <v>619</v>
      </c>
    </row>
    <row r="88" spans="1:15" x14ac:dyDescent="0.25">
      <c r="A88">
        <f t="shared" si="1"/>
        <v>87</v>
      </c>
      <c r="B88" s="95" t="s">
        <v>656</v>
      </c>
      <c r="C88" s="9">
        <v>45387</v>
      </c>
      <c r="D88" t="s">
        <v>658</v>
      </c>
      <c r="E88" t="s">
        <v>659</v>
      </c>
      <c r="F88" t="s">
        <v>660</v>
      </c>
      <c r="G88" t="s">
        <v>195</v>
      </c>
      <c r="H88" s="59">
        <v>4337.8900000000003</v>
      </c>
      <c r="I88" t="s">
        <v>444</v>
      </c>
      <c r="J88" t="s">
        <v>661</v>
      </c>
      <c r="K88" t="s">
        <v>619</v>
      </c>
      <c r="L88" t="s">
        <v>619</v>
      </c>
      <c r="M88" t="s">
        <v>619</v>
      </c>
      <c r="N88" t="s">
        <v>619</v>
      </c>
    </row>
    <row r="89" spans="1:15" x14ac:dyDescent="0.25">
      <c r="A89" s="82">
        <f t="shared" si="1"/>
        <v>88</v>
      </c>
      <c r="B89" s="8" t="s">
        <v>657</v>
      </c>
      <c r="C89" s="9">
        <v>45387</v>
      </c>
      <c r="D89" t="s">
        <v>622</v>
      </c>
      <c r="F89" t="s">
        <v>662</v>
      </c>
      <c r="G89" t="s">
        <v>118</v>
      </c>
      <c r="H89" s="59">
        <v>4867.8</v>
      </c>
      <c r="I89" t="s">
        <v>663</v>
      </c>
      <c r="K89" t="s">
        <v>619</v>
      </c>
      <c r="L89" t="s">
        <v>619</v>
      </c>
      <c r="M89" t="s">
        <v>619</v>
      </c>
      <c r="N89" t="s">
        <v>619</v>
      </c>
    </row>
    <row r="90" spans="1:15" x14ac:dyDescent="0.25">
      <c r="A90" s="82">
        <f t="shared" si="1"/>
        <v>89</v>
      </c>
      <c r="B90" s="8" t="s">
        <v>664</v>
      </c>
      <c r="C90" s="9">
        <v>45388</v>
      </c>
      <c r="D90" t="s">
        <v>618</v>
      </c>
      <c r="E90" t="s">
        <v>404</v>
      </c>
      <c r="F90" t="s">
        <v>405</v>
      </c>
      <c r="G90" t="s">
        <v>118</v>
      </c>
      <c r="H90" s="59">
        <v>1825</v>
      </c>
      <c r="I90" t="s">
        <v>667</v>
      </c>
      <c r="J90" t="s">
        <v>679</v>
      </c>
      <c r="K90" t="s">
        <v>619</v>
      </c>
      <c r="L90" t="s">
        <v>619</v>
      </c>
      <c r="M90" t="s">
        <v>619</v>
      </c>
      <c r="N90" t="s">
        <v>619</v>
      </c>
    </row>
    <row r="91" spans="1:15" x14ac:dyDescent="0.25">
      <c r="A91" s="82">
        <f t="shared" si="1"/>
        <v>90</v>
      </c>
      <c r="B91" s="8" t="s">
        <v>665</v>
      </c>
      <c r="C91" s="9">
        <v>45390</v>
      </c>
      <c r="D91" t="s">
        <v>187</v>
      </c>
      <c r="E91" t="s">
        <v>188</v>
      </c>
      <c r="F91" t="s">
        <v>668</v>
      </c>
      <c r="G91" t="s">
        <v>118</v>
      </c>
      <c r="H91" s="59">
        <v>1674</v>
      </c>
      <c r="I91" t="s">
        <v>669</v>
      </c>
      <c r="J91" t="s">
        <v>678</v>
      </c>
      <c r="K91" t="s">
        <v>619</v>
      </c>
      <c r="L91" t="s">
        <v>619</v>
      </c>
      <c r="M91" t="s">
        <v>619</v>
      </c>
      <c r="N91" t="s">
        <v>619</v>
      </c>
    </row>
    <row r="92" spans="1:15" x14ac:dyDescent="0.25">
      <c r="A92" s="82">
        <f t="shared" si="1"/>
        <v>91</v>
      </c>
      <c r="B92" s="8" t="s">
        <v>666</v>
      </c>
      <c r="C92" s="9">
        <v>45390</v>
      </c>
      <c r="D92" t="s">
        <v>622</v>
      </c>
      <c r="F92" t="s">
        <v>670</v>
      </c>
      <c r="G92" t="s">
        <v>118</v>
      </c>
      <c r="H92" s="59">
        <v>5487.2</v>
      </c>
      <c r="I92" t="s">
        <v>352</v>
      </c>
      <c r="K92" t="s">
        <v>619</v>
      </c>
      <c r="L92" t="s">
        <v>619</v>
      </c>
      <c r="M92" t="s">
        <v>619</v>
      </c>
      <c r="N92" t="s">
        <v>619</v>
      </c>
    </row>
    <row r="93" spans="1:15" x14ac:dyDescent="0.25">
      <c r="A93">
        <f t="shared" si="1"/>
        <v>92</v>
      </c>
      <c r="B93" s="8" t="s">
        <v>671</v>
      </c>
      <c r="C93" s="9">
        <v>45391</v>
      </c>
      <c r="D93" t="s">
        <v>674</v>
      </c>
      <c r="E93" t="s">
        <v>675</v>
      </c>
      <c r="F93" t="s">
        <v>676</v>
      </c>
      <c r="G93" t="s">
        <v>195</v>
      </c>
      <c r="H93" s="59">
        <v>1493</v>
      </c>
      <c r="I93" t="s">
        <v>677</v>
      </c>
      <c r="J93" t="s">
        <v>690</v>
      </c>
      <c r="K93" t="s">
        <v>619</v>
      </c>
      <c r="L93" t="s">
        <v>619</v>
      </c>
      <c r="M93" t="s">
        <v>619</v>
      </c>
      <c r="N93" t="s">
        <v>619</v>
      </c>
    </row>
    <row r="94" spans="1:15" x14ac:dyDescent="0.25">
      <c r="A94">
        <f t="shared" si="1"/>
        <v>93</v>
      </c>
      <c r="B94" s="8" t="s">
        <v>672</v>
      </c>
      <c r="C94" s="9">
        <v>45391</v>
      </c>
      <c r="D94" t="s">
        <v>680</v>
      </c>
      <c r="E94" t="s">
        <v>681</v>
      </c>
      <c r="F94" t="s">
        <v>682</v>
      </c>
      <c r="G94" t="s">
        <v>195</v>
      </c>
      <c r="H94" s="59">
        <v>950</v>
      </c>
      <c r="I94" t="s">
        <v>683</v>
      </c>
      <c r="J94" t="s">
        <v>265</v>
      </c>
      <c r="K94" t="s">
        <v>619</v>
      </c>
      <c r="L94" t="s">
        <v>619</v>
      </c>
      <c r="M94" t="s">
        <v>619</v>
      </c>
      <c r="N94" t="s">
        <v>619</v>
      </c>
    </row>
    <row r="95" spans="1:15" x14ac:dyDescent="0.25">
      <c r="A95" s="82">
        <f t="shared" si="1"/>
        <v>94</v>
      </c>
      <c r="B95" s="95" t="s">
        <v>673</v>
      </c>
      <c r="C95" s="9">
        <v>45391</v>
      </c>
      <c r="D95" t="s">
        <v>622</v>
      </c>
      <c r="F95" t="s">
        <v>684</v>
      </c>
      <c r="G95" t="s">
        <v>118</v>
      </c>
      <c r="H95" s="59">
        <v>4607.5</v>
      </c>
      <c r="I95" t="s">
        <v>648</v>
      </c>
      <c r="K95" t="s">
        <v>619</v>
      </c>
      <c r="L95" t="s">
        <v>619</v>
      </c>
      <c r="M95" t="s">
        <v>619</v>
      </c>
      <c r="N95" t="s">
        <v>619</v>
      </c>
    </row>
    <row r="96" spans="1:15" x14ac:dyDescent="0.25">
      <c r="A96" s="85">
        <f t="shared" si="1"/>
        <v>95</v>
      </c>
      <c r="B96" s="95" t="s">
        <v>685</v>
      </c>
      <c r="C96" s="9">
        <v>45392</v>
      </c>
      <c r="D96" t="s">
        <v>686</v>
      </c>
      <c r="E96" t="s">
        <v>687</v>
      </c>
      <c r="F96" t="s">
        <v>688</v>
      </c>
      <c r="G96" t="s">
        <v>195</v>
      </c>
      <c r="H96" s="59">
        <v>1280.6400000000001</v>
      </c>
      <c r="I96" t="s">
        <v>689</v>
      </c>
      <c r="J96" t="s">
        <v>236</v>
      </c>
      <c r="K96" t="s">
        <v>619</v>
      </c>
      <c r="L96" t="s">
        <v>619</v>
      </c>
      <c r="M96" t="s">
        <v>619</v>
      </c>
      <c r="N96" t="s">
        <v>619</v>
      </c>
    </row>
    <row r="97" spans="1:14" x14ac:dyDescent="0.25">
      <c r="A97" s="82">
        <f t="shared" si="1"/>
        <v>96</v>
      </c>
      <c r="B97" s="8" t="s">
        <v>691</v>
      </c>
      <c r="C97" s="9">
        <v>45392</v>
      </c>
      <c r="D97" t="s">
        <v>622</v>
      </c>
      <c r="F97" t="s">
        <v>694</v>
      </c>
      <c r="G97" t="s">
        <v>118</v>
      </c>
      <c r="H97" s="59">
        <v>4259.8</v>
      </c>
      <c r="I97" t="s">
        <v>648</v>
      </c>
      <c r="K97" t="s">
        <v>619</v>
      </c>
      <c r="L97" t="s">
        <v>619</v>
      </c>
      <c r="M97" t="s">
        <v>619</v>
      </c>
      <c r="N97" t="s">
        <v>619</v>
      </c>
    </row>
    <row r="98" spans="1:14" x14ac:dyDescent="0.25">
      <c r="A98" s="82">
        <f t="shared" si="1"/>
        <v>97</v>
      </c>
      <c r="B98" s="8" t="s">
        <v>692</v>
      </c>
      <c r="C98" s="9">
        <v>45386</v>
      </c>
      <c r="D98" t="s">
        <v>695</v>
      </c>
      <c r="E98" t="s">
        <v>696</v>
      </c>
      <c r="F98" t="s">
        <v>697</v>
      </c>
      <c r="G98" t="s">
        <v>118</v>
      </c>
      <c r="H98" s="59">
        <v>1360</v>
      </c>
      <c r="I98" t="s">
        <v>698</v>
      </c>
      <c r="J98" t="s">
        <v>236</v>
      </c>
      <c r="K98" t="s">
        <v>619</v>
      </c>
      <c r="L98" t="s">
        <v>619</v>
      </c>
      <c r="M98" t="s">
        <v>619</v>
      </c>
      <c r="N98" t="s">
        <v>619</v>
      </c>
    </row>
    <row r="99" spans="1:14" x14ac:dyDescent="0.25">
      <c r="A99" s="82">
        <f t="shared" si="1"/>
        <v>98</v>
      </c>
      <c r="B99" s="8" t="s">
        <v>693</v>
      </c>
      <c r="C99" s="9">
        <v>45393</v>
      </c>
      <c r="D99" t="s">
        <v>622</v>
      </c>
      <c r="F99" t="s">
        <v>699</v>
      </c>
      <c r="G99" t="s">
        <v>118</v>
      </c>
      <c r="H99" s="59">
        <v>6049.6</v>
      </c>
      <c r="I99" t="s">
        <v>648</v>
      </c>
      <c r="K99" t="s">
        <v>619</v>
      </c>
      <c r="L99" t="s">
        <v>619</v>
      </c>
      <c r="M99" t="s">
        <v>619</v>
      </c>
      <c r="N99" t="s">
        <v>619</v>
      </c>
    </row>
    <row r="100" spans="1:14" x14ac:dyDescent="0.25">
      <c r="A100" s="82">
        <f t="shared" si="1"/>
        <v>99</v>
      </c>
      <c r="B100" s="8" t="s">
        <v>700</v>
      </c>
      <c r="C100" s="9">
        <v>45378</v>
      </c>
      <c r="D100" t="s">
        <v>703</v>
      </c>
      <c r="E100" t="s">
        <v>704</v>
      </c>
      <c r="F100" t="s">
        <v>705</v>
      </c>
      <c r="G100" t="s">
        <v>118</v>
      </c>
      <c r="H100" s="59">
        <v>850</v>
      </c>
      <c r="I100" t="s">
        <v>706</v>
      </c>
      <c r="J100" t="s">
        <v>236</v>
      </c>
      <c r="K100" t="s">
        <v>619</v>
      </c>
      <c r="L100" t="s">
        <v>619</v>
      </c>
      <c r="M100" t="s">
        <v>619</v>
      </c>
      <c r="N100" t="s">
        <v>619</v>
      </c>
    </row>
    <row r="101" spans="1:14" x14ac:dyDescent="0.25">
      <c r="A101">
        <f t="shared" si="1"/>
        <v>100</v>
      </c>
      <c r="B101" s="8" t="s">
        <v>701</v>
      </c>
      <c r="C101" s="9">
        <v>45390</v>
      </c>
      <c r="D101" t="s">
        <v>707</v>
      </c>
      <c r="E101" t="s">
        <v>708</v>
      </c>
      <c r="F101" t="s">
        <v>709</v>
      </c>
      <c r="G101" t="s">
        <v>195</v>
      </c>
      <c r="H101" s="59">
        <v>2535</v>
      </c>
      <c r="I101" t="s">
        <v>820</v>
      </c>
      <c r="J101" t="s">
        <v>574</v>
      </c>
      <c r="K101" t="s">
        <v>619</v>
      </c>
      <c r="L101" t="s">
        <v>619</v>
      </c>
      <c r="M101" t="s">
        <v>619</v>
      </c>
      <c r="N101" t="s">
        <v>619</v>
      </c>
    </row>
    <row r="102" spans="1:14" x14ac:dyDescent="0.25">
      <c r="A102" s="85">
        <f t="shared" si="1"/>
        <v>101</v>
      </c>
      <c r="B102" s="8" t="s">
        <v>702</v>
      </c>
      <c r="C102" s="9">
        <v>45395</v>
      </c>
      <c r="D102" t="s">
        <v>710</v>
      </c>
      <c r="E102" t="s">
        <v>711</v>
      </c>
      <c r="F102" t="s">
        <v>725</v>
      </c>
      <c r="G102" t="s">
        <v>195</v>
      </c>
      <c r="H102" s="59">
        <v>4025.2</v>
      </c>
      <c r="I102" t="s">
        <v>712</v>
      </c>
      <c r="J102" t="s">
        <v>236</v>
      </c>
      <c r="K102" t="s">
        <v>619</v>
      </c>
      <c r="L102" t="s">
        <v>619</v>
      </c>
      <c r="M102" t="s">
        <v>619</v>
      </c>
      <c r="N102" t="s">
        <v>619</v>
      </c>
    </row>
    <row r="103" spans="1:14" x14ac:dyDescent="0.25">
      <c r="A103" s="82">
        <f t="shared" si="1"/>
        <v>102</v>
      </c>
      <c r="B103" s="8" t="s">
        <v>713</v>
      </c>
      <c r="C103" s="9">
        <v>45397</v>
      </c>
      <c r="D103" t="s">
        <v>714</v>
      </c>
      <c r="E103" t="s">
        <v>715</v>
      </c>
      <c r="F103" t="s">
        <v>716</v>
      </c>
      <c r="G103" t="s">
        <v>118</v>
      </c>
      <c r="H103" s="59">
        <v>986</v>
      </c>
      <c r="I103" t="s">
        <v>717</v>
      </c>
      <c r="J103" t="s">
        <v>245</v>
      </c>
      <c r="K103" t="s">
        <v>619</v>
      </c>
      <c r="L103" t="s">
        <v>619</v>
      </c>
      <c r="M103" t="s">
        <v>619</v>
      </c>
      <c r="N103" t="s">
        <v>619</v>
      </c>
    </row>
    <row r="104" spans="1:14" x14ac:dyDescent="0.25">
      <c r="A104">
        <f t="shared" si="1"/>
        <v>103</v>
      </c>
      <c r="B104" s="8" t="s">
        <v>718</v>
      </c>
      <c r="C104" s="9">
        <v>45398</v>
      </c>
      <c r="D104" t="s">
        <v>719</v>
      </c>
      <c r="E104" t="s">
        <v>720</v>
      </c>
      <c r="F104" t="s">
        <v>721</v>
      </c>
      <c r="G104" t="s">
        <v>195</v>
      </c>
      <c r="H104" s="59">
        <v>3291</v>
      </c>
      <c r="I104" t="s">
        <v>722</v>
      </c>
      <c r="J104" t="s">
        <v>728</v>
      </c>
      <c r="K104" t="s">
        <v>619</v>
      </c>
      <c r="L104" t="s">
        <v>619</v>
      </c>
      <c r="M104" t="s">
        <v>619</v>
      </c>
      <c r="N104" t="s">
        <v>619</v>
      </c>
    </row>
    <row r="105" spans="1:14" x14ac:dyDescent="0.25">
      <c r="A105" s="83">
        <f t="shared" si="1"/>
        <v>104</v>
      </c>
      <c r="B105" s="8" t="s">
        <v>723</v>
      </c>
      <c r="C105" s="9">
        <v>45399</v>
      </c>
      <c r="D105" t="s">
        <v>710</v>
      </c>
      <c r="E105" t="s">
        <v>711</v>
      </c>
      <c r="F105" t="s">
        <v>725</v>
      </c>
      <c r="G105" t="s">
        <v>118</v>
      </c>
      <c r="H105" s="59">
        <v>11270.56</v>
      </c>
      <c r="I105" t="s">
        <v>726</v>
      </c>
      <c r="J105" t="s">
        <v>727</v>
      </c>
      <c r="K105" t="s">
        <v>619</v>
      </c>
      <c r="L105" t="s">
        <v>619</v>
      </c>
      <c r="M105" t="s">
        <v>619</v>
      </c>
      <c r="N105" t="s">
        <v>619</v>
      </c>
    </row>
    <row r="106" spans="1:14" x14ac:dyDescent="0.25">
      <c r="A106" s="82">
        <f t="shared" si="1"/>
        <v>105</v>
      </c>
      <c r="B106" s="8" t="s">
        <v>724</v>
      </c>
      <c r="C106" s="9">
        <v>45399</v>
      </c>
      <c r="D106" t="s">
        <v>729</v>
      </c>
      <c r="E106" t="s">
        <v>730</v>
      </c>
      <c r="F106" t="s">
        <v>731</v>
      </c>
      <c r="G106" t="s">
        <v>118</v>
      </c>
      <c r="H106" s="59">
        <v>1753</v>
      </c>
      <c r="I106" t="s">
        <v>732</v>
      </c>
      <c r="J106" t="s">
        <v>745</v>
      </c>
      <c r="K106" t="s">
        <v>619</v>
      </c>
      <c r="L106" t="s">
        <v>619</v>
      </c>
      <c r="M106" t="s">
        <v>619</v>
      </c>
      <c r="N106" t="s">
        <v>619</v>
      </c>
    </row>
    <row r="107" spans="1:14" x14ac:dyDescent="0.25">
      <c r="A107" s="82">
        <f t="shared" si="1"/>
        <v>106</v>
      </c>
      <c r="B107" s="8" t="s">
        <v>733</v>
      </c>
      <c r="C107" s="9">
        <v>45393</v>
      </c>
      <c r="D107" t="s">
        <v>741</v>
      </c>
      <c r="E107" t="s">
        <v>742</v>
      </c>
      <c r="F107" t="s">
        <v>743</v>
      </c>
      <c r="G107" t="s">
        <v>118</v>
      </c>
      <c r="H107" s="59">
        <v>1874.12</v>
      </c>
      <c r="I107" t="s">
        <v>744</v>
      </c>
      <c r="J107" t="s">
        <v>392</v>
      </c>
      <c r="K107" t="s">
        <v>619</v>
      </c>
      <c r="L107" t="s">
        <v>619</v>
      </c>
      <c r="M107" t="s">
        <v>619</v>
      </c>
      <c r="N107" t="s">
        <v>619</v>
      </c>
    </row>
    <row r="108" spans="1:14" x14ac:dyDescent="0.25">
      <c r="A108" s="82">
        <f t="shared" si="1"/>
        <v>107</v>
      </c>
      <c r="B108" s="8" t="s">
        <v>734</v>
      </c>
      <c r="C108" s="9">
        <v>45394</v>
      </c>
      <c r="D108" t="s">
        <v>622</v>
      </c>
      <c r="F108" t="s">
        <v>746</v>
      </c>
      <c r="G108" t="s">
        <v>118</v>
      </c>
      <c r="H108" s="59">
        <v>7916.35</v>
      </c>
      <c r="I108" t="s">
        <v>352</v>
      </c>
      <c r="K108" t="s">
        <v>619</v>
      </c>
      <c r="L108" t="s">
        <v>619</v>
      </c>
      <c r="M108" t="s">
        <v>619</v>
      </c>
      <c r="N108" t="s">
        <v>619</v>
      </c>
    </row>
    <row r="109" spans="1:14" x14ac:dyDescent="0.25">
      <c r="A109" s="82">
        <f t="shared" si="1"/>
        <v>108</v>
      </c>
      <c r="B109" s="8" t="s">
        <v>735</v>
      </c>
      <c r="C109" s="9">
        <v>45397</v>
      </c>
      <c r="D109" t="s">
        <v>747</v>
      </c>
      <c r="E109" t="s">
        <v>748</v>
      </c>
      <c r="F109" t="s">
        <v>749</v>
      </c>
      <c r="G109" t="s">
        <v>118</v>
      </c>
      <c r="H109" s="59">
        <v>2430.7800000000002</v>
      </c>
      <c r="I109" t="s">
        <v>750</v>
      </c>
      <c r="J109" t="s">
        <v>751</v>
      </c>
      <c r="K109" t="s">
        <v>619</v>
      </c>
      <c r="L109" t="s">
        <v>619</v>
      </c>
      <c r="M109" t="s">
        <v>619</v>
      </c>
      <c r="N109" t="s">
        <v>619</v>
      </c>
    </row>
    <row r="110" spans="1:14" x14ac:dyDescent="0.25">
      <c r="A110">
        <f t="shared" si="1"/>
        <v>109</v>
      </c>
      <c r="B110" s="8" t="s">
        <v>736</v>
      </c>
      <c r="C110" s="9">
        <v>45397</v>
      </c>
      <c r="D110" t="s">
        <v>2295</v>
      </c>
      <c r="E110" t="s">
        <v>753</v>
      </c>
      <c r="F110" t="s">
        <v>754</v>
      </c>
      <c r="G110" t="s">
        <v>195</v>
      </c>
      <c r="H110" s="59">
        <v>1113.5999999999999</v>
      </c>
      <c r="I110" t="s">
        <v>755</v>
      </c>
      <c r="J110" t="s">
        <v>756</v>
      </c>
      <c r="K110" t="s">
        <v>619</v>
      </c>
      <c r="L110" t="s">
        <v>619</v>
      </c>
      <c r="M110" t="s">
        <v>619</v>
      </c>
      <c r="N110" t="s">
        <v>619</v>
      </c>
    </row>
    <row r="111" spans="1:14" x14ac:dyDescent="0.25">
      <c r="A111" s="82">
        <f t="shared" si="1"/>
        <v>110</v>
      </c>
      <c r="B111" s="8" t="s">
        <v>737</v>
      </c>
      <c r="C111" s="9">
        <v>45397</v>
      </c>
      <c r="D111" t="s">
        <v>757</v>
      </c>
      <c r="E111" t="s">
        <v>704</v>
      </c>
      <c r="F111" t="s">
        <v>758</v>
      </c>
      <c r="G111" t="s">
        <v>118</v>
      </c>
      <c r="H111" s="59">
        <v>1696.5</v>
      </c>
      <c r="I111" t="s">
        <v>759</v>
      </c>
      <c r="J111" t="s">
        <v>760</v>
      </c>
      <c r="K111" t="s">
        <v>619</v>
      </c>
      <c r="L111" t="s">
        <v>619</v>
      </c>
      <c r="M111" t="s">
        <v>619</v>
      </c>
      <c r="N111" t="s">
        <v>619</v>
      </c>
    </row>
    <row r="112" spans="1:14" x14ac:dyDescent="0.25">
      <c r="A112" s="82">
        <f t="shared" si="1"/>
        <v>111</v>
      </c>
      <c r="B112" s="8" t="s">
        <v>738</v>
      </c>
      <c r="C112" s="9">
        <v>45400</v>
      </c>
      <c r="D112" t="s">
        <v>761</v>
      </c>
      <c r="E112" t="s">
        <v>762</v>
      </c>
      <c r="F112" t="s">
        <v>763</v>
      </c>
      <c r="G112" t="s">
        <v>118</v>
      </c>
      <c r="H112" s="59">
        <v>1496.8</v>
      </c>
      <c r="I112" t="s">
        <v>764</v>
      </c>
      <c r="J112" t="s">
        <v>760</v>
      </c>
      <c r="K112" t="s">
        <v>619</v>
      </c>
      <c r="L112" t="s">
        <v>619</v>
      </c>
      <c r="M112" t="s">
        <v>619</v>
      </c>
      <c r="N112" t="s">
        <v>619</v>
      </c>
    </row>
    <row r="113" spans="1:14" x14ac:dyDescent="0.25">
      <c r="A113" s="84">
        <f t="shared" si="1"/>
        <v>112</v>
      </c>
      <c r="B113" s="8" t="s">
        <v>739</v>
      </c>
      <c r="C113" s="9">
        <v>45405</v>
      </c>
      <c r="D113" t="s">
        <v>765</v>
      </c>
      <c r="E113" t="s">
        <v>766</v>
      </c>
      <c r="F113" t="s">
        <v>767</v>
      </c>
      <c r="G113" t="s">
        <v>768</v>
      </c>
      <c r="H113" s="59">
        <v>7911.2</v>
      </c>
      <c r="I113" t="s">
        <v>769</v>
      </c>
      <c r="J113" t="s">
        <v>778</v>
      </c>
      <c r="K113" t="s">
        <v>619</v>
      </c>
      <c r="L113" t="s">
        <v>619</v>
      </c>
      <c r="M113" t="s">
        <v>619</v>
      </c>
      <c r="N113" t="s">
        <v>619</v>
      </c>
    </row>
    <row r="114" spans="1:14" x14ac:dyDescent="0.25">
      <c r="A114" s="82">
        <f t="shared" si="1"/>
        <v>113</v>
      </c>
      <c r="B114" s="8" t="s">
        <v>740</v>
      </c>
      <c r="C114" s="9">
        <v>45405</v>
      </c>
      <c r="D114" t="s">
        <v>770</v>
      </c>
      <c r="E114" t="s">
        <v>771</v>
      </c>
      <c r="F114" t="s">
        <v>772</v>
      </c>
      <c r="G114" t="s">
        <v>118</v>
      </c>
      <c r="H114" s="59">
        <v>5289.3</v>
      </c>
      <c r="I114" t="s">
        <v>773</v>
      </c>
      <c r="J114" t="s">
        <v>236</v>
      </c>
      <c r="K114" t="s">
        <v>619</v>
      </c>
      <c r="L114" t="s">
        <v>619</v>
      </c>
      <c r="M114" t="s">
        <v>619</v>
      </c>
      <c r="N114" t="s">
        <v>619</v>
      </c>
    </row>
    <row r="115" spans="1:14" x14ac:dyDescent="0.25">
      <c r="A115" s="83">
        <f t="shared" si="1"/>
        <v>114</v>
      </c>
      <c r="B115" s="8" t="s">
        <v>774</v>
      </c>
      <c r="C115" s="9">
        <v>45406</v>
      </c>
      <c r="D115" t="s">
        <v>485</v>
      </c>
      <c r="E115" t="s">
        <v>486</v>
      </c>
      <c r="F115" t="s">
        <v>487</v>
      </c>
      <c r="G115" t="s">
        <v>118</v>
      </c>
      <c r="H115" s="59">
        <v>3696.76</v>
      </c>
      <c r="I115" t="s">
        <v>488</v>
      </c>
      <c r="J115" t="s">
        <v>784</v>
      </c>
      <c r="K115" t="s">
        <v>619</v>
      </c>
      <c r="L115" t="s">
        <v>619</v>
      </c>
      <c r="M115" t="s">
        <v>619</v>
      </c>
      <c r="N115" t="s">
        <v>619</v>
      </c>
    </row>
    <row r="116" spans="1:14" x14ac:dyDescent="0.25">
      <c r="A116" s="82">
        <f t="shared" si="1"/>
        <v>115</v>
      </c>
      <c r="B116" s="8" t="s">
        <v>775</v>
      </c>
      <c r="C116" s="9">
        <v>45406</v>
      </c>
      <c r="D116" t="s">
        <v>642</v>
      </c>
      <c r="E116" t="s">
        <v>776</v>
      </c>
      <c r="F116" t="s">
        <v>644</v>
      </c>
      <c r="G116" t="s">
        <v>118</v>
      </c>
      <c r="H116" s="59">
        <v>1908</v>
      </c>
      <c r="I116" t="s">
        <v>777</v>
      </c>
      <c r="J116" t="s">
        <v>236</v>
      </c>
      <c r="K116" t="s">
        <v>619</v>
      </c>
      <c r="L116" t="s">
        <v>619</v>
      </c>
      <c r="M116" t="s">
        <v>619</v>
      </c>
      <c r="N116" t="s">
        <v>619</v>
      </c>
    </row>
    <row r="117" spans="1:14" x14ac:dyDescent="0.25">
      <c r="A117" s="82">
        <f t="shared" si="1"/>
        <v>116</v>
      </c>
      <c r="B117" s="8" t="s">
        <v>779</v>
      </c>
      <c r="C117" s="9">
        <v>45407</v>
      </c>
      <c r="D117" t="s">
        <v>780</v>
      </c>
      <c r="E117" t="s">
        <v>781</v>
      </c>
      <c r="F117" t="s">
        <v>782</v>
      </c>
      <c r="G117" t="s">
        <v>118</v>
      </c>
      <c r="H117" s="59">
        <v>1488</v>
      </c>
      <c r="I117" t="s">
        <v>783</v>
      </c>
      <c r="J117" t="s">
        <v>791</v>
      </c>
      <c r="K117" t="s">
        <v>619</v>
      </c>
      <c r="L117" t="s">
        <v>619</v>
      </c>
      <c r="M117" t="s">
        <v>619</v>
      </c>
      <c r="N117" t="s">
        <v>619</v>
      </c>
    </row>
    <row r="118" spans="1:14" x14ac:dyDescent="0.25">
      <c r="A118" s="82">
        <f t="shared" si="1"/>
        <v>117</v>
      </c>
      <c r="B118" s="8" t="s">
        <v>785</v>
      </c>
      <c r="C118" s="9">
        <v>45408</v>
      </c>
      <c r="D118" t="s">
        <v>787</v>
      </c>
      <c r="E118" t="s">
        <v>788</v>
      </c>
      <c r="F118" t="s">
        <v>789</v>
      </c>
      <c r="G118" t="s">
        <v>118</v>
      </c>
      <c r="H118" s="59">
        <v>1754</v>
      </c>
      <c r="I118" t="s">
        <v>790</v>
      </c>
      <c r="J118" t="s">
        <v>265</v>
      </c>
      <c r="K118" t="s">
        <v>619</v>
      </c>
      <c r="L118" t="s">
        <v>619</v>
      </c>
      <c r="M118" t="s">
        <v>619</v>
      </c>
      <c r="N118" t="s">
        <v>619</v>
      </c>
    </row>
    <row r="119" spans="1:14" x14ac:dyDescent="0.25">
      <c r="A119" s="83">
        <f t="shared" si="1"/>
        <v>118</v>
      </c>
      <c r="B119" s="8" t="s">
        <v>786</v>
      </c>
      <c r="C119" s="9">
        <v>45409</v>
      </c>
      <c r="D119" t="s">
        <v>792</v>
      </c>
      <c r="E119" t="s">
        <v>793</v>
      </c>
      <c r="F119" t="s">
        <v>794</v>
      </c>
      <c r="G119" t="s">
        <v>118</v>
      </c>
      <c r="H119" s="59">
        <v>4732.8</v>
      </c>
      <c r="I119" t="s">
        <v>273</v>
      </c>
      <c r="J119" t="s">
        <v>808</v>
      </c>
      <c r="K119" t="s">
        <v>619</v>
      </c>
      <c r="L119" t="s">
        <v>619</v>
      </c>
      <c r="M119" t="s">
        <v>619</v>
      </c>
      <c r="N119" t="s">
        <v>619</v>
      </c>
    </row>
    <row r="120" spans="1:14" x14ac:dyDescent="0.25">
      <c r="A120">
        <f t="shared" si="1"/>
        <v>119</v>
      </c>
      <c r="B120" s="8" t="s">
        <v>795</v>
      </c>
      <c r="C120" s="9">
        <v>45411</v>
      </c>
      <c r="D120" t="s">
        <v>796</v>
      </c>
      <c r="E120" t="s">
        <v>797</v>
      </c>
      <c r="F120" t="s">
        <v>798</v>
      </c>
      <c r="G120" t="s">
        <v>195</v>
      </c>
      <c r="H120" s="59">
        <v>6273</v>
      </c>
      <c r="I120" t="s">
        <v>799</v>
      </c>
      <c r="J120" t="s">
        <v>809</v>
      </c>
      <c r="K120" t="s">
        <v>619</v>
      </c>
      <c r="L120" t="s">
        <v>619</v>
      </c>
      <c r="M120" t="s">
        <v>619</v>
      </c>
      <c r="N120" t="s">
        <v>619</v>
      </c>
    </row>
    <row r="121" spans="1:14" x14ac:dyDescent="0.25">
      <c r="A121" s="82">
        <f t="shared" si="1"/>
        <v>120</v>
      </c>
      <c r="B121" s="8" t="s">
        <v>801</v>
      </c>
      <c r="C121" s="9">
        <v>45398</v>
      </c>
      <c r="D121" t="s">
        <v>804</v>
      </c>
      <c r="E121" t="s">
        <v>805</v>
      </c>
      <c r="F121" t="s">
        <v>806</v>
      </c>
      <c r="G121" t="s">
        <v>118</v>
      </c>
      <c r="H121" s="59">
        <v>3075.25</v>
      </c>
      <c r="I121" t="s">
        <v>807</v>
      </c>
      <c r="J121" t="s">
        <v>236</v>
      </c>
      <c r="K121" t="s">
        <v>619</v>
      </c>
      <c r="L121" t="s">
        <v>619</v>
      </c>
      <c r="M121" t="s">
        <v>619</v>
      </c>
      <c r="N121" t="s">
        <v>619</v>
      </c>
    </row>
    <row r="122" spans="1:14" x14ac:dyDescent="0.25">
      <c r="A122">
        <f t="shared" si="1"/>
        <v>121</v>
      </c>
      <c r="B122" s="8" t="s">
        <v>802</v>
      </c>
      <c r="C122" s="9">
        <v>45408</v>
      </c>
      <c r="D122" t="s">
        <v>810</v>
      </c>
      <c r="E122" t="s">
        <v>811</v>
      </c>
      <c r="F122" t="s">
        <v>812</v>
      </c>
      <c r="G122" t="s">
        <v>195</v>
      </c>
      <c r="H122" s="59">
        <v>2220</v>
      </c>
      <c r="I122" t="s">
        <v>813</v>
      </c>
      <c r="J122" t="s">
        <v>814</v>
      </c>
      <c r="K122" t="s">
        <v>619</v>
      </c>
      <c r="L122" t="s">
        <v>619</v>
      </c>
      <c r="M122" t="s">
        <v>619</v>
      </c>
      <c r="N122" t="s">
        <v>619</v>
      </c>
    </row>
    <row r="123" spans="1:14" x14ac:dyDescent="0.25">
      <c r="A123">
        <f t="shared" si="1"/>
        <v>122</v>
      </c>
      <c r="B123" s="8" t="s">
        <v>803</v>
      </c>
      <c r="C123" s="9">
        <v>45414</v>
      </c>
      <c r="D123" t="s">
        <v>815</v>
      </c>
      <c r="E123" t="s">
        <v>816</v>
      </c>
      <c r="F123" t="s">
        <v>817</v>
      </c>
      <c r="G123" t="s">
        <v>195</v>
      </c>
      <c r="H123" s="59">
        <v>1055</v>
      </c>
      <c r="I123" t="s">
        <v>818</v>
      </c>
      <c r="J123" t="s">
        <v>236</v>
      </c>
      <c r="K123" t="s">
        <v>619</v>
      </c>
      <c r="L123" t="s">
        <v>619</v>
      </c>
      <c r="M123" t="s">
        <v>619</v>
      </c>
      <c r="N123" t="s">
        <v>619</v>
      </c>
    </row>
    <row r="124" spans="1:14" x14ac:dyDescent="0.25">
      <c r="A124" s="82">
        <f t="shared" si="1"/>
        <v>123</v>
      </c>
      <c r="B124" s="8" t="s">
        <v>822</v>
      </c>
      <c r="C124" s="9">
        <v>45415</v>
      </c>
      <c r="D124" t="s">
        <v>826</v>
      </c>
      <c r="E124" t="s">
        <v>827</v>
      </c>
      <c r="F124" t="s">
        <v>828</v>
      </c>
      <c r="G124" t="s">
        <v>118</v>
      </c>
      <c r="H124" s="59">
        <v>1344</v>
      </c>
      <c r="I124" t="s">
        <v>829</v>
      </c>
      <c r="J124" t="s">
        <v>846</v>
      </c>
      <c r="K124" t="s">
        <v>619</v>
      </c>
      <c r="L124" t="s">
        <v>619</v>
      </c>
      <c r="M124" t="s">
        <v>619</v>
      </c>
      <c r="N124" t="s">
        <v>619</v>
      </c>
    </row>
    <row r="125" spans="1:14" x14ac:dyDescent="0.25">
      <c r="A125" s="82">
        <f t="shared" si="1"/>
        <v>124</v>
      </c>
      <c r="B125" s="8" t="s">
        <v>823</v>
      </c>
      <c r="C125" s="9">
        <v>45415</v>
      </c>
      <c r="D125" t="s">
        <v>830</v>
      </c>
      <c r="E125" t="s">
        <v>831</v>
      </c>
      <c r="F125" t="s">
        <v>832</v>
      </c>
      <c r="G125" t="s">
        <v>118</v>
      </c>
      <c r="H125" s="59">
        <v>1356.6</v>
      </c>
      <c r="I125" t="s">
        <v>833</v>
      </c>
      <c r="J125" t="s">
        <v>837</v>
      </c>
      <c r="K125" t="s">
        <v>619</v>
      </c>
      <c r="L125" t="s">
        <v>619</v>
      </c>
      <c r="M125" t="s">
        <v>619</v>
      </c>
      <c r="N125" t="s">
        <v>619</v>
      </c>
    </row>
    <row r="126" spans="1:14" x14ac:dyDescent="0.25">
      <c r="A126" s="85">
        <f t="shared" si="1"/>
        <v>125</v>
      </c>
      <c r="B126" s="8" t="s">
        <v>824</v>
      </c>
      <c r="C126" s="9">
        <v>45416</v>
      </c>
      <c r="D126" t="s">
        <v>834</v>
      </c>
      <c r="E126" t="s">
        <v>835</v>
      </c>
      <c r="F126" t="s">
        <v>836</v>
      </c>
      <c r="G126" t="s">
        <v>195</v>
      </c>
      <c r="H126" s="59">
        <v>8439.4599999999991</v>
      </c>
      <c r="I126" t="s">
        <v>323</v>
      </c>
      <c r="J126" t="s">
        <v>236</v>
      </c>
      <c r="K126" t="s">
        <v>619</v>
      </c>
      <c r="L126" t="s">
        <v>619</v>
      </c>
      <c r="M126" t="s">
        <v>619</v>
      </c>
      <c r="N126" t="s">
        <v>619</v>
      </c>
    </row>
    <row r="127" spans="1:14" x14ac:dyDescent="0.25">
      <c r="A127">
        <f t="shared" si="1"/>
        <v>126</v>
      </c>
      <c r="B127" s="8" t="s">
        <v>825</v>
      </c>
      <c r="C127" s="9">
        <v>45416</v>
      </c>
      <c r="D127" t="s">
        <v>838</v>
      </c>
      <c r="E127" t="s">
        <v>839</v>
      </c>
      <c r="F127" t="s">
        <v>840</v>
      </c>
      <c r="G127" t="s">
        <v>195</v>
      </c>
      <c r="H127" s="59">
        <v>1190</v>
      </c>
      <c r="I127" t="s">
        <v>841</v>
      </c>
      <c r="J127" t="s">
        <v>847</v>
      </c>
      <c r="K127" t="s">
        <v>619</v>
      </c>
      <c r="L127" t="s">
        <v>619</v>
      </c>
      <c r="M127" t="s">
        <v>619</v>
      </c>
      <c r="N127" t="s">
        <v>619</v>
      </c>
    </row>
    <row r="128" spans="1:14" x14ac:dyDescent="0.25">
      <c r="A128" s="82">
        <f t="shared" si="1"/>
        <v>127</v>
      </c>
      <c r="B128" s="8" t="s">
        <v>842</v>
      </c>
      <c r="C128" s="9">
        <v>45414</v>
      </c>
      <c r="D128" t="s">
        <v>810</v>
      </c>
      <c r="E128" t="s">
        <v>811</v>
      </c>
      <c r="F128" t="s">
        <v>812</v>
      </c>
      <c r="G128" t="s">
        <v>118</v>
      </c>
      <c r="H128" s="59">
        <v>373.7</v>
      </c>
      <c r="I128" t="s">
        <v>845</v>
      </c>
      <c r="J128" t="s">
        <v>265</v>
      </c>
      <c r="K128" t="s">
        <v>619</v>
      </c>
      <c r="L128" t="s">
        <v>619</v>
      </c>
      <c r="M128" t="s">
        <v>619</v>
      </c>
      <c r="N128" t="s">
        <v>619</v>
      </c>
    </row>
    <row r="129" spans="1:14" x14ac:dyDescent="0.25">
      <c r="A129" s="82">
        <f t="shared" si="1"/>
        <v>128</v>
      </c>
      <c r="B129" s="8" t="s">
        <v>843</v>
      </c>
      <c r="C129" s="9">
        <v>45414</v>
      </c>
      <c r="D129" t="s">
        <v>498</v>
      </c>
      <c r="E129" t="s">
        <v>499</v>
      </c>
      <c r="F129" t="s">
        <v>500</v>
      </c>
      <c r="G129" t="s">
        <v>118</v>
      </c>
      <c r="H129" s="59">
        <v>1362.5</v>
      </c>
      <c r="I129" t="s">
        <v>526</v>
      </c>
      <c r="J129" t="s">
        <v>265</v>
      </c>
      <c r="K129" t="s">
        <v>619</v>
      </c>
      <c r="L129" t="s">
        <v>619</v>
      </c>
      <c r="M129" t="s">
        <v>619</v>
      </c>
      <c r="N129" t="s">
        <v>619</v>
      </c>
    </row>
    <row r="130" spans="1:14" x14ac:dyDescent="0.25">
      <c r="A130">
        <f t="shared" si="1"/>
        <v>129</v>
      </c>
      <c r="B130" s="93" t="s">
        <v>844</v>
      </c>
      <c r="C130" s="9">
        <v>45418</v>
      </c>
      <c r="D130" t="s">
        <v>848</v>
      </c>
      <c r="E130" t="s">
        <v>849</v>
      </c>
      <c r="F130" t="s">
        <v>850</v>
      </c>
      <c r="G130" t="s">
        <v>195</v>
      </c>
      <c r="H130" s="59">
        <v>4116</v>
      </c>
      <c r="I130" t="s">
        <v>851</v>
      </c>
      <c r="J130" t="s">
        <v>852</v>
      </c>
      <c r="K130" t="s">
        <v>619</v>
      </c>
      <c r="L130" t="s">
        <v>619</v>
      </c>
      <c r="M130" t="s">
        <v>619</v>
      </c>
      <c r="N130" t="s">
        <v>619</v>
      </c>
    </row>
    <row r="131" spans="1:14" x14ac:dyDescent="0.25">
      <c r="A131" s="82">
        <f t="shared" si="1"/>
        <v>130</v>
      </c>
      <c r="B131" s="8" t="s">
        <v>853</v>
      </c>
      <c r="C131" s="9">
        <v>45419</v>
      </c>
      <c r="D131" t="s">
        <v>855</v>
      </c>
      <c r="E131" t="s">
        <v>856</v>
      </c>
      <c r="F131" t="s">
        <v>857</v>
      </c>
      <c r="G131" t="s">
        <v>118</v>
      </c>
      <c r="H131" s="59">
        <v>2068.15</v>
      </c>
      <c r="I131" t="s">
        <v>858</v>
      </c>
      <c r="J131" t="s">
        <v>245</v>
      </c>
      <c r="K131" t="s">
        <v>619</v>
      </c>
      <c r="L131" t="s">
        <v>619</v>
      </c>
      <c r="M131" t="s">
        <v>619</v>
      </c>
      <c r="N131" t="s">
        <v>619</v>
      </c>
    </row>
    <row r="132" spans="1:14" x14ac:dyDescent="0.25">
      <c r="A132" s="82">
        <f t="shared" ref="A132:A195" si="2">A131+1</f>
        <v>131</v>
      </c>
      <c r="B132" s="8" t="s">
        <v>854</v>
      </c>
      <c r="C132" s="9">
        <v>45420</v>
      </c>
      <c r="D132" t="s">
        <v>872</v>
      </c>
      <c r="E132" t="s">
        <v>859</v>
      </c>
      <c r="F132" t="s">
        <v>860</v>
      </c>
      <c r="G132" t="s">
        <v>118</v>
      </c>
      <c r="H132" s="59">
        <v>1038</v>
      </c>
      <c r="I132" t="s">
        <v>585</v>
      </c>
      <c r="J132" t="s">
        <v>265</v>
      </c>
      <c r="K132" t="s">
        <v>619</v>
      </c>
      <c r="L132" t="s">
        <v>619</v>
      </c>
      <c r="M132" t="s">
        <v>619</v>
      </c>
      <c r="N132" t="s">
        <v>619</v>
      </c>
    </row>
    <row r="133" spans="1:14" x14ac:dyDescent="0.25">
      <c r="A133">
        <f t="shared" si="2"/>
        <v>132</v>
      </c>
      <c r="B133" s="8" t="s">
        <v>861</v>
      </c>
      <c r="C133" s="9">
        <v>45415</v>
      </c>
      <c r="D133" t="s">
        <v>868</v>
      </c>
      <c r="E133" t="s">
        <v>869</v>
      </c>
      <c r="F133" t="s">
        <v>870</v>
      </c>
      <c r="G133" t="s">
        <v>195</v>
      </c>
      <c r="H133" s="59">
        <v>2216</v>
      </c>
      <c r="I133" t="s">
        <v>871</v>
      </c>
      <c r="J133" t="s">
        <v>904</v>
      </c>
      <c r="K133" t="s">
        <v>619</v>
      </c>
      <c r="L133" t="s">
        <v>619</v>
      </c>
      <c r="M133" t="s">
        <v>619</v>
      </c>
      <c r="N133" t="s">
        <v>619</v>
      </c>
    </row>
    <row r="134" spans="1:14" x14ac:dyDescent="0.25">
      <c r="A134" s="82">
        <f t="shared" si="2"/>
        <v>133</v>
      </c>
      <c r="B134" s="8" t="s">
        <v>862</v>
      </c>
      <c r="C134" s="9">
        <v>45418</v>
      </c>
      <c r="D134" t="s">
        <v>873</v>
      </c>
      <c r="E134" t="s">
        <v>874</v>
      </c>
      <c r="F134" t="s">
        <v>875</v>
      </c>
      <c r="G134" t="s">
        <v>118</v>
      </c>
      <c r="H134" s="59">
        <v>2334.6</v>
      </c>
      <c r="I134" t="s">
        <v>876</v>
      </c>
      <c r="J134" t="s">
        <v>245</v>
      </c>
      <c r="K134" t="s">
        <v>619</v>
      </c>
      <c r="L134" t="s">
        <v>619</v>
      </c>
      <c r="M134" t="s">
        <v>619</v>
      </c>
      <c r="N134" t="s">
        <v>619</v>
      </c>
    </row>
    <row r="135" spans="1:14" x14ac:dyDescent="0.25">
      <c r="A135">
        <f t="shared" si="2"/>
        <v>134</v>
      </c>
      <c r="B135" s="8" t="s">
        <v>863</v>
      </c>
      <c r="C135" s="9">
        <v>45421</v>
      </c>
      <c r="D135" t="s">
        <v>877</v>
      </c>
      <c r="E135" t="s">
        <v>878</v>
      </c>
      <c r="F135" t="s">
        <v>879</v>
      </c>
      <c r="G135" t="s">
        <v>195</v>
      </c>
      <c r="H135" s="59">
        <v>1038</v>
      </c>
      <c r="I135" t="s">
        <v>880</v>
      </c>
      <c r="J135" t="s">
        <v>905</v>
      </c>
      <c r="K135" t="s">
        <v>619</v>
      </c>
      <c r="L135" t="s">
        <v>619</v>
      </c>
      <c r="M135" t="s">
        <v>619</v>
      </c>
      <c r="N135" t="s">
        <v>619</v>
      </c>
    </row>
    <row r="136" spans="1:14" x14ac:dyDescent="0.25">
      <c r="A136" s="82">
        <f t="shared" si="2"/>
        <v>135</v>
      </c>
      <c r="B136" s="8" t="s">
        <v>864</v>
      </c>
      <c r="C136" s="9">
        <v>45422</v>
      </c>
      <c r="D136" t="s">
        <v>642</v>
      </c>
      <c r="E136" t="s">
        <v>776</v>
      </c>
      <c r="F136" t="s">
        <v>644</v>
      </c>
      <c r="G136" t="s">
        <v>118</v>
      </c>
      <c r="H136" s="59">
        <v>1908</v>
      </c>
      <c r="I136" t="s">
        <v>881</v>
      </c>
      <c r="J136" t="s">
        <v>216</v>
      </c>
      <c r="K136" t="s">
        <v>619</v>
      </c>
      <c r="L136" t="s">
        <v>619</v>
      </c>
      <c r="M136" t="s">
        <v>619</v>
      </c>
      <c r="N136" t="s">
        <v>619</v>
      </c>
    </row>
    <row r="137" spans="1:14" x14ac:dyDescent="0.25">
      <c r="A137" s="82">
        <f t="shared" si="2"/>
        <v>136</v>
      </c>
      <c r="B137" s="8" t="s">
        <v>865</v>
      </c>
      <c r="C137" s="9">
        <v>45423</v>
      </c>
      <c r="D137" t="s">
        <v>882</v>
      </c>
      <c r="E137" t="s">
        <v>883</v>
      </c>
      <c r="F137" t="s">
        <v>884</v>
      </c>
      <c r="G137" t="s">
        <v>118</v>
      </c>
      <c r="H137" s="59">
        <v>3208.15</v>
      </c>
      <c r="I137" t="s">
        <v>885</v>
      </c>
      <c r="J137" t="s">
        <v>886</v>
      </c>
      <c r="K137" t="s">
        <v>619</v>
      </c>
      <c r="L137" t="s">
        <v>619</v>
      </c>
      <c r="M137" t="s">
        <v>619</v>
      </c>
      <c r="N137" t="s">
        <v>619</v>
      </c>
    </row>
    <row r="138" spans="1:14" x14ac:dyDescent="0.25">
      <c r="A138">
        <f t="shared" si="2"/>
        <v>137</v>
      </c>
      <c r="B138" s="8" t="s">
        <v>866</v>
      </c>
      <c r="C138" s="9">
        <v>45425</v>
      </c>
      <c r="D138" t="s">
        <v>887</v>
      </c>
      <c r="E138" t="s">
        <v>888</v>
      </c>
      <c r="F138" t="s">
        <v>889</v>
      </c>
      <c r="G138" t="s">
        <v>195</v>
      </c>
      <c r="H138" s="59">
        <v>1479</v>
      </c>
      <c r="I138" t="s">
        <v>890</v>
      </c>
      <c r="J138" t="s">
        <v>236</v>
      </c>
      <c r="K138" t="s">
        <v>619</v>
      </c>
      <c r="L138" t="s">
        <v>619</v>
      </c>
      <c r="M138" t="s">
        <v>619</v>
      </c>
      <c r="N138" t="s">
        <v>619</v>
      </c>
    </row>
    <row r="139" spans="1:14" x14ac:dyDescent="0.25">
      <c r="A139" s="82">
        <f t="shared" si="2"/>
        <v>138</v>
      </c>
      <c r="B139" s="8" t="s">
        <v>867</v>
      </c>
      <c r="C139" s="9">
        <v>45425</v>
      </c>
      <c r="D139" t="s">
        <v>891</v>
      </c>
      <c r="E139" t="s">
        <v>892</v>
      </c>
      <c r="F139" t="s">
        <v>893</v>
      </c>
      <c r="G139" t="s">
        <v>118</v>
      </c>
      <c r="H139" s="59">
        <v>1388</v>
      </c>
      <c r="I139" t="s">
        <v>894</v>
      </c>
      <c r="J139" t="s">
        <v>895</v>
      </c>
      <c r="K139" t="s">
        <v>619</v>
      </c>
      <c r="L139" t="s">
        <v>619</v>
      </c>
      <c r="M139" t="s">
        <v>619</v>
      </c>
      <c r="N139" t="s">
        <v>619</v>
      </c>
    </row>
    <row r="140" spans="1:14" x14ac:dyDescent="0.25">
      <c r="A140" s="83">
        <f t="shared" si="2"/>
        <v>139</v>
      </c>
      <c r="B140" s="8" t="s">
        <v>896</v>
      </c>
      <c r="C140" s="9">
        <v>45426</v>
      </c>
      <c r="D140" t="s">
        <v>900</v>
      </c>
      <c r="E140" t="s">
        <v>901</v>
      </c>
      <c r="F140" t="s">
        <v>902</v>
      </c>
      <c r="G140" t="s">
        <v>118</v>
      </c>
      <c r="H140" s="59">
        <v>2125.12</v>
      </c>
      <c r="I140" t="s">
        <v>903</v>
      </c>
      <c r="J140" t="s">
        <v>502</v>
      </c>
      <c r="K140" t="s">
        <v>619</v>
      </c>
      <c r="L140" t="s">
        <v>619</v>
      </c>
      <c r="M140" t="s">
        <v>619</v>
      </c>
      <c r="N140" t="s">
        <v>619</v>
      </c>
    </row>
    <row r="141" spans="1:14" x14ac:dyDescent="0.25">
      <c r="A141" s="82">
        <f t="shared" si="2"/>
        <v>140</v>
      </c>
      <c r="B141" s="8" t="s">
        <v>897</v>
      </c>
      <c r="C141" s="9">
        <v>45426</v>
      </c>
      <c r="D141" t="s">
        <v>566</v>
      </c>
      <c r="E141" t="s">
        <v>567</v>
      </c>
      <c r="F141" t="s">
        <v>568</v>
      </c>
      <c r="G141" t="s">
        <v>118</v>
      </c>
      <c r="H141" s="59">
        <v>1012</v>
      </c>
      <c r="I141" t="s">
        <v>906</v>
      </c>
      <c r="J141" t="s">
        <v>907</v>
      </c>
      <c r="K141" t="s">
        <v>619</v>
      </c>
      <c r="L141" t="s">
        <v>619</v>
      </c>
      <c r="M141" t="s">
        <v>619</v>
      </c>
      <c r="N141" t="s">
        <v>619</v>
      </c>
    </row>
    <row r="142" spans="1:14" x14ac:dyDescent="0.25">
      <c r="A142" s="82">
        <f t="shared" si="2"/>
        <v>141</v>
      </c>
      <c r="B142" s="8" t="s">
        <v>898</v>
      </c>
      <c r="C142" s="9">
        <v>45426</v>
      </c>
      <c r="D142" t="s">
        <v>908</v>
      </c>
      <c r="E142" t="s">
        <v>909</v>
      </c>
      <c r="F142" t="s">
        <v>910</v>
      </c>
      <c r="G142" t="s">
        <v>118</v>
      </c>
      <c r="H142" s="59">
        <v>1145</v>
      </c>
      <c r="I142" t="s">
        <v>911</v>
      </c>
      <c r="J142" t="s">
        <v>920</v>
      </c>
      <c r="K142" t="s">
        <v>619</v>
      </c>
      <c r="L142" t="s">
        <v>619</v>
      </c>
      <c r="M142" t="s">
        <v>619</v>
      </c>
      <c r="N142" t="s">
        <v>619</v>
      </c>
    </row>
    <row r="143" spans="1:14" x14ac:dyDescent="0.25">
      <c r="A143">
        <f t="shared" si="2"/>
        <v>142</v>
      </c>
      <c r="B143" s="8" t="s">
        <v>899</v>
      </c>
      <c r="C143" s="9">
        <v>45427</v>
      </c>
      <c r="D143" t="s">
        <v>922</v>
      </c>
      <c r="E143" t="s">
        <v>912</v>
      </c>
      <c r="F143" t="s">
        <v>913</v>
      </c>
      <c r="G143" t="s">
        <v>195</v>
      </c>
      <c r="H143" s="59">
        <v>3692.65</v>
      </c>
      <c r="I143" t="s">
        <v>914</v>
      </c>
      <c r="J143" t="s">
        <v>921</v>
      </c>
      <c r="K143" t="s">
        <v>619</v>
      </c>
      <c r="L143" t="s">
        <v>619</v>
      </c>
      <c r="M143" t="s">
        <v>619</v>
      </c>
      <c r="N143" t="s">
        <v>619</v>
      </c>
    </row>
    <row r="144" spans="1:14" x14ac:dyDescent="0.25">
      <c r="A144">
        <f t="shared" si="2"/>
        <v>143</v>
      </c>
      <c r="B144" s="8" t="s">
        <v>915</v>
      </c>
      <c r="C144" s="9">
        <v>45429</v>
      </c>
      <c r="D144" t="s">
        <v>916</v>
      </c>
      <c r="E144" t="s">
        <v>917</v>
      </c>
      <c r="F144" t="s">
        <v>918</v>
      </c>
      <c r="G144" t="s">
        <v>195</v>
      </c>
      <c r="H144" s="59">
        <v>1348</v>
      </c>
      <c r="I144" t="s">
        <v>919</v>
      </c>
      <c r="J144" t="s">
        <v>617</v>
      </c>
      <c r="K144" t="s">
        <v>619</v>
      </c>
      <c r="L144" t="s">
        <v>619</v>
      </c>
      <c r="M144" t="s">
        <v>619</v>
      </c>
      <c r="N144" t="s">
        <v>619</v>
      </c>
    </row>
    <row r="145" spans="1:14" x14ac:dyDescent="0.25">
      <c r="A145">
        <f t="shared" si="2"/>
        <v>144</v>
      </c>
      <c r="B145" s="8" t="s">
        <v>923</v>
      </c>
      <c r="C145" s="9">
        <v>45428</v>
      </c>
      <c r="D145" t="s">
        <v>925</v>
      </c>
      <c r="E145" t="s">
        <v>926</v>
      </c>
      <c r="F145" t="s">
        <v>927</v>
      </c>
      <c r="G145" t="s">
        <v>928</v>
      </c>
      <c r="H145" s="59">
        <v>1506.89</v>
      </c>
      <c r="I145" t="s">
        <v>929</v>
      </c>
      <c r="J145" t="s">
        <v>938</v>
      </c>
      <c r="K145" t="s">
        <v>619</v>
      </c>
      <c r="L145" t="s">
        <v>619</v>
      </c>
      <c r="M145" t="s">
        <v>619</v>
      </c>
      <c r="N145" t="s">
        <v>619</v>
      </c>
    </row>
    <row r="146" spans="1:14" x14ac:dyDescent="0.25">
      <c r="A146" s="82">
        <f t="shared" si="2"/>
        <v>145</v>
      </c>
      <c r="B146" s="8" t="s">
        <v>924</v>
      </c>
      <c r="C146" s="9">
        <v>45433</v>
      </c>
      <c r="D146" t="s">
        <v>930</v>
      </c>
      <c r="E146" t="s">
        <v>931</v>
      </c>
      <c r="F146" t="s">
        <v>932</v>
      </c>
      <c r="G146" t="s">
        <v>118</v>
      </c>
      <c r="H146" s="59">
        <v>1240</v>
      </c>
      <c r="I146" t="s">
        <v>880</v>
      </c>
      <c r="J146" t="s">
        <v>265</v>
      </c>
      <c r="K146" t="s">
        <v>619</v>
      </c>
      <c r="L146" t="s">
        <v>619</v>
      </c>
      <c r="M146" t="s">
        <v>619</v>
      </c>
      <c r="N146" t="s">
        <v>619</v>
      </c>
    </row>
    <row r="147" spans="1:14" x14ac:dyDescent="0.25">
      <c r="A147">
        <f t="shared" si="2"/>
        <v>146</v>
      </c>
      <c r="B147" s="8" t="s">
        <v>933</v>
      </c>
      <c r="C147" s="9">
        <v>45434</v>
      </c>
      <c r="D147" t="s">
        <v>934</v>
      </c>
      <c r="E147" t="s">
        <v>935</v>
      </c>
      <c r="F147" t="s">
        <v>936</v>
      </c>
      <c r="G147" t="s">
        <v>195</v>
      </c>
      <c r="H147" s="59">
        <v>1373</v>
      </c>
      <c r="I147" t="s">
        <v>937</v>
      </c>
      <c r="J147" t="s">
        <v>617</v>
      </c>
      <c r="K147" t="s">
        <v>619</v>
      </c>
      <c r="L147" t="s">
        <v>619</v>
      </c>
      <c r="M147" t="s">
        <v>619</v>
      </c>
      <c r="N147" t="s">
        <v>619</v>
      </c>
    </row>
    <row r="148" spans="1:14" x14ac:dyDescent="0.25">
      <c r="A148" s="85">
        <f t="shared" si="2"/>
        <v>147</v>
      </c>
      <c r="B148" s="8" t="s">
        <v>939</v>
      </c>
      <c r="C148" s="9">
        <v>45439</v>
      </c>
      <c r="D148" t="s">
        <v>941</v>
      </c>
      <c r="E148" t="s">
        <v>942</v>
      </c>
      <c r="F148" t="s">
        <v>943</v>
      </c>
      <c r="G148" t="s">
        <v>195</v>
      </c>
      <c r="H148" s="59">
        <v>4174.95</v>
      </c>
      <c r="I148" t="s">
        <v>944</v>
      </c>
      <c r="J148" t="s">
        <v>945</v>
      </c>
      <c r="K148" t="s">
        <v>619</v>
      </c>
      <c r="L148" t="s">
        <v>619</v>
      </c>
      <c r="M148" t="s">
        <v>619</v>
      </c>
      <c r="N148" t="s">
        <v>619</v>
      </c>
    </row>
    <row r="149" spans="1:14" x14ac:dyDescent="0.25">
      <c r="A149">
        <f t="shared" si="2"/>
        <v>148</v>
      </c>
      <c r="B149" s="8" t="s">
        <v>940</v>
      </c>
      <c r="C149" s="9">
        <v>45439</v>
      </c>
      <c r="D149" t="s">
        <v>946</v>
      </c>
      <c r="E149" t="s">
        <v>947</v>
      </c>
      <c r="F149" t="s">
        <v>948</v>
      </c>
      <c r="G149" t="s">
        <v>119</v>
      </c>
      <c r="H149" s="59">
        <v>1440.72</v>
      </c>
      <c r="I149" t="s">
        <v>949</v>
      </c>
      <c r="J149" t="s">
        <v>265</v>
      </c>
      <c r="K149" t="s">
        <v>619</v>
      </c>
      <c r="L149" t="s">
        <v>619</v>
      </c>
      <c r="M149" t="s">
        <v>619</v>
      </c>
      <c r="N149" t="s">
        <v>619</v>
      </c>
    </row>
    <row r="150" spans="1:14" x14ac:dyDescent="0.25">
      <c r="A150" s="85">
        <f t="shared" si="2"/>
        <v>149</v>
      </c>
      <c r="B150" s="8" t="s">
        <v>951</v>
      </c>
      <c r="C150" s="9">
        <v>45432</v>
      </c>
      <c r="D150" t="s">
        <v>953</v>
      </c>
      <c r="E150" t="s">
        <v>954</v>
      </c>
      <c r="F150" t="s">
        <v>955</v>
      </c>
      <c r="G150" t="s">
        <v>119</v>
      </c>
      <c r="H150" s="59">
        <v>13873.79</v>
      </c>
      <c r="I150" t="s">
        <v>956</v>
      </c>
      <c r="J150" t="s">
        <v>957</v>
      </c>
      <c r="K150" t="s">
        <v>619</v>
      </c>
      <c r="L150" t="s">
        <v>619</v>
      </c>
      <c r="M150" t="s">
        <v>619</v>
      </c>
      <c r="N150" t="s">
        <v>619</v>
      </c>
    </row>
    <row r="151" spans="1:14" x14ac:dyDescent="0.25">
      <c r="A151" s="82">
        <f t="shared" si="2"/>
        <v>150</v>
      </c>
      <c r="B151" s="8" t="s">
        <v>950</v>
      </c>
      <c r="C151" s="9">
        <v>45434</v>
      </c>
      <c r="D151" t="s">
        <v>958</v>
      </c>
      <c r="E151" t="s">
        <v>959</v>
      </c>
      <c r="F151" t="s">
        <v>960</v>
      </c>
      <c r="G151" t="s">
        <v>118</v>
      </c>
      <c r="H151" s="59">
        <v>2331</v>
      </c>
      <c r="I151" t="s">
        <v>961</v>
      </c>
      <c r="J151" t="s">
        <v>236</v>
      </c>
      <c r="K151" t="s">
        <v>619</v>
      </c>
      <c r="L151" t="s">
        <v>619</v>
      </c>
      <c r="M151" t="s">
        <v>619</v>
      </c>
      <c r="N151" t="s">
        <v>619</v>
      </c>
    </row>
    <row r="152" spans="1:14" x14ac:dyDescent="0.25">
      <c r="A152" s="83">
        <f t="shared" si="2"/>
        <v>151</v>
      </c>
      <c r="B152" s="8" t="s">
        <v>952</v>
      </c>
      <c r="C152" s="9">
        <v>45440</v>
      </c>
      <c r="D152" t="s">
        <v>941</v>
      </c>
      <c r="E152" t="s">
        <v>942</v>
      </c>
      <c r="F152" t="s">
        <v>943</v>
      </c>
      <c r="G152" t="s">
        <v>118</v>
      </c>
      <c r="H152" s="59">
        <v>1149.3800000000001</v>
      </c>
      <c r="I152" t="s">
        <v>190</v>
      </c>
      <c r="J152" t="s">
        <v>905</v>
      </c>
      <c r="K152" t="s">
        <v>619</v>
      </c>
      <c r="L152" t="s">
        <v>619</v>
      </c>
      <c r="M152" t="s">
        <v>619</v>
      </c>
      <c r="N152" t="s">
        <v>619</v>
      </c>
    </row>
    <row r="153" spans="1:14" x14ac:dyDescent="0.25">
      <c r="A153" s="82">
        <f t="shared" si="2"/>
        <v>152</v>
      </c>
      <c r="B153" s="8" t="s">
        <v>962</v>
      </c>
      <c r="C153" s="9">
        <v>45440</v>
      </c>
      <c r="D153" t="s">
        <v>963</v>
      </c>
      <c r="E153" t="s">
        <v>964</v>
      </c>
      <c r="F153" t="s">
        <v>965</v>
      </c>
      <c r="G153" t="s">
        <v>118</v>
      </c>
      <c r="H153" s="59">
        <v>1225</v>
      </c>
      <c r="I153" t="s">
        <v>966</v>
      </c>
      <c r="J153" t="s">
        <v>236</v>
      </c>
      <c r="K153" t="s">
        <v>619</v>
      </c>
      <c r="L153" t="s">
        <v>619</v>
      </c>
      <c r="M153" t="s">
        <v>619</v>
      </c>
      <c r="N153" t="s">
        <v>619</v>
      </c>
    </row>
    <row r="154" spans="1:14" x14ac:dyDescent="0.25">
      <c r="A154" s="83">
        <f t="shared" si="2"/>
        <v>153</v>
      </c>
      <c r="B154" s="8" t="s">
        <v>970</v>
      </c>
      <c r="C154" s="9">
        <v>45442</v>
      </c>
      <c r="D154" t="s">
        <v>967</v>
      </c>
      <c r="E154" t="s">
        <v>968</v>
      </c>
      <c r="F154" t="s">
        <v>969</v>
      </c>
      <c r="G154" t="s">
        <v>118</v>
      </c>
      <c r="H154" s="59">
        <v>8538.2900000000009</v>
      </c>
      <c r="I154" t="s">
        <v>323</v>
      </c>
      <c r="J154" t="s">
        <v>977</v>
      </c>
      <c r="K154" t="s">
        <v>619</v>
      </c>
      <c r="L154" t="s">
        <v>619</v>
      </c>
      <c r="M154" t="s">
        <v>619</v>
      </c>
      <c r="N154" t="s">
        <v>619</v>
      </c>
    </row>
    <row r="155" spans="1:14" x14ac:dyDescent="0.25">
      <c r="A155">
        <f t="shared" si="2"/>
        <v>154</v>
      </c>
      <c r="B155" s="8" t="s">
        <v>971</v>
      </c>
      <c r="C155" s="9">
        <v>45443</v>
      </c>
      <c r="D155" t="s">
        <v>973</v>
      </c>
      <c r="E155" t="s">
        <v>974</v>
      </c>
      <c r="F155" t="s">
        <v>975</v>
      </c>
      <c r="G155" t="s">
        <v>195</v>
      </c>
      <c r="H155" s="59">
        <v>5909.21</v>
      </c>
      <c r="I155" t="s">
        <v>976</v>
      </c>
      <c r="J155" t="s">
        <v>988</v>
      </c>
      <c r="K155" t="s">
        <v>619</v>
      </c>
      <c r="L155" t="s">
        <v>619</v>
      </c>
      <c r="M155" t="s">
        <v>619</v>
      </c>
      <c r="N155" t="s">
        <v>619</v>
      </c>
    </row>
    <row r="156" spans="1:14" x14ac:dyDescent="0.25">
      <c r="A156" s="82">
        <f t="shared" si="2"/>
        <v>155</v>
      </c>
      <c r="B156" s="8" t="s">
        <v>972</v>
      </c>
      <c r="C156" s="9">
        <v>45443</v>
      </c>
      <c r="D156" t="s">
        <v>978</v>
      </c>
      <c r="E156" t="s">
        <v>979</v>
      </c>
      <c r="F156" t="s">
        <v>980</v>
      </c>
      <c r="G156" t="s">
        <v>118</v>
      </c>
      <c r="H156" s="59">
        <v>2641</v>
      </c>
      <c r="I156" t="s">
        <v>981</v>
      </c>
      <c r="J156" t="s">
        <v>989</v>
      </c>
      <c r="K156" t="s">
        <v>619</v>
      </c>
      <c r="L156" t="s">
        <v>619</v>
      </c>
      <c r="M156" t="s">
        <v>619</v>
      </c>
      <c r="N156" t="s">
        <v>619</v>
      </c>
    </row>
    <row r="157" spans="1:14" x14ac:dyDescent="0.25">
      <c r="A157" s="85">
        <f t="shared" si="2"/>
        <v>156</v>
      </c>
      <c r="B157" s="8" t="s">
        <v>982</v>
      </c>
      <c r="C157" s="9">
        <v>45446</v>
      </c>
      <c r="D157" t="s">
        <v>984</v>
      </c>
      <c r="E157" t="s">
        <v>985</v>
      </c>
      <c r="F157" t="s">
        <v>986</v>
      </c>
      <c r="G157" t="s">
        <v>195</v>
      </c>
      <c r="H157" s="59">
        <v>6522.9</v>
      </c>
      <c r="I157" t="s">
        <v>987</v>
      </c>
      <c r="J157" t="s">
        <v>1001</v>
      </c>
      <c r="K157" t="s">
        <v>619</v>
      </c>
      <c r="L157" t="s">
        <v>619</v>
      </c>
      <c r="M157" t="s">
        <v>619</v>
      </c>
      <c r="N157" t="s">
        <v>619</v>
      </c>
    </row>
    <row r="158" spans="1:14" x14ac:dyDescent="0.25">
      <c r="A158" s="82">
        <f t="shared" si="2"/>
        <v>157</v>
      </c>
      <c r="B158" s="8" t="s">
        <v>983</v>
      </c>
      <c r="C158" s="9">
        <v>45446</v>
      </c>
      <c r="D158" t="s">
        <v>990</v>
      </c>
      <c r="E158" t="s">
        <v>991</v>
      </c>
      <c r="F158" t="s">
        <v>992</v>
      </c>
      <c r="G158" t="s">
        <v>118</v>
      </c>
      <c r="H158" s="59">
        <v>1302</v>
      </c>
      <c r="I158" t="s">
        <v>993</v>
      </c>
      <c r="J158" t="s">
        <v>1006</v>
      </c>
      <c r="K158" t="s">
        <v>619</v>
      </c>
      <c r="L158" t="s">
        <v>619</v>
      </c>
      <c r="M158" t="s">
        <v>619</v>
      </c>
      <c r="N158" t="s">
        <v>619</v>
      </c>
    </row>
    <row r="159" spans="1:14" x14ac:dyDescent="0.25">
      <c r="A159" s="82">
        <f t="shared" si="2"/>
        <v>158</v>
      </c>
      <c r="B159" s="8" t="s">
        <v>994</v>
      </c>
      <c r="C159" s="9">
        <v>45447</v>
      </c>
      <c r="D159" t="s">
        <v>996</v>
      </c>
      <c r="E159" t="s">
        <v>997</v>
      </c>
      <c r="F159" t="s">
        <v>998</v>
      </c>
      <c r="G159" t="s">
        <v>999</v>
      </c>
      <c r="H159" s="59">
        <v>1012</v>
      </c>
      <c r="I159" t="s">
        <v>1000</v>
      </c>
      <c r="J159" t="s">
        <v>1016</v>
      </c>
      <c r="K159" t="s">
        <v>619</v>
      </c>
      <c r="L159" t="s">
        <v>619</v>
      </c>
      <c r="M159" t="s">
        <v>619</v>
      </c>
      <c r="N159" t="s">
        <v>619</v>
      </c>
    </row>
    <row r="160" spans="1:14" x14ac:dyDescent="0.25">
      <c r="A160">
        <f t="shared" si="2"/>
        <v>159</v>
      </c>
      <c r="B160" s="8" t="s">
        <v>995</v>
      </c>
      <c r="C160" s="9">
        <v>45447</v>
      </c>
      <c r="D160" t="s">
        <v>1002</v>
      </c>
      <c r="E160" t="s">
        <v>1003</v>
      </c>
      <c r="F160" t="s">
        <v>1004</v>
      </c>
      <c r="G160" t="s">
        <v>195</v>
      </c>
      <c r="H160" s="59">
        <v>1351</v>
      </c>
      <c r="I160" t="s">
        <v>1005</v>
      </c>
      <c r="J160" t="s">
        <v>236</v>
      </c>
      <c r="K160" t="s">
        <v>619</v>
      </c>
      <c r="L160" t="s">
        <v>619</v>
      </c>
      <c r="M160" t="s">
        <v>619</v>
      </c>
      <c r="N160" t="s">
        <v>619</v>
      </c>
    </row>
    <row r="161" spans="1:14" x14ac:dyDescent="0.25">
      <c r="A161">
        <f t="shared" si="2"/>
        <v>160</v>
      </c>
      <c r="B161" s="8" t="s">
        <v>1007</v>
      </c>
      <c r="C161" s="9">
        <v>45441</v>
      </c>
      <c r="D161" t="s">
        <v>1012</v>
      </c>
      <c r="E161" t="s">
        <v>1013</v>
      </c>
      <c r="F161" t="s">
        <v>1014</v>
      </c>
      <c r="G161" t="s">
        <v>195</v>
      </c>
      <c r="H161" s="59">
        <v>1340.7</v>
      </c>
      <c r="I161" t="s">
        <v>1015</v>
      </c>
      <c r="J161" t="s">
        <v>236</v>
      </c>
      <c r="K161" t="s">
        <v>619</v>
      </c>
      <c r="L161" t="s">
        <v>619</v>
      </c>
      <c r="M161" t="s">
        <v>619</v>
      </c>
      <c r="N161" t="s">
        <v>619</v>
      </c>
    </row>
    <row r="162" spans="1:14" x14ac:dyDescent="0.25">
      <c r="A162" s="85">
        <f t="shared" si="2"/>
        <v>161</v>
      </c>
      <c r="B162" s="8" t="s">
        <v>1008</v>
      </c>
      <c r="C162" s="9">
        <v>45444</v>
      </c>
      <c r="D162" t="s">
        <v>1017</v>
      </c>
      <c r="E162" t="s">
        <v>1018</v>
      </c>
      <c r="F162" t="s">
        <v>1019</v>
      </c>
      <c r="G162" t="s">
        <v>195</v>
      </c>
      <c r="H162" s="59">
        <v>16635.669999999998</v>
      </c>
      <c r="I162" t="s">
        <v>284</v>
      </c>
      <c r="J162" t="s">
        <v>1038</v>
      </c>
      <c r="K162" t="s">
        <v>619</v>
      </c>
      <c r="L162" t="s">
        <v>619</v>
      </c>
      <c r="M162" t="s">
        <v>619</v>
      </c>
      <c r="N162" t="s">
        <v>619</v>
      </c>
    </row>
    <row r="163" spans="1:14" x14ac:dyDescent="0.25">
      <c r="A163">
        <f t="shared" si="2"/>
        <v>162</v>
      </c>
      <c r="B163" s="95" t="s">
        <v>1009</v>
      </c>
      <c r="C163" s="9">
        <v>45449</v>
      </c>
      <c r="D163" t="s">
        <v>1020</v>
      </c>
      <c r="E163" t="s">
        <v>1021</v>
      </c>
      <c r="F163" t="s">
        <v>1022</v>
      </c>
      <c r="G163" t="s">
        <v>119</v>
      </c>
      <c r="H163" s="59">
        <v>1978</v>
      </c>
      <c r="I163" t="s">
        <v>1023</v>
      </c>
      <c r="J163" t="s">
        <v>1032</v>
      </c>
      <c r="K163" t="s">
        <v>619</v>
      </c>
      <c r="L163" t="s">
        <v>619</v>
      </c>
      <c r="M163" t="s">
        <v>619</v>
      </c>
      <c r="N163" t="s">
        <v>619</v>
      </c>
    </row>
    <row r="164" spans="1:14" x14ac:dyDescent="0.25">
      <c r="A164" s="82">
        <f t="shared" si="2"/>
        <v>163</v>
      </c>
      <c r="B164" s="8" t="s">
        <v>1010</v>
      </c>
      <c r="C164" s="9">
        <v>45450</v>
      </c>
      <c r="D164" t="s">
        <v>1024</v>
      </c>
      <c r="E164" t="s">
        <v>1025</v>
      </c>
      <c r="F164" t="s">
        <v>1026</v>
      </c>
      <c r="G164" t="s">
        <v>118</v>
      </c>
      <c r="H164" s="59">
        <v>1736</v>
      </c>
      <c r="I164" t="s">
        <v>1027</v>
      </c>
      <c r="J164" t="s">
        <v>1039</v>
      </c>
      <c r="K164" t="s">
        <v>619</v>
      </c>
      <c r="L164" t="s">
        <v>619</v>
      </c>
      <c r="M164" t="s">
        <v>619</v>
      </c>
      <c r="N164" t="s">
        <v>619</v>
      </c>
    </row>
    <row r="165" spans="1:14" x14ac:dyDescent="0.25">
      <c r="A165" s="82">
        <f t="shared" si="2"/>
        <v>164</v>
      </c>
      <c r="B165" s="8" t="s">
        <v>1011</v>
      </c>
      <c r="C165" s="9">
        <v>45450</v>
      </c>
      <c r="D165" t="s">
        <v>1028</v>
      </c>
      <c r="E165" t="s">
        <v>1029</v>
      </c>
      <c r="F165" t="s">
        <v>1030</v>
      </c>
      <c r="G165" t="s">
        <v>195</v>
      </c>
      <c r="H165" s="59">
        <v>1677</v>
      </c>
      <c r="I165" t="s">
        <v>1031</v>
      </c>
      <c r="J165" t="s">
        <v>236</v>
      </c>
      <c r="K165" t="s">
        <v>619</v>
      </c>
      <c r="L165" t="s">
        <v>619</v>
      </c>
      <c r="M165" t="s">
        <v>619</v>
      </c>
      <c r="N165" t="s">
        <v>619</v>
      </c>
    </row>
    <row r="166" spans="1:14" x14ac:dyDescent="0.25">
      <c r="A166" s="82">
        <f t="shared" si="2"/>
        <v>165</v>
      </c>
      <c r="B166" s="8" t="s">
        <v>1033</v>
      </c>
      <c r="C166" s="9">
        <v>45453</v>
      </c>
      <c r="D166" t="s">
        <v>1034</v>
      </c>
      <c r="E166" t="s">
        <v>1035</v>
      </c>
      <c r="F166" t="s">
        <v>1036</v>
      </c>
      <c r="G166" t="s">
        <v>118</v>
      </c>
      <c r="H166" s="59">
        <v>3036.2</v>
      </c>
      <c r="I166" t="s">
        <v>1037</v>
      </c>
      <c r="J166" t="s">
        <v>1039</v>
      </c>
      <c r="K166" t="s">
        <v>619</v>
      </c>
      <c r="L166" t="s">
        <v>619</v>
      </c>
      <c r="M166" t="s">
        <v>619</v>
      </c>
      <c r="N166" t="s">
        <v>619</v>
      </c>
    </row>
    <row r="167" spans="1:14" x14ac:dyDescent="0.25">
      <c r="A167">
        <f t="shared" si="2"/>
        <v>166</v>
      </c>
      <c r="B167" s="8" t="s">
        <v>1040</v>
      </c>
      <c r="C167" s="9">
        <v>45448</v>
      </c>
      <c r="D167" t="s">
        <v>1042</v>
      </c>
      <c r="E167" t="s">
        <v>1043</v>
      </c>
      <c r="F167" t="s">
        <v>1044</v>
      </c>
      <c r="G167" t="s">
        <v>195</v>
      </c>
      <c r="H167" s="59">
        <v>1459</v>
      </c>
      <c r="I167" t="s">
        <v>1045</v>
      </c>
      <c r="J167" t="s">
        <v>1058</v>
      </c>
      <c r="K167" t="s">
        <v>619</v>
      </c>
      <c r="L167" t="s">
        <v>619</v>
      </c>
      <c r="M167" t="s">
        <v>619</v>
      </c>
      <c r="N167" t="s">
        <v>619</v>
      </c>
    </row>
    <row r="168" spans="1:14" x14ac:dyDescent="0.25">
      <c r="A168" s="82">
        <f t="shared" si="2"/>
        <v>167</v>
      </c>
      <c r="B168" s="8" t="s">
        <v>1041</v>
      </c>
      <c r="C168" s="9">
        <v>45454</v>
      </c>
      <c r="D168" t="s">
        <v>1046</v>
      </c>
      <c r="E168" t="s">
        <v>1047</v>
      </c>
      <c r="F168" t="s">
        <v>1048</v>
      </c>
      <c r="G168" t="s">
        <v>118</v>
      </c>
      <c r="H168" s="59">
        <v>2778.84</v>
      </c>
      <c r="I168" t="s">
        <v>1049</v>
      </c>
      <c r="J168" t="s">
        <v>1059</v>
      </c>
      <c r="K168" t="s">
        <v>619</v>
      </c>
      <c r="L168" t="s">
        <v>619</v>
      </c>
      <c r="M168" t="s">
        <v>619</v>
      </c>
      <c r="N168" t="s">
        <v>619</v>
      </c>
    </row>
    <row r="169" spans="1:14" x14ac:dyDescent="0.25">
      <c r="A169">
        <f t="shared" si="2"/>
        <v>168</v>
      </c>
      <c r="B169" s="95" t="s">
        <v>1053</v>
      </c>
      <c r="C169" s="9">
        <v>45455</v>
      </c>
      <c r="D169" t="s">
        <v>1054</v>
      </c>
      <c r="E169" t="s">
        <v>1055</v>
      </c>
      <c r="F169" t="s">
        <v>1056</v>
      </c>
      <c r="G169" t="s">
        <v>195</v>
      </c>
      <c r="H169" s="59">
        <v>1266</v>
      </c>
      <c r="I169" t="s">
        <v>1057</v>
      </c>
      <c r="J169" t="s">
        <v>1072</v>
      </c>
      <c r="K169" t="s">
        <v>619</v>
      </c>
      <c r="L169" t="s">
        <v>619</v>
      </c>
      <c r="M169" t="s">
        <v>619</v>
      </c>
      <c r="N169" t="s">
        <v>619</v>
      </c>
    </row>
    <row r="170" spans="1:14" x14ac:dyDescent="0.25">
      <c r="A170" s="82">
        <f t="shared" si="2"/>
        <v>169</v>
      </c>
      <c r="B170" s="8" t="s">
        <v>1060</v>
      </c>
      <c r="C170" s="9">
        <v>45453</v>
      </c>
      <c r="D170" t="s">
        <v>1068</v>
      </c>
      <c r="E170" t="s">
        <v>1069</v>
      </c>
      <c r="F170" t="s">
        <v>1070</v>
      </c>
      <c r="G170" t="s">
        <v>118</v>
      </c>
      <c r="H170" s="59">
        <v>5194.5600000000004</v>
      </c>
      <c r="I170" t="s">
        <v>1071</v>
      </c>
      <c r="J170" t="s">
        <v>265</v>
      </c>
      <c r="K170" t="s">
        <v>619</v>
      </c>
      <c r="L170" t="s">
        <v>619</v>
      </c>
      <c r="M170" t="s">
        <v>619</v>
      </c>
      <c r="N170" t="s">
        <v>619</v>
      </c>
    </row>
    <row r="171" spans="1:14" x14ac:dyDescent="0.25">
      <c r="A171" s="82">
        <f t="shared" si="2"/>
        <v>170</v>
      </c>
      <c r="B171" s="8" t="s">
        <v>1061</v>
      </c>
      <c r="C171" s="9">
        <v>45454</v>
      </c>
      <c r="D171" t="s">
        <v>1073</v>
      </c>
      <c r="E171" t="s">
        <v>1074</v>
      </c>
      <c r="F171" t="s">
        <v>1075</v>
      </c>
      <c r="G171" t="s">
        <v>118</v>
      </c>
      <c r="H171" s="59">
        <v>2540</v>
      </c>
      <c r="I171" t="s">
        <v>1076</v>
      </c>
      <c r="J171" t="s">
        <v>228</v>
      </c>
      <c r="K171" t="s">
        <v>619</v>
      </c>
      <c r="L171" t="s">
        <v>619</v>
      </c>
      <c r="M171" t="s">
        <v>619</v>
      </c>
      <c r="N171" t="s">
        <v>619</v>
      </c>
    </row>
    <row r="172" spans="1:14" x14ac:dyDescent="0.25">
      <c r="A172" s="82">
        <f t="shared" si="2"/>
        <v>171</v>
      </c>
      <c r="B172" s="8" t="s">
        <v>1062</v>
      </c>
      <c r="C172" s="9">
        <v>45456</v>
      </c>
      <c r="D172" t="s">
        <v>1077</v>
      </c>
      <c r="E172" t="s">
        <v>776</v>
      </c>
      <c r="F172" t="s">
        <v>644</v>
      </c>
      <c r="G172" t="s">
        <v>118</v>
      </c>
      <c r="H172" s="59">
        <v>2237</v>
      </c>
      <c r="I172" t="s">
        <v>1078</v>
      </c>
      <c r="J172" t="s">
        <v>228</v>
      </c>
      <c r="K172" t="s">
        <v>619</v>
      </c>
      <c r="L172" t="s">
        <v>619</v>
      </c>
      <c r="M172" t="s">
        <v>619</v>
      </c>
      <c r="N172" t="s">
        <v>619</v>
      </c>
    </row>
    <row r="173" spans="1:14" x14ac:dyDescent="0.25">
      <c r="A173">
        <f t="shared" si="2"/>
        <v>172</v>
      </c>
      <c r="B173" s="8" t="s">
        <v>1063</v>
      </c>
      <c r="C173" s="9">
        <v>45456</v>
      </c>
      <c r="D173" t="s">
        <v>1079</v>
      </c>
      <c r="E173" t="s">
        <v>1080</v>
      </c>
      <c r="F173" t="s">
        <v>1081</v>
      </c>
      <c r="G173" t="s">
        <v>195</v>
      </c>
      <c r="H173" s="59">
        <v>1615</v>
      </c>
      <c r="I173" t="s">
        <v>1082</v>
      </c>
      <c r="J173" t="s">
        <v>1083</v>
      </c>
      <c r="K173" t="s">
        <v>619</v>
      </c>
      <c r="L173" t="s">
        <v>619</v>
      </c>
      <c r="M173" t="s">
        <v>619</v>
      </c>
      <c r="N173" t="s">
        <v>619</v>
      </c>
    </row>
    <row r="174" spans="1:14" x14ac:dyDescent="0.25">
      <c r="A174">
        <f t="shared" si="2"/>
        <v>173</v>
      </c>
      <c r="B174" s="8" t="s">
        <v>1064</v>
      </c>
      <c r="C174" s="9">
        <v>45457</v>
      </c>
      <c r="D174" t="s">
        <v>1084</v>
      </c>
      <c r="E174" t="s">
        <v>1085</v>
      </c>
      <c r="F174" t="s">
        <v>1086</v>
      </c>
      <c r="G174" t="s">
        <v>195</v>
      </c>
      <c r="H174" s="59">
        <v>1240</v>
      </c>
      <c r="I174" t="s">
        <v>880</v>
      </c>
      <c r="J174" t="s">
        <v>228</v>
      </c>
      <c r="K174" t="s">
        <v>619</v>
      </c>
      <c r="L174" t="s">
        <v>619</v>
      </c>
      <c r="M174" t="s">
        <v>619</v>
      </c>
      <c r="N174" t="s">
        <v>619</v>
      </c>
    </row>
    <row r="175" spans="1:14" x14ac:dyDescent="0.25">
      <c r="A175">
        <f t="shared" si="2"/>
        <v>174</v>
      </c>
      <c r="B175" s="8" t="s">
        <v>1065</v>
      </c>
      <c r="C175" s="9">
        <v>45457</v>
      </c>
      <c r="D175" t="s">
        <v>1087</v>
      </c>
      <c r="E175" t="s">
        <v>1088</v>
      </c>
      <c r="F175" t="s">
        <v>1089</v>
      </c>
      <c r="G175" t="s">
        <v>195</v>
      </c>
      <c r="H175" s="59">
        <v>1454</v>
      </c>
      <c r="I175" t="s">
        <v>1090</v>
      </c>
      <c r="J175" t="s">
        <v>1091</v>
      </c>
      <c r="K175" t="s">
        <v>619</v>
      </c>
      <c r="L175" t="s">
        <v>619</v>
      </c>
      <c r="M175" t="s">
        <v>619</v>
      </c>
      <c r="N175" t="s">
        <v>619</v>
      </c>
    </row>
    <row r="176" spans="1:14" x14ac:dyDescent="0.25">
      <c r="A176" s="82">
        <f t="shared" si="2"/>
        <v>175</v>
      </c>
      <c r="B176" s="8" t="s">
        <v>1066</v>
      </c>
      <c r="C176" s="9">
        <v>45457</v>
      </c>
      <c r="D176" t="s">
        <v>1046</v>
      </c>
      <c r="E176" t="s">
        <v>1047</v>
      </c>
      <c r="F176" t="s">
        <v>1048</v>
      </c>
      <c r="G176" t="s">
        <v>118</v>
      </c>
      <c r="H176" s="59">
        <v>760</v>
      </c>
      <c r="I176" t="s">
        <v>1092</v>
      </c>
      <c r="J176" t="s">
        <v>1093</v>
      </c>
      <c r="K176" t="s">
        <v>619</v>
      </c>
      <c r="L176" t="s">
        <v>619</v>
      </c>
      <c r="M176" t="s">
        <v>619</v>
      </c>
      <c r="N176" t="s">
        <v>619</v>
      </c>
    </row>
    <row r="177" spans="1:14" x14ac:dyDescent="0.25">
      <c r="A177" s="82">
        <f t="shared" si="2"/>
        <v>176</v>
      </c>
      <c r="B177" s="8" t="s">
        <v>1067</v>
      </c>
      <c r="C177" s="9">
        <v>45458</v>
      </c>
      <c r="D177" t="s">
        <v>1094</v>
      </c>
      <c r="E177" t="s">
        <v>1095</v>
      </c>
      <c r="F177" t="s">
        <v>1096</v>
      </c>
      <c r="G177" t="s">
        <v>118</v>
      </c>
      <c r="H177" s="59">
        <v>1737</v>
      </c>
      <c r="I177" t="s">
        <v>1097</v>
      </c>
      <c r="J177" t="s">
        <v>236</v>
      </c>
      <c r="K177" t="s">
        <v>619</v>
      </c>
      <c r="L177" t="s">
        <v>619</v>
      </c>
      <c r="M177" t="s">
        <v>619</v>
      </c>
      <c r="N177" t="s">
        <v>619</v>
      </c>
    </row>
    <row r="178" spans="1:14" x14ac:dyDescent="0.25">
      <c r="A178" s="82">
        <f t="shared" si="2"/>
        <v>177</v>
      </c>
      <c r="B178" s="8" t="s">
        <v>1098</v>
      </c>
      <c r="C178" s="9">
        <v>45460</v>
      </c>
      <c r="D178" t="s">
        <v>1099</v>
      </c>
      <c r="E178" t="s">
        <v>1100</v>
      </c>
      <c r="F178" t="s">
        <v>1101</v>
      </c>
      <c r="G178" t="s">
        <v>118</v>
      </c>
      <c r="H178" s="59">
        <v>1050</v>
      </c>
      <c r="I178" t="s">
        <v>323</v>
      </c>
      <c r="J178" t="s">
        <v>1107</v>
      </c>
      <c r="K178" t="s">
        <v>619</v>
      </c>
      <c r="L178" t="s">
        <v>619</v>
      </c>
      <c r="M178" t="s">
        <v>619</v>
      </c>
      <c r="N178" t="s">
        <v>619</v>
      </c>
    </row>
    <row r="179" spans="1:14" x14ac:dyDescent="0.25">
      <c r="A179">
        <f t="shared" si="2"/>
        <v>178</v>
      </c>
      <c r="B179" s="8" t="s">
        <v>1102</v>
      </c>
      <c r="C179" s="9">
        <v>45461</v>
      </c>
      <c r="D179" t="s">
        <v>1103</v>
      </c>
      <c r="E179" t="s">
        <v>1104</v>
      </c>
      <c r="F179" t="s">
        <v>1105</v>
      </c>
      <c r="G179" t="s">
        <v>119</v>
      </c>
      <c r="H179" s="59">
        <v>2711.3</v>
      </c>
      <c r="I179" t="s">
        <v>1106</v>
      </c>
      <c r="J179" t="s">
        <v>216</v>
      </c>
      <c r="K179" t="s">
        <v>619</v>
      </c>
      <c r="L179" t="s">
        <v>619</v>
      </c>
      <c r="M179" t="s">
        <v>619</v>
      </c>
      <c r="N179" t="s">
        <v>619</v>
      </c>
    </row>
    <row r="180" spans="1:14" x14ac:dyDescent="0.25">
      <c r="A180" s="82">
        <f t="shared" si="2"/>
        <v>179</v>
      </c>
      <c r="B180" s="8" t="s">
        <v>1108</v>
      </c>
      <c r="C180" s="9">
        <v>45462</v>
      </c>
      <c r="D180" t="s">
        <v>1110</v>
      </c>
      <c r="E180" t="s">
        <v>1111</v>
      </c>
      <c r="F180" t="s">
        <v>1112</v>
      </c>
      <c r="G180" t="s">
        <v>119</v>
      </c>
      <c r="H180" s="59">
        <v>1695.39</v>
      </c>
      <c r="I180" t="s">
        <v>1113</v>
      </c>
      <c r="J180" t="s">
        <v>236</v>
      </c>
      <c r="K180" t="s">
        <v>619</v>
      </c>
      <c r="L180" t="s">
        <v>619</v>
      </c>
      <c r="M180" t="s">
        <v>619</v>
      </c>
      <c r="N180" t="s">
        <v>619</v>
      </c>
    </row>
    <row r="181" spans="1:14" x14ac:dyDescent="0.25">
      <c r="A181">
        <f t="shared" si="2"/>
        <v>180</v>
      </c>
      <c r="B181" s="8" t="s">
        <v>1109</v>
      </c>
      <c r="C181" s="9">
        <v>45462</v>
      </c>
      <c r="D181" t="s">
        <v>1114</v>
      </c>
      <c r="E181" t="s">
        <v>1115</v>
      </c>
      <c r="F181" t="s">
        <v>1116</v>
      </c>
      <c r="G181" t="s">
        <v>195</v>
      </c>
      <c r="H181" s="59">
        <v>1145</v>
      </c>
      <c r="I181" t="s">
        <v>911</v>
      </c>
      <c r="J181" t="s">
        <v>236</v>
      </c>
      <c r="K181" t="s">
        <v>619</v>
      </c>
      <c r="L181" t="s">
        <v>619</v>
      </c>
      <c r="M181" t="s">
        <v>619</v>
      </c>
      <c r="N181" t="s">
        <v>619</v>
      </c>
    </row>
    <row r="182" spans="1:14" x14ac:dyDescent="0.25">
      <c r="A182" s="82">
        <f t="shared" si="2"/>
        <v>181</v>
      </c>
      <c r="B182" s="8" t="s">
        <v>1117</v>
      </c>
      <c r="C182" s="9">
        <v>45457</v>
      </c>
      <c r="D182" t="s">
        <v>481</v>
      </c>
      <c r="E182" t="s">
        <v>482</v>
      </c>
      <c r="F182" t="s">
        <v>483</v>
      </c>
      <c r="G182" t="s">
        <v>118</v>
      </c>
      <c r="H182" s="59">
        <v>2032.5</v>
      </c>
      <c r="I182" t="s">
        <v>1122</v>
      </c>
      <c r="J182" t="s">
        <v>236</v>
      </c>
      <c r="K182" t="s">
        <v>619</v>
      </c>
      <c r="L182" t="s">
        <v>619</v>
      </c>
      <c r="M182" t="s">
        <v>619</v>
      </c>
      <c r="N182" t="s">
        <v>619</v>
      </c>
    </row>
    <row r="183" spans="1:14" x14ac:dyDescent="0.25">
      <c r="A183" s="82">
        <f t="shared" si="2"/>
        <v>182</v>
      </c>
      <c r="B183" s="95" t="s">
        <v>1118</v>
      </c>
      <c r="C183" s="9">
        <v>45457</v>
      </c>
      <c r="D183" t="s">
        <v>1123</v>
      </c>
      <c r="E183" t="s">
        <v>1124</v>
      </c>
      <c r="F183" t="s">
        <v>483</v>
      </c>
      <c r="G183" t="s">
        <v>118</v>
      </c>
      <c r="H183" s="59">
        <v>4811.59</v>
      </c>
      <c r="I183" t="s">
        <v>1125</v>
      </c>
      <c r="J183" t="s">
        <v>236</v>
      </c>
      <c r="K183" t="s">
        <v>619</v>
      </c>
      <c r="L183" t="s">
        <v>619</v>
      </c>
      <c r="M183" t="s">
        <v>619</v>
      </c>
      <c r="N183" t="s">
        <v>619</v>
      </c>
    </row>
    <row r="184" spans="1:14" x14ac:dyDescent="0.25">
      <c r="A184">
        <f t="shared" si="2"/>
        <v>183</v>
      </c>
      <c r="B184" s="8" t="s">
        <v>1119</v>
      </c>
      <c r="C184" s="9">
        <v>45457</v>
      </c>
      <c r="D184" t="s">
        <v>1126</v>
      </c>
      <c r="E184" t="s">
        <v>1127</v>
      </c>
      <c r="F184" t="s">
        <v>1128</v>
      </c>
      <c r="G184" t="s">
        <v>119</v>
      </c>
      <c r="H184" s="59">
        <v>1108.4000000000001</v>
      </c>
      <c r="I184" t="s">
        <v>402</v>
      </c>
      <c r="J184" t="s">
        <v>1142</v>
      </c>
      <c r="K184" t="s">
        <v>619</v>
      </c>
      <c r="L184" t="s">
        <v>619</v>
      </c>
      <c r="M184" t="s">
        <v>619</v>
      </c>
      <c r="N184" t="s">
        <v>619</v>
      </c>
    </row>
    <row r="185" spans="1:14" x14ac:dyDescent="0.25">
      <c r="A185" s="82">
        <f t="shared" si="2"/>
        <v>184</v>
      </c>
      <c r="B185" s="8" t="s">
        <v>1120</v>
      </c>
      <c r="C185" s="9">
        <v>45457</v>
      </c>
      <c r="D185" t="s">
        <v>1129</v>
      </c>
      <c r="E185" t="s">
        <v>1074</v>
      </c>
      <c r="F185" t="s">
        <v>1075</v>
      </c>
      <c r="G185" t="s">
        <v>118</v>
      </c>
      <c r="H185" s="59">
        <v>2387</v>
      </c>
      <c r="I185" t="s">
        <v>1130</v>
      </c>
      <c r="J185" t="s">
        <v>236</v>
      </c>
      <c r="K185" t="s">
        <v>619</v>
      </c>
      <c r="L185" t="s">
        <v>619</v>
      </c>
      <c r="M185" t="s">
        <v>619</v>
      </c>
      <c r="N185" t="s">
        <v>619</v>
      </c>
    </row>
    <row r="186" spans="1:14" x14ac:dyDescent="0.25">
      <c r="A186" s="82">
        <f t="shared" si="2"/>
        <v>185</v>
      </c>
      <c r="B186" s="8" t="s">
        <v>1121</v>
      </c>
      <c r="C186" s="9">
        <v>45463</v>
      </c>
      <c r="D186" t="s">
        <v>1131</v>
      </c>
      <c r="E186" t="s">
        <v>1132</v>
      </c>
      <c r="F186" t="s">
        <v>1133</v>
      </c>
      <c r="G186" t="s">
        <v>195</v>
      </c>
      <c r="H186" s="59">
        <v>2873.75</v>
      </c>
      <c r="I186" t="s">
        <v>1134</v>
      </c>
      <c r="J186" t="s">
        <v>1143</v>
      </c>
      <c r="K186" t="s">
        <v>619</v>
      </c>
      <c r="L186" t="s">
        <v>619</v>
      </c>
      <c r="M186" t="s">
        <v>619</v>
      </c>
      <c r="N186" t="s">
        <v>619</v>
      </c>
    </row>
    <row r="187" spans="1:14" x14ac:dyDescent="0.25">
      <c r="A187" s="82">
        <f t="shared" si="2"/>
        <v>186</v>
      </c>
      <c r="B187" s="8" t="s">
        <v>1135</v>
      </c>
      <c r="C187" s="9">
        <v>45460</v>
      </c>
      <c r="D187" t="s">
        <v>1138</v>
      </c>
      <c r="E187" t="s">
        <v>1139</v>
      </c>
      <c r="F187" t="s">
        <v>1140</v>
      </c>
      <c r="G187" t="s">
        <v>118</v>
      </c>
      <c r="H187" s="59">
        <v>4547.88</v>
      </c>
      <c r="I187" t="s">
        <v>1141</v>
      </c>
      <c r="J187" t="s">
        <v>245</v>
      </c>
      <c r="K187" t="s">
        <v>619</v>
      </c>
      <c r="L187" t="s">
        <v>619</v>
      </c>
      <c r="M187" t="s">
        <v>619</v>
      </c>
      <c r="N187" t="s">
        <v>619</v>
      </c>
    </row>
    <row r="188" spans="1:14" x14ac:dyDescent="0.25">
      <c r="A188" s="84">
        <f t="shared" si="2"/>
        <v>187</v>
      </c>
      <c r="B188" s="8" t="s">
        <v>1136</v>
      </c>
      <c r="C188" s="9">
        <v>45464</v>
      </c>
      <c r="D188" t="s">
        <v>1145</v>
      </c>
      <c r="E188" t="s">
        <v>1146</v>
      </c>
      <c r="F188" t="s">
        <v>1147</v>
      </c>
      <c r="G188" t="s">
        <v>195</v>
      </c>
      <c r="H188" s="59">
        <v>1904</v>
      </c>
      <c r="I188" t="s">
        <v>1148</v>
      </c>
      <c r="J188" t="s">
        <v>1165</v>
      </c>
      <c r="K188" t="s">
        <v>619</v>
      </c>
      <c r="L188" t="s">
        <v>619</v>
      </c>
      <c r="M188" t="s">
        <v>619</v>
      </c>
      <c r="N188" t="s">
        <v>619</v>
      </c>
    </row>
    <row r="189" spans="1:14" x14ac:dyDescent="0.25">
      <c r="A189" s="85">
        <f t="shared" si="2"/>
        <v>188</v>
      </c>
      <c r="B189" s="8" t="s">
        <v>1137</v>
      </c>
      <c r="C189" s="9">
        <v>45464</v>
      </c>
      <c r="D189" t="s">
        <v>1149</v>
      </c>
      <c r="E189" t="s">
        <v>1150</v>
      </c>
      <c r="F189" t="s">
        <v>1151</v>
      </c>
      <c r="G189" t="s">
        <v>195</v>
      </c>
      <c r="H189" s="59">
        <v>4109.88</v>
      </c>
      <c r="I189" t="s">
        <v>1152</v>
      </c>
      <c r="J189" t="s">
        <v>1153</v>
      </c>
      <c r="K189" t="s">
        <v>619</v>
      </c>
      <c r="L189" t="s">
        <v>619</v>
      </c>
      <c r="M189" t="s">
        <v>619</v>
      </c>
      <c r="N189" t="s">
        <v>619</v>
      </c>
    </row>
    <row r="190" spans="1:14" x14ac:dyDescent="0.25">
      <c r="A190" s="82">
        <f t="shared" si="2"/>
        <v>189</v>
      </c>
      <c r="B190" s="8" t="s">
        <v>1144</v>
      </c>
      <c r="C190" s="9">
        <v>45465</v>
      </c>
      <c r="D190" t="s">
        <v>1154</v>
      </c>
      <c r="E190" t="s">
        <v>1155</v>
      </c>
      <c r="F190" t="s">
        <v>1156</v>
      </c>
      <c r="G190" t="s">
        <v>118</v>
      </c>
      <c r="H190" s="59">
        <v>1478</v>
      </c>
      <c r="I190" t="s">
        <v>1157</v>
      </c>
      <c r="J190" t="s">
        <v>1164</v>
      </c>
      <c r="K190" t="s">
        <v>619</v>
      </c>
      <c r="L190" t="s">
        <v>619</v>
      </c>
      <c r="M190" t="s">
        <v>619</v>
      </c>
      <c r="N190" t="s">
        <v>619</v>
      </c>
    </row>
    <row r="191" spans="1:14" x14ac:dyDescent="0.25">
      <c r="A191" s="82">
        <f t="shared" si="2"/>
        <v>190</v>
      </c>
      <c r="B191" s="8" t="s">
        <v>1158</v>
      </c>
      <c r="C191" s="9">
        <v>45467</v>
      </c>
      <c r="D191" t="s">
        <v>1159</v>
      </c>
      <c r="E191" t="s">
        <v>1160</v>
      </c>
      <c r="F191" t="s">
        <v>1161</v>
      </c>
      <c r="G191" t="s">
        <v>118</v>
      </c>
      <c r="H191" s="59">
        <v>5644.32</v>
      </c>
      <c r="I191" t="s">
        <v>1162</v>
      </c>
      <c r="J191" t="s">
        <v>1163</v>
      </c>
      <c r="K191" t="s">
        <v>619</v>
      </c>
      <c r="L191" t="s">
        <v>619</v>
      </c>
      <c r="M191" t="s">
        <v>619</v>
      </c>
      <c r="N191" t="s">
        <v>619</v>
      </c>
    </row>
    <row r="192" spans="1:14" x14ac:dyDescent="0.25">
      <c r="A192">
        <f t="shared" si="2"/>
        <v>191</v>
      </c>
      <c r="B192" s="8" t="s">
        <v>1166</v>
      </c>
      <c r="C192" s="9">
        <v>45464</v>
      </c>
      <c r="D192" t="s">
        <v>1168</v>
      </c>
      <c r="E192" t="s">
        <v>1169</v>
      </c>
      <c r="F192" t="s">
        <v>1170</v>
      </c>
      <c r="G192" t="s">
        <v>195</v>
      </c>
      <c r="H192" s="59">
        <v>4281.92</v>
      </c>
      <c r="I192" t="s">
        <v>1171</v>
      </c>
      <c r="J192" t="s">
        <v>1172</v>
      </c>
      <c r="K192" t="s">
        <v>619</v>
      </c>
      <c r="L192" t="s">
        <v>619</v>
      </c>
      <c r="M192" t="s">
        <v>619</v>
      </c>
      <c r="N192" t="s">
        <v>619</v>
      </c>
    </row>
    <row r="193" spans="1:14" x14ac:dyDescent="0.25">
      <c r="A193" s="82">
        <f t="shared" si="2"/>
        <v>192</v>
      </c>
      <c r="B193" s="8" t="s">
        <v>1167</v>
      </c>
      <c r="C193" s="9">
        <v>45468</v>
      </c>
      <c r="D193" t="s">
        <v>1002</v>
      </c>
      <c r="E193" t="s">
        <v>1003</v>
      </c>
      <c r="F193" t="s">
        <v>1004</v>
      </c>
      <c r="G193" t="s">
        <v>118</v>
      </c>
      <c r="H193" s="59">
        <v>830</v>
      </c>
      <c r="I193" t="s">
        <v>1173</v>
      </c>
      <c r="J193" t="s">
        <v>216</v>
      </c>
      <c r="K193" t="s">
        <v>619</v>
      </c>
      <c r="L193" t="s">
        <v>619</v>
      </c>
      <c r="M193" t="s">
        <v>619</v>
      </c>
      <c r="N193" t="s">
        <v>619</v>
      </c>
    </row>
    <row r="194" spans="1:14" x14ac:dyDescent="0.25">
      <c r="A194" s="82">
        <f t="shared" si="2"/>
        <v>193</v>
      </c>
      <c r="B194" s="95" t="s">
        <v>1174</v>
      </c>
      <c r="C194" s="9">
        <v>45469</v>
      </c>
      <c r="D194" t="s">
        <v>426</v>
      </c>
      <c r="G194" t="s">
        <v>118</v>
      </c>
      <c r="H194" s="59">
        <v>1386</v>
      </c>
      <c r="I194" t="s">
        <v>1177</v>
      </c>
      <c r="J194" t="s">
        <v>1178</v>
      </c>
      <c r="K194" t="s">
        <v>619</v>
      </c>
      <c r="L194" t="s">
        <v>619</v>
      </c>
      <c r="M194" t="s">
        <v>619</v>
      </c>
      <c r="N194" t="s">
        <v>619</v>
      </c>
    </row>
    <row r="195" spans="1:14" x14ac:dyDescent="0.25">
      <c r="A195">
        <f t="shared" si="2"/>
        <v>194</v>
      </c>
      <c r="B195" s="8" t="s">
        <v>1175</v>
      </c>
      <c r="C195" s="9">
        <v>45469</v>
      </c>
      <c r="D195" t="s">
        <v>1179</v>
      </c>
      <c r="E195" t="s">
        <v>1180</v>
      </c>
      <c r="F195" t="s">
        <v>1181</v>
      </c>
      <c r="G195" t="s">
        <v>195</v>
      </c>
      <c r="H195" s="59">
        <v>1594</v>
      </c>
      <c r="I195" t="s">
        <v>1182</v>
      </c>
      <c r="J195" t="s">
        <v>236</v>
      </c>
      <c r="K195" t="s">
        <v>619</v>
      </c>
      <c r="L195" t="s">
        <v>619</v>
      </c>
      <c r="M195" t="s">
        <v>619</v>
      </c>
      <c r="N195" t="s">
        <v>619</v>
      </c>
    </row>
    <row r="196" spans="1:14" x14ac:dyDescent="0.25">
      <c r="A196" s="82">
        <f t="shared" ref="A196:A259" si="3">A195+1</f>
        <v>195</v>
      </c>
      <c r="B196" s="8" t="s">
        <v>1176</v>
      </c>
      <c r="C196" s="9">
        <v>45469</v>
      </c>
      <c r="D196" t="s">
        <v>1183</v>
      </c>
      <c r="E196" t="s">
        <v>1184</v>
      </c>
      <c r="F196" t="s">
        <v>1185</v>
      </c>
      <c r="G196" t="s">
        <v>118</v>
      </c>
      <c r="H196" s="59">
        <v>1512</v>
      </c>
      <c r="I196" t="s">
        <v>1186</v>
      </c>
      <c r="J196" t="s">
        <v>1193</v>
      </c>
      <c r="K196" t="s">
        <v>619</v>
      </c>
      <c r="L196" t="s">
        <v>619</v>
      </c>
      <c r="M196" t="s">
        <v>619</v>
      </c>
      <c r="N196" t="s">
        <v>619</v>
      </c>
    </row>
    <row r="197" spans="1:14" x14ac:dyDescent="0.25">
      <c r="A197">
        <f t="shared" si="3"/>
        <v>196</v>
      </c>
      <c r="B197" s="8" t="s">
        <v>1187</v>
      </c>
      <c r="C197" s="9">
        <v>45470</v>
      </c>
      <c r="D197" t="s">
        <v>1189</v>
      </c>
      <c r="E197" t="s">
        <v>1190</v>
      </c>
      <c r="F197" t="s">
        <v>1191</v>
      </c>
      <c r="G197" t="s">
        <v>195</v>
      </c>
      <c r="H197" s="59">
        <v>3106</v>
      </c>
      <c r="I197" t="s">
        <v>1192</v>
      </c>
      <c r="J197" t="s">
        <v>1206</v>
      </c>
      <c r="K197" t="s">
        <v>619</v>
      </c>
      <c r="L197" t="s">
        <v>619</v>
      </c>
      <c r="M197" t="s">
        <v>619</v>
      </c>
      <c r="N197" t="s">
        <v>619</v>
      </c>
    </row>
    <row r="198" spans="1:14" x14ac:dyDescent="0.25">
      <c r="A198" s="82">
        <f t="shared" si="3"/>
        <v>197</v>
      </c>
      <c r="B198" s="8" t="s">
        <v>1188</v>
      </c>
      <c r="C198" s="9">
        <v>45470</v>
      </c>
      <c r="D198" t="s">
        <v>1110</v>
      </c>
      <c r="E198" t="s">
        <v>1111</v>
      </c>
      <c r="F198" t="s">
        <v>1194</v>
      </c>
      <c r="G198" t="s">
        <v>118</v>
      </c>
      <c r="H198" s="59">
        <v>1325</v>
      </c>
      <c r="I198" t="s">
        <v>1195</v>
      </c>
      <c r="J198" t="s">
        <v>1207</v>
      </c>
      <c r="K198" t="s">
        <v>619</v>
      </c>
      <c r="L198" t="s">
        <v>619</v>
      </c>
      <c r="M198" t="s">
        <v>619</v>
      </c>
      <c r="N198" t="s">
        <v>619</v>
      </c>
    </row>
    <row r="199" spans="1:14" x14ac:dyDescent="0.25">
      <c r="A199" s="84">
        <f t="shared" si="3"/>
        <v>198</v>
      </c>
      <c r="B199" s="8" t="s">
        <v>1196</v>
      </c>
      <c r="C199" s="9">
        <v>45464</v>
      </c>
      <c r="D199" t="s">
        <v>1203</v>
      </c>
      <c r="E199" t="s">
        <v>1204</v>
      </c>
      <c r="F199" t="s">
        <v>1205</v>
      </c>
      <c r="G199" t="s">
        <v>195</v>
      </c>
      <c r="H199" s="59">
        <v>1744.39581081081</v>
      </c>
      <c r="I199" t="s">
        <v>284</v>
      </c>
      <c r="J199" t="s">
        <v>1038</v>
      </c>
      <c r="K199" t="s">
        <v>619</v>
      </c>
      <c r="L199" t="s">
        <v>619</v>
      </c>
      <c r="M199" t="s">
        <v>619</v>
      </c>
      <c r="N199" t="s">
        <v>619</v>
      </c>
    </row>
    <row r="200" spans="1:14" x14ac:dyDescent="0.25">
      <c r="A200">
        <f t="shared" si="3"/>
        <v>199</v>
      </c>
      <c r="B200" s="8" t="s">
        <v>1197</v>
      </c>
      <c r="C200" s="9">
        <v>45478</v>
      </c>
      <c r="D200" t="s">
        <v>1208</v>
      </c>
      <c r="E200" t="s">
        <v>1209</v>
      </c>
      <c r="F200" t="s">
        <v>1210</v>
      </c>
      <c r="G200" t="s">
        <v>195</v>
      </c>
      <c r="H200" s="59">
        <v>1575</v>
      </c>
      <c r="I200" t="s">
        <v>1211</v>
      </c>
      <c r="J200" t="s">
        <v>791</v>
      </c>
      <c r="K200" t="s">
        <v>619</v>
      </c>
      <c r="L200" t="s">
        <v>619</v>
      </c>
      <c r="M200" t="s">
        <v>619</v>
      </c>
      <c r="N200" t="s">
        <v>619</v>
      </c>
    </row>
    <row r="201" spans="1:14" x14ac:dyDescent="0.25">
      <c r="A201" s="83">
        <f t="shared" si="3"/>
        <v>200</v>
      </c>
      <c r="B201" s="8" t="s">
        <v>1198</v>
      </c>
      <c r="C201" s="9">
        <v>45478</v>
      </c>
      <c r="D201" t="s">
        <v>1212</v>
      </c>
      <c r="E201" t="s">
        <v>1213</v>
      </c>
      <c r="F201" t="s">
        <v>1214</v>
      </c>
      <c r="G201" t="s">
        <v>118</v>
      </c>
      <c r="H201" s="59">
        <v>8944.64</v>
      </c>
      <c r="I201" t="s">
        <v>444</v>
      </c>
      <c r="J201" t="s">
        <v>1221</v>
      </c>
      <c r="K201" t="s">
        <v>619</v>
      </c>
      <c r="L201" t="s">
        <v>619</v>
      </c>
      <c r="M201" t="s">
        <v>619</v>
      </c>
      <c r="N201" t="s">
        <v>619</v>
      </c>
    </row>
    <row r="202" spans="1:14" x14ac:dyDescent="0.25">
      <c r="A202" s="82">
        <f t="shared" si="3"/>
        <v>201</v>
      </c>
      <c r="B202" s="8" t="s">
        <v>1199</v>
      </c>
      <c r="C202" s="9">
        <v>45479</v>
      </c>
      <c r="D202" t="s">
        <v>1215</v>
      </c>
      <c r="E202" t="s">
        <v>1216</v>
      </c>
      <c r="F202" t="s">
        <v>1217</v>
      </c>
      <c r="G202" t="s">
        <v>118</v>
      </c>
      <c r="H202" s="59">
        <v>3968.31</v>
      </c>
      <c r="I202" t="s">
        <v>1218</v>
      </c>
      <c r="J202" t="s">
        <v>236</v>
      </c>
      <c r="K202" t="s">
        <v>619</v>
      </c>
      <c r="L202" t="s">
        <v>619</v>
      </c>
      <c r="M202" t="s">
        <v>619</v>
      </c>
      <c r="N202" t="s">
        <v>619</v>
      </c>
    </row>
    <row r="203" spans="1:14" x14ac:dyDescent="0.25">
      <c r="A203" s="82">
        <f t="shared" si="3"/>
        <v>202</v>
      </c>
      <c r="B203" s="8" t="s">
        <v>1200</v>
      </c>
      <c r="C203" s="9">
        <v>45481</v>
      </c>
      <c r="D203" t="s">
        <v>873</v>
      </c>
      <c r="E203" t="s">
        <v>874</v>
      </c>
      <c r="F203" t="s">
        <v>875</v>
      </c>
      <c r="G203" t="s">
        <v>118</v>
      </c>
      <c r="H203" s="59">
        <v>1228</v>
      </c>
      <c r="I203" t="s">
        <v>1220</v>
      </c>
      <c r="J203" t="s">
        <v>791</v>
      </c>
      <c r="K203" t="s">
        <v>619</v>
      </c>
      <c r="L203" t="s">
        <v>619</v>
      </c>
      <c r="M203" t="s">
        <v>619</v>
      </c>
      <c r="N203" t="s">
        <v>619</v>
      </c>
    </row>
    <row r="204" spans="1:14" x14ac:dyDescent="0.25">
      <c r="A204" s="84">
        <f t="shared" si="3"/>
        <v>203</v>
      </c>
      <c r="B204" s="8" t="s">
        <v>1201</v>
      </c>
      <c r="C204" s="9">
        <v>45481</v>
      </c>
      <c r="D204" t="s">
        <v>1222</v>
      </c>
      <c r="E204" t="s">
        <v>1223</v>
      </c>
      <c r="F204" t="s">
        <v>1224</v>
      </c>
      <c r="G204" t="s">
        <v>118</v>
      </c>
      <c r="H204" s="59">
        <v>1931</v>
      </c>
      <c r="I204" t="s">
        <v>1225</v>
      </c>
      <c r="J204" t="s">
        <v>1226</v>
      </c>
      <c r="K204" t="s">
        <v>619</v>
      </c>
      <c r="L204" t="s">
        <v>619</v>
      </c>
      <c r="M204" t="s">
        <v>619</v>
      </c>
      <c r="N204" t="s">
        <v>619</v>
      </c>
    </row>
    <row r="205" spans="1:14" x14ac:dyDescent="0.25">
      <c r="A205" s="82">
        <f t="shared" si="3"/>
        <v>204</v>
      </c>
      <c r="B205" s="8" t="s">
        <v>1202</v>
      </c>
      <c r="C205" s="9">
        <v>45481</v>
      </c>
      <c r="D205" t="s">
        <v>1227</v>
      </c>
      <c r="E205" t="s">
        <v>1228</v>
      </c>
      <c r="F205" t="s">
        <v>1229</v>
      </c>
      <c r="G205" t="s">
        <v>118</v>
      </c>
      <c r="H205" s="59">
        <v>1533</v>
      </c>
      <c r="I205" t="s">
        <v>1230</v>
      </c>
      <c r="J205" t="s">
        <v>236</v>
      </c>
      <c r="K205" t="s">
        <v>619</v>
      </c>
      <c r="L205" t="s">
        <v>619</v>
      </c>
      <c r="M205" t="s">
        <v>619</v>
      </c>
      <c r="N205" t="s">
        <v>619</v>
      </c>
    </row>
    <row r="206" spans="1:14" x14ac:dyDescent="0.25">
      <c r="A206" s="82">
        <f t="shared" si="3"/>
        <v>205</v>
      </c>
      <c r="B206" s="8" t="s">
        <v>1232</v>
      </c>
      <c r="C206" s="9">
        <v>45482</v>
      </c>
      <c r="D206" t="s">
        <v>1236</v>
      </c>
      <c r="E206" t="s">
        <v>1237</v>
      </c>
      <c r="F206" t="s">
        <v>1238</v>
      </c>
      <c r="G206" t="s">
        <v>118</v>
      </c>
      <c r="H206" s="59">
        <v>987.9</v>
      </c>
      <c r="I206" t="s">
        <v>1239</v>
      </c>
      <c r="J206" t="s">
        <v>1039</v>
      </c>
      <c r="K206" t="s">
        <v>619</v>
      </c>
      <c r="L206" t="s">
        <v>619</v>
      </c>
      <c r="M206" t="s">
        <v>619</v>
      </c>
      <c r="N206" t="s">
        <v>619</v>
      </c>
    </row>
    <row r="207" spans="1:14" x14ac:dyDescent="0.25">
      <c r="A207">
        <f t="shared" si="3"/>
        <v>206</v>
      </c>
      <c r="B207" s="8" t="s">
        <v>1233</v>
      </c>
      <c r="C207" s="9">
        <v>45483</v>
      </c>
      <c r="D207" t="s">
        <v>1240</v>
      </c>
      <c r="E207" t="s">
        <v>1241</v>
      </c>
      <c r="F207" t="s">
        <v>1242</v>
      </c>
      <c r="G207" t="s">
        <v>195</v>
      </c>
      <c r="H207" s="59">
        <v>1557</v>
      </c>
      <c r="I207" t="s">
        <v>1243</v>
      </c>
      <c r="J207" t="s">
        <v>1259</v>
      </c>
      <c r="K207" t="s">
        <v>619</v>
      </c>
      <c r="L207" t="s">
        <v>619</v>
      </c>
      <c r="M207" t="s">
        <v>619</v>
      </c>
      <c r="N207" t="s">
        <v>619</v>
      </c>
    </row>
    <row r="208" spans="1:14" x14ac:dyDescent="0.25">
      <c r="A208" s="82">
        <f t="shared" si="3"/>
        <v>207</v>
      </c>
      <c r="B208" s="8" t="s">
        <v>1234</v>
      </c>
      <c r="C208" s="9">
        <v>45483</v>
      </c>
      <c r="D208" t="s">
        <v>1244</v>
      </c>
      <c r="E208" t="s">
        <v>1245</v>
      </c>
      <c r="F208" t="s">
        <v>1246</v>
      </c>
      <c r="G208" t="s">
        <v>118</v>
      </c>
      <c r="H208" s="59">
        <v>2414</v>
      </c>
      <c r="I208" t="s">
        <v>1247</v>
      </c>
      <c r="J208" t="s">
        <v>1260</v>
      </c>
      <c r="K208" t="s">
        <v>619</v>
      </c>
      <c r="L208" t="s">
        <v>619</v>
      </c>
      <c r="M208" t="s">
        <v>619</v>
      </c>
      <c r="N208" t="s">
        <v>619</v>
      </c>
    </row>
    <row r="209" spans="1:14" x14ac:dyDescent="0.25">
      <c r="A209" s="82">
        <f t="shared" si="3"/>
        <v>208</v>
      </c>
      <c r="B209" s="8" t="s">
        <v>1235</v>
      </c>
      <c r="C209" s="9">
        <v>45484</v>
      </c>
      <c r="D209" t="s">
        <v>1248</v>
      </c>
      <c r="E209" t="s">
        <v>1249</v>
      </c>
      <c r="F209" t="s">
        <v>1250</v>
      </c>
      <c r="G209" t="s">
        <v>118</v>
      </c>
      <c r="H209" s="59">
        <v>1384</v>
      </c>
      <c r="I209" t="s">
        <v>1251</v>
      </c>
      <c r="J209" t="s">
        <v>236</v>
      </c>
      <c r="K209" t="s">
        <v>619</v>
      </c>
      <c r="L209" t="s">
        <v>619</v>
      </c>
      <c r="M209" t="s">
        <v>619</v>
      </c>
      <c r="N209" t="s">
        <v>619</v>
      </c>
    </row>
    <row r="210" spans="1:14" x14ac:dyDescent="0.25">
      <c r="A210">
        <f t="shared" si="3"/>
        <v>209</v>
      </c>
      <c r="B210" s="8" t="s">
        <v>1252</v>
      </c>
      <c r="C210" s="9">
        <v>45485</v>
      </c>
      <c r="D210" t="s">
        <v>1255</v>
      </c>
      <c r="E210" t="s">
        <v>1256</v>
      </c>
      <c r="F210" t="s">
        <v>1257</v>
      </c>
      <c r="G210" t="s">
        <v>119</v>
      </c>
      <c r="H210" s="59">
        <v>1320</v>
      </c>
      <c r="I210" t="s">
        <v>1258</v>
      </c>
      <c r="J210" t="s">
        <v>245</v>
      </c>
      <c r="K210" t="s">
        <v>619</v>
      </c>
      <c r="L210" t="s">
        <v>619</v>
      </c>
      <c r="M210" t="s">
        <v>619</v>
      </c>
      <c r="N210" t="s">
        <v>619</v>
      </c>
    </row>
    <row r="211" spans="1:14" x14ac:dyDescent="0.25">
      <c r="A211">
        <f t="shared" si="3"/>
        <v>210</v>
      </c>
      <c r="B211" s="8" t="s">
        <v>1253</v>
      </c>
      <c r="C211" s="9">
        <v>45485</v>
      </c>
      <c r="D211" t="s">
        <v>1261</v>
      </c>
      <c r="E211" t="s">
        <v>1262</v>
      </c>
      <c r="F211" t="s">
        <v>1263</v>
      </c>
      <c r="G211" t="s">
        <v>119</v>
      </c>
      <c r="H211" s="59">
        <v>1574</v>
      </c>
      <c r="I211" t="s">
        <v>1264</v>
      </c>
      <c r="J211" t="s">
        <v>837</v>
      </c>
      <c r="K211" t="s">
        <v>619</v>
      </c>
      <c r="L211" t="s">
        <v>619</v>
      </c>
      <c r="M211" t="s">
        <v>619</v>
      </c>
      <c r="N211" t="s">
        <v>619</v>
      </c>
    </row>
    <row r="212" spans="1:14" x14ac:dyDescent="0.25">
      <c r="A212" s="82">
        <f t="shared" si="3"/>
        <v>211</v>
      </c>
      <c r="B212" s="8" t="s">
        <v>1254</v>
      </c>
      <c r="C212" s="9">
        <v>45486</v>
      </c>
      <c r="D212" t="s">
        <v>1265</v>
      </c>
      <c r="E212" t="s">
        <v>1266</v>
      </c>
      <c r="F212" t="s">
        <v>1267</v>
      </c>
      <c r="G212" t="s">
        <v>118</v>
      </c>
      <c r="H212" s="59">
        <v>1774</v>
      </c>
      <c r="I212" t="s">
        <v>1268</v>
      </c>
      <c r="J212" t="s">
        <v>1269</v>
      </c>
      <c r="K212" t="s">
        <v>619</v>
      </c>
      <c r="L212" t="s">
        <v>619</v>
      </c>
      <c r="M212" t="s">
        <v>619</v>
      </c>
      <c r="N212" t="s">
        <v>619</v>
      </c>
    </row>
    <row r="213" spans="1:14" x14ac:dyDescent="0.25">
      <c r="A213" s="82">
        <f t="shared" si="3"/>
        <v>212</v>
      </c>
      <c r="B213" s="8" t="s">
        <v>1270</v>
      </c>
      <c r="C213" s="9">
        <v>45488</v>
      </c>
      <c r="D213" t="s">
        <v>1159</v>
      </c>
      <c r="E213" t="s">
        <v>1160</v>
      </c>
      <c r="F213" t="s">
        <v>1161</v>
      </c>
      <c r="G213" t="s">
        <v>118</v>
      </c>
      <c r="H213" s="59">
        <v>2464</v>
      </c>
      <c r="I213" t="s">
        <v>1271</v>
      </c>
      <c r="J213" t="s">
        <v>1272</v>
      </c>
      <c r="K213" t="s">
        <v>619</v>
      </c>
      <c r="L213" t="s">
        <v>619</v>
      </c>
      <c r="M213" t="s">
        <v>619</v>
      </c>
      <c r="N213" t="s">
        <v>619</v>
      </c>
    </row>
    <row r="214" spans="1:14" x14ac:dyDescent="0.25">
      <c r="A214">
        <f t="shared" si="3"/>
        <v>213</v>
      </c>
      <c r="B214" s="95" t="s">
        <v>1273</v>
      </c>
      <c r="C214" s="9">
        <v>45489</v>
      </c>
      <c r="D214" t="s">
        <v>1274</v>
      </c>
      <c r="E214" t="s">
        <v>1275</v>
      </c>
      <c r="F214" t="s">
        <v>1276</v>
      </c>
      <c r="G214" t="s">
        <v>195</v>
      </c>
      <c r="H214" s="59">
        <v>1428</v>
      </c>
      <c r="I214" t="s">
        <v>1277</v>
      </c>
      <c r="J214" t="s">
        <v>392</v>
      </c>
      <c r="K214" t="s">
        <v>619</v>
      </c>
      <c r="L214" t="s">
        <v>619</v>
      </c>
      <c r="M214" t="s">
        <v>619</v>
      </c>
      <c r="N214" t="s">
        <v>619</v>
      </c>
    </row>
    <row r="215" spans="1:14" x14ac:dyDescent="0.25">
      <c r="A215" s="82">
        <f t="shared" si="3"/>
        <v>214</v>
      </c>
      <c r="B215" s="8" t="s">
        <v>1278</v>
      </c>
      <c r="C215" s="9">
        <v>45490</v>
      </c>
      <c r="D215" t="s">
        <v>941</v>
      </c>
      <c r="E215" t="s">
        <v>942</v>
      </c>
      <c r="F215" t="s">
        <v>943</v>
      </c>
      <c r="G215" t="s">
        <v>118</v>
      </c>
      <c r="H215" s="59">
        <v>3310.6</v>
      </c>
      <c r="I215" t="s">
        <v>1281</v>
      </c>
      <c r="J215" t="s">
        <v>216</v>
      </c>
      <c r="K215" t="s">
        <v>619</v>
      </c>
      <c r="L215" t="s">
        <v>619</v>
      </c>
      <c r="M215" t="s">
        <v>619</v>
      </c>
      <c r="N215" t="s">
        <v>619</v>
      </c>
    </row>
    <row r="216" spans="1:14" x14ac:dyDescent="0.25">
      <c r="A216" s="82">
        <f t="shared" si="3"/>
        <v>215</v>
      </c>
      <c r="B216" s="8" t="s">
        <v>1279</v>
      </c>
      <c r="C216" s="9">
        <v>45490</v>
      </c>
      <c r="D216" t="s">
        <v>1282</v>
      </c>
      <c r="E216" t="s">
        <v>1283</v>
      </c>
      <c r="F216" t="s">
        <v>1284</v>
      </c>
      <c r="G216" t="s">
        <v>118</v>
      </c>
      <c r="H216" s="59">
        <v>2408.25</v>
      </c>
      <c r="I216" t="s">
        <v>1285</v>
      </c>
      <c r="J216" t="s">
        <v>1298</v>
      </c>
      <c r="K216" t="s">
        <v>619</v>
      </c>
      <c r="L216" t="s">
        <v>619</v>
      </c>
      <c r="M216" t="s">
        <v>619</v>
      </c>
      <c r="N216" t="s">
        <v>619</v>
      </c>
    </row>
    <row r="217" spans="1:14" x14ac:dyDescent="0.25">
      <c r="A217" s="84">
        <f t="shared" si="3"/>
        <v>216</v>
      </c>
      <c r="B217" s="8" t="s">
        <v>1280</v>
      </c>
      <c r="C217" s="9">
        <v>45490</v>
      </c>
      <c r="D217" t="s">
        <v>1286</v>
      </c>
      <c r="E217" t="s">
        <v>1287</v>
      </c>
      <c r="F217" t="s">
        <v>1288</v>
      </c>
      <c r="G217" t="s">
        <v>195</v>
      </c>
      <c r="H217" s="59">
        <v>1328</v>
      </c>
      <c r="I217" t="s">
        <v>1289</v>
      </c>
      <c r="J217" t="s">
        <v>1290</v>
      </c>
      <c r="K217" t="s">
        <v>619</v>
      </c>
      <c r="L217" t="s">
        <v>619</v>
      </c>
      <c r="M217" t="s">
        <v>619</v>
      </c>
      <c r="N217" t="s">
        <v>619</v>
      </c>
    </row>
    <row r="218" spans="1:14" x14ac:dyDescent="0.25">
      <c r="A218">
        <f t="shared" si="3"/>
        <v>217</v>
      </c>
      <c r="B218" s="8" t="s">
        <v>1291</v>
      </c>
      <c r="C218" s="9">
        <v>45491</v>
      </c>
      <c r="D218" t="s">
        <v>1293</v>
      </c>
      <c r="E218" t="s">
        <v>1294</v>
      </c>
      <c r="F218" t="s">
        <v>1295</v>
      </c>
      <c r="G218" t="s">
        <v>119</v>
      </c>
      <c r="H218" s="59">
        <v>2356</v>
      </c>
      <c r="I218" t="s">
        <v>1296</v>
      </c>
      <c r="J218" t="s">
        <v>1297</v>
      </c>
      <c r="K218" t="s">
        <v>619</v>
      </c>
      <c r="L218" t="s">
        <v>619</v>
      </c>
      <c r="M218" t="s">
        <v>619</v>
      </c>
      <c r="N218" t="s">
        <v>619</v>
      </c>
    </row>
    <row r="219" spans="1:14" x14ac:dyDescent="0.25">
      <c r="A219" s="82">
        <f t="shared" si="3"/>
        <v>218</v>
      </c>
      <c r="B219" s="8" t="s">
        <v>1292</v>
      </c>
      <c r="C219" s="9">
        <v>45491</v>
      </c>
      <c r="D219" t="s">
        <v>349</v>
      </c>
      <c r="E219" t="s">
        <v>350</v>
      </c>
      <c r="F219" t="s">
        <v>1299</v>
      </c>
      <c r="G219" t="s">
        <v>118</v>
      </c>
      <c r="H219" s="59">
        <v>3250</v>
      </c>
      <c r="I219" t="s">
        <v>1300</v>
      </c>
      <c r="J219" t="s">
        <v>216</v>
      </c>
      <c r="K219" t="s">
        <v>619</v>
      </c>
      <c r="L219" t="s">
        <v>619</v>
      </c>
      <c r="M219" t="s">
        <v>619</v>
      </c>
      <c r="N219" t="s">
        <v>619</v>
      </c>
    </row>
    <row r="220" spans="1:14" x14ac:dyDescent="0.25">
      <c r="A220" s="82">
        <f t="shared" si="3"/>
        <v>219</v>
      </c>
      <c r="B220" s="8" t="s">
        <v>1301</v>
      </c>
      <c r="C220" s="9">
        <v>45492</v>
      </c>
      <c r="D220" t="s">
        <v>1304</v>
      </c>
      <c r="E220" t="s">
        <v>1305</v>
      </c>
      <c r="F220" t="s">
        <v>1306</v>
      </c>
      <c r="G220" t="s">
        <v>118</v>
      </c>
      <c r="H220" s="59">
        <v>1367</v>
      </c>
      <c r="I220" t="s">
        <v>1307</v>
      </c>
      <c r="J220" t="s">
        <v>1308</v>
      </c>
      <c r="K220" t="s">
        <v>619</v>
      </c>
      <c r="L220" t="s">
        <v>619</v>
      </c>
      <c r="M220" t="s">
        <v>619</v>
      </c>
      <c r="N220" t="s">
        <v>619</v>
      </c>
    </row>
    <row r="221" spans="1:14" x14ac:dyDescent="0.25">
      <c r="A221">
        <f t="shared" si="3"/>
        <v>220</v>
      </c>
      <c r="B221" s="8" t="s">
        <v>1302</v>
      </c>
      <c r="C221" s="9">
        <v>45493</v>
      </c>
      <c r="D221" t="s">
        <v>1309</v>
      </c>
      <c r="E221" t="s">
        <v>1310</v>
      </c>
      <c r="F221" t="s">
        <v>1311</v>
      </c>
      <c r="G221" t="s">
        <v>195</v>
      </c>
      <c r="H221" s="59">
        <v>2639</v>
      </c>
      <c r="I221" t="s">
        <v>1312</v>
      </c>
      <c r="J221" t="s">
        <v>236</v>
      </c>
      <c r="K221" t="s">
        <v>619</v>
      </c>
      <c r="L221" t="s">
        <v>619</v>
      </c>
      <c r="M221" t="s">
        <v>619</v>
      </c>
      <c r="N221" t="s">
        <v>619</v>
      </c>
    </row>
    <row r="222" spans="1:14" x14ac:dyDescent="0.25">
      <c r="A222" s="82">
        <f t="shared" si="3"/>
        <v>221</v>
      </c>
      <c r="B222" s="8" t="s">
        <v>1303</v>
      </c>
      <c r="C222" s="9">
        <v>45495</v>
      </c>
      <c r="D222" t="s">
        <v>1313</v>
      </c>
      <c r="E222" t="s">
        <v>1314</v>
      </c>
      <c r="F222" t="s">
        <v>1315</v>
      </c>
      <c r="G222" t="s">
        <v>118</v>
      </c>
      <c r="H222" s="59">
        <v>1623</v>
      </c>
      <c r="I222" t="s">
        <v>1316</v>
      </c>
      <c r="J222" t="s">
        <v>245</v>
      </c>
      <c r="K222" t="s">
        <v>619</v>
      </c>
      <c r="L222" t="s">
        <v>619</v>
      </c>
      <c r="M222" t="s">
        <v>619</v>
      </c>
      <c r="N222" t="s">
        <v>619</v>
      </c>
    </row>
    <row r="223" spans="1:14" x14ac:dyDescent="0.25">
      <c r="A223" s="82">
        <f t="shared" si="3"/>
        <v>222</v>
      </c>
      <c r="B223" s="8" t="s">
        <v>1317</v>
      </c>
      <c r="C223" s="9">
        <v>45482</v>
      </c>
      <c r="D223" t="s">
        <v>1322</v>
      </c>
      <c r="E223" t="s">
        <v>1323</v>
      </c>
      <c r="F223" t="s">
        <v>1324</v>
      </c>
      <c r="G223" t="s">
        <v>118</v>
      </c>
      <c r="H223" s="59">
        <v>2286</v>
      </c>
      <c r="I223" t="s">
        <v>251</v>
      </c>
      <c r="J223" t="s">
        <v>1325</v>
      </c>
      <c r="K223" t="s">
        <v>619</v>
      </c>
      <c r="L223" t="s">
        <v>619</v>
      </c>
      <c r="M223" t="s">
        <v>619</v>
      </c>
      <c r="N223" t="s">
        <v>619</v>
      </c>
    </row>
    <row r="224" spans="1:14" x14ac:dyDescent="0.25">
      <c r="A224" s="82">
        <f t="shared" si="3"/>
        <v>223</v>
      </c>
      <c r="B224" s="8" t="s">
        <v>1318</v>
      </c>
      <c r="C224" s="9">
        <v>45489</v>
      </c>
      <c r="D224" t="s">
        <v>1326</v>
      </c>
      <c r="E224" t="s">
        <v>1328</v>
      </c>
      <c r="F224" t="s">
        <v>1327</v>
      </c>
      <c r="G224" t="s">
        <v>118</v>
      </c>
      <c r="H224" s="59">
        <v>2630.5</v>
      </c>
      <c r="I224" t="s">
        <v>1329</v>
      </c>
      <c r="J224" t="s">
        <v>1330</v>
      </c>
      <c r="K224" t="s">
        <v>619</v>
      </c>
      <c r="L224" t="s">
        <v>619</v>
      </c>
      <c r="M224" t="s">
        <v>619</v>
      </c>
      <c r="N224" t="s">
        <v>619</v>
      </c>
    </row>
    <row r="225" spans="1:14" x14ac:dyDescent="0.25">
      <c r="A225">
        <f t="shared" si="3"/>
        <v>224</v>
      </c>
      <c r="B225" s="8" t="s">
        <v>1319</v>
      </c>
      <c r="C225" s="9">
        <v>45496</v>
      </c>
      <c r="D225" t="s">
        <v>1331</v>
      </c>
      <c r="E225" t="s">
        <v>1332</v>
      </c>
      <c r="F225" t="s">
        <v>1333</v>
      </c>
      <c r="G225" t="s">
        <v>195</v>
      </c>
      <c r="H225" s="59">
        <v>1552</v>
      </c>
      <c r="I225" t="s">
        <v>1334</v>
      </c>
      <c r="J225" t="s">
        <v>760</v>
      </c>
      <c r="K225" t="s">
        <v>619</v>
      </c>
      <c r="L225" t="s">
        <v>619</v>
      </c>
      <c r="M225" t="s">
        <v>619</v>
      </c>
      <c r="N225" t="s">
        <v>619</v>
      </c>
    </row>
    <row r="226" spans="1:14" x14ac:dyDescent="0.25">
      <c r="A226">
        <f t="shared" si="3"/>
        <v>225</v>
      </c>
      <c r="B226" s="8" t="s">
        <v>1320</v>
      </c>
      <c r="C226" s="9">
        <v>45496</v>
      </c>
      <c r="D226" t="s">
        <v>1335</v>
      </c>
      <c r="E226" t="s">
        <v>1336</v>
      </c>
      <c r="F226" t="s">
        <v>1337</v>
      </c>
      <c r="G226" t="s">
        <v>195</v>
      </c>
      <c r="H226" s="59">
        <v>1483</v>
      </c>
      <c r="I226" t="s">
        <v>1338</v>
      </c>
      <c r="J226" t="s">
        <v>1339</v>
      </c>
      <c r="K226" t="s">
        <v>619</v>
      </c>
      <c r="L226" t="s">
        <v>619</v>
      </c>
      <c r="M226" t="s">
        <v>619</v>
      </c>
      <c r="N226" t="s">
        <v>619</v>
      </c>
    </row>
    <row r="227" spans="1:14" x14ac:dyDescent="0.25">
      <c r="A227">
        <f t="shared" si="3"/>
        <v>226</v>
      </c>
      <c r="B227" s="93" t="s">
        <v>1321</v>
      </c>
      <c r="C227" s="9">
        <v>45497</v>
      </c>
      <c r="D227" t="s">
        <v>1340</v>
      </c>
      <c r="E227" t="s">
        <v>1341</v>
      </c>
      <c r="F227" t="s">
        <v>1342</v>
      </c>
      <c r="G227" t="s">
        <v>119</v>
      </c>
      <c r="H227" s="59">
        <v>2865</v>
      </c>
      <c r="I227" t="s">
        <v>1343</v>
      </c>
      <c r="J227" t="s">
        <v>1344</v>
      </c>
      <c r="K227" t="s">
        <v>619</v>
      </c>
      <c r="L227" t="s">
        <v>619</v>
      </c>
      <c r="M227" t="s">
        <v>619</v>
      </c>
      <c r="N227" t="s">
        <v>619</v>
      </c>
    </row>
    <row r="228" spans="1:14" x14ac:dyDescent="0.25">
      <c r="A228">
        <f t="shared" si="3"/>
        <v>227</v>
      </c>
      <c r="B228" s="8" t="s">
        <v>1345</v>
      </c>
      <c r="C228" s="9">
        <v>45498</v>
      </c>
      <c r="D228" t="s">
        <v>434</v>
      </c>
      <c r="E228" t="s">
        <v>1347</v>
      </c>
      <c r="F228" t="s">
        <v>1348</v>
      </c>
      <c r="G228" t="s">
        <v>195</v>
      </c>
      <c r="H228" s="59">
        <v>1830</v>
      </c>
      <c r="I228" t="s">
        <v>1349</v>
      </c>
      <c r="J228" t="s">
        <v>1259</v>
      </c>
      <c r="K228" t="s">
        <v>619</v>
      </c>
      <c r="L228" t="s">
        <v>619</v>
      </c>
      <c r="M228" t="s">
        <v>619</v>
      </c>
      <c r="N228" t="s">
        <v>619</v>
      </c>
    </row>
    <row r="229" spans="1:14" x14ac:dyDescent="0.25">
      <c r="A229">
        <f t="shared" si="3"/>
        <v>228</v>
      </c>
      <c r="B229" s="8" t="s">
        <v>1346</v>
      </c>
      <c r="C229" s="9">
        <v>45498</v>
      </c>
      <c r="D229" t="s">
        <v>1350</v>
      </c>
      <c r="E229" t="s">
        <v>1351</v>
      </c>
      <c r="F229" t="s">
        <v>1352</v>
      </c>
      <c r="G229" t="s">
        <v>195</v>
      </c>
      <c r="H229" s="59">
        <v>1453</v>
      </c>
      <c r="I229" t="s">
        <v>1353</v>
      </c>
      <c r="J229" t="s">
        <v>1354</v>
      </c>
      <c r="K229" t="s">
        <v>619</v>
      </c>
      <c r="L229" t="s">
        <v>619</v>
      </c>
      <c r="M229" t="s">
        <v>619</v>
      </c>
      <c r="N229" t="s">
        <v>619</v>
      </c>
    </row>
    <row r="230" spans="1:14" x14ac:dyDescent="0.25">
      <c r="A230">
        <f t="shared" si="3"/>
        <v>229</v>
      </c>
      <c r="B230" s="8" t="s">
        <v>1355</v>
      </c>
      <c r="C230" s="9">
        <v>45486</v>
      </c>
      <c r="D230" t="s">
        <v>1357</v>
      </c>
      <c r="E230" t="s">
        <v>1358</v>
      </c>
      <c r="F230" t="s">
        <v>1205</v>
      </c>
      <c r="G230" t="s">
        <v>195</v>
      </c>
      <c r="H230" s="59">
        <v>691.2</v>
      </c>
      <c r="I230" t="s">
        <v>1359</v>
      </c>
      <c r="J230" t="s">
        <v>1360</v>
      </c>
      <c r="K230" t="s">
        <v>619</v>
      </c>
      <c r="L230" t="s">
        <v>619</v>
      </c>
      <c r="M230" t="s">
        <v>619</v>
      </c>
      <c r="N230" t="s">
        <v>619</v>
      </c>
    </row>
    <row r="231" spans="1:14" x14ac:dyDescent="0.25">
      <c r="A231" s="83">
        <f t="shared" si="3"/>
        <v>230</v>
      </c>
      <c r="B231" s="8" t="s">
        <v>1356</v>
      </c>
      <c r="C231" s="9">
        <v>45500</v>
      </c>
      <c r="D231" t="s">
        <v>1361</v>
      </c>
      <c r="E231" t="s">
        <v>1362</v>
      </c>
      <c r="F231" t="s">
        <v>1363</v>
      </c>
      <c r="G231" t="s">
        <v>118</v>
      </c>
      <c r="H231" s="59">
        <v>1032.4000000000001</v>
      </c>
      <c r="I231" t="s">
        <v>1364</v>
      </c>
      <c r="J231" t="s">
        <v>1365</v>
      </c>
      <c r="K231" t="s">
        <v>619</v>
      </c>
      <c r="L231" t="s">
        <v>619</v>
      </c>
      <c r="M231" t="s">
        <v>619</v>
      </c>
      <c r="N231" t="s">
        <v>619</v>
      </c>
    </row>
    <row r="232" spans="1:14" x14ac:dyDescent="0.25">
      <c r="A232" s="82">
        <f t="shared" si="3"/>
        <v>231</v>
      </c>
      <c r="B232" s="8" t="s">
        <v>1366</v>
      </c>
      <c r="C232" s="9">
        <v>45502</v>
      </c>
      <c r="D232" t="s">
        <v>1367</v>
      </c>
      <c r="E232" t="s">
        <v>1368</v>
      </c>
      <c r="F232" t="s">
        <v>1369</v>
      </c>
      <c r="G232" t="s">
        <v>118</v>
      </c>
      <c r="H232" s="59">
        <v>1533</v>
      </c>
      <c r="I232" t="s">
        <v>1230</v>
      </c>
      <c r="J232" t="s">
        <v>1370</v>
      </c>
      <c r="K232" t="s">
        <v>619</v>
      </c>
      <c r="L232" t="s">
        <v>619</v>
      </c>
      <c r="M232" t="s">
        <v>619</v>
      </c>
      <c r="N232" t="s">
        <v>619</v>
      </c>
    </row>
    <row r="233" spans="1:14" x14ac:dyDescent="0.25">
      <c r="A233">
        <f t="shared" si="3"/>
        <v>232</v>
      </c>
      <c r="B233" s="8" t="s">
        <v>1371</v>
      </c>
      <c r="C233" s="9">
        <v>45488</v>
      </c>
      <c r="D233" t="s">
        <v>1376</v>
      </c>
      <c r="E233" t="s">
        <v>1377</v>
      </c>
      <c r="F233" t="s">
        <v>1378</v>
      </c>
      <c r="G233" t="s">
        <v>195</v>
      </c>
      <c r="H233" s="59">
        <v>1490.5</v>
      </c>
      <c r="I233" t="s">
        <v>1379</v>
      </c>
      <c r="J233" t="s">
        <v>837</v>
      </c>
      <c r="K233" t="s">
        <v>619</v>
      </c>
      <c r="L233" t="s">
        <v>619</v>
      </c>
      <c r="M233" t="s">
        <v>619</v>
      </c>
      <c r="N233" t="s">
        <v>619</v>
      </c>
    </row>
    <row r="234" spans="1:14" x14ac:dyDescent="0.25">
      <c r="A234" s="82">
        <f t="shared" si="3"/>
        <v>233</v>
      </c>
      <c r="B234" s="8" t="s">
        <v>1372</v>
      </c>
      <c r="C234" s="9">
        <v>45495</v>
      </c>
      <c r="D234" t="s">
        <v>1380</v>
      </c>
      <c r="E234" t="s">
        <v>1381</v>
      </c>
      <c r="F234" t="s">
        <v>1382</v>
      </c>
      <c r="G234" t="s">
        <v>118</v>
      </c>
      <c r="H234" s="59">
        <v>1095.2</v>
      </c>
      <c r="I234" t="s">
        <v>1383</v>
      </c>
      <c r="J234" t="s">
        <v>371</v>
      </c>
      <c r="K234" t="s">
        <v>619</v>
      </c>
      <c r="L234" t="s">
        <v>619</v>
      </c>
      <c r="M234" t="s">
        <v>619</v>
      </c>
      <c r="N234" t="s">
        <v>619</v>
      </c>
    </row>
    <row r="235" spans="1:14" x14ac:dyDescent="0.25">
      <c r="A235" s="82">
        <f t="shared" si="3"/>
        <v>234</v>
      </c>
      <c r="B235" s="8" t="s">
        <v>1373</v>
      </c>
      <c r="C235" s="9">
        <v>45497</v>
      </c>
      <c r="D235" t="s">
        <v>1129</v>
      </c>
      <c r="E235" t="s">
        <v>1074</v>
      </c>
      <c r="F235" t="s">
        <v>1075</v>
      </c>
      <c r="G235" t="s">
        <v>118</v>
      </c>
      <c r="H235" s="59">
        <v>2540</v>
      </c>
      <c r="I235" t="s">
        <v>1076</v>
      </c>
      <c r="J235" t="s">
        <v>1389</v>
      </c>
      <c r="K235" t="s">
        <v>619</v>
      </c>
      <c r="L235" t="s">
        <v>619</v>
      </c>
      <c r="M235" t="s">
        <v>619</v>
      </c>
      <c r="N235" t="s">
        <v>619</v>
      </c>
    </row>
    <row r="236" spans="1:14" x14ac:dyDescent="0.25">
      <c r="A236" s="82">
        <f t="shared" si="3"/>
        <v>235</v>
      </c>
      <c r="B236" s="8" t="s">
        <v>1374</v>
      </c>
      <c r="C236" s="9">
        <v>45504</v>
      </c>
      <c r="D236" t="s">
        <v>349</v>
      </c>
      <c r="E236" t="s">
        <v>350</v>
      </c>
      <c r="F236" t="s">
        <v>1299</v>
      </c>
      <c r="G236" t="s">
        <v>118</v>
      </c>
      <c r="H236" s="59">
        <v>1722</v>
      </c>
      <c r="I236" t="s">
        <v>1384</v>
      </c>
      <c r="J236" t="s">
        <v>236</v>
      </c>
      <c r="K236" t="s">
        <v>619</v>
      </c>
      <c r="L236" t="s">
        <v>619</v>
      </c>
      <c r="M236" t="s">
        <v>619</v>
      </c>
      <c r="N236" t="s">
        <v>619</v>
      </c>
    </row>
    <row r="237" spans="1:14" x14ac:dyDescent="0.25">
      <c r="A237">
        <f t="shared" si="3"/>
        <v>236</v>
      </c>
      <c r="B237" s="8" t="s">
        <v>1375</v>
      </c>
      <c r="C237" s="9">
        <v>45504</v>
      </c>
      <c r="D237" t="s">
        <v>1385</v>
      </c>
      <c r="E237" t="s">
        <v>1386</v>
      </c>
      <c r="F237" t="s">
        <v>1387</v>
      </c>
      <c r="G237" t="s">
        <v>195</v>
      </c>
      <c r="H237" s="59">
        <v>3552.05</v>
      </c>
      <c r="I237" t="s">
        <v>1388</v>
      </c>
      <c r="J237" t="s">
        <v>1390</v>
      </c>
      <c r="K237" t="s">
        <v>619</v>
      </c>
      <c r="L237" t="s">
        <v>619</v>
      </c>
      <c r="M237" t="s">
        <v>619</v>
      </c>
      <c r="N237" t="s">
        <v>619</v>
      </c>
    </row>
    <row r="238" spans="1:14" x14ac:dyDescent="0.25">
      <c r="A238" s="82">
        <f t="shared" si="3"/>
        <v>237</v>
      </c>
      <c r="B238" s="8" t="s">
        <v>1391</v>
      </c>
      <c r="C238" s="9">
        <v>45479</v>
      </c>
      <c r="D238" t="s">
        <v>618</v>
      </c>
      <c r="E238" t="s">
        <v>404</v>
      </c>
      <c r="F238" t="s">
        <v>405</v>
      </c>
      <c r="G238" t="s">
        <v>118</v>
      </c>
      <c r="H238" s="59">
        <v>2528.9699999999998</v>
      </c>
      <c r="I238" t="s">
        <v>1397</v>
      </c>
      <c r="J238" t="s">
        <v>1398</v>
      </c>
      <c r="K238" t="s">
        <v>619</v>
      </c>
      <c r="L238" t="s">
        <v>619</v>
      </c>
      <c r="M238" t="s">
        <v>619</v>
      </c>
      <c r="N238" t="s">
        <v>619</v>
      </c>
    </row>
    <row r="239" spans="1:14" x14ac:dyDescent="0.25">
      <c r="A239">
        <f t="shared" si="3"/>
        <v>238</v>
      </c>
      <c r="B239" s="8" t="s">
        <v>1392</v>
      </c>
      <c r="C239" s="9">
        <v>45492</v>
      </c>
      <c r="D239" t="s">
        <v>1399</v>
      </c>
      <c r="E239" t="s">
        <v>1400</v>
      </c>
      <c r="F239" t="s">
        <v>1401</v>
      </c>
      <c r="G239" t="s">
        <v>195</v>
      </c>
      <c r="H239" s="59">
        <v>2020.76</v>
      </c>
      <c r="I239" t="s">
        <v>1402</v>
      </c>
      <c r="J239" t="s">
        <v>236</v>
      </c>
      <c r="K239" t="s">
        <v>619</v>
      </c>
      <c r="L239" t="s">
        <v>619</v>
      </c>
      <c r="M239" t="s">
        <v>619</v>
      </c>
      <c r="N239" t="s">
        <v>619</v>
      </c>
    </row>
    <row r="240" spans="1:14" x14ac:dyDescent="0.25">
      <c r="A240">
        <f t="shared" si="3"/>
        <v>239</v>
      </c>
      <c r="B240" s="8" t="s">
        <v>1393</v>
      </c>
      <c r="C240" s="9">
        <v>45505</v>
      </c>
      <c r="D240" t="s">
        <v>1417</v>
      </c>
      <c r="E240" t="s">
        <v>1403</v>
      </c>
      <c r="F240" t="s">
        <v>1404</v>
      </c>
      <c r="G240" t="s">
        <v>195</v>
      </c>
      <c r="H240" s="59">
        <v>1575</v>
      </c>
      <c r="I240" t="s">
        <v>1405</v>
      </c>
      <c r="J240" t="s">
        <v>1418</v>
      </c>
      <c r="K240" t="s">
        <v>619</v>
      </c>
      <c r="L240" t="s">
        <v>619</v>
      </c>
      <c r="M240" t="s">
        <v>619</v>
      </c>
      <c r="N240" t="s">
        <v>619</v>
      </c>
    </row>
    <row r="241" spans="1:14" x14ac:dyDescent="0.25">
      <c r="A241" s="82">
        <f t="shared" si="3"/>
        <v>240</v>
      </c>
      <c r="B241" s="8" t="s">
        <v>1394</v>
      </c>
      <c r="C241" s="9">
        <v>45506</v>
      </c>
      <c r="D241" t="s">
        <v>1406</v>
      </c>
      <c r="E241" t="s">
        <v>1407</v>
      </c>
      <c r="F241" t="s">
        <v>1408</v>
      </c>
      <c r="G241" t="s">
        <v>118</v>
      </c>
      <c r="H241" s="59">
        <v>1233</v>
      </c>
      <c r="I241" t="s">
        <v>1409</v>
      </c>
      <c r="J241" t="s">
        <v>245</v>
      </c>
      <c r="K241" t="s">
        <v>619</v>
      </c>
      <c r="L241" t="s">
        <v>619</v>
      </c>
      <c r="M241" t="s">
        <v>619</v>
      </c>
      <c r="N241" t="s">
        <v>619</v>
      </c>
    </row>
    <row r="242" spans="1:14" x14ac:dyDescent="0.25">
      <c r="A242" s="82">
        <f t="shared" si="3"/>
        <v>241</v>
      </c>
      <c r="B242" s="8" t="s">
        <v>1395</v>
      </c>
      <c r="C242" s="9">
        <v>45507</v>
      </c>
      <c r="D242" t="s">
        <v>978</v>
      </c>
      <c r="E242" t="s">
        <v>979</v>
      </c>
      <c r="F242" t="s">
        <v>980</v>
      </c>
      <c r="G242" t="s">
        <v>118</v>
      </c>
      <c r="H242" s="59">
        <v>2641</v>
      </c>
      <c r="I242" t="s">
        <v>1410</v>
      </c>
      <c r="J242" t="s">
        <v>1419</v>
      </c>
      <c r="K242" t="s">
        <v>619</v>
      </c>
      <c r="L242" t="s">
        <v>619</v>
      </c>
      <c r="M242" t="s">
        <v>619</v>
      </c>
      <c r="N242" t="s">
        <v>619</v>
      </c>
    </row>
    <row r="243" spans="1:14" x14ac:dyDescent="0.25">
      <c r="A243">
        <f t="shared" si="3"/>
        <v>242</v>
      </c>
      <c r="B243" s="8" t="s">
        <v>1411</v>
      </c>
      <c r="C243" s="9">
        <v>45493</v>
      </c>
      <c r="D243" t="s">
        <v>1413</v>
      </c>
      <c r="E243" t="s">
        <v>1414</v>
      </c>
      <c r="F243" t="s">
        <v>1415</v>
      </c>
      <c r="G243" t="s">
        <v>195</v>
      </c>
      <c r="H243" s="59">
        <v>5074</v>
      </c>
      <c r="I243" t="s">
        <v>1416</v>
      </c>
      <c r="J243" t="s">
        <v>236</v>
      </c>
      <c r="K243" t="s">
        <v>619</v>
      </c>
      <c r="L243" t="s">
        <v>619</v>
      </c>
      <c r="M243" t="s">
        <v>619</v>
      </c>
      <c r="N243" t="s">
        <v>619</v>
      </c>
    </row>
    <row r="244" spans="1:14" x14ac:dyDescent="0.25">
      <c r="A244">
        <f t="shared" si="3"/>
        <v>243</v>
      </c>
      <c r="B244" s="8" t="s">
        <v>1412</v>
      </c>
      <c r="C244" s="9">
        <v>45509</v>
      </c>
      <c r="D244" t="s">
        <v>1420</v>
      </c>
      <c r="E244" t="s">
        <v>1421</v>
      </c>
      <c r="F244" t="s">
        <v>1422</v>
      </c>
      <c r="G244" t="s">
        <v>195</v>
      </c>
      <c r="H244" s="59">
        <v>2330</v>
      </c>
      <c r="I244" t="s">
        <v>1423</v>
      </c>
      <c r="J244" t="s">
        <v>236</v>
      </c>
      <c r="K244" t="s">
        <v>619</v>
      </c>
      <c r="L244" t="s">
        <v>619</v>
      </c>
      <c r="M244" t="s">
        <v>619</v>
      </c>
      <c r="N244" t="s">
        <v>619</v>
      </c>
    </row>
    <row r="245" spans="1:14" x14ac:dyDescent="0.25">
      <c r="A245">
        <f t="shared" si="3"/>
        <v>244</v>
      </c>
      <c r="B245" s="8" t="s">
        <v>1426</v>
      </c>
      <c r="C245" s="9">
        <v>45502</v>
      </c>
      <c r="D245" t="s">
        <v>1429</v>
      </c>
      <c r="E245" t="s">
        <v>1430</v>
      </c>
      <c r="F245" t="s">
        <v>1431</v>
      </c>
      <c r="G245" t="s">
        <v>195</v>
      </c>
      <c r="H245" s="59">
        <v>1260</v>
      </c>
      <c r="I245" t="s">
        <v>1432</v>
      </c>
      <c r="J245" t="s">
        <v>1433</v>
      </c>
      <c r="K245" t="s">
        <v>619</v>
      </c>
      <c r="L245" t="s">
        <v>619</v>
      </c>
      <c r="M245" t="s">
        <v>619</v>
      </c>
      <c r="N245" t="s">
        <v>619</v>
      </c>
    </row>
    <row r="246" spans="1:14" x14ac:dyDescent="0.25">
      <c r="A246" s="82">
        <f t="shared" si="3"/>
        <v>245</v>
      </c>
      <c r="B246" s="8" t="s">
        <v>1427</v>
      </c>
      <c r="C246" s="9">
        <v>45510</v>
      </c>
      <c r="D246" t="s">
        <v>605</v>
      </c>
      <c r="E246" t="s">
        <v>606</v>
      </c>
      <c r="F246" t="s">
        <v>607</v>
      </c>
      <c r="G246" t="s">
        <v>118</v>
      </c>
      <c r="H246" s="59">
        <v>984</v>
      </c>
      <c r="I246" t="s">
        <v>1434</v>
      </c>
      <c r="J246" t="s">
        <v>1435</v>
      </c>
      <c r="K246" t="s">
        <v>619</v>
      </c>
      <c r="L246" t="s">
        <v>619</v>
      </c>
      <c r="M246" t="s">
        <v>619</v>
      </c>
      <c r="N246" t="s">
        <v>619</v>
      </c>
    </row>
    <row r="247" spans="1:14" x14ac:dyDescent="0.25">
      <c r="A247">
        <f t="shared" si="3"/>
        <v>246</v>
      </c>
      <c r="B247" s="8" t="s">
        <v>1428</v>
      </c>
      <c r="C247" s="9">
        <v>45511</v>
      </c>
      <c r="D247" t="s">
        <v>1436</v>
      </c>
      <c r="E247" t="s">
        <v>1437</v>
      </c>
      <c r="F247" t="s">
        <v>1438</v>
      </c>
      <c r="G247" t="s">
        <v>195</v>
      </c>
      <c r="H247" s="59">
        <v>1038</v>
      </c>
      <c r="I247" t="s">
        <v>1439</v>
      </c>
      <c r="J247" t="s">
        <v>1308</v>
      </c>
      <c r="K247" t="s">
        <v>619</v>
      </c>
      <c r="L247" t="s">
        <v>619</v>
      </c>
      <c r="M247" t="s">
        <v>619</v>
      </c>
      <c r="N247" t="s">
        <v>619</v>
      </c>
    </row>
    <row r="248" spans="1:14" x14ac:dyDescent="0.25">
      <c r="A248">
        <f t="shared" si="3"/>
        <v>247</v>
      </c>
      <c r="B248" s="8" t="s">
        <v>1441</v>
      </c>
      <c r="C248" s="9">
        <v>45504</v>
      </c>
      <c r="D248" t="s">
        <v>1442</v>
      </c>
      <c r="E248" t="s">
        <v>1443</v>
      </c>
      <c r="F248" t="s">
        <v>1444</v>
      </c>
      <c r="G248" t="s">
        <v>119</v>
      </c>
      <c r="H248" s="59">
        <v>1318</v>
      </c>
      <c r="I248" t="s">
        <v>1239</v>
      </c>
      <c r="J248" t="s">
        <v>1445</v>
      </c>
      <c r="K248" t="s">
        <v>619</v>
      </c>
      <c r="L248" t="s">
        <v>619</v>
      </c>
      <c r="M248" t="s">
        <v>619</v>
      </c>
      <c r="N248" t="s">
        <v>619</v>
      </c>
    </row>
    <row r="249" spans="1:14" x14ac:dyDescent="0.25">
      <c r="A249">
        <f t="shared" si="3"/>
        <v>248</v>
      </c>
      <c r="B249" s="8" t="s">
        <v>1447</v>
      </c>
      <c r="C249" s="9">
        <v>45514</v>
      </c>
      <c r="D249" t="s">
        <v>1448</v>
      </c>
      <c r="E249" t="s">
        <v>1449</v>
      </c>
      <c r="F249" t="s">
        <v>1450</v>
      </c>
      <c r="G249" t="s">
        <v>195</v>
      </c>
      <c r="H249" s="59">
        <v>2540</v>
      </c>
      <c r="I249" t="s">
        <v>1451</v>
      </c>
      <c r="J249" t="s">
        <v>245</v>
      </c>
      <c r="K249" t="s">
        <v>619</v>
      </c>
      <c r="L249" t="s">
        <v>619</v>
      </c>
      <c r="M249" t="s">
        <v>619</v>
      </c>
      <c r="N249" t="s">
        <v>619</v>
      </c>
    </row>
    <row r="250" spans="1:14" x14ac:dyDescent="0.25">
      <c r="A250">
        <f t="shared" si="3"/>
        <v>249</v>
      </c>
      <c r="B250" s="8" t="s">
        <v>1452</v>
      </c>
      <c r="C250" s="9">
        <v>45503</v>
      </c>
      <c r="D250" t="s">
        <v>1453</v>
      </c>
      <c r="E250" t="s">
        <v>1454</v>
      </c>
      <c r="F250" t="s">
        <v>1455</v>
      </c>
      <c r="G250" t="s">
        <v>195</v>
      </c>
      <c r="H250" s="59">
        <v>6419</v>
      </c>
      <c r="I250" t="s">
        <v>1456</v>
      </c>
      <c r="J250" t="s">
        <v>1457</v>
      </c>
      <c r="K250" t="s">
        <v>619</v>
      </c>
      <c r="L250" t="s">
        <v>619</v>
      </c>
      <c r="M250" t="s">
        <v>619</v>
      </c>
      <c r="N250" t="s">
        <v>619</v>
      </c>
    </row>
    <row r="251" spans="1:14" x14ac:dyDescent="0.25">
      <c r="A251" s="84">
        <f t="shared" si="3"/>
        <v>250</v>
      </c>
      <c r="B251" s="8" t="s">
        <v>1458</v>
      </c>
      <c r="C251" s="9">
        <v>45507</v>
      </c>
      <c r="D251" t="s">
        <v>1459</v>
      </c>
      <c r="E251" t="s">
        <v>1460</v>
      </c>
      <c r="F251" t="s">
        <v>1461</v>
      </c>
      <c r="G251" t="s">
        <v>195</v>
      </c>
      <c r="H251" s="59">
        <v>1700</v>
      </c>
      <c r="I251" t="s">
        <v>1462</v>
      </c>
      <c r="J251" t="s">
        <v>1463</v>
      </c>
      <c r="K251" t="s">
        <v>619</v>
      </c>
      <c r="L251" t="s">
        <v>619</v>
      </c>
      <c r="M251" t="s">
        <v>619</v>
      </c>
      <c r="N251" t="s">
        <v>619</v>
      </c>
    </row>
    <row r="252" spans="1:14" x14ac:dyDescent="0.25">
      <c r="A252">
        <f t="shared" si="3"/>
        <v>251</v>
      </c>
      <c r="B252" s="8" t="s">
        <v>1466</v>
      </c>
      <c r="C252" s="9">
        <v>45511</v>
      </c>
      <c r="D252" t="s">
        <v>1467</v>
      </c>
      <c r="E252" t="s">
        <v>1468</v>
      </c>
      <c r="F252" t="s">
        <v>1469</v>
      </c>
      <c r="G252" t="s">
        <v>195</v>
      </c>
      <c r="H252" s="59">
        <v>2454.1</v>
      </c>
      <c r="I252" t="s">
        <v>1470</v>
      </c>
      <c r="J252" t="s">
        <v>216</v>
      </c>
      <c r="K252" t="s">
        <v>619</v>
      </c>
      <c r="L252" t="s">
        <v>619</v>
      </c>
      <c r="M252" t="s">
        <v>619</v>
      </c>
      <c r="N252" t="s">
        <v>619</v>
      </c>
    </row>
    <row r="253" spans="1:14" x14ac:dyDescent="0.25">
      <c r="A253" s="82">
        <f t="shared" si="3"/>
        <v>252</v>
      </c>
      <c r="B253" s="8" t="s">
        <v>1471</v>
      </c>
      <c r="C253" s="9">
        <v>45513</v>
      </c>
      <c r="D253" t="s">
        <v>1474</v>
      </c>
      <c r="E253" t="s">
        <v>1475</v>
      </c>
      <c r="F253" t="s">
        <v>1476</v>
      </c>
      <c r="G253" t="s">
        <v>118</v>
      </c>
      <c r="H253" s="59">
        <v>1406</v>
      </c>
      <c r="I253" t="s">
        <v>1477</v>
      </c>
      <c r="J253" t="s">
        <v>1507</v>
      </c>
      <c r="K253" t="s">
        <v>619</v>
      </c>
      <c r="L253" t="s">
        <v>619</v>
      </c>
      <c r="M253" t="s">
        <v>619</v>
      </c>
      <c r="N253" t="s">
        <v>619</v>
      </c>
    </row>
    <row r="254" spans="1:14" x14ac:dyDescent="0.25">
      <c r="A254">
        <f t="shared" si="3"/>
        <v>253</v>
      </c>
      <c r="B254" s="8" t="s">
        <v>1472</v>
      </c>
      <c r="C254" s="9">
        <v>45517</v>
      </c>
      <c r="D254" t="s">
        <v>1478</v>
      </c>
      <c r="E254" t="s">
        <v>1479</v>
      </c>
      <c r="F254" t="s">
        <v>1480</v>
      </c>
      <c r="G254" t="s">
        <v>195</v>
      </c>
      <c r="H254" s="59">
        <v>2566</v>
      </c>
      <c r="I254" t="s">
        <v>273</v>
      </c>
      <c r="J254" t="s">
        <v>1481</v>
      </c>
      <c r="K254" t="s">
        <v>619</v>
      </c>
      <c r="L254" t="s">
        <v>619</v>
      </c>
      <c r="M254" t="s">
        <v>619</v>
      </c>
      <c r="N254" t="s">
        <v>619</v>
      </c>
    </row>
    <row r="255" spans="1:14" x14ac:dyDescent="0.25">
      <c r="A255" s="82">
        <f t="shared" si="3"/>
        <v>254</v>
      </c>
      <c r="B255" s="95" t="s">
        <v>1473</v>
      </c>
      <c r="C255" s="9">
        <v>45517</v>
      </c>
      <c r="D255" t="s">
        <v>1482</v>
      </c>
      <c r="E255" t="s">
        <v>1483</v>
      </c>
      <c r="F255" t="s">
        <v>1484</v>
      </c>
      <c r="G255" t="s">
        <v>118</v>
      </c>
      <c r="H255" s="59">
        <v>1038</v>
      </c>
      <c r="I255" t="s">
        <v>585</v>
      </c>
      <c r="J255" t="s">
        <v>1496</v>
      </c>
      <c r="K255" t="s">
        <v>619</v>
      </c>
      <c r="L255" t="s">
        <v>619</v>
      </c>
      <c r="M255" t="s">
        <v>619</v>
      </c>
      <c r="N255" t="s">
        <v>619</v>
      </c>
    </row>
    <row r="256" spans="1:14" x14ac:dyDescent="0.25">
      <c r="A256" s="82">
        <f t="shared" si="3"/>
        <v>255</v>
      </c>
      <c r="B256" s="8" t="s">
        <v>1485</v>
      </c>
      <c r="C256" s="9">
        <v>45518</v>
      </c>
      <c r="D256" t="s">
        <v>1487</v>
      </c>
      <c r="E256" t="s">
        <v>1488</v>
      </c>
      <c r="F256" t="s">
        <v>1489</v>
      </c>
      <c r="G256" t="s">
        <v>118</v>
      </c>
      <c r="H256" s="59">
        <v>2356</v>
      </c>
      <c r="I256" t="s">
        <v>1490</v>
      </c>
      <c r="J256" t="s">
        <v>1508</v>
      </c>
      <c r="K256" t="s">
        <v>619</v>
      </c>
      <c r="L256" t="s">
        <v>619</v>
      </c>
      <c r="M256" t="s">
        <v>619</v>
      </c>
      <c r="N256" t="s">
        <v>619</v>
      </c>
    </row>
    <row r="257" spans="1:14" x14ac:dyDescent="0.25">
      <c r="A257">
        <f t="shared" si="3"/>
        <v>256</v>
      </c>
      <c r="B257" s="8" t="s">
        <v>1486</v>
      </c>
      <c r="C257" s="9">
        <v>45518</v>
      </c>
      <c r="D257" t="s">
        <v>1491</v>
      </c>
      <c r="E257" t="s">
        <v>1492</v>
      </c>
      <c r="F257" t="s">
        <v>1493</v>
      </c>
      <c r="G257" t="s">
        <v>195</v>
      </c>
      <c r="H257" s="59">
        <v>2074</v>
      </c>
      <c r="I257" t="s">
        <v>1494</v>
      </c>
      <c r="J257" t="s">
        <v>1495</v>
      </c>
      <c r="K257" t="s">
        <v>619</v>
      </c>
      <c r="L257" t="s">
        <v>619</v>
      </c>
      <c r="M257" t="s">
        <v>619</v>
      </c>
      <c r="N257" t="s">
        <v>619</v>
      </c>
    </row>
    <row r="258" spans="1:14" x14ac:dyDescent="0.25">
      <c r="A258" s="85">
        <f t="shared" si="3"/>
        <v>257</v>
      </c>
      <c r="B258" s="8" t="s">
        <v>1497</v>
      </c>
      <c r="C258" s="9">
        <v>45520</v>
      </c>
      <c r="D258" t="s">
        <v>1499</v>
      </c>
      <c r="E258" t="s">
        <v>1500</v>
      </c>
      <c r="F258" t="s">
        <v>1501</v>
      </c>
      <c r="G258" t="s">
        <v>195</v>
      </c>
      <c r="H258" s="59">
        <v>6404.36</v>
      </c>
      <c r="I258" t="s">
        <v>1502</v>
      </c>
      <c r="J258" t="s">
        <v>1091</v>
      </c>
      <c r="K258" t="s">
        <v>619</v>
      </c>
      <c r="L258" t="s">
        <v>619</v>
      </c>
      <c r="M258" t="s">
        <v>619</v>
      </c>
      <c r="N258" t="s">
        <v>619</v>
      </c>
    </row>
    <row r="259" spans="1:14" x14ac:dyDescent="0.25">
      <c r="A259">
        <f t="shared" si="3"/>
        <v>258</v>
      </c>
      <c r="B259" s="8" t="s">
        <v>1498</v>
      </c>
      <c r="C259" s="9">
        <v>45521</v>
      </c>
      <c r="D259" t="s">
        <v>1503</v>
      </c>
      <c r="E259" t="s">
        <v>1504</v>
      </c>
      <c r="F259" t="s">
        <v>1505</v>
      </c>
      <c r="G259" t="s">
        <v>195</v>
      </c>
      <c r="H259" s="59">
        <v>4404</v>
      </c>
      <c r="I259" t="s">
        <v>1506</v>
      </c>
      <c r="J259" t="s">
        <v>1509</v>
      </c>
      <c r="K259" t="s">
        <v>619</v>
      </c>
      <c r="L259" t="s">
        <v>619</v>
      </c>
      <c r="M259" t="s">
        <v>619</v>
      </c>
      <c r="N259" t="s">
        <v>619</v>
      </c>
    </row>
    <row r="260" spans="1:14" x14ac:dyDescent="0.25">
      <c r="A260">
        <f t="shared" ref="A260:A323" si="4">A259+1</f>
        <v>259</v>
      </c>
      <c r="B260" s="8" t="s">
        <v>1510</v>
      </c>
      <c r="C260" s="9">
        <v>45523</v>
      </c>
      <c r="D260" t="s">
        <v>1513</v>
      </c>
      <c r="E260" t="s">
        <v>1512</v>
      </c>
      <c r="F260" t="s">
        <v>1514</v>
      </c>
      <c r="G260" t="s">
        <v>195</v>
      </c>
      <c r="H260" s="59">
        <v>1490</v>
      </c>
      <c r="I260" t="s">
        <v>1515</v>
      </c>
      <c r="J260" t="s">
        <v>1523</v>
      </c>
      <c r="K260" t="s">
        <v>619</v>
      </c>
      <c r="L260" t="s">
        <v>619</v>
      </c>
      <c r="M260" t="s">
        <v>619</v>
      </c>
      <c r="N260" t="s">
        <v>619</v>
      </c>
    </row>
    <row r="261" spans="1:14" x14ac:dyDescent="0.25">
      <c r="A261">
        <f t="shared" si="4"/>
        <v>260</v>
      </c>
      <c r="B261" s="95" t="s">
        <v>1511</v>
      </c>
      <c r="C261" s="9">
        <v>45523</v>
      </c>
      <c r="D261" t="s">
        <v>1516</v>
      </c>
      <c r="E261" t="s">
        <v>1517</v>
      </c>
      <c r="F261" t="s">
        <v>1518</v>
      </c>
      <c r="G261" t="s">
        <v>195</v>
      </c>
      <c r="H261" s="59">
        <v>1266</v>
      </c>
      <c r="I261" t="s">
        <v>1519</v>
      </c>
      <c r="J261" t="s">
        <v>1520</v>
      </c>
      <c r="K261" t="s">
        <v>619</v>
      </c>
      <c r="L261" t="s">
        <v>619</v>
      </c>
      <c r="M261" t="s">
        <v>619</v>
      </c>
      <c r="N261" t="s">
        <v>619</v>
      </c>
    </row>
    <row r="262" spans="1:14" x14ac:dyDescent="0.25">
      <c r="A262" s="82">
        <f t="shared" si="4"/>
        <v>261</v>
      </c>
      <c r="B262" s="8" t="s">
        <v>1521</v>
      </c>
      <c r="C262" s="9">
        <v>45516</v>
      </c>
      <c r="D262" t="s">
        <v>1464</v>
      </c>
      <c r="E262" t="s">
        <v>1454</v>
      </c>
      <c r="F262" t="s">
        <v>1522</v>
      </c>
      <c r="G262" t="s">
        <v>118</v>
      </c>
      <c r="H262" s="59">
        <v>5093.8999999999996</v>
      </c>
      <c r="I262" t="s">
        <v>1456</v>
      </c>
      <c r="J262" t="s">
        <v>1552</v>
      </c>
      <c r="K262" t="s">
        <v>619</v>
      </c>
      <c r="L262" t="s">
        <v>619</v>
      </c>
      <c r="M262" t="s">
        <v>619</v>
      </c>
      <c r="N262" t="s">
        <v>619</v>
      </c>
    </row>
    <row r="263" spans="1:14" x14ac:dyDescent="0.25">
      <c r="A263">
        <f t="shared" si="4"/>
        <v>262</v>
      </c>
      <c r="B263" s="8" t="s">
        <v>1524</v>
      </c>
      <c r="C263" s="9">
        <v>45519</v>
      </c>
      <c r="D263" t="s">
        <v>1528</v>
      </c>
      <c r="E263" t="s">
        <v>1529</v>
      </c>
      <c r="F263" t="s">
        <v>1530</v>
      </c>
      <c r="G263" t="s">
        <v>119</v>
      </c>
      <c r="H263" s="59">
        <v>2046.52</v>
      </c>
      <c r="I263" t="s">
        <v>1531</v>
      </c>
      <c r="J263" t="s">
        <v>236</v>
      </c>
      <c r="K263" t="s">
        <v>619</v>
      </c>
      <c r="L263" t="s">
        <v>619</v>
      </c>
      <c r="M263" t="s">
        <v>619</v>
      </c>
      <c r="N263" t="s">
        <v>619</v>
      </c>
    </row>
    <row r="264" spans="1:14" x14ac:dyDescent="0.25">
      <c r="A264">
        <f t="shared" si="4"/>
        <v>263</v>
      </c>
      <c r="B264" s="8" t="s">
        <v>1525</v>
      </c>
      <c r="C264" s="9">
        <v>45488</v>
      </c>
      <c r="D264" t="s">
        <v>1532</v>
      </c>
      <c r="E264" t="s">
        <v>1533</v>
      </c>
      <c r="F264" t="s">
        <v>1534</v>
      </c>
      <c r="G264" t="s">
        <v>195</v>
      </c>
      <c r="H264" s="59">
        <v>3381</v>
      </c>
      <c r="I264" t="s">
        <v>1535</v>
      </c>
      <c r="J264" t="s">
        <v>236</v>
      </c>
      <c r="K264" t="s">
        <v>619</v>
      </c>
      <c r="L264" t="s">
        <v>619</v>
      </c>
      <c r="M264" t="s">
        <v>619</v>
      </c>
      <c r="N264" t="s">
        <v>619</v>
      </c>
    </row>
    <row r="265" spans="1:14" x14ac:dyDescent="0.25">
      <c r="A265" s="85">
        <f t="shared" si="4"/>
        <v>264</v>
      </c>
      <c r="B265" s="8" t="s">
        <v>1526</v>
      </c>
      <c r="C265" s="9">
        <v>45524</v>
      </c>
      <c r="D265" t="s">
        <v>1536</v>
      </c>
      <c r="E265" t="s">
        <v>1537</v>
      </c>
      <c r="F265" t="s">
        <v>1538</v>
      </c>
      <c r="G265" t="s">
        <v>195</v>
      </c>
      <c r="H265" s="59">
        <v>3782.92</v>
      </c>
      <c r="I265" t="s">
        <v>1539</v>
      </c>
      <c r="J265" t="s">
        <v>1553</v>
      </c>
      <c r="K265" t="s">
        <v>619</v>
      </c>
      <c r="L265" t="s">
        <v>619</v>
      </c>
      <c r="M265" t="s">
        <v>619</v>
      </c>
      <c r="N265" t="s">
        <v>619</v>
      </c>
    </row>
    <row r="266" spans="1:14" x14ac:dyDescent="0.25">
      <c r="A266" s="82">
        <f t="shared" si="4"/>
        <v>265</v>
      </c>
      <c r="B266" s="8" t="s">
        <v>1527</v>
      </c>
      <c r="C266" s="9">
        <v>45524</v>
      </c>
      <c r="D266" t="s">
        <v>1540</v>
      </c>
      <c r="E266" t="s">
        <v>1541</v>
      </c>
      <c r="F266" t="s">
        <v>1542</v>
      </c>
      <c r="G266" t="s">
        <v>118</v>
      </c>
      <c r="H266" s="59">
        <v>992</v>
      </c>
      <c r="I266" t="s">
        <v>1543</v>
      </c>
      <c r="J266" t="s">
        <v>236</v>
      </c>
      <c r="K266" t="s">
        <v>619</v>
      </c>
      <c r="L266" t="s">
        <v>619</v>
      </c>
      <c r="M266" t="s">
        <v>619</v>
      </c>
      <c r="N266" t="s">
        <v>619</v>
      </c>
    </row>
    <row r="267" spans="1:14" x14ac:dyDescent="0.25">
      <c r="A267" s="82">
        <f t="shared" si="4"/>
        <v>266</v>
      </c>
      <c r="B267" s="8" t="s">
        <v>1544</v>
      </c>
      <c r="C267" s="9">
        <v>45520</v>
      </c>
      <c r="D267" t="s">
        <v>1549</v>
      </c>
      <c r="E267" t="s">
        <v>1550</v>
      </c>
      <c r="F267" t="s">
        <v>1551</v>
      </c>
      <c r="G267" t="s">
        <v>118</v>
      </c>
      <c r="H267" s="59">
        <v>1407</v>
      </c>
      <c r="I267" t="s">
        <v>1239</v>
      </c>
      <c r="J267" t="s">
        <v>236</v>
      </c>
      <c r="K267" t="s">
        <v>619</v>
      </c>
      <c r="L267" t="s">
        <v>619</v>
      </c>
      <c r="M267" t="s">
        <v>619</v>
      </c>
      <c r="N267" t="s">
        <v>619</v>
      </c>
    </row>
    <row r="268" spans="1:14" x14ac:dyDescent="0.25">
      <c r="A268" s="83">
        <f t="shared" si="4"/>
        <v>267</v>
      </c>
      <c r="B268" s="8" t="s">
        <v>1545</v>
      </c>
      <c r="C268" s="9">
        <v>45527</v>
      </c>
      <c r="D268" t="s">
        <v>485</v>
      </c>
      <c r="E268" t="s">
        <v>486</v>
      </c>
      <c r="F268" t="s">
        <v>487</v>
      </c>
      <c r="G268" t="s">
        <v>118</v>
      </c>
      <c r="H268" s="59">
        <v>3659.84</v>
      </c>
      <c r="I268" t="s">
        <v>841</v>
      </c>
      <c r="J268" t="s">
        <v>1575</v>
      </c>
      <c r="K268" t="s">
        <v>619</v>
      </c>
      <c r="L268" t="s">
        <v>619</v>
      </c>
      <c r="M268" t="s">
        <v>619</v>
      </c>
      <c r="N268" t="s">
        <v>619</v>
      </c>
    </row>
    <row r="269" spans="1:14" x14ac:dyDescent="0.25">
      <c r="A269" s="83">
        <f t="shared" si="4"/>
        <v>268</v>
      </c>
      <c r="B269" s="8" t="s">
        <v>1546</v>
      </c>
      <c r="C269" s="9">
        <v>45527</v>
      </c>
      <c r="D269" t="s">
        <v>1650</v>
      </c>
      <c r="E269" t="s">
        <v>456</v>
      </c>
      <c r="F269" t="s">
        <v>1555</v>
      </c>
      <c r="G269" t="s">
        <v>118</v>
      </c>
      <c r="H269" s="59">
        <v>1262.08</v>
      </c>
      <c r="I269" t="s">
        <v>1556</v>
      </c>
      <c r="J269" t="s">
        <v>448</v>
      </c>
      <c r="K269" t="s">
        <v>619</v>
      </c>
      <c r="L269" t="s">
        <v>619</v>
      </c>
      <c r="M269" t="s">
        <v>619</v>
      </c>
      <c r="N269" t="s">
        <v>619</v>
      </c>
    </row>
    <row r="270" spans="1:14" x14ac:dyDescent="0.25">
      <c r="A270" s="83">
        <f t="shared" si="4"/>
        <v>269</v>
      </c>
      <c r="B270" s="8" t="s">
        <v>1547</v>
      </c>
      <c r="C270" s="9">
        <v>45528</v>
      </c>
      <c r="D270" t="s">
        <v>941</v>
      </c>
      <c r="E270" t="s">
        <v>942</v>
      </c>
      <c r="F270" t="s">
        <v>943</v>
      </c>
      <c r="G270" t="s">
        <v>118</v>
      </c>
      <c r="H270" s="59">
        <v>2741.08</v>
      </c>
      <c r="I270" t="s">
        <v>1557</v>
      </c>
      <c r="J270" t="s">
        <v>1576</v>
      </c>
      <c r="K270" t="s">
        <v>619</v>
      </c>
      <c r="L270" t="s">
        <v>619</v>
      </c>
      <c r="M270" t="s">
        <v>619</v>
      </c>
      <c r="N270" t="s">
        <v>619</v>
      </c>
    </row>
    <row r="271" spans="1:14" x14ac:dyDescent="0.25">
      <c r="A271">
        <f t="shared" si="4"/>
        <v>270</v>
      </c>
      <c r="B271" s="95" t="s">
        <v>1548</v>
      </c>
      <c r="C271" s="9">
        <v>45527</v>
      </c>
      <c r="D271" t="s">
        <v>1558</v>
      </c>
      <c r="E271" t="s">
        <v>1559</v>
      </c>
      <c r="F271" t="s">
        <v>1560</v>
      </c>
      <c r="G271" t="s">
        <v>1561</v>
      </c>
      <c r="H271" s="59">
        <v>4008</v>
      </c>
      <c r="I271" t="s">
        <v>1562</v>
      </c>
      <c r="J271" t="s">
        <v>1563</v>
      </c>
      <c r="K271" t="s">
        <v>619</v>
      </c>
      <c r="L271" t="s">
        <v>619</v>
      </c>
      <c r="M271" t="s">
        <v>619</v>
      </c>
      <c r="N271" t="s">
        <v>619</v>
      </c>
    </row>
    <row r="272" spans="1:14" x14ac:dyDescent="0.25">
      <c r="A272" s="82">
        <f t="shared" si="4"/>
        <v>271</v>
      </c>
      <c r="B272" s="8" t="s">
        <v>1564</v>
      </c>
      <c r="C272" s="9">
        <v>45525</v>
      </c>
      <c r="D272" t="s">
        <v>1565</v>
      </c>
      <c r="E272" t="s">
        <v>1566</v>
      </c>
      <c r="F272" t="s">
        <v>1567</v>
      </c>
      <c r="G272" t="s">
        <v>118</v>
      </c>
      <c r="H272" s="59">
        <v>1563.16</v>
      </c>
      <c r="I272" t="s">
        <v>1568</v>
      </c>
      <c r="J272" t="s">
        <v>1457</v>
      </c>
      <c r="K272" t="s">
        <v>619</v>
      </c>
      <c r="L272" t="s">
        <v>619</v>
      </c>
      <c r="M272" t="s">
        <v>619</v>
      </c>
      <c r="N272" t="s">
        <v>619</v>
      </c>
    </row>
    <row r="273" spans="1:14" x14ac:dyDescent="0.25">
      <c r="A273">
        <f t="shared" si="4"/>
        <v>272</v>
      </c>
      <c r="B273" s="8" t="s">
        <v>1569</v>
      </c>
      <c r="C273" s="9">
        <v>45520</v>
      </c>
      <c r="D273" t="s">
        <v>1571</v>
      </c>
      <c r="E273" t="s">
        <v>1572</v>
      </c>
      <c r="F273" t="s">
        <v>1573</v>
      </c>
      <c r="G273" t="s">
        <v>195</v>
      </c>
      <c r="H273" s="59">
        <v>1706.25</v>
      </c>
      <c r="I273" t="s">
        <v>1574</v>
      </c>
      <c r="J273" t="s">
        <v>265</v>
      </c>
      <c r="K273" t="s">
        <v>619</v>
      </c>
      <c r="L273" t="s">
        <v>619</v>
      </c>
      <c r="M273" t="s">
        <v>619</v>
      </c>
      <c r="N273" t="s">
        <v>619</v>
      </c>
    </row>
    <row r="274" spans="1:14" x14ac:dyDescent="0.25">
      <c r="A274" s="82">
        <f t="shared" si="4"/>
        <v>273</v>
      </c>
      <c r="B274" s="8" t="s">
        <v>1570</v>
      </c>
      <c r="C274" s="9">
        <v>45525</v>
      </c>
      <c r="D274" t="s">
        <v>1577</v>
      </c>
      <c r="E274" t="s">
        <v>1578</v>
      </c>
      <c r="F274" t="s">
        <v>1579</v>
      </c>
      <c r="G274" t="s">
        <v>118</v>
      </c>
      <c r="H274" s="59">
        <v>2280.64</v>
      </c>
      <c r="I274" t="s">
        <v>1580</v>
      </c>
      <c r="J274" t="s">
        <v>527</v>
      </c>
      <c r="K274" t="s">
        <v>619</v>
      </c>
      <c r="L274" t="s">
        <v>619</v>
      </c>
      <c r="M274" t="s">
        <v>619</v>
      </c>
      <c r="N274" t="s">
        <v>619</v>
      </c>
    </row>
    <row r="275" spans="1:14" x14ac:dyDescent="0.25">
      <c r="A275" s="82">
        <f t="shared" si="4"/>
        <v>274</v>
      </c>
      <c r="B275" s="8" t="s">
        <v>1581</v>
      </c>
      <c r="C275" s="9">
        <v>45532</v>
      </c>
      <c r="D275" t="s">
        <v>1582</v>
      </c>
      <c r="E275" t="s">
        <v>1583</v>
      </c>
      <c r="F275" t="s">
        <v>1584</v>
      </c>
      <c r="G275" t="s">
        <v>118</v>
      </c>
      <c r="H275" s="59">
        <v>2251</v>
      </c>
      <c r="I275" t="s">
        <v>1585</v>
      </c>
      <c r="J275" t="s">
        <v>296</v>
      </c>
      <c r="K275" t="s">
        <v>619</v>
      </c>
      <c r="L275" t="s">
        <v>619</v>
      </c>
      <c r="M275" t="s">
        <v>619</v>
      </c>
      <c r="N275" t="s">
        <v>619</v>
      </c>
    </row>
    <row r="276" spans="1:14" x14ac:dyDescent="0.25">
      <c r="A276" s="83">
        <f t="shared" si="4"/>
        <v>275</v>
      </c>
      <c r="B276" s="8" t="s">
        <v>1586</v>
      </c>
      <c r="C276" s="9">
        <v>45498</v>
      </c>
      <c r="D276" t="s">
        <v>1589</v>
      </c>
      <c r="E276" t="s">
        <v>1590</v>
      </c>
      <c r="F276" t="s">
        <v>1591</v>
      </c>
      <c r="G276" t="s">
        <v>118</v>
      </c>
      <c r="H276" s="59">
        <v>1309.5</v>
      </c>
      <c r="I276" t="s">
        <v>235</v>
      </c>
      <c r="J276" t="s">
        <v>245</v>
      </c>
      <c r="K276" t="s">
        <v>619</v>
      </c>
      <c r="L276" t="s">
        <v>619</v>
      </c>
      <c r="M276" t="s">
        <v>619</v>
      </c>
      <c r="N276" t="s">
        <v>619</v>
      </c>
    </row>
    <row r="277" spans="1:14" x14ac:dyDescent="0.25">
      <c r="A277" s="82">
        <f t="shared" si="4"/>
        <v>276</v>
      </c>
      <c r="B277" s="8" t="s">
        <v>1587</v>
      </c>
      <c r="C277" s="9">
        <v>45534</v>
      </c>
      <c r="D277" t="s">
        <v>2335</v>
      </c>
      <c r="E277" t="s">
        <v>1593</v>
      </c>
      <c r="F277" t="s">
        <v>1594</v>
      </c>
      <c r="G277" t="s">
        <v>118</v>
      </c>
      <c r="H277" s="59">
        <v>1907</v>
      </c>
      <c r="I277" t="s">
        <v>1595</v>
      </c>
      <c r="J277" t="s">
        <v>216</v>
      </c>
      <c r="K277" t="s">
        <v>619</v>
      </c>
      <c r="L277" t="s">
        <v>619</v>
      </c>
      <c r="M277" t="s">
        <v>619</v>
      </c>
      <c r="N277" t="s">
        <v>619</v>
      </c>
    </row>
    <row r="278" spans="1:14" x14ac:dyDescent="0.25">
      <c r="A278">
        <f t="shared" si="4"/>
        <v>277</v>
      </c>
      <c r="B278" s="8" t="s">
        <v>1588</v>
      </c>
      <c r="C278" s="9">
        <v>45535</v>
      </c>
      <c r="D278" t="s">
        <v>1596</v>
      </c>
      <c r="E278" t="s">
        <v>1597</v>
      </c>
      <c r="F278" t="s">
        <v>1598</v>
      </c>
      <c r="G278" t="s">
        <v>195</v>
      </c>
      <c r="H278" s="59">
        <v>1012</v>
      </c>
      <c r="I278" t="s">
        <v>1599</v>
      </c>
      <c r="J278" t="s">
        <v>1600</v>
      </c>
      <c r="K278" t="s">
        <v>619</v>
      </c>
      <c r="L278" t="s">
        <v>619</v>
      </c>
      <c r="M278" t="s">
        <v>619</v>
      </c>
      <c r="N278" t="s">
        <v>619</v>
      </c>
    </row>
    <row r="279" spans="1:14" x14ac:dyDescent="0.25">
      <c r="A279">
        <f t="shared" si="4"/>
        <v>278</v>
      </c>
      <c r="B279" s="8" t="s">
        <v>1604</v>
      </c>
      <c r="C279" s="9">
        <v>45538</v>
      </c>
      <c r="D279" t="s">
        <v>1605</v>
      </c>
      <c r="E279" t="s">
        <v>1606</v>
      </c>
      <c r="F279" t="s">
        <v>1607</v>
      </c>
      <c r="G279" t="s">
        <v>195</v>
      </c>
      <c r="H279" s="59">
        <v>1137</v>
      </c>
      <c r="I279" t="s">
        <v>1608</v>
      </c>
      <c r="J279" t="s">
        <v>1622</v>
      </c>
      <c r="K279" t="s">
        <v>619</v>
      </c>
      <c r="L279" t="s">
        <v>619</v>
      </c>
      <c r="M279" t="s">
        <v>619</v>
      </c>
      <c r="N279" t="s">
        <v>619</v>
      </c>
    </row>
    <row r="280" spans="1:14" x14ac:dyDescent="0.25">
      <c r="A280" s="82">
        <f t="shared" si="4"/>
        <v>279</v>
      </c>
      <c r="B280" s="8" t="s">
        <v>1609</v>
      </c>
      <c r="C280" s="9">
        <v>45539</v>
      </c>
      <c r="D280" t="s">
        <v>1610</v>
      </c>
      <c r="E280" t="s">
        <v>1611</v>
      </c>
      <c r="F280" t="s">
        <v>1612</v>
      </c>
      <c r="G280" t="s">
        <v>195</v>
      </c>
      <c r="H280" s="59">
        <v>3150</v>
      </c>
      <c r="I280" t="s">
        <v>1613</v>
      </c>
      <c r="J280" t="s">
        <v>1623</v>
      </c>
      <c r="K280" t="s">
        <v>619</v>
      </c>
      <c r="L280" t="s">
        <v>619</v>
      </c>
      <c r="M280" t="s">
        <v>619</v>
      </c>
      <c r="N280" t="s">
        <v>619</v>
      </c>
    </row>
    <row r="281" spans="1:14" x14ac:dyDescent="0.25">
      <c r="A281">
        <f t="shared" si="4"/>
        <v>280</v>
      </c>
      <c r="B281" s="8" t="s">
        <v>1614</v>
      </c>
      <c r="C281" s="9">
        <v>45530</v>
      </c>
      <c r="D281" t="s">
        <v>1618</v>
      </c>
      <c r="E281" t="s">
        <v>1619</v>
      </c>
      <c r="F281" t="s">
        <v>1620</v>
      </c>
      <c r="G281" t="s">
        <v>195</v>
      </c>
      <c r="H281" s="59">
        <v>2571</v>
      </c>
      <c r="I281" t="s">
        <v>1621</v>
      </c>
      <c r="J281" t="s">
        <v>236</v>
      </c>
      <c r="K281" t="s">
        <v>619</v>
      </c>
      <c r="L281" t="s">
        <v>619</v>
      </c>
      <c r="M281" t="s">
        <v>619</v>
      </c>
      <c r="N281" t="s">
        <v>619</v>
      </c>
    </row>
    <row r="282" spans="1:14" x14ac:dyDescent="0.25">
      <c r="A282">
        <f t="shared" si="4"/>
        <v>281</v>
      </c>
      <c r="B282" s="8" t="s">
        <v>1615</v>
      </c>
      <c r="C282" s="9">
        <v>45540</v>
      </c>
      <c r="D282" t="s">
        <v>1624</v>
      </c>
      <c r="E282" t="s">
        <v>1625</v>
      </c>
      <c r="F282" t="s">
        <v>1626</v>
      </c>
      <c r="G282" t="s">
        <v>195</v>
      </c>
      <c r="H282" s="59">
        <v>1438</v>
      </c>
      <c r="I282" t="s">
        <v>1627</v>
      </c>
      <c r="J282" t="s">
        <v>791</v>
      </c>
      <c r="K282" t="s">
        <v>619</v>
      </c>
      <c r="L282" t="s">
        <v>619</v>
      </c>
      <c r="M282" t="s">
        <v>619</v>
      </c>
      <c r="N282" t="s">
        <v>619</v>
      </c>
    </row>
    <row r="283" spans="1:14" x14ac:dyDescent="0.25">
      <c r="A283">
        <f t="shared" si="4"/>
        <v>282</v>
      </c>
      <c r="B283" s="8" t="s">
        <v>1616</v>
      </c>
      <c r="C283" s="9">
        <v>45540</v>
      </c>
      <c r="D283" t="s">
        <v>2337</v>
      </c>
      <c r="E283" t="s">
        <v>1629</v>
      </c>
      <c r="F283" t="s">
        <v>1630</v>
      </c>
      <c r="G283" t="s">
        <v>195</v>
      </c>
      <c r="H283" s="59">
        <v>1418</v>
      </c>
      <c r="I283" t="s">
        <v>1631</v>
      </c>
      <c r="J283" t="s">
        <v>1575</v>
      </c>
      <c r="K283" t="s">
        <v>619</v>
      </c>
      <c r="L283" t="s">
        <v>619</v>
      </c>
      <c r="M283" t="s">
        <v>619</v>
      </c>
      <c r="N283" t="s">
        <v>619</v>
      </c>
    </row>
    <row r="284" spans="1:14" x14ac:dyDescent="0.25">
      <c r="A284">
        <f t="shared" si="4"/>
        <v>283</v>
      </c>
      <c r="B284" s="95" t="s">
        <v>1617</v>
      </c>
      <c r="C284" s="9">
        <v>45540</v>
      </c>
      <c r="D284" t="s">
        <v>1632</v>
      </c>
      <c r="E284" t="s">
        <v>1633</v>
      </c>
      <c r="F284" t="s">
        <v>1634</v>
      </c>
      <c r="G284" t="s">
        <v>195</v>
      </c>
      <c r="H284" s="59">
        <v>1442</v>
      </c>
      <c r="I284" t="s">
        <v>1635</v>
      </c>
      <c r="J284" t="s">
        <v>1641</v>
      </c>
      <c r="K284" t="s">
        <v>619</v>
      </c>
      <c r="L284" t="s">
        <v>619</v>
      </c>
      <c r="M284" t="s">
        <v>619</v>
      </c>
      <c r="N284" t="s">
        <v>619</v>
      </c>
    </row>
    <row r="285" spans="1:14" x14ac:dyDescent="0.25">
      <c r="A285" s="82">
        <f t="shared" si="4"/>
        <v>284</v>
      </c>
      <c r="B285" s="8" t="s">
        <v>1636</v>
      </c>
      <c r="C285" s="9">
        <v>45526</v>
      </c>
      <c r="D285" t="s">
        <v>1464</v>
      </c>
      <c r="E285" t="s">
        <v>1454</v>
      </c>
      <c r="F285" t="s">
        <v>1455</v>
      </c>
      <c r="G285" t="s">
        <v>118</v>
      </c>
      <c r="H285" s="59">
        <v>4574.25</v>
      </c>
      <c r="I285" t="s">
        <v>531</v>
      </c>
      <c r="J285" t="s">
        <v>1640</v>
      </c>
      <c r="K285" t="s">
        <v>619</v>
      </c>
      <c r="L285" t="s">
        <v>619</v>
      </c>
      <c r="M285" t="s">
        <v>619</v>
      </c>
      <c r="N285" t="s">
        <v>619</v>
      </c>
    </row>
    <row r="286" spans="1:14" x14ac:dyDescent="0.25">
      <c r="A286" s="82">
        <f t="shared" si="4"/>
        <v>285</v>
      </c>
      <c r="B286" s="8" t="s">
        <v>1637</v>
      </c>
      <c r="C286" s="9">
        <v>45541</v>
      </c>
      <c r="D286" t="s">
        <v>1642</v>
      </c>
      <c r="E286" t="s">
        <v>1643</v>
      </c>
      <c r="F286" t="s">
        <v>1644</v>
      </c>
      <c r="G286" t="s">
        <v>118</v>
      </c>
      <c r="H286" s="59">
        <v>4319.1000000000004</v>
      </c>
      <c r="I286" t="s">
        <v>1645</v>
      </c>
      <c r="J286" t="s">
        <v>236</v>
      </c>
      <c r="K286" t="s">
        <v>619</v>
      </c>
      <c r="L286" t="s">
        <v>619</v>
      </c>
      <c r="M286" t="s">
        <v>619</v>
      </c>
      <c r="N286" t="s">
        <v>619</v>
      </c>
    </row>
    <row r="287" spans="1:14" x14ac:dyDescent="0.25">
      <c r="A287">
        <f t="shared" si="4"/>
        <v>286</v>
      </c>
      <c r="B287" s="95" t="s">
        <v>1638</v>
      </c>
      <c r="C287" s="9">
        <v>45541</v>
      </c>
      <c r="D287" t="s">
        <v>1646</v>
      </c>
      <c r="E287" t="s">
        <v>1647</v>
      </c>
      <c r="F287" t="s">
        <v>1648</v>
      </c>
      <c r="G287" t="s">
        <v>195</v>
      </c>
      <c r="H287" s="59">
        <v>1718</v>
      </c>
      <c r="I287" t="s">
        <v>1649</v>
      </c>
      <c r="J287" t="s">
        <v>1259</v>
      </c>
      <c r="K287" t="s">
        <v>619</v>
      </c>
      <c r="L287" t="s">
        <v>619</v>
      </c>
      <c r="M287" t="s">
        <v>619</v>
      </c>
      <c r="N287" t="s">
        <v>619</v>
      </c>
    </row>
    <row r="288" spans="1:14" x14ac:dyDescent="0.25">
      <c r="A288" s="83">
        <f t="shared" si="4"/>
        <v>287</v>
      </c>
      <c r="B288" s="8" t="s">
        <v>1639</v>
      </c>
      <c r="C288" s="9">
        <v>45542</v>
      </c>
      <c r="D288" t="s">
        <v>1650</v>
      </c>
      <c r="E288" t="s">
        <v>456</v>
      </c>
      <c r="F288" t="s">
        <v>1555</v>
      </c>
      <c r="G288" t="s">
        <v>118</v>
      </c>
      <c r="H288" s="59">
        <v>1108.96</v>
      </c>
      <c r="I288" t="s">
        <v>1651</v>
      </c>
      <c r="J288" t="s">
        <v>1652</v>
      </c>
      <c r="K288" t="s">
        <v>619</v>
      </c>
      <c r="L288" t="s">
        <v>619</v>
      </c>
      <c r="M288" t="s">
        <v>619</v>
      </c>
      <c r="N288" t="s">
        <v>619</v>
      </c>
    </row>
    <row r="289" spans="1:14" x14ac:dyDescent="0.25">
      <c r="A289" s="82">
        <f t="shared" si="4"/>
        <v>288</v>
      </c>
      <c r="B289" s="8" t="s">
        <v>1653</v>
      </c>
      <c r="C289" s="9">
        <v>45545</v>
      </c>
      <c r="D289" t="s">
        <v>1655</v>
      </c>
      <c r="E289" t="s">
        <v>1656</v>
      </c>
      <c r="F289" t="s">
        <v>1657</v>
      </c>
      <c r="G289" t="s">
        <v>118</v>
      </c>
      <c r="H289" s="59">
        <v>1533</v>
      </c>
      <c r="I289" t="s">
        <v>1230</v>
      </c>
      <c r="J289" t="s">
        <v>678</v>
      </c>
      <c r="K289" t="s">
        <v>619</v>
      </c>
      <c r="L289" t="s">
        <v>619</v>
      </c>
      <c r="M289" t="s">
        <v>619</v>
      </c>
      <c r="N289" t="s">
        <v>619</v>
      </c>
    </row>
    <row r="290" spans="1:14" x14ac:dyDescent="0.25">
      <c r="A290" s="82">
        <f t="shared" si="4"/>
        <v>289</v>
      </c>
      <c r="B290" s="8" t="s">
        <v>1654</v>
      </c>
      <c r="C290" s="9">
        <v>45545</v>
      </c>
      <c r="D290" t="s">
        <v>1658</v>
      </c>
      <c r="E290" t="s">
        <v>1659</v>
      </c>
      <c r="F290" t="s">
        <v>1660</v>
      </c>
      <c r="G290" t="s">
        <v>118</v>
      </c>
      <c r="H290" s="59">
        <v>3597.5</v>
      </c>
      <c r="I290" t="s">
        <v>1661</v>
      </c>
      <c r="J290" t="s">
        <v>1668</v>
      </c>
      <c r="K290" t="s">
        <v>619</v>
      </c>
      <c r="L290" t="s">
        <v>619</v>
      </c>
      <c r="M290" t="s">
        <v>619</v>
      </c>
      <c r="N290" t="s">
        <v>619</v>
      </c>
    </row>
    <row r="291" spans="1:14" x14ac:dyDescent="0.25">
      <c r="A291">
        <f t="shared" si="4"/>
        <v>290</v>
      </c>
      <c r="B291" s="8" t="s">
        <v>1662</v>
      </c>
      <c r="C291" s="9">
        <v>45546</v>
      </c>
      <c r="D291" t="s">
        <v>1664</v>
      </c>
      <c r="E291" t="s">
        <v>1665</v>
      </c>
      <c r="F291" t="s">
        <v>1666</v>
      </c>
      <c r="G291" t="s">
        <v>195</v>
      </c>
      <c r="H291" s="59">
        <v>1925</v>
      </c>
      <c r="I291" t="s">
        <v>1667</v>
      </c>
      <c r="J291" t="s">
        <v>1684</v>
      </c>
      <c r="K291" t="s">
        <v>619</v>
      </c>
      <c r="L291" t="s">
        <v>619</v>
      </c>
      <c r="M291" t="s">
        <v>619</v>
      </c>
      <c r="N291" t="s">
        <v>619</v>
      </c>
    </row>
    <row r="292" spans="1:14" x14ac:dyDescent="0.25">
      <c r="A292" s="82">
        <f t="shared" si="4"/>
        <v>291</v>
      </c>
      <c r="B292" s="8" t="s">
        <v>1663</v>
      </c>
      <c r="C292" s="9">
        <v>45546</v>
      </c>
      <c r="D292" t="s">
        <v>1669</v>
      </c>
      <c r="E292" t="s">
        <v>1670</v>
      </c>
      <c r="F292" t="s">
        <v>1671</v>
      </c>
      <c r="G292" t="s">
        <v>118</v>
      </c>
      <c r="H292" s="59">
        <v>1754</v>
      </c>
      <c r="I292" t="s">
        <v>1672</v>
      </c>
      <c r="J292" t="s">
        <v>1685</v>
      </c>
      <c r="K292" t="s">
        <v>619</v>
      </c>
      <c r="L292" t="s">
        <v>619</v>
      </c>
      <c r="M292" t="s">
        <v>619</v>
      </c>
      <c r="N292" t="s">
        <v>619</v>
      </c>
    </row>
    <row r="293" spans="1:14" x14ac:dyDescent="0.25">
      <c r="A293">
        <f t="shared" si="4"/>
        <v>292</v>
      </c>
      <c r="B293" s="8" t="s">
        <v>1673</v>
      </c>
      <c r="C293" s="9">
        <v>45538</v>
      </c>
      <c r="D293" t="s">
        <v>1679</v>
      </c>
      <c r="E293" t="s">
        <v>1680</v>
      </c>
      <c r="F293" t="s">
        <v>1681</v>
      </c>
      <c r="G293" t="s">
        <v>768</v>
      </c>
      <c r="H293" s="59">
        <v>1244</v>
      </c>
      <c r="I293" t="s">
        <v>1682</v>
      </c>
      <c r="J293" t="s">
        <v>1683</v>
      </c>
      <c r="K293" t="s">
        <v>619</v>
      </c>
      <c r="L293" t="s">
        <v>619</v>
      </c>
      <c r="M293" t="s">
        <v>619</v>
      </c>
      <c r="N293" t="s">
        <v>619</v>
      </c>
    </row>
    <row r="294" spans="1:14" x14ac:dyDescent="0.25">
      <c r="A294" s="82">
        <f t="shared" si="4"/>
        <v>293</v>
      </c>
      <c r="B294" s="8" t="s">
        <v>1674</v>
      </c>
      <c r="C294" s="9">
        <v>45544</v>
      </c>
      <c r="D294" t="s">
        <v>1686</v>
      </c>
      <c r="E294" t="s">
        <v>1687</v>
      </c>
      <c r="F294" t="s">
        <v>1688</v>
      </c>
      <c r="G294" t="s">
        <v>118</v>
      </c>
      <c r="H294" s="59">
        <v>3298.4</v>
      </c>
      <c r="I294" t="s">
        <v>1706</v>
      </c>
      <c r="J294" t="s">
        <v>1689</v>
      </c>
      <c r="K294" t="s">
        <v>619</v>
      </c>
      <c r="L294" t="s">
        <v>619</v>
      </c>
      <c r="M294" t="s">
        <v>619</v>
      </c>
      <c r="N294" t="s">
        <v>619</v>
      </c>
    </row>
    <row r="295" spans="1:14" x14ac:dyDescent="0.25">
      <c r="A295">
        <f t="shared" si="4"/>
        <v>294</v>
      </c>
      <c r="B295" s="8" t="s">
        <v>1675</v>
      </c>
      <c r="C295" s="9">
        <v>45547</v>
      </c>
      <c r="D295" t="s">
        <v>1691</v>
      </c>
      <c r="E295" t="s">
        <v>1690</v>
      </c>
      <c r="F295" t="s">
        <v>1692</v>
      </c>
      <c r="G295" t="s">
        <v>119</v>
      </c>
      <c r="H295" s="59">
        <v>986.1</v>
      </c>
      <c r="I295" t="s">
        <v>585</v>
      </c>
      <c r="J295" t="s">
        <v>1693</v>
      </c>
      <c r="K295" t="s">
        <v>619</v>
      </c>
      <c r="L295" t="s">
        <v>619</v>
      </c>
      <c r="M295" t="s">
        <v>619</v>
      </c>
      <c r="N295" t="s">
        <v>619</v>
      </c>
    </row>
    <row r="296" spans="1:14" x14ac:dyDescent="0.25">
      <c r="A296" s="96">
        <f t="shared" si="4"/>
        <v>295</v>
      </c>
      <c r="B296" s="8" t="s">
        <v>1676</v>
      </c>
      <c r="C296" s="9">
        <v>45547</v>
      </c>
      <c r="D296" t="s">
        <v>1694</v>
      </c>
      <c r="E296" t="s">
        <v>1695</v>
      </c>
      <c r="F296" t="s">
        <v>1696</v>
      </c>
      <c r="G296" t="s">
        <v>928</v>
      </c>
      <c r="H296" s="59">
        <v>2757.8</v>
      </c>
      <c r="I296" t="s">
        <v>1697</v>
      </c>
      <c r="J296" t="s">
        <v>1708</v>
      </c>
      <c r="K296" t="s">
        <v>619</v>
      </c>
      <c r="L296" t="s">
        <v>619</v>
      </c>
      <c r="M296" t="s">
        <v>619</v>
      </c>
      <c r="N296" t="s">
        <v>619</v>
      </c>
    </row>
    <row r="297" spans="1:14" x14ac:dyDescent="0.25">
      <c r="A297" s="82">
        <f t="shared" si="4"/>
        <v>296</v>
      </c>
      <c r="B297" s="8" t="s">
        <v>1677</v>
      </c>
      <c r="C297" s="9">
        <v>45548</v>
      </c>
      <c r="D297" t="s">
        <v>1698</v>
      </c>
      <c r="E297" t="s">
        <v>1699</v>
      </c>
      <c r="F297" t="s">
        <v>1700</v>
      </c>
      <c r="G297" t="s">
        <v>118</v>
      </c>
      <c r="H297" s="59">
        <v>2650</v>
      </c>
      <c r="I297" t="s">
        <v>1701</v>
      </c>
      <c r="J297" t="s">
        <v>1702</v>
      </c>
      <c r="K297" t="s">
        <v>619</v>
      </c>
      <c r="L297" t="s">
        <v>619</v>
      </c>
      <c r="M297" t="s">
        <v>619</v>
      </c>
      <c r="N297" t="s">
        <v>619</v>
      </c>
    </row>
    <row r="298" spans="1:14" x14ac:dyDescent="0.25">
      <c r="A298">
        <f t="shared" si="4"/>
        <v>297</v>
      </c>
      <c r="B298" s="8" t="s">
        <v>1678</v>
      </c>
      <c r="C298" s="9">
        <v>45549</v>
      </c>
      <c r="D298" t="s">
        <v>1703</v>
      </c>
      <c r="E298" t="s">
        <v>1704</v>
      </c>
      <c r="F298" t="s">
        <v>1705</v>
      </c>
      <c r="G298" t="s">
        <v>195</v>
      </c>
      <c r="H298" s="59">
        <v>1240</v>
      </c>
      <c r="I298" t="s">
        <v>880</v>
      </c>
      <c r="J298" t="s">
        <v>1709</v>
      </c>
      <c r="K298" t="s">
        <v>619</v>
      </c>
      <c r="L298" t="s">
        <v>619</v>
      </c>
      <c r="M298" t="s">
        <v>619</v>
      </c>
      <c r="N298" t="s">
        <v>619</v>
      </c>
    </row>
    <row r="299" spans="1:14" x14ac:dyDescent="0.25">
      <c r="A299" s="82">
        <f t="shared" si="4"/>
        <v>298</v>
      </c>
      <c r="B299" s="8" t="s">
        <v>1707</v>
      </c>
      <c r="C299" s="9">
        <v>45553</v>
      </c>
      <c r="D299" t="s">
        <v>1293</v>
      </c>
      <c r="E299" t="s">
        <v>1294</v>
      </c>
      <c r="F299" t="s">
        <v>1295</v>
      </c>
      <c r="G299" t="s">
        <v>118</v>
      </c>
      <c r="H299" s="59">
        <v>1558</v>
      </c>
      <c r="I299" t="s">
        <v>492</v>
      </c>
      <c r="J299" t="s">
        <v>502</v>
      </c>
      <c r="K299" t="s">
        <v>619</v>
      </c>
      <c r="L299" t="s">
        <v>619</v>
      </c>
      <c r="M299" t="s">
        <v>619</v>
      </c>
      <c r="N299" t="s">
        <v>619</v>
      </c>
    </row>
    <row r="300" spans="1:14" x14ac:dyDescent="0.25">
      <c r="A300" s="85">
        <f t="shared" si="4"/>
        <v>299</v>
      </c>
      <c r="B300" s="8" t="s">
        <v>1710</v>
      </c>
      <c r="C300" s="9">
        <v>45553</v>
      </c>
      <c r="D300" t="s">
        <v>1711</v>
      </c>
      <c r="E300" t="s">
        <v>1712</v>
      </c>
      <c r="F300" t="s">
        <v>1713</v>
      </c>
      <c r="G300" t="s">
        <v>195</v>
      </c>
      <c r="H300" s="59">
        <v>14725</v>
      </c>
      <c r="I300" t="s">
        <v>1714</v>
      </c>
      <c r="J300" t="s">
        <v>1731</v>
      </c>
      <c r="K300" t="s">
        <v>619</v>
      </c>
      <c r="L300" t="s">
        <v>619</v>
      </c>
      <c r="M300" t="s">
        <v>619</v>
      </c>
      <c r="N300" t="s">
        <v>619</v>
      </c>
    </row>
    <row r="301" spans="1:14" x14ac:dyDescent="0.25">
      <c r="A301" s="82">
        <f t="shared" si="4"/>
        <v>300</v>
      </c>
      <c r="B301" s="8" t="s">
        <v>1715</v>
      </c>
      <c r="C301" s="9">
        <v>45554</v>
      </c>
      <c r="D301" t="s">
        <v>1717</v>
      </c>
      <c r="E301" t="s">
        <v>1718</v>
      </c>
      <c r="F301" t="s">
        <v>1719</v>
      </c>
      <c r="G301" t="s">
        <v>118</v>
      </c>
      <c r="H301" s="59">
        <v>1354</v>
      </c>
      <c r="I301" t="s">
        <v>1720</v>
      </c>
      <c r="J301" t="s">
        <v>236</v>
      </c>
      <c r="K301" t="s">
        <v>619</v>
      </c>
      <c r="L301" t="s">
        <v>619</v>
      </c>
      <c r="M301" t="s">
        <v>619</v>
      </c>
      <c r="N301" t="s">
        <v>619</v>
      </c>
    </row>
    <row r="302" spans="1:14" x14ac:dyDescent="0.25">
      <c r="A302" s="83">
        <f t="shared" si="4"/>
        <v>301</v>
      </c>
      <c r="B302" s="8" t="s">
        <v>1716</v>
      </c>
      <c r="C302" s="9">
        <v>45554</v>
      </c>
      <c r="D302" t="s">
        <v>1721</v>
      </c>
      <c r="E302" t="s">
        <v>1722</v>
      </c>
      <c r="F302" t="s">
        <v>1723</v>
      </c>
      <c r="G302" t="s">
        <v>118</v>
      </c>
      <c r="H302" s="59">
        <v>6124.8</v>
      </c>
      <c r="I302" t="s">
        <v>1724</v>
      </c>
      <c r="J302" t="s">
        <v>1259</v>
      </c>
      <c r="K302" t="s">
        <v>619</v>
      </c>
      <c r="L302" t="s">
        <v>619</v>
      </c>
      <c r="M302" t="s">
        <v>619</v>
      </c>
      <c r="N302" t="s">
        <v>619</v>
      </c>
    </row>
    <row r="303" spans="1:14" x14ac:dyDescent="0.25">
      <c r="A303">
        <f t="shared" si="4"/>
        <v>302</v>
      </c>
      <c r="B303" s="8" t="s">
        <v>1725</v>
      </c>
      <c r="C303" s="9">
        <v>45555</v>
      </c>
      <c r="D303" t="s">
        <v>1728</v>
      </c>
      <c r="E303" t="s">
        <v>1729</v>
      </c>
      <c r="F303" t="s">
        <v>1730</v>
      </c>
      <c r="G303" t="s">
        <v>195</v>
      </c>
      <c r="H303" s="59">
        <v>1266</v>
      </c>
      <c r="I303" t="s">
        <v>1057</v>
      </c>
      <c r="J303" t="s">
        <v>1708</v>
      </c>
      <c r="K303" t="s">
        <v>619</v>
      </c>
      <c r="L303" t="s">
        <v>619</v>
      </c>
      <c r="M303" t="s">
        <v>619</v>
      </c>
      <c r="N303" t="s">
        <v>619</v>
      </c>
    </row>
    <row r="304" spans="1:14" x14ac:dyDescent="0.25">
      <c r="A304" s="85">
        <f t="shared" si="4"/>
        <v>303</v>
      </c>
      <c r="B304" s="8" t="s">
        <v>1726</v>
      </c>
      <c r="C304" s="9">
        <v>45555</v>
      </c>
      <c r="D304" t="s">
        <v>1732</v>
      </c>
      <c r="E304" t="s">
        <v>1733</v>
      </c>
      <c r="F304" t="s">
        <v>1734</v>
      </c>
      <c r="G304" t="s">
        <v>195</v>
      </c>
      <c r="H304" s="59">
        <v>24856.48</v>
      </c>
      <c r="I304" t="s">
        <v>323</v>
      </c>
      <c r="J304" t="s">
        <v>1739</v>
      </c>
      <c r="K304" t="s">
        <v>619</v>
      </c>
      <c r="L304" t="s">
        <v>619</v>
      </c>
      <c r="M304" t="s">
        <v>619</v>
      </c>
      <c r="N304" t="s">
        <v>619</v>
      </c>
    </row>
    <row r="305" spans="1:14" x14ac:dyDescent="0.25">
      <c r="A305">
        <f t="shared" si="4"/>
        <v>304</v>
      </c>
      <c r="B305" s="8" t="s">
        <v>1727</v>
      </c>
      <c r="C305" s="9">
        <v>45545</v>
      </c>
      <c r="D305" t="s">
        <v>1735</v>
      </c>
      <c r="E305" t="s">
        <v>1736</v>
      </c>
      <c r="F305" t="s">
        <v>1737</v>
      </c>
      <c r="G305" t="s">
        <v>195</v>
      </c>
      <c r="H305" s="59">
        <v>1915.92</v>
      </c>
      <c r="I305" t="s">
        <v>1738</v>
      </c>
      <c r="J305" t="s">
        <v>236</v>
      </c>
      <c r="K305" t="s">
        <v>619</v>
      </c>
      <c r="L305" t="s">
        <v>619</v>
      </c>
      <c r="M305" t="s">
        <v>619</v>
      </c>
      <c r="N305" t="s">
        <v>619</v>
      </c>
    </row>
    <row r="306" spans="1:14" x14ac:dyDescent="0.25">
      <c r="A306">
        <f t="shared" si="4"/>
        <v>305</v>
      </c>
      <c r="B306" s="8" t="s">
        <v>1740</v>
      </c>
      <c r="C306" s="9">
        <v>45559</v>
      </c>
      <c r="D306" t="s">
        <v>1741</v>
      </c>
      <c r="E306" t="s">
        <v>1742</v>
      </c>
      <c r="F306" t="s">
        <v>1743</v>
      </c>
      <c r="G306" t="s">
        <v>195</v>
      </c>
      <c r="H306" s="59">
        <v>2484</v>
      </c>
      <c r="I306" t="s">
        <v>1744</v>
      </c>
      <c r="J306" t="s">
        <v>236</v>
      </c>
      <c r="K306" t="s">
        <v>619</v>
      </c>
      <c r="L306" t="s">
        <v>619</v>
      </c>
      <c r="M306" t="s">
        <v>619</v>
      </c>
      <c r="N306" t="s">
        <v>619</v>
      </c>
    </row>
    <row r="307" spans="1:14" x14ac:dyDescent="0.25">
      <c r="A307" s="82">
        <f t="shared" si="4"/>
        <v>306</v>
      </c>
      <c r="B307" s="8" t="s">
        <v>1745</v>
      </c>
      <c r="C307" s="9">
        <v>45560</v>
      </c>
      <c r="D307" t="s">
        <v>1746</v>
      </c>
      <c r="E307" t="s">
        <v>1747</v>
      </c>
      <c r="F307" t="s">
        <v>1748</v>
      </c>
      <c r="G307" t="s">
        <v>118</v>
      </c>
      <c r="H307" s="59">
        <v>1984</v>
      </c>
      <c r="I307" t="s">
        <v>1749</v>
      </c>
      <c r="J307" t="s">
        <v>1757</v>
      </c>
      <c r="K307" t="s">
        <v>619</v>
      </c>
      <c r="L307" t="s">
        <v>619</v>
      </c>
      <c r="M307" t="s">
        <v>619</v>
      </c>
      <c r="N307" t="s">
        <v>619</v>
      </c>
    </row>
    <row r="308" spans="1:14" x14ac:dyDescent="0.25">
      <c r="A308" s="82">
        <f t="shared" si="4"/>
        <v>307</v>
      </c>
      <c r="B308" s="8" t="s">
        <v>1750</v>
      </c>
      <c r="C308" s="9">
        <v>45558</v>
      </c>
      <c r="D308" t="s">
        <v>1753</v>
      </c>
      <c r="E308" t="s">
        <v>1754</v>
      </c>
      <c r="F308" t="s">
        <v>1755</v>
      </c>
      <c r="G308" t="s">
        <v>118</v>
      </c>
      <c r="H308" s="59">
        <v>1540.16</v>
      </c>
      <c r="I308" t="s">
        <v>1756</v>
      </c>
      <c r="J308" t="s">
        <v>1772</v>
      </c>
      <c r="K308" t="s">
        <v>619</v>
      </c>
      <c r="L308" t="s">
        <v>619</v>
      </c>
      <c r="M308" t="s">
        <v>619</v>
      </c>
      <c r="N308" t="s">
        <v>619</v>
      </c>
    </row>
    <row r="309" spans="1:14" x14ac:dyDescent="0.25">
      <c r="A309">
        <f t="shared" si="4"/>
        <v>308</v>
      </c>
      <c r="B309" s="8" t="s">
        <v>1751</v>
      </c>
      <c r="C309" s="9">
        <v>45561</v>
      </c>
      <c r="D309" t="s">
        <v>1758</v>
      </c>
      <c r="E309" t="s">
        <v>1759</v>
      </c>
      <c r="F309" t="s">
        <v>1760</v>
      </c>
      <c r="G309" t="s">
        <v>195</v>
      </c>
      <c r="H309" s="59">
        <v>2617.25</v>
      </c>
      <c r="I309" t="s">
        <v>1761</v>
      </c>
      <c r="J309" t="s">
        <v>1762</v>
      </c>
      <c r="K309" t="s">
        <v>619</v>
      </c>
      <c r="L309" t="s">
        <v>619</v>
      </c>
      <c r="M309" t="s">
        <v>619</v>
      </c>
      <c r="N309" t="s">
        <v>619</v>
      </c>
    </row>
    <row r="310" spans="1:14" x14ac:dyDescent="0.25">
      <c r="A310" s="82">
        <f t="shared" si="4"/>
        <v>309</v>
      </c>
      <c r="B310" s="8" t="s">
        <v>1752</v>
      </c>
      <c r="C310" s="9">
        <v>45561</v>
      </c>
      <c r="D310" t="s">
        <v>1077</v>
      </c>
      <c r="E310" t="s">
        <v>776</v>
      </c>
      <c r="F310" t="s">
        <v>644</v>
      </c>
      <c r="G310" t="s">
        <v>118</v>
      </c>
      <c r="H310" s="59">
        <v>2027</v>
      </c>
      <c r="I310" t="s">
        <v>1763</v>
      </c>
      <c r="J310" t="s">
        <v>1259</v>
      </c>
      <c r="K310" t="s">
        <v>619</v>
      </c>
      <c r="L310" t="s">
        <v>619</v>
      </c>
      <c r="M310" t="s">
        <v>619</v>
      </c>
      <c r="N310" t="s">
        <v>619</v>
      </c>
    </row>
    <row r="311" spans="1:14" x14ac:dyDescent="0.25">
      <c r="A311" s="82">
        <f t="shared" si="4"/>
        <v>310</v>
      </c>
      <c r="B311" s="8" t="s">
        <v>1764</v>
      </c>
      <c r="C311" s="9">
        <v>45562</v>
      </c>
      <c r="D311" t="s">
        <v>1768</v>
      </c>
      <c r="E311" t="s">
        <v>1769</v>
      </c>
      <c r="F311" t="s">
        <v>1770</v>
      </c>
      <c r="G311" t="s">
        <v>118</v>
      </c>
      <c r="H311" s="59">
        <v>2191</v>
      </c>
      <c r="I311" t="s">
        <v>1771</v>
      </c>
      <c r="J311" t="s">
        <v>791</v>
      </c>
      <c r="K311" t="s">
        <v>619</v>
      </c>
      <c r="L311" t="s">
        <v>619</v>
      </c>
      <c r="M311" t="s">
        <v>619</v>
      </c>
      <c r="N311" t="s">
        <v>619</v>
      </c>
    </row>
    <row r="312" spans="1:14" x14ac:dyDescent="0.25">
      <c r="A312" s="82">
        <f t="shared" si="4"/>
        <v>311</v>
      </c>
      <c r="B312" s="8" t="s">
        <v>1765</v>
      </c>
      <c r="C312" s="9">
        <v>45562</v>
      </c>
      <c r="D312" t="s">
        <v>1773</v>
      </c>
      <c r="E312" t="s">
        <v>1774</v>
      </c>
      <c r="F312" t="s">
        <v>1775</v>
      </c>
      <c r="G312" t="s">
        <v>119</v>
      </c>
      <c r="H312" s="59">
        <v>1244</v>
      </c>
      <c r="I312" t="s">
        <v>1776</v>
      </c>
      <c r="J312" t="s">
        <v>236</v>
      </c>
      <c r="K312" t="s">
        <v>619</v>
      </c>
      <c r="L312" t="s">
        <v>619</v>
      </c>
      <c r="M312" t="s">
        <v>619</v>
      </c>
      <c r="N312" t="s">
        <v>619</v>
      </c>
    </row>
    <row r="313" spans="1:14" x14ac:dyDescent="0.25">
      <c r="A313" s="85">
        <f t="shared" si="4"/>
        <v>312</v>
      </c>
      <c r="B313" s="8" t="s">
        <v>1766</v>
      </c>
      <c r="C313" s="9">
        <v>45562</v>
      </c>
      <c r="D313" t="s">
        <v>1777</v>
      </c>
      <c r="E313" t="s">
        <v>1778</v>
      </c>
      <c r="F313" t="s">
        <v>1779</v>
      </c>
      <c r="G313" t="s">
        <v>195</v>
      </c>
      <c r="H313" s="59">
        <v>4463.68</v>
      </c>
      <c r="I313" t="s">
        <v>1780</v>
      </c>
      <c r="J313" t="s">
        <v>236</v>
      </c>
      <c r="K313" t="s">
        <v>619</v>
      </c>
      <c r="L313" t="s">
        <v>619</v>
      </c>
      <c r="M313" t="s">
        <v>619</v>
      </c>
      <c r="N313" t="s">
        <v>619</v>
      </c>
    </row>
    <row r="314" spans="1:14" x14ac:dyDescent="0.25">
      <c r="A314" s="85">
        <f t="shared" si="4"/>
        <v>313</v>
      </c>
      <c r="B314" s="8" t="s">
        <v>1767</v>
      </c>
      <c r="C314" s="9">
        <v>45563</v>
      </c>
      <c r="D314" t="s">
        <v>1781</v>
      </c>
      <c r="E314" t="s">
        <v>1782</v>
      </c>
      <c r="F314" t="s">
        <v>1783</v>
      </c>
      <c r="G314" t="s">
        <v>195</v>
      </c>
      <c r="H314" s="59">
        <v>4366.9799999999996</v>
      </c>
      <c r="I314" t="s">
        <v>1784</v>
      </c>
      <c r="J314" t="s">
        <v>1785</v>
      </c>
      <c r="K314" t="s">
        <v>619</v>
      </c>
      <c r="L314" t="s">
        <v>619</v>
      </c>
      <c r="M314" t="s">
        <v>619</v>
      </c>
      <c r="N314" t="s">
        <v>619</v>
      </c>
    </row>
    <row r="315" spans="1:14" x14ac:dyDescent="0.25">
      <c r="A315" s="82">
        <f t="shared" si="4"/>
        <v>314</v>
      </c>
      <c r="B315" s="8" t="s">
        <v>1786</v>
      </c>
      <c r="C315" s="9">
        <v>45559</v>
      </c>
      <c r="D315" t="s">
        <v>1099</v>
      </c>
      <c r="E315" t="s">
        <v>1100</v>
      </c>
      <c r="F315" t="s">
        <v>1101</v>
      </c>
      <c r="G315" t="s">
        <v>118</v>
      </c>
      <c r="H315" s="59">
        <v>1848</v>
      </c>
      <c r="I315" t="s">
        <v>1789</v>
      </c>
      <c r="J315" t="s">
        <v>1790</v>
      </c>
      <c r="K315" t="s">
        <v>619</v>
      </c>
      <c r="L315" t="s">
        <v>619</v>
      </c>
      <c r="M315" t="s">
        <v>619</v>
      </c>
      <c r="N315" t="s">
        <v>619</v>
      </c>
    </row>
    <row r="316" spans="1:14" x14ac:dyDescent="0.25">
      <c r="A316" s="83">
        <f t="shared" si="4"/>
        <v>315</v>
      </c>
      <c r="B316" s="8" t="s">
        <v>1787</v>
      </c>
      <c r="C316" s="9">
        <v>45563</v>
      </c>
      <c r="D316" t="s">
        <v>1781</v>
      </c>
      <c r="E316" t="s">
        <v>1782</v>
      </c>
      <c r="F316" t="s">
        <v>1783</v>
      </c>
      <c r="G316" t="s">
        <v>118</v>
      </c>
      <c r="H316" s="59">
        <v>298.75</v>
      </c>
      <c r="I316" t="s">
        <v>1791</v>
      </c>
      <c r="J316" t="s">
        <v>1091</v>
      </c>
      <c r="K316" t="s">
        <v>619</v>
      </c>
      <c r="L316" t="s">
        <v>619</v>
      </c>
      <c r="M316" t="s">
        <v>619</v>
      </c>
      <c r="N316" t="s">
        <v>619</v>
      </c>
    </row>
    <row r="317" spans="1:14" x14ac:dyDescent="0.25">
      <c r="A317">
        <f t="shared" si="4"/>
        <v>316</v>
      </c>
      <c r="B317" s="8" t="s">
        <v>1788</v>
      </c>
      <c r="C317" s="9">
        <v>45565</v>
      </c>
      <c r="D317" t="s">
        <v>1792</v>
      </c>
      <c r="E317" t="s">
        <v>1793</v>
      </c>
      <c r="F317" t="s">
        <v>1794</v>
      </c>
      <c r="G317" t="s">
        <v>928</v>
      </c>
      <c r="H317" s="59">
        <v>3397.2</v>
      </c>
      <c r="I317" t="s">
        <v>1801</v>
      </c>
      <c r="J317" t="s">
        <v>1800</v>
      </c>
      <c r="K317" t="s">
        <v>619</v>
      </c>
      <c r="L317" t="s">
        <v>619</v>
      </c>
      <c r="M317" t="s">
        <v>619</v>
      </c>
      <c r="N317" t="s">
        <v>619</v>
      </c>
    </row>
    <row r="318" spans="1:14" x14ac:dyDescent="0.25">
      <c r="A318" s="82">
        <f t="shared" si="4"/>
        <v>317</v>
      </c>
      <c r="B318" s="8" t="s">
        <v>1795</v>
      </c>
      <c r="C318" s="9">
        <v>45553</v>
      </c>
      <c r="D318" t="s">
        <v>1796</v>
      </c>
      <c r="E318" t="s">
        <v>1797</v>
      </c>
      <c r="F318" t="s">
        <v>1798</v>
      </c>
      <c r="G318" t="s">
        <v>118</v>
      </c>
      <c r="H318" s="59">
        <v>949.3</v>
      </c>
      <c r="I318" t="s">
        <v>1799</v>
      </c>
      <c r="J318" t="s">
        <v>265</v>
      </c>
      <c r="K318" t="s">
        <v>619</v>
      </c>
      <c r="L318" t="s">
        <v>619</v>
      </c>
      <c r="M318" t="s">
        <v>619</v>
      </c>
      <c r="N318" t="s">
        <v>619</v>
      </c>
    </row>
    <row r="319" spans="1:14" x14ac:dyDescent="0.25">
      <c r="A319" s="82">
        <f t="shared" si="4"/>
        <v>318</v>
      </c>
      <c r="B319" s="8" t="s">
        <v>1802</v>
      </c>
      <c r="C319" s="9">
        <v>45568</v>
      </c>
      <c r="D319" t="s">
        <v>1803</v>
      </c>
      <c r="E319" t="s">
        <v>1804</v>
      </c>
      <c r="F319" t="s">
        <v>1805</v>
      </c>
      <c r="G319" t="s">
        <v>118</v>
      </c>
      <c r="H319" s="59">
        <v>1307</v>
      </c>
      <c r="I319" t="s">
        <v>1806</v>
      </c>
      <c r="J319" t="s">
        <v>1563</v>
      </c>
      <c r="K319" t="s">
        <v>619</v>
      </c>
      <c r="L319" t="s">
        <v>619</v>
      </c>
      <c r="M319" t="s">
        <v>619</v>
      </c>
      <c r="N319" t="s">
        <v>619</v>
      </c>
    </row>
    <row r="320" spans="1:14" x14ac:dyDescent="0.25">
      <c r="A320" s="82">
        <f t="shared" si="4"/>
        <v>319</v>
      </c>
      <c r="B320" s="8" t="s">
        <v>1807</v>
      </c>
      <c r="C320" s="9">
        <v>45554</v>
      </c>
      <c r="D320" t="s">
        <v>1811</v>
      </c>
      <c r="E320" t="s">
        <v>1812</v>
      </c>
      <c r="F320" t="s">
        <v>1813</v>
      </c>
      <c r="G320" t="s">
        <v>118</v>
      </c>
      <c r="H320" s="59">
        <v>5504</v>
      </c>
      <c r="I320" t="s">
        <v>1814</v>
      </c>
      <c r="J320" t="s">
        <v>236</v>
      </c>
      <c r="K320" t="s">
        <v>619</v>
      </c>
      <c r="L320" t="s">
        <v>619</v>
      </c>
      <c r="M320" t="s">
        <v>619</v>
      </c>
      <c r="N320" t="s">
        <v>619</v>
      </c>
    </row>
    <row r="321" spans="1:14" x14ac:dyDescent="0.25">
      <c r="A321" s="82">
        <f t="shared" si="4"/>
        <v>320</v>
      </c>
      <c r="B321" s="8" t="s">
        <v>1808</v>
      </c>
      <c r="C321" s="9">
        <v>45562</v>
      </c>
      <c r="D321" t="s">
        <v>481</v>
      </c>
      <c r="E321" t="s">
        <v>482</v>
      </c>
      <c r="F321" t="s">
        <v>1815</v>
      </c>
      <c r="G321" t="s">
        <v>118</v>
      </c>
      <c r="H321" s="59">
        <v>2999.5</v>
      </c>
      <c r="I321" t="s">
        <v>531</v>
      </c>
      <c r="J321" t="s">
        <v>1831</v>
      </c>
      <c r="K321" t="s">
        <v>619</v>
      </c>
      <c r="L321" t="s">
        <v>619</v>
      </c>
      <c r="M321" t="s">
        <v>619</v>
      </c>
      <c r="N321" t="s">
        <v>619</v>
      </c>
    </row>
    <row r="322" spans="1:14" x14ac:dyDescent="0.25">
      <c r="A322" s="82">
        <f t="shared" si="4"/>
        <v>321</v>
      </c>
      <c r="B322" s="8" t="s">
        <v>1809</v>
      </c>
      <c r="C322" s="9">
        <v>45567</v>
      </c>
      <c r="D322" t="s">
        <v>1816</v>
      </c>
      <c r="E322" t="s">
        <v>1817</v>
      </c>
      <c r="F322" t="s">
        <v>1818</v>
      </c>
      <c r="G322" t="s">
        <v>118</v>
      </c>
      <c r="H322" s="59">
        <v>4467</v>
      </c>
      <c r="I322" t="s">
        <v>1819</v>
      </c>
      <c r="J322" t="s">
        <v>502</v>
      </c>
      <c r="K322" t="s">
        <v>619</v>
      </c>
      <c r="L322" t="s">
        <v>619</v>
      </c>
      <c r="M322" t="s">
        <v>619</v>
      </c>
    </row>
    <row r="323" spans="1:14" x14ac:dyDescent="0.25">
      <c r="A323">
        <f t="shared" si="4"/>
        <v>322</v>
      </c>
      <c r="B323" s="8" t="s">
        <v>1810</v>
      </c>
      <c r="C323" s="9">
        <v>45570</v>
      </c>
      <c r="D323" t="s">
        <v>1820</v>
      </c>
      <c r="E323" t="s">
        <v>1821</v>
      </c>
      <c r="F323" t="s">
        <v>1822</v>
      </c>
      <c r="G323" t="s">
        <v>195</v>
      </c>
      <c r="H323" s="59">
        <v>1202</v>
      </c>
      <c r="I323" t="s">
        <v>1823</v>
      </c>
      <c r="J323" t="s">
        <v>1832</v>
      </c>
      <c r="K323" t="s">
        <v>619</v>
      </c>
      <c r="L323" t="s">
        <v>619</v>
      </c>
      <c r="M323" t="s">
        <v>619</v>
      </c>
    </row>
    <row r="324" spans="1:14" x14ac:dyDescent="0.25">
      <c r="A324" s="96">
        <f t="shared" ref="A324:A387" si="5">A323+1</f>
        <v>323</v>
      </c>
      <c r="B324" s="8" t="s">
        <v>1824</v>
      </c>
      <c r="C324" s="9">
        <v>45572</v>
      </c>
      <c r="D324" t="s">
        <v>1827</v>
      </c>
      <c r="E324" t="s">
        <v>1828</v>
      </c>
      <c r="F324" t="s">
        <v>1829</v>
      </c>
      <c r="G324" t="s">
        <v>195</v>
      </c>
      <c r="H324" s="59">
        <v>1668</v>
      </c>
      <c r="I324" t="s">
        <v>1830</v>
      </c>
      <c r="J324" t="s">
        <v>1842</v>
      </c>
      <c r="K324" t="s">
        <v>619</v>
      </c>
      <c r="L324" t="s">
        <v>619</v>
      </c>
      <c r="M324" t="s">
        <v>619</v>
      </c>
    </row>
    <row r="325" spans="1:14" x14ac:dyDescent="0.25">
      <c r="A325" s="82">
        <f t="shared" si="5"/>
        <v>324</v>
      </c>
      <c r="B325" s="8" t="s">
        <v>1825</v>
      </c>
      <c r="C325" s="9">
        <v>45573</v>
      </c>
      <c r="D325" t="s">
        <v>1833</v>
      </c>
      <c r="E325" t="s">
        <v>1443</v>
      </c>
      <c r="F325" t="s">
        <v>1834</v>
      </c>
      <c r="G325" t="s">
        <v>118</v>
      </c>
      <c r="H325" s="59">
        <v>2793</v>
      </c>
      <c r="I325" t="s">
        <v>1835</v>
      </c>
      <c r="J325" t="s">
        <v>617</v>
      </c>
      <c r="K325" t="s">
        <v>619</v>
      </c>
      <c r="L325" t="s">
        <v>619</v>
      </c>
      <c r="M325" t="s">
        <v>619</v>
      </c>
    </row>
    <row r="326" spans="1:14" x14ac:dyDescent="0.25">
      <c r="A326" s="82">
        <f t="shared" si="5"/>
        <v>325</v>
      </c>
      <c r="B326" s="8" t="s">
        <v>1826</v>
      </c>
      <c r="C326" s="9">
        <v>45573</v>
      </c>
      <c r="D326" t="s">
        <v>882</v>
      </c>
      <c r="E326" t="s">
        <v>883</v>
      </c>
      <c r="F326" t="s">
        <v>1836</v>
      </c>
      <c r="G326" t="s">
        <v>118</v>
      </c>
      <c r="H326" s="59">
        <v>2344</v>
      </c>
      <c r="I326" t="s">
        <v>1837</v>
      </c>
      <c r="J326" t="s">
        <v>236</v>
      </c>
      <c r="K326" t="s">
        <v>619</v>
      </c>
      <c r="L326" t="s">
        <v>619</v>
      </c>
      <c r="M326" t="s">
        <v>619</v>
      </c>
    </row>
    <row r="327" spans="1:14" x14ac:dyDescent="0.25">
      <c r="A327">
        <f t="shared" si="5"/>
        <v>326</v>
      </c>
      <c r="B327" s="8" t="s">
        <v>1838</v>
      </c>
      <c r="C327" s="9">
        <v>45574</v>
      </c>
      <c r="D327" t="s">
        <v>1839</v>
      </c>
      <c r="E327" t="s">
        <v>1840</v>
      </c>
      <c r="F327" t="s">
        <v>1841</v>
      </c>
      <c r="G327" t="s">
        <v>195</v>
      </c>
      <c r="H327" s="59">
        <v>1038</v>
      </c>
      <c r="I327" t="s">
        <v>585</v>
      </c>
      <c r="J327" t="s">
        <v>216</v>
      </c>
      <c r="K327" t="s">
        <v>619</v>
      </c>
      <c r="L327" t="s">
        <v>619</v>
      </c>
      <c r="M327" t="s">
        <v>619</v>
      </c>
    </row>
    <row r="328" spans="1:14" x14ac:dyDescent="0.25">
      <c r="A328">
        <f t="shared" si="5"/>
        <v>327</v>
      </c>
      <c r="B328" s="8" t="s">
        <v>1843</v>
      </c>
      <c r="C328" s="9">
        <v>45569</v>
      </c>
      <c r="D328" t="s">
        <v>1846</v>
      </c>
      <c r="E328" t="s">
        <v>1847</v>
      </c>
      <c r="F328" t="s">
        <v>1848</v>
      </c>
      <c r="G328" t="s">
        <v>119</v>
      </c>
      <c r="H328" s="59">
        <v>1462.5</v>
      </c>
      <c r="I328" t="s">
        <v>1849</v>
      </c>
      <c r="J328" t="s">
        <v>245</v>
      </c>
      <c r="K328" t="s">
        <v>619</v>
      </c>
      <c r="L328" t="s">
        <v>619</v>
      </c>
      <c r="M328" t="s">
        <v>619</v>
      </c>
    </row>
    <row r="329" spans="1:14" x14ac:dyDescent="0.25">
      <c r="A329" s="82">
        <f t="shared" si="5"/>
        <v>328</v>
      </c>
      <c r="B329" s="8" t="s">
        <v>1844</v>
      </c>
      <c r="C329" s="9">
        <v>45575</v>
      </c>
      <c r="D329" t="s">
        <v>1850</v>
      </c>
      <c r="E329" t="s">
        <v>1851</v>
      </c>
      <c r="F329" t="s">
        <v>1852</v>
      </c>
      <c r="G329" t="s">
        <v>118</v>
      </c>
      <c r="H329" s="59">
        <v>1733</v>
      </c>
      <c r="I329" t="s">
        <v>1853</v>
      </c>
      <c r="J329" t="s">
        <v>574</v>
      </c>
      <c r="K329" t="s">
        <v>619</v>
      </c>
      <c r="L329" t="s">
        <v>619</v>
      </c>
      <c r="M329" t="s">
        <v>619</v>
      </c>
    </row>
    <row r="330" spans="1:14" x14ac:dyDescent="0.25">
      <c r="A330" s="83">
        <f t="shared" si="5"/>
        <v>329</v>
      </c>
      <c r="B330" s="8" t="s">
        <v>1845</v>
      </c>
      <c r="C330" s="9">
        <v>45575</v>
      </c>
      <c r="D330" t="s">
        <v>485</v>
      </c>
      <c r="E330" t="s">
        <v>486</v>
      </c>
      <c r="F330" t="s">
        <v>487</v>
      </c>
      <c r="G330" t="s">
        <v>118</v>
      </c>
      <c r="H330" s="59">
        <v>2318.14</v>
      </c>
      <c r="I330" t="s">
        <v>1854</v>
      </c>
      <c r="J330" t="s">
        <v>245</v>
      </c>
      <c r="K330" t="s">
        <v>619</v>
      </c>
      <c r="L330" t="s">
        <v>619</v>
      </c>
      <c r="M330" t="s">
        <v>619</v>
      </c>
    </row>
    <row r="331" spans="1:14" x14ac:dyDescent="0.25">
      <c r="A331" s="84">
        <f t="shared" si="5"/>
        <v>330</v>
      </c>
      <c r="B331" s="8" t="s">
        <v>1855</v>
      </c>
      <c r="C331" s="9">
        <v>45558</v>
      </c>
      <c r="D331" t="s">
        <v>1859</v>
      </c>
      <c r="E331" t="s">
        <v>1860</v>
      </c>
      <c r="F331" t="s">
        <v>1861</v>
      </c>
      <c r="G331" t="s">
        <v>118</v>
      </c>
      <c r="H331" s="59">
        <v>1229</v>
      </c>
      <c r="I331" t="s">
        <v>1823</v>
      </c>
      <c r="J331" t="s">
        <v>1862</v>
      </c>
      <c r="K331" t="s">
        <v>619</v>
      </c>
      <c r="L331" t="s">
        <v>619</v>
      </c>
      <c r="M331" t="s">
        <v>619</v>
      </c>
    </row>
    <row r="332" spans="1:14" x14ac:dyDescent="0.25">
      <c r="A332" s="82">
        <f t="shared" si="5"/>
        <v>331</v>
      </c>
      <c r="B332" s="8" t="s">
        <v>1856</v>
      </c>
      <c r="C332" s="9">
        <v>45576</v>
      </c>
      <c r="D332" t="s">
        <v>1863</v>
      </c>
      <c r="E332" t="s">
        <v>1864</v>
      </c>
      <c r="F332" t="s">
        <v>1865</v>
      </c>
      <c r="G332" t="s">
        <v>118</v>
      </c>
      <c r="H332" s="59">
        <v>1735</v>
      </c>
      <c r="I332" t="s">
        <v>1866</v>
      </c>
      <c r="J332" t="s">
        <v>1871</v>
      </c>
      <c r="K332" t="s">
        <v>619</v>
      </c>
      <c r="L332" t="s">
        <v>619</v>
      </c>
      <c r="M332" t="s">
        <v>619</v>
      </c>
    </row>
    <row r="333" spans="1:14" x14ac:dyDescent="0.25">
      <c r="A333" s="82">
        <f t="shared" si="5"/>
        <v>332</v>
      </c>
      <c r="B333" s="8" t="s">
        <v>1857</v>
      </c>
      <c r="C333" s="9">
        <v>45576</v>
      </c>
      <c r="D333" t="s">
        <v>978</v>
      </c>
      <c r="E333" t="s">
        <v>979</v>
      </c>
      <c r="F333" t="s">
        <v>980</v>
      </c>
      <c r="G333" t="s">
        <v>118</v>
      </c>
      <c r="H333" s="59">
        <v>2641</v>
      </c>
      <c r="I333" t="s">
        <v>1410</v>
      </c>
      <c r="J333" t="s">
        <v>1876</v>
      </c>
      <c r="K333" t="s">
        <v>619</v>
      </c>
      <c r="L333" t="s">
        <v>619</v>
      </c>
      <c r="M333" t="s">
        <v>619</v>
      </c>
    </row>
    <row r="334" spans="1:14" x14ac:dyDescent="0.25">
      <c r="A334">
        <f t="shared" si="5"/>
        <v>333</v>
      </c>
      <c r="B334" s="8" t="s">
        <v>1858</v>
      </c>
      <c r="C334" s="9">
        <v>45577</v>
      </c>
      <c r="D334" t="s">
        <v>1867</v>
      </c>
      <c r="E334" t="s">
        <v>1868</v>
      </c>
      <c r="F334" t="s">
        <v>1869</v>
      </c>
      <c r="G334" t="s">
        <v>195</v>
      </c>
      <c r="H334" s="59">
        <v>1414</v>
      </c>
      <c r="I334" t="s">
        <v>1870</v>
      </c>
      <c r="J334" t="s">
        <v>791</v>
      </c>
      <c r="K334" t="s">
        <v>619</v>
      </c>
      <c r="L334" t="s">
        <v>619</v>
      </c>
      <c r="M334" t="s">
        <v>619</v>
      </c>
    </row>
    <row r="335" spans="1:14" x14ac:dyDescent="0.25">
      <c r="A335">
        <f t="shared" si="5"/>
        <v>334</v>
      </c>
      <c r="B335" s="8" t="s">
        <v>1872</v>
      </c>
      <c r="C335" s="9">
        <v>45565</v>
      </c>
      <c r="D335" t="s">
        <v>1873</v>
      </c>
      <c r="E335" t="s">
        <v>1874</v>
      </c>
      <c r="F335" t="s">
        <v>1875</v>
      </c>
      <c r="G335" t="s">
        <v>928</v>
      </c>
      <c r="H335" s="59">
        <v>3564.13</v>
      </c>
      <c r="I335" t="s">
        <v>1601</v>
      </c>
      <c r="J335" t="s">
        <v>1877</v>
      </c>
      <c r="K335" t="s">
        <v>619</v>
      </c>
      <c r="L335" t="s">
        <v>619</v>
      </c>
      <c r="M335" t="s">
        <v>619</v>
      </c>
    </row>
    <row r="336" spans="1:14" x14ac:dyDescent="0.25">
      <c r="A336" s="82">
        <f t="shared" si="5"/>
        <v>335</v>
      </c>
      <c r="B336" s="8" t="s">
        <v>1878</v>
      </c>
      <c r="C336" s="9">
        <v>45566</v>
      </c>
      <c r="D336" t="s">
        <v>1879</v>
      </c>
      <c r="E336" t="s">
        <v>1880</v>
      </c>
      <c r="F336" t="s">
        <v>1881</v>
      </c>
      <c r="G336" t="s">
        <v>118</v>
      </c>
      <c r="H336" s="59">
        <v>4000</v>
      </c>
      <c r="I336" t="s">
        <v>1882</v>
      </c>
      <c r="J336" t="s">
        <v>236</v>
      </c>
      <c r="K336" t="s">
        <v>619</v>
      </c>
      <c r="L336" t="s">
        <v>619</v>
      </c>
      <c r="M336" t="s">
        <v>619</v>
      </c>
    </row>
    <row r="337" spans="1:13" x14ac:dyDescent="0.25">
      <c r="A337">
        <f t="shared" si="5"/>
        <v>336</v>
      </c>
      <c r="B337" s="8" t="s">
        <v>1883</v>
      </c>
      <c r="C337" s="9">
        <v>45579</v>
      </c>
      <c r="D337" t="s">
        <v>1884</v>
      </c>
      <c r="E337" t="s">
        <v>1885</v>
      </c>
      <c r="F337" t="s">
        <v>1886</v>
      </c>
      <c r="G337" t="s">
        <v>195</v>
      </c>
      <c r="H337" s="59">
        <v>1012</v>
      </c>
      <c r="I337" t="s">
        <v>1887</v>
      </c>
      <c r="J337" t="s">
        <v>1910</v>
      </c>
      <c r="K337" t="s">
        <v>619</v>
      </c>
      <c r="L337" t="s">
        <v>619</v>
      </c>
      <c r="M337" t="s">
        <v>619</v>
      </c>
    </row>
    <row r="338" spans="1:13" x14ac:dyDescent="0.25">
      <c r="A338" s="82">
        <f t="shared" si="5"/>
        <v>337</v>
      </c>
      <c r="B338" s="8" t="s">
        <v>1888</v>
      </c>
      <c r="C338" s="9">
        <v>45580</v>
      </c>
      <c r="D338" t="s">
        <v>1889</v>
      </c>
      <c r="E338" t="s">
        <v>1619</v>
      </c>
      <c r="F338" s="11" t="s">
        <v>1890</v>
      </c>
      <c r="G338" s="11" t="s">
        <v>118</v>
      </c>
      <c r="H338" s="59">
        <v>1055</v>
      </c>
      <c r="I338" s="11" t="s">
        <v>818</v>
      </c>
      <c r="J338" s="11" t="s">
        <v>236</v>
      </c>
      <c r="K338" t="s">
        <v>619</v>
      </c>
      <c r="L338" t="s">
        <v>619</v>
      </c>
      <c r="M338" t="s">
        <v>619</v>
      </c>
    </row>
    <row r="339" spans="1:13" x14ac:dyDescent="0.25">
      <c r="A339">
        <f t="shared" si="5"/>
        <v>338</v>
      </c>
      <c r="B339" s="95" t="s">
        <v>1891</v>
      </c>
      <c r="C339" s="9">
        <v>45581</v>
      </c>
      <c r="D339" t="s">
        <v>1892</v>
      </c>
      <c r="E339" t="s">
        <v>1893</v>
      </c>
      <c r="F339" s="11" t="s">
        <v>1894</v>
      </c>
      <c r="G339" s="11" t="s">
        <v>195</v>
      </c>
      <c r="H339" s="59">
        <v>1744</v>
      </c>
      <c r="I339" s="11" t="s">
        <v>1895</v>
      </c>
      <c r="J339" s="11" t="s">
        <v>1896</v>
      </c>
      <c r="K339" t="s">
        <v>619</v>
      </c>
      <c r="L339" t="s">
        <v>619</v>
      </c>
      <c r="M339" t="s">
        <v>619</v>
      </c>
    </row>
    <row r="340" spans="1:13" x14ac:dyDescent="0.25">
      <c r="A340" s="82">
        <f t="shared" si="5"/>
        <v>339</v>
      </c>
      <c r="B340" s="8" t="s">
        <v>1897</v>
      </c>
      <c r="C340" s="9">
        <v>45582</v>
      </c>
      <c r="D340" t="s">
        <v>1898</v>
      </c>
      <c r="E340" t="s">
        <v>1035</v>
      </c>
      <c r="F340" s="11" t="s">
        <v>1899</v>
      </c>
      <c r="G340" s="11" t="s">
        <v>118</v>
      </c>
      <c r="H340" s="59">
        <v>2709.4</v>
      </c>
      <c r="I340" s="11" t="s">
        <v>1900</v>
      </c>
      <c r="J340" s="11" t="s">
        <v>236</v>
      </c>
      <c r="K340" t="s">
        <v>619</v>
      </c>
      <c r="L340" t="s">
        <v>619</v>
      </c>
      <c r="M340" t="s">
        <v>619</v>
      </c>
    </row>
    <row r="341" spans="1:13" x14ac:dyDescent="0.25">
      <c r="A341">
        <f t="shared" si="5"/>
        <v>340</v>
      </c>
      <c r="B341" s="8" t="s">
        <v>1901</v>
      </c>
      <c r="C341" s="9">
        <v>45582</v>
      </c>
      <c r="D341" t="s">
        <v>1902</v>
      </c>
      <c r="E341" t="s">
        <v>1903</v>
      </c>
      <c r="F341" s="11" t="s">
        <v>1904</v>
      </c>
      <c r="G341" s="11" t="s">
        <v>119</v>
      </c>
      <c r="H341" s="59">
        <v>978</v>
      </c>
      <c r="I341" s="11" t="s">
        <v>352</v>
      </c>
      <c r="J341" s="11" t="s">
        <v>344</v>
      </c>
      <c r="K341" t="s">
        <v>619</v>
      </c>
      <c r="L341" t="s">
        <v>619</v>
      </c>
      <c r="M341" t="s">
        <v>619</v>
      </c>
    </row>
    <row r="342" spans="1:13" x14ac:dyDescent="0.25">
      <c r="A342" s="82">
        <f t="shared" si="5"/>
        <v>341</v>
      </c>
      <c r="B342" s="8" t="s">
        <v>1905</v>
      </c>
      <c r="C342" s="9">
        <v>45584</v>
      </c>
      <c r="D342" t="s">
        <v>1906</v>
      </c>
      <c r="E342" t="s">
        <v>1907</v>
      </c>
      <c r="F342" s="11" t="s">
        <v>1908</v>
      </c>
      <c r="G342" s="11" t="s">
        <v>119</v>
      </c>
      <c r="H342" s="59">
        <v>1547.52</v>
      </c>
      <c r="I342" s="11" t="s">
        <v>1909</v>
      </c>
      <c r="J342" s="11" t="s">
        <v>265</v>
      </c>
      <c r="K342" t="s">
        <v>619</v>
      </c>
      <c r="L342" t="s">
        <v>619</v>
      </c>
      <c r="M342" t="s">
        <v>619</v>
      </c>
    </row>
    <row r="343" spans="1:13" x14ac:dyDescent="0.25">
      <c r="A343" s="82">
        <f t="shared" si="5"/>
        <v>342</v>
      </c>
      <c r="B343" s="8" t="s">
        <v>1911</v>
      </c>
      <c r="C343" s="9">
        <v>45584</v>
      </c>
      <c r="D343" t="s">
        <v>515</v>
      </c>
      <c r="E343" t="s">
        <v>324</v>
      </c>
      <c r="F343" s="11" t="s">
        <v>325</v>
      </c>
      <c r="G343" s="11" t="s">
        <v>118</v>
      </c>
      <c r="H343" s="59">
        <v>2782.56</v>
      </c>
      <c r="I343" s="11" t="s">
        <v>1912</v>
      </c>
      <c r="J343" s="11" t="s">
        <v>1917</v>
      </c>
      <c r="K343" t="s">
        <v>619</v>
      </c>
      <c r="L343" t="s">
        <v>619</v>
      </c>
      <c r="M343" t="s">
        <v>619</v>
      </c>
    </row>
    <row r="344" spans="1:13" x14ac:dyDescent="0.25">
      <c r="A344">
        <f t="shared" si="5"/>
        <v>343</v>
      </c>
      <c r="B344" s="8" t="s">
        <v>1918</v>
      </c>
      <c r="C344" s="9">
        <v>45586</v>
      </c>
      <c r="D344" t="s">
        <v>1919</v>
      </c>
      <c r="E344" t="s">
        <v>1920</v>
      </c>
      <c r="F344" s="11" t="s">
        <v>1921</v>
      </c>
      <c r="G344" s="11" t="s">
        <v>195</v>
      </c>
      <c r="H344" s="59">
        <v>1577</v>
      </c>
      <c r="I344" s="11" t="s">
        <v>1922</v>
      </c>
      <c r="J344" s="11" t="s">
        <v>502</v>
      </c>
      <c r="K344" t="s">
        <v>619</v>
      </c>
      <c r="L344" t="s">
        <v>619</v>
      </c>
      <c r="M344" t="s">
        <v>619</v>
      </c>
    </row>
    <row r="345" spans="1:13" x14ac:dyDescent="0.25">
      <c r="A345" s="84">
        <f t="shared" si="5"/>
        <v>344</v>
      </c>
      <c r="B345" s="8" t="s">
        <v>1923</v>
      </c>
      <c r="C345" s="9">
        <v>45586</v>
      </c>
      <c r="D345" t="s">
        <v>1924</v>
      </c>
      <c r="E345" t="s">
        <v>1925</v>
      </c>
      <c r="F345" s="11" t="s">
        <v>1926</v>
      </c>
      <c r="G345" s="11" t="s">
        <v>195</v>
      </c>
      <c r="H345" s="59">
        <v>1266</v>
      </c>
      <c r="I345" s="11" t="s">
        <v>1519</v>
      </c>
      <c r="J345" s="11" t="s">
        <v>1927</v>
      </c>
      <c r="K345" t="s">
        <v>619</v>
      </c>
      <c r="L345" t="s">
        <v>619</v>
      </c>
      <c r="M345" t="s">
        <v>619</v>
      </c>
    </row>
    <row r="346" spans="1:13" x14ac:dyDescent="0.25">
      <c r="A346" s="82">
        <f t="shared" si="5"/>
        <v>345</v>
      </c>
      <c r="B346" s="8" t="s">
        <v>1928</v>
      </c>
      <c r="C346" s="9">
        <v>45581</v>
      </c>
      <c r="D346" t="s">
        <v>1929</v>
      </c>
      <c r="E346" t="s">
        <v>1930</v>
      </c>
      <c r="F346" s="11" t="s">
        <v>1931</v>
      </c>
      <c r="G346" s="11" t="s">
        <v>118</v>
      </c>
      <c r="H346" s="59">
        <v>7272.28</v>
      </c>
      <c r="I346" s="11" t="s">
        <v>1932</v>
      </c>
      <c r="J346" s="11" t="s">
        <v>1940</v>
      </c>
      <c r="K346" t="s">
        <v>619</v>
      </c>
      <c r="L346" t="s">
        <v>619</v>
      </c>
      <c r="M346" t="s">
        <v>619</v>
      </c>
    </row>
    <row r="347" spans="1:13" x14ac:dyDescent="0.25">
      <c r="A347" s="82">
        <f t="shared" si="5"/>
        <v>346</v>
      </c>
      <c r="B347" s="8" t="s">
        <v>1933</v>
      </c>
      <c r="C347" s="9">
        <v>45587</v>
      </c>
      <c r="D347" t="s">
        <v>1934</v>
      </c>
      <c r="E347" t="s">
        <v>1935</v>
      </c>
      <c r="F347" s="11" t="s">
        <v>1936</v>
      </c>
      <c r="G347" s="11" t="s">
        <v>118</v>
      </c>
      <c r="H347" s="59">
        <v>2090</v>
      </c>
      <c r="I347" s="11" t="s">
        <v>1937</v>
      </c>
      <c r="J347" s="11" t="s">
        <v>1941</v>
      </c>
      <c r="K347" t="s">
        <v>619</v>
      </c>
      <c r="L347" t="s">
        <v>619</v>
      </c>
      <c r="M347" t="s">
        <v>619</v>
      </c>
    </row>
    <row r="348" spans="1:13" x14ac:dyDescent="0.25">
      <c r="A348" s="82">
        <f t="shared" si="5"/>
        <v>347</v>
      </c>
      <c r="B348" s="8" t="s">
        <v>1938</v>
      </c>
      <c r="C348" s="9">
        <v>45588</v>
      </c>
      <c r="D348" t="s">
        <v>882</v>
      </c>
      <c r="E348" t="s">
        <v>883</v>
      </c>
      <c r="F348" s="11" t="s">
        <v>884</v>
      </c>
      <c r="G348" s="11" t="s">
        <v>118</v>
      </c>
      <c r="H348" s="59">
        <v>3697.4</v>
      </c>
      <c r="I348" s="11" t="s">
        <v>1939</v>
      </c>
      <c r="J348" s="11" t="s">
        <v>1950</v>
      </c>
      <c r="K348" t="s">
        <v>619</v>
      </c>
      <c r="L348" t="s">
        <v>619</v>
      </c>
      <c r="M348" t="s">
        <v>619</v>
      </c>
    </row>
    <row r="349" spans="1:13" x14ac:dyDescent="0.25">
      <c r="A349" s="82">
        <f t="shared" si="5"/>
        <v>348</v>
      </c>
      <c r="B349" s="8" t="s">
        <v>1942</v>
      </c>
      <c r="C349" s="9">
        <v>45588</v>
      </c>
      <c r="D349" t="s">
        <v>1420</v>
      </c>
      <c r="E349" t="s">
        <v>1421</v>
      </c>
      <c r="F349" s="11" t="s">
        <v>1422</v>
      </c>
      <c r="G349" s="11" t="s">
        <v>118</v>
      </c>
      <c r="H349" s="59">
        <v>1674</v>
      </c>
      <c r="I349" s="11" t="s">
        <v>1943</v>
      </c>
      <c r="J349" s="11" t="s">
        <v>502</v>
      </c>
      <c r="K349" t="s">
        <v>619</v>
      </c>
      <c r="L349" t="s">
        <v>619</v>
      </c>
      <c r="M349" t="s">
        <v>619</v>
      </c>
    </row>
    <row r="350" spans="1:13" x14ac:dyDescent="0.25">
      <c r="A350">
        <f t="shared" si="5"/>
        <v>349</v>
      </c>
      <c r="B350" s="8" t="s">
        <v>1944</v>
      </c>
      <c r="C350" s="9">
        <v>45576</v>
      </c>
      <c r="D350" t="s">
        <v>1945</v>
      </c>
      <c r="E350" t="s">
        <v>1946</v>
      </c>
      <c r="F350" s="11" t="s">
        <v>1947</v>
      </c>
      <c r="G350" s="11" t="s">
        <v>195</v>
      </c>
      <c r="H350" s="59">
        <v>1088</v>
      </c>
      <c r="I350" s="11" t="s">
        <v>1948</v>
      </c>
      <c r="J350" s="11" t="s">
        <v>1949</v>
      </c>
      <c r="K350" t="s">
        <v>619</v>
      </c>
      <c r="L350" t="s">
        <v>619</v>
      </c>
      <c r="M350" t="s">
        <v>619</v>
      </c>
    </row>
    <row r="351" spans="1:13" x14ac:dyDescent="0.25">
      <c r="A351">
        <f t="shared" si="5"/>
        <v>350</v>
      </c>
      <c r="B351" s="8" t="s">
        <v>1951</v>
      </c>
      <c r="C351" s="9">
        <v>45589</v>
      </c>
      <c r="D351" t="s">
        <v>1952</v>
      </c>
      <c r="E351" t="s">
        <v>1953</v>
      </c>
      <c r="F351" s="11" t="s">
        <v>1954</v>
      </c>
      <c r="G351" s="11" t="s">
        <v>195</v>
      </c>
      <c r="H351" s="59">
        <v>966</v>
      </c>
      <c r="I351" s="11" t="s">
        <v>1955</v>
      </c>
      <c r="J351" s="11" t="s">
        <v>1963</v>
      </c>
      <c r="K351" t="s">
        <v>619</v>
      </c>
      <c r="L351" t="s">
        <v>619</v>
      </c>
      <c r="M351" t="s">
        <v>619</v>
      </c>
    </row>
    <row r="352" spans="1:13" x14ac:dyDescent="0.25">
      <c r="A352" s="82">
        <f t="shared" si="5"/>
        <v>351</v>
      </c>
      <c r="B352" s="8" t="s">
        <v>1956</v>
      </c>
      <c r="C352" s="9">
        <v>45589</v>
      </c>
      <c r="D352" t="s">
        <v>1945</v>
      </c>
      <c r="E352" t="s">
        <v>1946</v>
      </c>
      <c r="F352" s="11" t="s">
        <v>1947</v>
      </c>
      <c r="G352" s="11" t="s">
        <v>118</v>
      </c>
      <c r="H352" s="59">
        <v>5718.18</v>
      </c>
      <c r="I352" s="11" t="s">
        <v>1957</v>
      </c>
      <c r="J352" s="11" t="s">
        <v>1949</v>
      </c>
      <c r="K352" t="s">
        <v>619</v>
      </c>
      <c r="L352" t="s">
        <v>619</v>
      </c>
      <c r="M352" t="s">
        <v>619</v>
      </c>
    </row>
    <row r="353" spans="1:13" x14ac:dyDescent="0.25">
      <c r="A353" s="82">
        <f t="shared" si="5"/>
        <v>352</v>
      </c>
      <c r="B353" s="8" t="s">
        <v>1958</v>
      </c>
      <c r="C353" s="9">
        <v>45593</v>
      </c>
      <c r="D353" t="s">
        <v>1959</v>
      </c>
      <c r="E353" t="s">
        <v>1960</v>
      </c>
      <c r="F353" s="11" t="s">
        <v>1961</v>
      </c>
      <c r="G353" s="11" t="s">
        <v>118</v>
      </c>
      <c r="H353" s="59">
        <v>1565</v>
      </c>
      <c r="I353" s="11" t="s">
        <v>1962</v>
      </c>
      <c r="J353" s="11" t="s">
        <v>236</v>
      </c>
      <c r="K353" t="s">
        <v>619</v>
      </c>
      <c r="L353" t="s">
        <v>619</v>
      </c>
      <c r="M353" t="s">
        <v>619</v>
      </c>
    </row>
    <row r="354" spans="1:13" x14ac:dyDescent="0.25">
      <c r="A354">
        <f t="shared" si="5"/>
        <v>353</v>
      </c>
      <c r="B354" s="95" t="s">
        <v>1964</v>
      </c>
      <c r="C354" s="9">
        <v>45593</v>
      </c>
      <c r="D354" t="s">
        <v>1965</v>
      </c>
      <c r="E354" t="s">
        <v>1966</v>
      </c>
      <c r="F354" s="11" t="s">
        <v>1967</v>
      </c>
      <c r="G354" s="11" t="s">
        <v>1968</v>
      </c>
      <c r="H354" s="59">
        <v>2650.5</v>
      </c>
      <c r="I354" s="11" t="s">
        <v>1969</v>
      </c>
      <c r="J354" s="11" t="s">
        <v>1970</v>
      </c>
      <c r="K354" t="s">
        <v>619</v>
      </c>
      <c r="L354" t="s">
        <v>619</v>
      </c>
      <c r="M354" t="s">
        <v>619</v>
      </c>
    </row>
    <row r="355" spans="1:13" x14ac:dyDescent="0.25">
      <c r="A355">
        <f t="shared" si="5"/>
        <v>354</v>
      </c>
      <c r="B355" s="95" t="s">
        <v>1971</v>
      </c>
      <c r="C355" s="9">
        <v>45596</v>
      </c>
      <c r="D355" t="s">
        <v>1972</v>
      </c>
      <c r="E355" t="s">
        <v>1973</v>
      </c>
      <c r="F355" s="11" t="s">
        <v>1974</v>
      </c>
      <c r="G355" s="11" t="s">
        <v>195</v>
      </c>
      <c r="H355" s="59">
        <v>1545</v>
      </c>
      <c r="I355" s="11" t="s">
        <v>1975</v>
      </c>
      <c r="J355" s="11" t="s">
        <v>1039</v>
      </c>
      <c r="K355" t="s">
        <v>619</v>
      </c>
      <c r="L355" t="s">
        <v>619</v>
      </c>
      <c r="M355" t="s">
        <v>619</v>
      </c>
    </row>
    <row r="356" spans="1:13" x14ac:dyDescent="0.25">
      <c r="A356">
        <f t="shared" si="5"/>
        <v>355</v>
      </c>
      <c r="B356" s="8" t="s">
        <v>1976</v>
      </c>
      <c r="C356" s="9">
        <v>45596</v>
      </c>
      <c r="D356" t="s">
        <v>1977</v>
      </c>
      <c r="E356" t="s">
        <v>1978</v>
      </c>
      <c r="F356" s="11" t="s">
        <v>1979</v>
      </c>
      <c r="G356" s="11" t="s">
        <v>195</v>
      </c>
      <c r="H356" s="59">
        <v>986.1</v>
      </c>
      <c r="I356" s="11" t="s">
        <v>585</v>
      </c>
      <c r="J356" s="11" t="s">
        <v>1950</v>
      </c>
      <c r="K356" t="s">
        <v>619</v>
      </c>
      <c r="L356" t="s">
        <v>619</v>
      </c>
      <c r="M356" t="s">
        <v>619</v>
      </c>
    </row>
    <row r="357" spans="1:13" x14ac:dyDescent="0.25">
      <c r="A357" s="82">
        <f t="shared" si="5"/>
        <v>356</v>
      </c>
      <c r="B357" s="8" t="s">
        <v>1980</v>
      </c>
      <c r="C357" s="9">
        <v>45586</v>
      </c>
      <c r="D357" t="s">
        <v>1981</v>
      </c>
      <c r="E357" t="s">
        <v>1982</v>
      </c>
      <c r="F357" s="11" t="s">
        <v>1983</v>
      </c>
      <c r="G357" s="11" t="s">
        <v>118</v>
      </c>
      <c r="H357" s="59">
        <v>3611.48</v>
      </c>
      <c r="I357" s="11" t="s">
        <v>1984</v>
      </c>
      <c r="J357" s="11" t="s">
        <v>392</v>
      </c>
      <c r="K357" t="s">
        <v>619</v>
      </c>
      <c r="L357" t="s">
        <v>619</v>
      </c>
      <c r="M357" t="s">
        <v>619</v>
      </c>
    </row>
    <row r="358" spans="1:13" x14ac:dyDescent="0.25">
      <c r="A358">
        <f t="shared" si="5"/>
        <v>357</v>
      </c>
      <c r="B358" s="8" t="s">
        <v>1985</v>
      </c>
      <c r="C358" s="9">
        <v>45581</v>
      </c>
      <c r="D358" t="s">
        <v>1986</v>
      </c>
      <c r="E358" t="s">
        <v>1987</v>
      </c>
      <c r="F358" s="11" t="s">
        <v>1988</v>
      </c>
      <c r="G358" s="11" t="s">
        <v>195</v>
      </c>
      <c r="H358" s="59">
        <v>2365</v>
      </c>
      <c r="I358" s="11" t="s">
        <v>1989</v>
      </c>
      <c r="J358" s="11" t="s">
        <v>1990</v>
      </c>
      <c r="K358" t="s">
        <v>619</v>
      </c>
      <c r="L358" t="s">
        <v>619</v>
      </c>
      <c r="M358" t="s">
        <v>619</v>
      </c>
    </row>
    <row r="359" spans="1:13" x14ac:dyDescent="0.25">
      <c r="A359">
        <f t="shared" si="5"/>
        <v>358</v>
      </c>
      <c r="B359" s="8" t="s">
        <v>1991</v>
      </c>
      <c r="C359" s="9">
        <v>45597</v>
      </c>
      <c r="D359" t="s">
        <v>1992</v>
      </c>
      <c r="E359" t="s">
        <v>1993</v>
      </c>
      <c r="F359" s="11" t="s">
        <v>1994</v>
      </c>
      <c r="G359" s="11" t="s">
        <v>195</v>
      </c>
      <c r="H359" s="59">
        <v>1738</v>
      </c>
      <c r="I359" s="11" t="s">
        <v>1995</v>
      </c>
      <c r="J359" s="11" t="s">
        <v>502</v>
      </c>
      <c r="K359" t="s">
        <v>619</v>
      </c>
      <c r="L359" t="s">
        <v>619</v>
      </c>
      <c r="M359" t="s">
        <v>619</v>
      </c>
    </row>
    <row r="360" spans="1:13" x14ac:dyDescent="0.25">
      <c r="A360" s="82">
        <f t="shared" si="5"/>
        <v>359</v>
      </c>
      <c r="B360" s="8" t="s">
        <v>1996</v>
      </c>
      <c r="C360" s="9">
        <v>45597</v>
      </c>
      <c r="D360" t="s">
        <v>1981</v>
      </c>
      <c r="E360" t="s">
        <v>1982</v>
      </c>
      <c r="F360" s="11" t="s">
        <v>1983</v>
      </c>
      <c r="G360" s="11" t="s">
        <v>118</v>
      </c>
      <c r="H360" s="59">
        <v>1038</v>
      </c>
      <c r="I360" s="11" t="s">
        <v>585</v>
      </c>
      <c r="J360" s="11" t="s">
        <v>392</v>
      </c>
      <c r="K360" t="s">
        <v>619</v>
      </c>
      <c r="L360" t="s">
        <v>619</v>
      </c>
      <c r="M360" t="s">
        <v>619</v>
      </c>
    </row>
    <row r="361" spans="1:13" x14ac:dyDescent="0.25">
      <c r="A361" s="85">
        <f t="shared" si="5"/>
        <v>360</v>
      </c>
      <c r="B361" s="8" t="s">
        <v>1997</v>
      </c>
      <c r="C361" s="9">
        <v>45597</v>
      </c>
      <c r="D361" t="s">
        <v>1998</v>
      </c>
      <c r="E361" t="s">
        <v>1999</v>
      </c>
      <c r="F361" s="11" t="s">
        <v>2000</v>
      </c>
      <c r="G361" s="11" t="s">
        <v>928</v>
      </c>
      <c r="H361" s="59">
        <v>1984.7</v>
      </c>
      <c r="I361" s="11" t="s">
        <v>2001</v>
      </c>
      <c r="J361" s="11" t="s">
        <v>245</v>
      </c>
      <c r="K361" t="s">
        <v>619</v>
      </c>
      <c r="L361" t="s">
        <v>619</v>
      </c>
      <c r="M361" t="s">
        <v>619</v>
      </c>
    </row>
    <row r="362" spans="1:13" x14ac:dyDescent="0.25">
      <c r="A362">
        <f t="shared" si="5"/>
        <v>361</v>
      </c>
      <c r="B362" s="8" t="s">
        <v>2002</v>
      </c>
      <c r="C362" s="9">
        <v>45594</v>
      </c>
      <c r="D362" t="s">
        <v>2003</v>
      </c>
      <c r="E362" t="s">
        <v>2004</v>
      </c>
      <c r="F362" s="11" t="s">
        <v>2005</v>
      </c>
      <c r="G362" s="11" t="s">
        <v>195</v>
      </c>
      <c r="H362" s="59">
        <v>7622.61</v>
      </c>
      <c r="I362" s="11" t="s">
        <v>2006</v>
      </c>
      <c r="J362" s="11" t="s">
        <v>265</v>
      </c>
      <c r="K362" t="s">
        <v>619</v>
      </c>
      <c r="L362" t="s">
        <v>619</v>
      </c>
      <c r="M362" t="s">
        <v>619</v>
      </c>
    </row>
    <row r="363" spans="1:13" x14ac:dyDescent="0.25">
      <c r="A363">
        <f t="shared" si="5"/>
        <v>362</v>
      </c>
      <c r="B363" s="8" t="s">
        <v>2007</v>
      </c>
      <c r="C363" s="9">
        <v>45601</v>
      </c>
      <c r="D363" t="s">
        <v>2008</v>
      </c>
      <c r="E363" t="s">
        <v>2009</v>
      </c>
      <c r="F363" s="11" t="s">
        <v>2010</v>
      </c>
      <c r="G363" s="11" t="s">
        <v>195</v>
      </c>
      <c r="H363" s="59">
        <v>2653</v>
      </c>
      <c r="I363" s="11" t="s">
        <v>2011</v>
      </c>
      <c r="J363" s="11" t="s">
        <v>502</v>
      </c>
      <c r="K363" t="s">
        <v>619</v>
      </c>
      <c r="L363" t="s">
        <v>619</v>
      </c>
      <c r="M363" t="s">
        <v>619</v>
      </c>
    </row>
    <row r="364" spans="1:13" x14ac:dyDescent="0.25">
      <c r="A364" s="82">
        <f t="shared" si="5"/>
        <v>363</v>
      </c>
      <c r="B364" s="8" t="s">
        <v>2012</v>
      </c>
      <c r="C364" s="9">
        <v>45601</v>
      </c>
      <c r="D364" t="s">
        <v>2013</v>
      </c>
      <c r="E364" t="s">
        <v>2014</v>
      </c>
      <c r="F364" s="11" t="s">
        <v>2015</v>
      </c>
      <c r="G364" s="11" t="s">
        <v>118</v>
      </c>
      <c r="H364" s="59">
        <v>1960</v>
      </c>
      <c r="I364" s="11" t="s">
        <v>2016</v>
      </c>
      <c r="J364" s="11" t="s">
        <v>245</v>
      </c>
      <c r="K364" t="s">
        <v>619</v>
      </c>
      <c r="L364" t="s">
        <v>619</v>
      </c>
      <c r="M364" t="s">
        <v>619</v>
      </c>
    </row>
    <row r="365" spans="1:13" x14ac:dyDescent="0.25">
      <c r="A365">
        <f t="shared" si="5"/>
        <v>364</v>
      </c>
      <c r="B365" s="8" t="s">
        <v>2017</v>
      </c>
      <c r="C365" s="9">
        <v>45601</v>
      </c>
      <c r="D365" t="s">
        <v>2018</v>
      </c>
      <c r="E365" t="s">
        <v>2019</v>
      </c>
      <c r="F365" s="11" t="s">
        <v>2020</v>
      </c>
      <c r="G365" s="11" t="s">
        <v>195</v>
      </c>
      <c r="H365" s="59">
        <v>1442</v>
      </c>
      <c r="I365" s="11" t="s">
        <v>2021</v>
      </c>
      <c r="J365" s="11" t="s">
        <v>236</v>
      </c>
      <c r="K365" t="s">
        <v>619</v>
      </c>
      <c r="L365" t="s">
        <v>619</v>
      </c>
      <c r="M365" t="s">
        <v>619</v>
      </c>
    </row>
    <row r="366" spans="1:13" x14ac:dyDescent="0.25">
      <c r="A366" s="82">
        <f t="shared" si="5"/>
        <v>365</v>
      </c>
      <c r="B366" s="8" t="s">
        <v>2022</v>
      </c>
      <c r="C366" s="9">
        <v>45595</v>
      </c>
      <c r="D366" t="s">
        <v>2023</v>
      </c>
      <c r="E366" t="s">
        <v>2024</v>
      </c>
      <c r="F366" s="11" t="s">
        <v>2025</v>
      </c>
      <c r="G366" s="11" t="s">
        <v>118</v>
      </c>
      <c r="H366" s="59">
        <v>2939</v>
      </c>
      <c r="I366" s="11" t="s">
        <v>2026</v>
      </c>
      <c r="J366" s="11" t="s">
        <v>1652</v>
      </c>
      <c r="K366" t="s">
        <v>619</v>
      </c>
      <c r="L366" t="s">
        <v>619</v>
      </c>
      <c r="M366" t="s">
        <v>619</v>
      </c>
    </row>
    <row r="367" spans="1:13" x14ac:dyDescent="0.25">
      <c r="A367" s="82">
        <f t="shared" si="5"/>
        <v>366</v>
      </c>
      <c r="B367" s="8" t="s">
        <v>2027</v>
      </c>
      <c r="C367" s="9">
        <v>45603</v>
      </c>
      <c r="D367" t="s">
        <v>2028</v>
      </c>
      <c r="E367" t="s">
        <v>2029</v>
      </c>
      <c r="F367" s="11" t="s">
        <v>2030</v>
      </c>
      <c r="G367" s="11" t="s">
        <v>118</v>
      </c>
      <c r="H367" s="59">
        <v>2082</v>
      </c>
      <c r="I367" s="11" t="s">
        <v>256</v>
      </c>
      <c r="J367" s="11" t="s">
        <v>2075</v>
      </c>
      <c r="K367" t="s">
        <v>619</v>
      </c>
      <c r="L367" t="s">
        <v>619</v>
      </c>
      <c r="M367" t="s">
        <v>619</v>
      </c>
    </row>
    <row r="368" spans="1:13" x14ac:dyDescent="0.25">
      <c r="A368">
        <f t="shared" si="5"/>
        <v>367</v>
      </c>
      <c r="B368" s="8" t="s">
        <v>2031</v>
      </c>
      <c r="C368" s="9">
        <v>45603</v>
      </c>
      <c r="D368" t="s">
        <v>2032</v>
      </c>
      <c r="E368" t="s">
        <v>2033</v>
      </c>
      <c r="F368" s="11" t="s">
        <v>2034</v>
      </c>
      <c r="G368" s="11" t="s">
        <v>195</v>
      </c>
      <c r="H368" s="59">
        <v>2082</v>
      </c>
      <c r="I368" s="11" t="s">
        <v>256</v>
      </c>
      <c r="J368" s="11" t="s">
        <v>1622</v>
      </c>
      <c r="K368" t="s">
        <v>619</v>
      </c>
      <c r="L368" t="s">
        <v>619</v>
      </c>
      <c r="M368" t="s">
        <v>619</v>
      </c>
    </row>
    <row r="369" spans="1:13" x14ac:dyDescent="0.25">
      <c r="A369" s="85">
        <f t="shared" si="5"/>
        <v>368</v>
      </c>
      <c r="B369" s="8" t="s">
        <v>2035</v>
      </c>
      <c r="C369" s="9">
        <v>45604</v>
      </c>
      <c r="D369" t="s">
        <v>2036</v>
      </c>
      <c r="E369" t="s">
        <v>2037</v>
      </c>
      <c r="F369" s="11" t="s">
        <v>2038</v>
      </c>
      <c r="G369" s="11" t="s">
        <v>195</v>
      </c>
      <c r="H369" s="59">
        <v>1378.08</v>
      </c>
      <c r="I369" s="11" t="s">
        <v>2039</v>
      </c>
      <c r="J369" s="11" t="s">
        <v>392</v>
      </c>
      <c r="K369" t="s">
        <v>619</v>
      </c>
      <c r="L369" t="s">
        <v>619</v>
      </c>
      <c r="M369" t="s">
        <v>619</v>
      </c>
    </row>
    <row r="370" spans="1:13" x14ac:dyDescent="0.25">
      <c r="A370" s="83">
        <f t="shared" si="5"/>
        <v>369</v>
      </c>
      <c r="B370" s="8" t="s">
        <v>2040</v>
      </c>
      <c r="C370" s="9">
        <v>45604</v>
      </c>
      <c r="D370" t="s">
        <v>1781</v>
      </c>
      <c r="E370" t="s">
        <v>1782</v>
      </c>
      <c r="F370" s="11" t="s">
        <v>1783</v>
      </c>
      <c r="G370" s="11" t="s">
        <v>118</v>
      </c>
      <c r="H370" s="59">
        <v>1003.4</v>
      </c>
      <c r="I370" s="11" t="s">
        <v>2041</v>
      </c>
      <c r="J370" s="11" t="s">
        <v>265</v>
      </c>
      <c r="K370" t="s">
        <v>619</v>
      </c>
      <c r="L370" t="s">
        <v>619</v>
      </c>
      <c r="M370" t="s">
        <v>619</v>
      </c>
    </row>
    <row r="371" spans="1:13" x14ac:dyDescent="0.25">
      <c r="A371" s="85">
        <f t="shared" si="5"/>
        <v>370</v>
      </c>
      <c r="B371" s="8" t="s">
        <v>2042</v>
      </c>
      <c r="C371" s="9">
        <v>45605</v>
      </c>
      <c r="D371" t="s">
        <v>2043</v>
      </c>
      <c r="E371" t="s">
        <v>2044</v>
      </c>
      <c r="F371" s="11" t="s">
        <v>2045</v>
      </c>
      <c r="G371" s="11" t="s">
        <v>195</v>
      </c>
      <c r="H371" s="59">
        <v>1530.04</v>
      </c>
      <c r="I371" s="11" t="s">
        <v>2046</v>
      </c>
      <c r="J371" s="11" t="s">
        <v>245</v>
      </c>
      <c r="K371" t="s">
        <v>619</v>
      </c>
      <c r="L371" t="s">
        <v>619</v>
      </c>
      <c r="M371" t="s">
        <v>619</v>
      </c>
    </row>
    <row r="372" spans="1:13" x14ac:dyDescent="0.25">
      <c r="A372">
        <f t="shared" si="5"/>
        <v>371</v>
      </c>
      <c r="B372" s="95" t="s">
        <v>2047</v>
      </c>
      <c r="C372" s="9">
        <v>45595</v>
      </c>
      <c r="D372" t="s">
        <v>2048</v>
      </c>
      <c r="E372" t="s">
        <v>2049</v>
      </c>
      <c r="F372" s="11" t="s">
        <v>2050</v>
      </c>
      <c r="G372" s="11" t="s">
        <v>1968</v>
      </c>
      <c r="H372" s="59">
        <v>1170</v>
      </c>
      <c r="I372" s="11" t="s">
        <v>2051</v>
      </c>
      <c r="J372" s="11" t="s">
        <v>1563</v>
      </c>
      <c r="K372" t="s">
        <v>619</v>
      </c>
      <c r="L372" t="s">
        <v>619</v>
      </c>
      <c r="M372" t="s">
        <v>619</v>
      </c>
    </row>
    <row r="373" spans="1:13" x14ac:dyDescent="0.25">
      <c r="A373">
        <f t="shared" si="5"/>
        <v>372</v>
      </c>
      <c r="B373" s="8" t="s">
        <v>2052</v>
      </c>
      <c r="C373" s="9">
        <v>45595</v>
      </c>
      <c r="D373" t="s">
        <v>2053</v>
      </c>
      <c r="E373" t="s">
        <v>2054</v>
      </c>
      <c r="F373" s="11" t="s">
        <v>2055</v>
      </c>
      <c r="G373" s="11" t="s">
        <v>195</v>
      </c>
      <c r="H373" s="59">
        <v>3847.4</v>
      </c>
      <c r="I373" s="11" t="s">
        <v>2056</v>
      </c>
      <c r="J373" s="11" t="s">
        <v>1652</v>
      </c>
      <c r="K373" t="s">
        <v>619</v>
      </c>
      <c r="L373" t="s">
        <v>619</v>
      </c>
      <c r="M373" t="s">
        <v>619</v>
      </c>
    </row>
    <row r="374" spans="1:13" x14ac:dyDescent="0.25">
      <c r="A374">
        <f t="shared" si="5"/>
        <v>373</v>
      </c>
      <c r="B374" s="8" t="s">
        <v>2057</v>
      </c>
      <c r="C374" s="9">
        <v>45600</v>
      </c>
      <c r="D374" t="s">
        <v>2058</v>
      </c>
      <c r="E374" t="s">
        <v>2059</v>
      </c>
      <c r="F374" s="11" t="s">
        <v>2060</v>
      </c>
      <c r="G374" s="11" t="s">
        <v>195</v>
      </c>
      <c r="H374" s="59">
        <v>1392.34</v>
      </c>
      <c r="I374" s="11" t="s">
        <v>2061</v>
      </c>
      <c r="J374" s="11" t="s">
        <v>1418</v>
      </c>
      <c r="K374" t="s">
        <v>619</v>
      </c>
      <c r="L374" t="s">
        <v>619</v>
      </c>
      <c r="M374" t="s">
        <v>619</v>
      </c>
    </row>
    <row r="375" spans="1:13" x14ac:dyDescent="0.25">
      <c r="A375">
        <f t="shared" si="5"/>
        <v>374</v>
      </c>
      <c r="B375" s="8" t="s">
        <v>2062</v>
      </c>
      <c r="C375" s="9">
        <v>45601</v>
      </c>
      <c r="D375" t="s">
        <v>2063</v>
      </c>
      <c r="E375" t="s">
        <v>2064</v>
      </c>
      <c r="F375" s="11" t="s">
        <v>2065</v>
      </c>
      <c r="G375" s="11" t="s">
        <v>195</v>
      </c>
      <c r="H375" s="59">
        <v>1166.4000000000001</v>
      </c>
      <c r="I375" s="11" t="s">
        <v>402</v>
      </c>
      <c r="J375" s="11" t="s">
        <v>245</v>
      </c>
      <c r="K375" t="s">
        <v>619</v>
      </c>
      <c r="L375" t="s">
        <v>619</v>
      </c>
      <c r="M375" t="s">
        <v>619</v>
      </c>
    </row>
    <row r="376" spans="1:13" x14ac:dyDescent="0.25">
      <c r="A376" s="82">
        <f t="shared" si="5"/>
        <v>375</v>
      </c>
      <c r="B376" s="8" t="s">
        <v>2066</v>
      </c>
      <c r="C376" s="9">
        <v>45607</v>
      </c>
      <c r="D376" t="s">
        <v>498</v>
      </c>
      <c r="E376" t="s">
        <v>499</v>
      </c>
      <c r="F376" s="11" t="s">
        <v>500</v>
      </c>
      <c r="G376" s="11" t="s">
        <v>118</v>
      </c>
      <c r="H376" s="59">
        <v>4753.8</v>
      </c>
      <c r="I376" s="11" t="s">
        <v>2067</v>
      </c>
      <c r="J376" s="11" t="s">
        <v>392</v>
      </c>
      <c r="K376" t="s">
        <v>619</v>
      </c>
      <c r="L376" t="s">
        <v>619</v>
      </c>
      <c r="M376" t="s">
        <v>619</v>
      </c>
    </row>
    <row r="377" spans="1:13" x14ac:dyDescent="0.25">
      <c r="A377" s="82">
        <f t="shared" si="5"/>
        <v>376</v>
      </c>
      <c r="B377" s="8" t="s">
        <v>2068</v>
      </c>
      <c r="C377" s="9">
        <v>45608</v>
      </c>
      <c r="D377" t="s">
        <v>2053</v>
      </c>
      <c r="E377" t="s">
        <v>2054</v>
      </c>
      <c r="F377" s="11" t="s">
        <v>2055</v>
      </c>
      <c r="G377" s="11" t="s">
        <v>118</v>
      </c>
      <c r="H377" s="59">
        <v>557</v>
      </c>
      <c r="I377" s="11" t="s">
        <v>2069</v>
      </c>
      <c r="J377" s="11" t="s">
        <v>1652</v>
      </c>
      <c r="K377" t="s">
        <v>619</v>
      </c>
      <c r="L377" t="s">
        <v>619</v>
      </c>
      <c r="M377" t="s">
        <v>619</v>
      </c>
    </row>
    <row r="378" spans="1:13" x14ac:dyDescent="0.25">
      <c r="A378" s="82">
        <f t="shared" si="5"/>
        <v>377</v>
      </c>
      <c r="B378" s="8" t="s">
        <v>2070</v>
      </c>
      <c r="C378" s="9">
        <v>45608</v>
      </c>
      <c r="D378" t="s">
        <v>2071</v>
      </c>
      <c r="E378" t="s">
        <v>2072</v>
      </c>
      <c r="F378" s="11" t="s">
        <v>2073</v>
      </c>
      <c r="G378" s="11" t="s">
        <v>118</v>
      </c>
      <c r="H378" s="59">
        <v>984</v>
      </c>
      <c r="I378" s="11" t="s">
        <v>2074</v>
      </c>
      <c r="J378" s="11" t="s">
        <v>236</v>
      </c>
      <c r="K378" t="s">
        <v>619</v>
      </c>
      <c r="L378" t="s">
        <v>619</v>
      </c>
      <c r="M378" t="s">
        <v>619</v>
      </c>
    </row>
    <row r="379" spans="1:13" x14ac:dyDescent="0.25">
      <c r="A379">
        <f t="shared" si="5"/>
        <v>378</v>
      </c>
      <c r="B379" s="8" t="s">
        <v>2076</v>
      </c>
      <c r="C379" s="9">
        <v>45609</v>
      </c>
      <c r="D379" t="s">
        <v>2077</v>
      </c>
      <c r="E379" t="s">
        <v>2078</v>
      </c>
      <c r="F379" s="11" t="s">
        <v>2079</v>
      </c>
      <c r="G379" s="11" t="s">
        <v>195</v>
      </c>
      <c r="H379" s="59">
        <v>1266</v>
      </c>
      <c r="I379" s="11" t="s">
        <v>2080</v>
      </c>
      <c r="J379" s="11" t="s">
        <v>236</v>
      </c>
      <c r="K379" t="s">
        <v>619</v>
      </c>
      <c r="L379" t="s">
        <v>619</v>
      </c>
      <c r="M379" t="s">
        <v>619</v>
      </c>
    </row>
    <row r="380" spans="1:13" x14ac:dyDescent="0.25">
      <c r="A380">
        <f t="shared" si="5"/>
        <v>379</v>
      </c>
      <c r="B380" s="8" t="s">
        <v>2081</v>
      </c>
      <c r="C380" s="9">
        <v>45610</v>
      </c>
      <c r="D380" t="s">
        <v>2082</v>
      </c>
      <c r="E380" t="s">
        <v>2083</v>
      </c>
      <c r="F380" s="11" t="s">
        <v>2084</v>
      </c>
      <c r="G380" s="11" t="s">
        <v>195</v>
      </c>
      <c r="H380" s="59">
        <v>2596</v>
      </c>
      <c r="I380" s="11" t="s">
        <v>2085</v>
      </c>
      <c r="J380" s="11" t="s">
        <v>236</v>
      </c>
      <c r="K380" t="s">
        <v>619</v>
      </c>
      <c r="L380" t="s">
        <v>619</v>
      </c>
      <c r="M380" t="s">
        <v>619</v>
      </c>
    </row>
    <row r="381" spans="1:13" x14ac:dyDescent="0.25">
      <c r="A381" s="82">
        <f t="shared" si="5"/>
        <v>380</v>
      </c>
      <c r="B381" s="95" t="s">
        <v>2086</v>
      </c>
      <c r="C381" s="9">
        <v>45610</v>
      </c>
      <c r="D381" t="s">
        <v>622</v>
      </c>
      <c r="F381" t="s">
        <v>2087</v>
      </c>
      <c r="G381" s="11" t="s">
        <v>118</v>
      </c>
      <c r="H381" s="59">
        <v>4617</v>
      </c>
      <c r="I381" s="11" t="s">
        <v>2088</v>
      </c>
      <c r="K381" t="s">
        <v>619</v>
      </c>
      <c r="L381" t="s">
        <v>619</v>
      </c>
      <c r="M381" t="s">
        <v>619</v>
      </c>
    </row>
    <row r="382" spans="1:13" x14ac:dyDescent="0.25">
      <c r="A382">
        <f t="shared" si="5"/>
        <v>381</v>
      </c>
      <c r="B382" s="8" t="s">
        <v>2089</v>
      </c>
      <c r="C382" s="9">
        <v>45611</v>
      </c>
      <c r="D382" t="s">
        <v>2090</v>
      </c>
      <c r="E382" t="s">
        <v>2091</v>
      </c>
      <c r="F382" t="s">
        <v>2092</v>
      </c>
      <c r="G382" s="11" t="s">
        <v>119</v>
      </c>
      <c r="H382" s="59">
        <v>1594</v>
      </c>
      <c r="I382" s="11" t="s">
        <v>1182</v>
      </c>
      <c r="J382" s="11" t="s">
        <v>216</v>
      </c>
      <c r="K382" t="s">
        <v>619</v>
      </c>
      <c r="L382" t="s">
        <v>619</v>
      </c>
      <c r="M382" t="s">
        <v>619</v>
      </c>
    </row>
    <row r="383" spans="1:13" x14ac:dyDescent="0.25">
      <c r="A383" s="82">
        <f t="shared" si="5"/>
        <v>382</v>
      </c>
      <c r="B383" s="8" t="s">
        <v>2093</v>
      </c>
      <c r="C383" s="9">
        <v>45612</v>
      </c>
      <c r="D383" t="s">
        <v>2094</v>
      </c>
      <c r="E383" t="s">
        <v>2095</v>
      </c>
      <c r="F383" t="s">
        <v>2096</v>
      </c>
      <c r="G383" s="11" t="s">
        <v>118</v>
      </c>
      <c r="H383" s="59">
        <v>1488</v>
      </c>
      <c r="I383" s="11" t="s">
        <v>783</v>
      </c>
      <c r="J383" s="11" t="s">
        <v>502</v>
      </c>
      <c r="K383" t="s">
        <v>619</v>
      </c>
      <c r="L383" t="s">
        <v>619</v>
      </c>
      <c r="M383" t="s">
        <v>619</v>
      </c>
    </row>
    <row r="384" spans="1:13" x14ac:dyDescent="0.25">
      <c r="A384" s="82">
        <f t="shared" si="5"/>
        <v>383</v>
      </c>
      <c r="B384" s="95" t="s">
        <v>2097</v>
      </c>
      <c r="C384" s="9">
        <v>45611</v>
      </c>
      <c r="D384" t="s">
        <v>2098</v>
      </c>
      <c r="F384" t="s">
        <v>2099</v>
      </c>
      <c r="G384" s="11" t="s">
        <v>118</v>
      </c>
      <c r="H384" s="59">
        <v>8873</v>
      </c>
      <c r="I384" s="11" t="s">
        <v>2100</v>
      </c>
      <c r="K384" t="s">
        <v>619</v>
      </c>
      <c r="L384" t="s">
        <v>619</v>
      </c>
      <c r="M384" t="s">
        <v>619</v>
      </c>
    </row>
    <row r="385" spans="1:13" x14ac:dyDescent="0.25">
      <c r="A385" s="82">
        <f t="shared" si="5"/>
        <v>384</v>
      </c>
      <c r="B385" s="8" t="s">
        <v>2101</v>
      </c>
      <c r="C385" s="9">
        <v>45615</v>
      </c>
      <c r="D385" t="s">
        <v>2102</v>
      </c>
      <c r="E385" t="s">
        <v>2103</v>
      </c>
      <c r="F385" t="s">
        <v>2104</v>
      </c>
      <c r="G385" s="11" t="s">
        <v>118</v>
      </c>
      <c r="H385" s="59">
        <v>4272</v>
      </c>
      <c r="I385" s="11" t="s">
        <v>2105</v>
      </c>
      <c r="J385" s="11" t="s">
        <v>2136</v>
      </c>
      <c r="K385" t="s">
        <v>619</v>
      </c>
      <c r="L385" t="s">
        <v>619</v>
      </c>
      <c r="M385" t="s">
        <v>619</v>
      </c>
    </row>
    <row r="386" spans="1:13" x14ac:dyDescent="0.25">
      <c r="A386">
        <f t="shared" si="5"/>
        <v>385</v>
      </c>
      <c r="B386" s="8" t="s">
        <v>2106</v>
      </c>
      <c r="C386" s="9">
        <v>45615</v>
      </c>
      <c r="D386" t="s">
        <v>2107</v>
      </c>
      <c r="E386" t="s">
        <v>2108</v>
      </c>
      <c r="F386" t="s">
        <v>2109</v>
      </c>
      <c r="G386" s="11" t="s">
        <v>119</v>
      </c>
      <c r="H386" s="59">
        <v>2795</v>
      </c>
      <c r="I386" s="11" t="s">
        <v>2110</v>
      </c>
      <c r="J386" s="11" t="s">
        <v>2137</v>
      </c>
      <c r="K386" t="s">
        <v>619</v>
      </c>
      <c r="L386" t="s">
        <v>619</v>
      </c>
      <c r="M386" t="s">
        <v>619</v>
      </c>
    </row>
    <row r="387" spans="1:13" x14ac:dyDescent="0.25">
      <c r="A387" s="82">
        <f t="shared" si="5"/>
        <v>386</v>
      </c>
      <c r="B387" s="95" t="s">
        <v>2111</v>
      </c>
      <c r="C387" s="9">
        <v>45602</v>
      </c>
      <c r="D387" t="s">
        <v>1965</v>
      </c>
      <c r="F387" s="11" t="s">
        <v>1954</v>
      </c>
      <c r="G387" s="11" t="s">
        <v>118</v>
      </c>
      <c r="H387" s="59">
        <v>2350</v>
      </c>
      <c r="I387" s="11" t="s">
        <v>2112</v>
      </c>
      <c r="J387" s="11" t="s">
        <v>2113</v>
      </c>
      <c r="K387" t="s">
        <v>619</v>
      </c>
      <c r="L387" t="s">
        <v>619</v>
      </c>
      <c r="M387" t="s">
        <v>619</v>
      </c>
    </row>
    <row r="388" spans="1:13" x14ac:dyDescent="0.25">
      <c r="A388">
        <f t="shared" ref="A388:A451" si="6">A387+1</f>
        <v>387</v>
      </c>
      <c r="B388" s="95" t="s">
        <v>2114</v>
      </c>
      <c r="C388" s="9">
        <v>45609</v>
      </c>
      <c r="D388" t="s">
        <v>2115</v>
      </c>
      <c r="E388" t="s">
        <v>2116</v>
      </c>
      <c r="F388" s="11" t="s">
        <v>2117</v>
      </c>
      <c r="G388" s="11" t="s">
        <v>2118</v>
      </c>
      <c r="H388" s="59">
        <v>1645.24</v>
      </c>
      <c r="I388" s="11" t="s">
        <v>2119</v>
      </c>
      <c r="J388" s="11" t="s">
        <v>2138</v>
      </c>
      <c r="K388" t="s">
        <v>619</v>
      </c>
      <c r="L388" t="s">
        <v>619</v>
      </c>
      <c r="M388" t="s">
        <v>619</v>
      </c>
    </row>
    <row r="389" spans="1:13" x14ac:dyDescent="0.25">
      <c r="A389" s="82">
        <f t="shared" si="6"/>
        <v>388</v>
      </c>
      <c r="B389" s="93" t="s">
        <v>2120</v>
      </c>
      <c r="C389" s="9">
        <v>45617</v>
      </c>
      <c r="D389" t="s">
        <v>2121</v>
      </c>
      <c r="E389" t="s">
        <v>2122</v>
      </c>
      <c r="F389" s="11" t="s">
        <v>2123</v>
      </c>
      <c r="G389" s="11" t="s">
        <v>118</v>
      </c>
      <c r="H389" s="59">
        <v>10890</v>
      </c>
      <c r="I389" s="11" t="s">
        <v>2124</v>
      </c>
      <c r="J389" s="11" t="s">
        <v>2125</v>
      </c>
      <c r="K389" t="s">
        <v>619</v>
      </c>
      <c r="L389" t="s">
        <v>619</v>
      </c>
      <c r="M389" t="s">
        <v>619</v>
      </c>
    </row>
    <row r="390" spans="1:13" x14ac:dyDescent="0.25">
      <c r="A390">
        <f t="shared" si="6"/>
        <v>389</v>
      </c>
      <c r="B390" s="8" t="s">
        <v>2130</v>
      </c>
      <c r="C390" s="9">
        <v>45619</v>
      </c>
      <c r="D390" t="s">
        <v>2126</v>
      </c>
      <c r="E390" t="s">
        <v>2127</v>
      </c>
      <c r="F390" s="11" t="s">
        <v>2128</v>
      </c>
      <c r="G390" s="11" t="s">
        <v>195</v>
      </c>
      <c r="H390" s="59">
        <v>1561.8</v>
      </c>
      <c r="I390" s="11" t="s">
        <v>2129</v>
      </c>
      <c r="J390" s="11" t="s">
        <v>236</v>
      </c>
      <c r="K390" t="s">
        <v>619</v>
      </c>
      <c r="L390" t="s">
        <v>619</v>
      </c>
      <c r="M390" t="s">
        <v>619</v>
      </c>
    </row>
    <row r="391" spans="1:13" x14ac:dyDescent="0.25">
      <c r="A391" s="82">
        <f t="shared" si="6"/>
        <v>390</v>
      </c>
      <c r="B391" s="8" t="s">
        <v>2131</v>
      </c>
      <c r="C391" s="9">
        <v>45618</v>
      </c>
      <c r="D391" t="s">
        <v>2132</v>
      </c>
      <c r="E391" t="s">
        <v>2133</v>
      </c>
      <c r="F391" s="11" t="s">
        <v>2134</v>
      </c>
      <c r="G391" s="11" t="s">
        <v>118</v>
      </c>
      <c r="H391" s="59">
        <v>1440.2</v>
      </c>
      <c r="I391" s="11" t="s">
        <v>2135</v>
      </c>
      <c r="J391" s="11" t="s">
        <v>236</v>
      </c>
      <c r="K391" t="s">
        <v>619</v>
      </c>
      <c r="L391" t="s">
        <v>619</v>
      </c>
      <c r="M391" t="s">
        <v>619</v>
      </c>
    </row>
    <row r="392" spans="1:13" x14ac:dyDescent="0.25">
      <c r="A392" s="82">
        <f t="shared" si="6"/>
        <v>391</v>
      </c>
      <c r="B392" s="8" t="s">
        <v>2139</v>
      </c>
      <c r="C392" s="9">
        <v>45623</v>
      </c>
      <c r="D392" t="s">
        <v>2140</v>
      </c>
      <c r="E392" t="s">
        <v>2141</v>
      </c>
      <c r="F392" s="11" t="s">
        <v>2142</v>
      </c>
      <c r="G392" s="11" t="s">
        <v>118</v>
      </c>
      <c r="H392" s="59">
        <v>1890</v>
      </c>
      <c r="I392" s="11" t="s">
        <v>323</v>
      </c>
      <c r="J392" s="11" t="s">
        <v>1842</v>
      </c>
      <c r="K392" t="s">
        <v>619</v>
      </c>
      <c r="L392" t="s">
        <v>619</v>
      </c>
      <c r="M392" t="s">
        <v>619</v>
      </c>
    </row>
    <row r="393" spans="1:13" x14ac:dyDescent="0.25">
      <c r="A393">
        <f t="shared" si="6"/>
        <v>392</v>
      </c>
      <c r="B393" s="8" t="s">
        <v>2143</v>
      </c>
      <c r="C393" s="9">
        <v>45623</v>
      </c>
      <c r="D393" t="s">
        <v>2144</v>
      </c>
      <c r="E393" t="s">
        <v>2145</v>
      </c>
      <c r="F393" s="11" t="s">
        <v>2146</v>
      </c>
      <c r="G393" s="11" t="s">
        <v>195</v>
      </c>
      <c r="H393" s="59">
        <v>1038</v>
      </c>
      <c r="I393" s="11" t="s">
        <v>585</v>
      </c>
      <c r="J393" s="11" t="s">
        <v>2147</v>
      </c>
      <c r="K393" t="s">
        <v>619</v>
      </c>
      <c r="L393" t="s">
        <v>619</v>
      </c>
      <c r="M393" t="s">
        <v>619</v>
      </c>
    </row>
    <row r="394" spans="1:13" x14ac:dyDescent="0.25">
      <c r="A394" s="83">
        <f t="shared" si="6"/>
        <v>393</v>
      </c>
      <c r="B394" s="8" t="s">
        <v>2148</v>
      </c>
      <c r="C394" s="9">
        <v>45624</v>
      </c>
      <c r="D394" t="s">
        <v>2149</v>
      </c>
      <c r="E394" t="s">
        <v>2150</v>
      </c>
      <c r="F394" s="11" t="s">
        <v>2151</v>
      </c>
      <c r="G394" s="11" t="s">
        <v>118</v>
      </c>
      <c r="H394" s="59">
        <v>7656</v>
      </c>
      <c r="I394" s="11" t="s">
        <v>2152</v>
      </c>
      <c r="J394" s="11" t="s">
        <v>1689</v>
      </c>
      <c r="K394" t="s">
        <v>619</v>
      </c>
      <c r="L394" t="s">
        <v>619</v>
      </c>
      <c r="M394" t="s">
        <v>619</v>
      </c>
    </row>
    <row r="395" spans="1:13" x14ac:dyDescent="0.25">
      <c r="A395" s="82">
        <f t="shared" si="6"/>
        <v>394</v>
      </c>
      <c r="B395" s="8" t="s">
        <v>2153</v>
      </c>
      <c r="C395" s="9">
        <v>45622</v>
      </c>
      <c r="D395" t="s">
        <v>349</v>
      </c>
      <c r="E395" t="s">
        <v>2154</v>
      </c>
      <c r="F395" s="11" t="s">
        <v>1299</v>
      </c>
      <c r="G395" s="11" t="s">
        <v>118</v>
      </c>
      <c r="H395" s="59">
        <v>660</v>
      </c>
      <c r="I395" s="11" t="s">
        <v>2155</v>
      </c>
      <c r="J395" s="11" t="s">
        <v>392</v>
      </c>
      <c r="K395" t="s">
        <v>619</v>
      </c>
      <c r="L395" t="s">
        <v>619</v>
      </c>
      <c r="M395" t="s">
        <v>619</v>
      </c>
    </row>
    <row r="396" spans="1:13" x14ac:dyDescent="0.25">
      <c r="A396" s="82">
        <f t="shared" si="6"/>
        <v>395</v>
      </c>
      <c r="B396" s="8" t="s">
        <v>2156</v>
      </c>
      <c r="C396" s="9">
        <v>45626</v>
      </c>
      <c r="D396" t="s">
        <v>2157</v>
      </c>
      <c r="E396" t="s">
        <v>2158</v>
      </c>
      <c r="F396" s="11" t="s">
        <v>2159</v>
      </c>
      <c r="G396" s="11" t="s">
        <v>118</v>
      </c>
      <c r="H396" s="59">
        <v>1574</v>
      </c>
      <c r="I396" s="11" t="s">
        <v>2160</v>
      </c>
      <c r="J396" s="11" t="s">
        <v>392</v>
      </c>
      <c r="K396" t="s">
        <v>619</v>
      </c>
      <c r="L396" t="s">
        <v>619</v>
      </c>
      <c r="M396" t="s">
        <v>619</v>
      </c>
    </row>
    <row r="397" spans="1:13" x14ac:dyDescent="0.25">
      <c r="A397" s="83">
        <f t="shared" si="6"/>
        <v>396</v>
      </c>
      <c r="B397" s="95" t="s">
        <v>2161</v>
      </c>
      <c r="C397" s="9">
        <v>45628</v>
      </c>
      <c r="D397" t="s">
        <v>2149</v>
      </c>
      <c r="E397" t="s">
        <v>2150</v>
      </c>
      <c r="F397" s="11" t="s">
        <v>2151</v>
      </c>
      <c r="G397" s="11" t="s">
        <v>118</v>
      </c>
      <c r="H397" s="59">
        <v>8352</v>
      </c>
      <c r="I397" s="11" t="s">
        <v>2162</v>
      </c>
      <c r="J397" s="11" t="s">
        <v>2168</v>
      </c>
      <c r="K397" t="s">
        <v>619</v>
      </c>
      <c r="L397" t="s">
        <v>619</v>
      </c>
      <c r="M397" t="s">
        <v>619</v>
      </c>
    </row>
    <row r="398" spans="1:13" x14ac:dyDescent="0.25">
      <c r="A398">
        <f t="shared" si="6"/>
        <v>397</v>
      </c>
      <c r="B398" s="8" t="s">
        <v>2163</v>
      </c>
      <c r="C398" s="9">
        <v>45624</v>
      </c>
      <c r="D398" t="s">
        <v>2164</v>
      </c>
      <c r="E398" t="s">
        <v>2165</v>
      </c>
      <c r="F398" s="11" t="s">
        <v>2166</v>
      </c>
      <c r="G398" s="11" t="s">
        <v>195</v>
      </c>
      <c r="H398" s="59">
        <v>952</v>
      </c>
      <c r="I398" s="11" t="s">
        <v>2167</v>
      </c>
      <c r="J398" s="11" t="s">
        <v>236</v>
      </c>
      <c r="K398" t="s">
        <v>619</v>
      </c>
      <c r="L398" t="s">
        <v>619</v>
      </c>
      <c r="M398" t="s">
        <v>619</v>
      </c>
    </row>
    <row r="399" spans="1:13" x14ac:dyDescent="0.25">
      <c r="A399" s="83">
        <f t="shared" si="6"/>
        <v>398</v>
      </c>
      <c r="B399" s="8" t="s">
        <v>2169</v>
      </c>
      <c r="C399" s="9">
        <v>45629</v>
      </c>
      <c r="D399" t="s">
        <v>2170</v>
      </c>
      <c r="E399" t="s">
        <v>2171</v>
      </c>
      <c r="F399" s="11" t="s">
        <v>2172</v>
      </c>
      <c r="G399" s="11" t="s">
        <v>118</v>
      </c>
      <c r="H399" s="59">
        <v>5202.54</v>
      </c>
      <c r="I399" s="11" t="s">
        <v>2173</v>
      </c>
      <c r="J399" s="11" t="s">
        <v>2174</v>
      </c>
      <c r="K399" t="s">
        <v>619</v>
      </c>
      <c r="L399" t="s">
        <v>619</v>
      </c>
      <c r="M399" t="s">
        <v>619</v>
      </c>
    </row>
    <row r="400" spans="1:13" x14ac:dyDescent="0.25">
      <c r="A400" s="84">
        <f t="shared" si="6"/>
        <v>399</v>
      </c>
      <c r="B400" s="8" t="s">
        <v>2175</v>
      </c>
      <c r="C400" s="9">
        <v>45625</v>
      </c>
      <c r="D400" t="s">
        <v>2176</v>
      </c>
      <c r="E400" t="s">
        <v>2177</v>
      </c>
      <c r="F400" s="11" t="s">
        <v>2178</v>
      </c>
      <c r="G400" s="11" t="s">
        <v>119</v>
      </c>
      <c r="H400" s="59">
        <v>2278</v>
      </c>
      <c r="I400" s="11" t="s">
        <v>2179</v>
      </c>
      <c r="J400" s="11" t="s">
        <v>2191</v>
      </c>
      <c r="K400" t="s">
        <v>619</v>
      </c>
      <c r="L400" t="s">
        <v>619</v>
      </c>
      <c r="M400" t="s">
        <v>619</v>
      </c>
    </row>
    <row r="401" spans="1:13" x14ac:dyDescent="0.25">
      <c r="A401" s="82">
        <f t="shared" si="6"/>
        <v>400</v>
      </c>
      <c r="B401" s="8" t="s">
        <v>2180</v>
      </c>
      <c r="C401" s="9">
        <v>45630</v>
      </c>
      <c r="D401" t="s">
        <v>2336</v>
      </c>
      <c r="E401" t="s">
        <v>2182</v>
      </c>
      <c r="F401" s="11" t="s">
        <v>2183</v>
      </c>
      <c r="G401" s="11" t="s">
        <v>118</v>
      </c>
      <c r="H401" s="59">
        <v>1760</v>
      </c>
      <c r="I401" s="11" t="s">
        <v>2184</v>
      </c>
      <c r="J401" s="11" t="s">
        <v>502</v>
      </c>
      <c r="K401" t="s">
        <v>619</v>
      </c>
      <c r="L401" t="s">
        <v>619</v>
      </c>
      <c r="M401" t="s">
        <v>619</v>
      </c>
    </row>
    <row r="402" spans="1:13" x14ac:dyDescent="0.25">
      <c r="A402" s="85">
        <f t="shared" si="6"/>
        <v>401</v>
      </c>
      <c r="B402" s="8" t="s">
        <v>2185</v>
      </c>
      <c r="C402" s="9">
        <v>45631</v>
      </c>
      <c r="D402" t="s">
        <v>2186</v>
      </c>
      <c r="E402" t="s">
        <v>2187</v>
      </c>
      <c r="F402" s="11" t="s">
        <v>2188</v>
      </c>
      <c r="G402" s="11" t="s">
        <v>195</v>
      </c>
      <c r="H402" s="59">
        <v>4362.8999999999996</v>
      </c>
      <c r="I402" s="11" t="s">
        <v>2189</v>
      </c>
      <c r="J402" s="11" t="s">
        <v>2190</v>
      </c>
      <c r="K402" t="s">
        <v>619</v>
      </c>
      <c r="L402" t="s">
        <v>619</v>
      </c>
      <c r="M402" t="s">
        <v>619</v>
      </c>
    </row>
    <row r="403" spans="1:13" x14ac:dyDescent="0.25">
      <c r="A403" s="82">
        <f t="shared" si="6"/>
        <v>402</v>
      </c>
      <c r="B403" s="95" t="s">
        <v>2192</v>
      </c>
      <c r="C403" s="9">
        <v>45631</v>
      </c>
      <c r="D403" t="s">
        <v>2193</v>
      </c>
      <c r="E403" t="s">
        <v>2194</v>
      </c>
      <c r="F403" s="11" t="s">
        <v>2195</v>
      </c>
      <c r="G403" s="11" t="s">
        <v>118</v>
      </c>
      <c r="H403" s="59">
        <v>1923</v>
      </c>
      <c r="I403" s="11" t="s">
        <v>2196</v>
      </c>
      <c r="J403" s="11" t="s">
        <v>265</v>
      </c>
      <c r="K403" t="s">
        <v>619</v>
      </c>
      <c r="L403" t="s">
        <v>619</v>
      </c>
      <c r="M403" t="s">
        <v>619</v>
      </c>
    </row>
    <row r="404" spans="1:13" x14ac:dyDescent="0.25">
      <c r="A404" s="82">
        <f t="shared" si="6"/>
        <v>403</v>
      </c>
      <c r="B404" s="95" t="s">
        <v>2197</v>
      </c>
      <c r="C404" s="9">
        <v>45630</v>
      </c>
      <c r="D404" t="s">
        <v>622</v>
      </c>
      <c r="F404" s="11" t="s">
        <v>2198</v>
      </c>
      <c r="G404" s="11" t="s">
        <v>118</v>
      </c>
      <c r="H404" s="59">
        <v>6190.2</v>
      </c>
      <c r="I404" s="11" t="s">
        <v>2199</v>
      </c>
      <c r="K404" t="s">
        <v>619</v>
      </c>
      <c r="L404" t="s">
        <v>619</v>
      </c>
      <c r="M404" t="s">
        <v>619</v>
      </c>
    </row>
    <row r="405" spans="1:13" x14ac:dyDescent="0.25">
      <c r="A405" s="83">
        <f t="shared" si="6"/>
        <v>404</v>
      </c>
      <c r="B405" s="8" t="s">
        <v>2200</v>
      </c>
      <c r="C405" s="9">
        <v>45623</v>
      </c>
      <c r="D405" t="s">
        <v>2201</v>
      </c>
      <c r="E405" t="s">
        <v>2202</v>
      </c>
      <c r="F405" s="11" t="s">
        <v>2203</v>
      </c>
      <c r="G405" s="11" t="s">
        <v>118</v>
      </c>
      <c r="H405" s="59">
        <v>6714.81</v>
      </c>
      <c r="I405" s="11" t="s">
        <v>2204</v>
      </c>
      <c r="J405" s="11" t="s">
        <v>574</v>
      </c>
      <c r="K405" t="s">
        <v>619</v>
      </c>
      <c r="L405" t="s">
        <v>619</v>
      </c>
      <c r="M405" t="s">
        <v>619</v>
      </c>
    </row>
    <row r="406" spans="1:13" x14ac:dyDescent="0.25">
      <c r="A406" s="84">
        <f t="shared" si="6"/>
        <v>405</v>
      </c>
      <c r="B406" s="8" t="s">
        <v>2206</v>
      </c>
      <c r="C406" s="9">
        <v>45625</v>
      </c>
      <c r="D406" t="s">
        <v>2207</v>
      </c>
      <c r="E406" t="s">
        <v>2208</v>
      </c>
      <c r="F406" s="11" t="s">
        <v>2209</v>
      </c>
      <c r="G406" s="11" t="s">
        <v>119</v>
      </c>
      <c r="H406" s="59">
        <v>5540.49</v>
      </c>
      <c r="I406" s="11" t="s">
        <v>2210</v>
      </c>
      <c r="J406" s="11" t="s">
        <v>2211</v>
      </c>
      <c r="K406" t="s">
        <v>619</v>
      </c>
      <c r="L406" t="s">
        <v>619</v>
      </c>
      <c r="M406" t="s">
        <v>619</v>
      </c>
    </row>
    <row r="407" spans="1:13" x14ac:dyDescent="0.25">
      <c r="A407">
        <f t="shared" si="6"/>
        <v>406</v>
      </c>
      <c r="B407" s="8" t="s">
        <v>2212</v>
      </c>
      <c r="C407" s="9">
        <v>45629</v>
      </c>
      <c r="D407" t="s">
        <v>2213</v>
      </c>
      <c r="E407" t="s">
        <v>2215</v>
      </c>
      <c r="F407" t="s">
        <v>2214</v>
      </c>
      <c r="G407" s="11" t="s">
        <v>119</v>
      </c>
      <c r="H407" s="59">
        <v>914</v>
      </c>
      <c r="I407" s="11" t="s">
        <v>2216</v>
      </c>
      <c r="J407" s="11" t="s">
        <v>2233</v>
      </c>
      <c r="K407" t="s">
        <v>619</v>
      </c>
      <c r="L407" t="s">
        <v>619</v>
      </c>
      <c r="M407" t="s">
        <v>619</v>
      </c>
    </row>
    <row r="408" spans="1:13" x14ac:dyDescent="0.25">
      <c r="A408" s="83">
        <f t="shared" si="6"/>
        <v>407</v>
      </c>
      <c r="B408" s="8" t="s">
        <v>2217</v>
      </c>
      <c r="C408" s="9">
        <v>45633</v>
      </c>
      <c r="D408" t="s">
        <v>2201</v>
      </c>
      <c r="E408" t="s">
        <v>2202</v>
      </c>
      <c r="F408" t="s">
        <v>2203</v>
      </c>
      <c r="G408" s="11" t="s">
        <v>118</v>
      </c>
      <c r="H408" s="59">
        <v>11313.67</v>
      </c>
      <c r="I408" s="11" t="s">
        <v>273</v>
      </c>
      <c r="J408" s="11" t="s">
        <v>245</v>
      </c>
      <c r="K408" t="s">
        <v>619</v>
      </c>
      <c r="L408" t="s">
        <v>619</v>
      </c>
      <c r="M408" t="s">
        <v>619</v>
      </c>
    </row>
    <row r="409" spans="1:13" x14ac:dyDescent="0.25">
      <c r="A409" s="82">
        <f t="shared" si="6"/>
        <v>408</v>
      </c>
      <c r="B409" s="8" t="s">
        <v>2220</v>
      </c>
      <c r="C409" s="9">
        <v>45632</v>
      </c>
      <c r="D409" t="s">
        <v>761</v>
      </c>
      <c r="E409" t="s">
        <v>762</v>
      </c>
      <c r="F409" t="s">
        <v>2221</v>
      </c>
      <c r="G409" s="11" t="s">
        <v>118</v>
      </c>
      <c r="H409" s="59">
        <v>3025.64</v>
      </c>
      <c r="I409" s="11" t="s">
        <v>2222</v>
      </c>
      <c r="J409" s="11" t="s">
        <v>617</v>
      </c>
      <c r="K409" t="s">
        <v>619</v>
      </c>
      <c r="L409" t="s">
        <v>619</v>
      </c>
      <c r="M409" t="s">
        <v>619</v>
      </c>
    </row>
    <row r="410" spans="1:13" x14ac:dyDescent="0.25">
      <c r="A410">
        <f t="shared" si="6"/>
        <v>409</v>
      </c>
      <c r="B410" s="8" t="s">
        <v>2223</v>
      </c>
      <c r="C410" s="9">
        <v>45635</v>
      </c>
      <c r="D410" t="s">
        <v>2224</v>
      </c>
      <c r="E410" t="s">
        <v>2225</v>
      </c>
      <c r="F410" t="s">
        <v>2226</v>
      </c>
      <c r="G410" s="11" t="s">
        <v>119</v>
      </c>
      <c r="H410" s="59">
        <v>1592</v>
      </c>
      <c r="I410" s="11" t="s">
        <v>2227</v>
      </c>
      <c r="J410" s="11" t="s">
        <v>1259</v>
      </c>
      <c r="K410" t="s">
        <v>619</v>
      </c>
      <c r="L410" t="s">
        <v>619</v>
      </c>
      <c r="M410" t="s">
        <v>619</v>
      </c>
    </row>
    <row r="411" spans="1:13" x14ac:dyDescent="0.25">
      <c r="A411">
        <f t="shared" si="6"/>
        <v>410</v>
      </c>
      <c r="B411" s="8" t="s">
        <v>2228</v>
      </c>
      <c r="C411" s="9">
        <v>45635</v>
      </c>
      <c r="D411" t="s">
        <v>2229</v>
      </c>
      <c r="E411" t="s">
        <v>2230</v>
      </c>
      <c r="F411" t="s">
        <v>2231</v>
      </c>
      <c r="G411" s="11" t="s">
        <v>195</v>
      </c>
      <c r="H411" s="59">
        <v>3211</v>
      </c>
      <c r="I411" s="11" t="s">
        <v>2232</v>
      </c>
      <c r="J411" s="11" t="s">
        <v>236</v>
      </c>
      <c r="K411" t="s">
        <v>619</v>
      </c>
      <c r="L411" t="s">
        <v>619</v>
      </c>
      <c r="M411" t="s">
        <v>619</v>
      </c>
    </row>
    <row r="412" spans="1:13" x14ac:dyDescent="0.25">
      <c r="A412">
        <f t="shared" si="6"/>
        <v>411</v>
      </c>
      <c r="B412" s="8" t="s">
        <v>2234</v>
      </c>
      <c r="C412" s="9">
        <v>45630</v>
      </c>
      <c r="D412" t="s">
        <v>2235</v>
      </c>
      <c r="E412" t="s">
        <v>2236</v>
      </c>
      <c r="F412" t="s">
        <v>2237</v>
      </c>
      <c r="G412" s="11" t="s">
        <v>928</v>
      </c>
      <c r="H412" s="59">
        <v>2468.6999999999998</v>
      </c>
      <c r="I412" s="11" t="s">
        <v>531</v>
      </c>
      <c r="J412" s="11" t="s">
        <v>2247</v>
      </c>
      <c r="K412" t="s">
        <v>619</v>
      </c>
      <c r="L412" t="s">
        <v>619</v>
      </c>
      <c r="M412" t="s">
        <v>619</v>
      </c>
    </row>
    <row r="413" spans="1:13" x14ac:dyDescent="0.25">
      <c r="A413" s="82">
        <f t="shared" si="6"/>
        <v>412</v>
      </c>
      <c r="B413" s="8" t="s">
        <v>2238</v>
      </c>
      <c r="C413" s="9">
        <v>45636</v>
      </c>
      <c r="D413" t="s">
        <v>2239</v>
      </c>
      <c r="E413" t="s">
        <v>2240</v>
      </c>
      <c r="F413" t="s">
        <v>2241</v>
      </c>
      <c r="G413" s="11" t="s">
        <v>118</v>
      </c>
      <c r="H413" s="59">
        <v>2082</v>
      </c>
      <c r="I413" s="11" t="s">
        <v>256</v>
      </c>
      <c r="J413" s="11" t="s">
        <v>1917</v>
      </c>
      <c r="K413" t="s">
        <v>619</v>
      </c>
      <c r="L413" t="s">
        <v>619</v>
      </c>
      <c r="M413" t="s">
        <v>619</v>
      </c>
    </row>
    <row r="414" spans="1:13" x14ac:dyDescent="0.25">
      <c r="A414" s="82">
        <f t="shared" si="6"/>
        <v>413</v>
      </c>
      <c r="B414" s="8" t="s">
        <v>2242</v>
      </c>
      <c r="C414" s="9">
        <v>45637</v>
      </c>
      <c r="D414" t="s">
        <v>2243</v>
      </c>
      <c r="E414" t="s">
        <v>2244</v>
      </c>
      <c r="F414" t="s">
        <v>2245</v>
      </c>
      <c r="G414" s="11" t="s">
        <v>118</v>
      </c>
      <c r="H414" s="59">
        <v>1246</v>
      </c>
      <c r="I414" s="11" t="s">
        <v>2246</v>
      </c>
      <c r="J414" s="11" t="s">
        <v>1259</v>
      </c>
      <c r="K414" t="s">
        <v>619</v>
      </c>
      <c r="L414" t="s">
        <v>619</v>
      </c>
      <c r="M414" t="s">
        <v>619</v>
      </c>
    </row>
    <row r="415" spans="1:13" x14ac:dyDescent="0.25">
      <c r="A415" s="82">
        <f t="shared" si="6"/>
        <v>414</v>
      </c>
      <c r="B415" s="8" t="s">
        <v>2248</v>
      </c>
      <c r="C415" s="9">
        <v>45635</v>
      </c>
      <c r="D415" t="s">
        <v>498</v>
      </c>
      <c r="E415" t="s">
        <v>499</v>
      </c>
      <c r="F415" t="s">
        <v>500</v>
      </c>
      <c r="G415" s="11" t="s">
        <v>118</v>
      </c>
      <c r="H415" s="59">
        <v>596.16</v>
      </c>
      <c r="I415" s="11" t="s">
        <v>402</v>
      </c>
      <c r="J415" s="11" t="s">
        <v>245</v>
      </c>
      <c r="K415" t="s">
        <v>619</v>
      </c>
      <c r="L415" t="s">
        <v>619</v>
      </c>
      <c r="M415" t="s">
        <v>619</v>
      </c>
    </row>
    <row r="416" spans="1:13" x14ac:dyDescent="0.25">
      <c r="A416" s="85">
        <f t="shared" si="6"/>
        <v>415</v>
      </c>
      <c r="B416" s="93" t="s">
        <v>2249</v>
      </c>
      <c r="C416" s="9">
        <v>45637</v>
      </c>
      <c r="D416" t="s">
        <v>2250</v>
      </c>
      <c r="E416" t="s">
        <v>2251</v>
      </c>
      <c r="F416" t="s">
        <v>2252</v>
      </c>
      <c r="G416" s="11" t="s">
        <v>195</v>
      </c>
      <c r="H416" s="59">
        <v>5659.21</v>
      </c>
      <c r="I416" s="11" t="s">
        <v>2253</v>
      </c>
      <c r="J416" s="11" t="s">
        <v>2254</v>
      </c>
      <c r="K416" t="s">
        <v>619</v>
      </c>
      <c r="L416" t="s">
        <v>619</v>
      </c>
      <c r="M416" t="s">
        <v>619</v>
      </c>
    </row>
    <row r="417" spans="1:13" x14ac:dyDescent="0.25">
      <c r="A417" s="82">
        <f t="shared" si="6"/>
        <v>416</v>
      </c>
      <c r="B417" s="93" t="s">
        <v>2255</v>
      </c>
      <c r="C417" s="9">
        <v>45639</v>
      </c>
      <c r="D417" t="s">
        <v>2256</v>
      </c>
      <c r="E417" t="s">
        <v>2257</v>
      </c>
      <c r="F417" t="s">
        <v>2258</v>
      </c>
      <c r="G417" s="11" t="s">
        <v>118</v>
      </c>
      <c r="H417" s="59">
        <v>1750</v>
      </c>
      <c r="I417" s="11" t="s">
        <v>2259</v>
      </c>
      <c r="J417" s="11" t="s">
        <v>2260</v>
      </c>
      <c r="K417" t="s">
        <v>619</v>
      </c>
      <c r="L417" t="s">
        <v>619</v>
      </c>
      <c r="M417" t="s">
        <v>619</v>
      </c>
    </row>
    <row r="418" spans="1:13" x14ac:dyDescent="0.25">
      <c r="A418" s="82">
        <f t="shared" si="6"/>
        <v>417</v>
      </c>
      <c r="B418" s="8" t="s">
        <v>2261</v>
      </c>
      <c r="C418" s="9">
        <v>45638</v>
      </c>
      <c r="D418" t="s">
        <v>2262</v>
      </c>
      <c r="E418" t="s">
        <v>2263</v>
      </c>
      <c r="F418" t="s">
        <v>2264</v>
      </c>
      <c r="G418" s="11" t="s">
        <v>118</v>
      </c>
      <c r="H418" s="59">
        <v>2853.2</v>
      </c>
      <c r="I418" s="11" t="s">
        <v>2265</v>
      </c>
      <c r="J418" s="11" t="s">
        <v>265</v>
      </c>
      <c r="K418" t="s">
        <v>619</v>
      </c>
      <c r="L418" t="s">
        <v>619</v>
      </c>
      <c r="M418" t="s">
        <v>619</v>
      </c>
    </row>
    <row r="419" spans="1:13" x14ac:dyDescent="0.25">
      <c r="A419">
        <f t="shared" si="6"/>
        <v>418</v>
      </c>
      <c r="B419" s="8" t="s">
        <v>2266</v>
      </c>
      <c r="C419" s="9">
        <v>45643</v>
      </c>
      <c r="D419" t="s">
        <v>2267</v>
      </c>
      <c r="E419" t="s">
        <v>2268</v>
      </c>
      <c r="F419" t="s">
        <v>2269</v>
      </c>
      <c r="G419" s="11" t="s">
        <v>195</v>
      </c>
      <c r="H419" s="59">
        <v>1043</v>
      </c>
      <c r="I419" s="11" t="s">
        <v>190</v>
      </c>
      <c r="J419" s="11" t="s">
        <v>2205</v>
      </c>
      <c r="K419" t="s">
        <v>619</v>
      </c>
      <c r="L419" t="s">
        <v>619</v>
      </c>
      <c r="M419" t="s">
        <v>619</v>
      </c>
    </row>
    <row r="420" spans="1:13" x14ac:dyDescent="0.25">
      <c r="A420">
        <f t="shared" si="6"/>
        <v>419</v>
      </c>
      <c r="B420" s="8" t="s">
        <v>2270</v>
      </c>
      <c r="C420" s="9">
        <v>45644</v>
      </c>
      <c r="D420" t="s">
        <v>2271</v>
      </c>
      <c r="E420" t="s">
        <v>2272</v>
      </c>
      <c r="F420" t="s">
        <v>2273</v>
      </c>
      <c r="G420" s="11" t="s">
        <v>195</v>
      </c>
      <c r="H420" s="59">
        <v>12567.44</v>
      </c>
      <c r="I420" s="11" t="s">
        <v>2274</v>
      </c>
      <c r="J420" s="11" t="s">
        <v>2275</v>
      </c>
      <c r="K420" t="s">
        <v>619</v>
      </c>
      <c r="L420" t="s">
        <v>619</v>
      </c>
      <c r="M420" t="s">
        <v>619</v>
      </c>
    </row>
    <row r="421" spans="1:13" x14ac:dyDescent="0.25">
      <c r="A421">
        <f t="shared" si="6"/>
        <v>420</v>
      </c>
      <c r="B421" s="8" t="s">
        <v>2276</v>
      </c>
      <c r="C421" s="9">
        <v>45642</v>
      </c>
      <c r="D421" t="s">
        <v>2277</v>
      </c>
      <c r="E421" t="s">
        <v>2278</v>
      </c>
      <c r="F421" t="s">
        <v>2279</v>
      </c>
      <c r="G421" s="11" t="s">
        <v>195</v>
      </c>
      <c r="H421" s="59">
        <v>6336.5</v>
      </c>
      <c r="I421" s="11" t="s">
        <v>2280</v>
      </c>
      <c r="J421" s="11" t="s">
        <v>216</v>
      </c>
      <c r="K421" t="s">
        <v>619</v>
      </c>
      <c r="L421" t="s">
        <v>619</v>
      </c>
      <c r="M421" t="s">
        <v>619</v>
      </c>
    </row>
    <row r="422" spans="1:13" x14ac:dyDescent="0.25">
      <c r="A422" s="82">
        <f t="shared" si="6"/>
        <v>421</v>
      </c>
      <c r="B422" s="8" t="s">
        <v>2281</v>
      </c>
      <c r="C422" s="9">
        <v>45643</v>
      </c>
      <c r="D422" t="s">
        <v>2282</v>
      </c>
      <c r="E422" t="s">
        <v>2283</v>
      </c>
      <c r="F422" t="s">
        <v>2284</v>
      </c>
      <c r="G422" s="11" t="s">
        <v>118</v>
      </c>
      <c r="H422" s="59">
        <v>1748</v>
      </c>
      <c r="I422" s="11" t="s">
        <v>2285</v>
      </c>
      <c r="J422" s="11" t="s">
        <v>265</v>
      </c>
      <c r="K422" t="s">
        <v>619</v>
      </c>
      <c r="L422" t="s">
        <v>619</v>
      </c>
      <c r="M422" t="s">
        <v>619</v>
      </c>
    </row>
    <row r="423" spans="1:13" x14ac:dyDescent="0.25">
      <c r="A423" s="82">
        <f t="shared" si="6"/>
        <v>422</v>
      </c>
      <c r="B423" s="8" t="s">
        <v>2286</v>
      </c>
      <c r="C423" s="9">
        <v>45645</v>
      </c>
      <c r="D423" t="s">
        <v>2287</v>
      </c>
      <c r="E423" t="s">
        <v>2288</v>
      </c>
      <c r="F423" t="s">
        <v>2289</v>
      </c>
      <c r="G423" s="11" t="s">
        <v>118</v>
      </c>
      <c r="H423" s="59">
        <v>1874</v>
      </c>
      <c r="I423" s="11" t="s">
        <v>2290</v>
      </c>
      <c r="J423" s="11" t="s">
        <v>236</v>
      </c>
      <c r="K423" t="s">
        <v>619</v>
      </c>
      <c r="L423" t="s">
        <v>619</v>
      </c>
      <c r="M423" t="s">
        <v>619</v>
      </c>
    </row>
    <row r="424" spans="1:13" x14ac:dyDescent="0.25">
      <c r="A424">
        <f t="shared" si="6"/>
        <v>423</v>
      </c>
      <c r="B424" s="8" t="s">
        <v>2291</v>
      </c>
      <c r="C424" s="9">
        <v>45645</v>
      </c>
      <c r="D424" t="s">
        <v>2292</v>
      </c>
      <c r="E424" t="s">
        <v>2293</v>
      </c>
      <c r="F424" t="s">
        <v>2294</v>
      </c>
      <c r="G424" s="11" t="s">
        <v>928</v>
      </c>
      <c r="H424" s="59">
        <v>986.1</v>
      </c>
      <c r="I424" s="11" t="s">
        <v>585</v>
      </c>
      <c r="J424" s="11" t="s">
        <v>502</v>
      </c>
      <c r="K424" t="s">
        <v>619</v>
      </c>
      <c r="L424" t="s">
        <v>619</v>
      </c>
      <c r="M424" t="s">
        <v>619</v>
      </c>
    </row>
    <row r="425" spans="1:13" x14ac:dyDescent="0.25">
      <c r="A425">
        <f t="shared" si="6"/>
        <v>424</v>
      </c>
      <c r="B425" s="8" t="s">
        <v>2296</v>
      </c>
      <c r="C425" s="9">
        <v>45646</v>
      </c>
      <c r="D425" t="s">
        <v>2297</v>
      </c>
      <c r="E425" t="s">
        <v>2298</v>
      </c>
      <c r="F425" t="s">
        <v>2299</v>
      </c>
      <c r="G425" s="11" t="s">
        <v>195</v>
      </c>
      <c r="H425" s="59">
        <v>1140.3</v>
      </c>
      <c r="I425" s="11" t="s">
        <v>488</v>
      </c>
      <c r="J425" s="11" t="s">
        <v>216</v>
      </c>
      <c r="K425" t="s">
        <v>619</v>
      </c>
      <c r="L425" t="s">
        <v>619</v>
      </c>
      <c r="M425" t="s">
        <v>619</v>
      </c>
    </row>
    <row r="426" spans="1:13" x14ac:dyDescent="0.25">
      <c r="A426">
        <f t="shared" si="6"/>
        <v>425</v>
      </c>
      <c r="B426" s="8" t="s">
        <v>2300</v>
      </c>
      <c r="C426" s="9">
        <v>45646</v>
      </c>
      <c r="D426" t="s">
        <v>2301</v>
      </c>
      <c r="E426" t="s">
        <v>2302</v>
      </c>
      <c r="F426" t="s">
        <v>2303</v>
      </c>
      <c r="G426" s="11" t="s">
        <v>195</v>
      </c>
      <c r="H426" s="59">
        <v>1038</v>
      </c>
      <c r="I426" s="11" t="s">
        <v>585</v>
      </c>
      <c r="J426" s="11" t="s">
        <v>236</v>
      </c>
      <c r="K426" t="s">
        <v>619</v>
      </c>
      <c r="L426" t="s">
        <v>619</v>
      </c>
      <c r="M426" t="s">
        <v>619</v>
      </c>
    </row>
    <row r="427" spans="1:13" x14ac:dyDescent="0.25">
      <c r="A427" s="82">
        <f t="shared" si="6"/>
        <v>426</v>
      </c>
      <c r="B427" s="8" t="s">
        <v>2304</v>
      </c>
      <c r="C427" s="9">
        <v>45646</v>
      </c>
      <c r="D427" t="s">
        <v>1293</v>
      </c>
      <c r="E427" t="s">
        <v>1294</v>
      </c>
      <c r="F427" t="s">
        <v>1295</v>
      </c>
      <c r="G427" s="11" t="s">
        <v>118</v>
      </c>
      <c r="H427" s="59">
        <v>954</v>
      </c>
      <c r="I427" s="11" t="s">
        <v>2305</v>
      </c>
      <c r="J427" s="11" t="s">
        <v>2310</v>
      </c>
      <c r="K427" t="s">
        <v>619</v>
      </c>
      <c r="L427" t="s">
        <v>619</v>
      </c>
      <c r="M427" t="s">
        <v>619</v>
      </c>
    </row>
    <row r="428" spans="1:13" x14ac:dyDescent="0.25">
      <c r="A428" s="82">
        <f t="shared" si="6"/>
        <v>427</v>
      </c>
      <c r="B428" s="8" t="s">
        <v>2306</v>
      </c>
      <c r="C428" s="9">
        <v>45640</v>
      </c>
      <c r="D428" t="s">
        <v>2307</v>
      </c>
      <c r="E428" t="s">
        <v>2308</v>
      </c>
      <c r="F428" t="s">
        <v>2309</v>
      </c>
      <c r="G428" s="11" t="s">
        <v>118</v>
      </c>
      <c r="H428" s="59">
        <v>1257</v>
      </c>
      <c r="I428" s="11" t="s">
        <v>597</v>
      </c>
      <c r="J428" s="11" t="s">
        <v>236</v>
      </c>
      <c r="K428" t="s">
        <v>619</v>
      </c>
      <c r="L428" t="s">
        <v>619</v>
      </c>
      <c r="M428" t="s">
        <v>619</v>
      </c>
    </row>
    <row r="429" spans="1:13" x14ac:dyDescent="0.25">
      <c r="A429" s="83">
        <f t="shared" si="6"/>
        <v>428</v>
      </c>
      <c r="B429" s="8" t="s">
        <v>2311</v>
      </c>
      <c r="C429" s="9">
        <v>45654</v>
      </c>
      <c r="D429" t="s">
        <v>900</v>
      </c>
      <c r="E429" t="s">
        <v>901</v>
      </c>
      <c r="F429" t="s">
        <v>2312</v>
      </c>
      <c r="G429" s="11" t="s">
        <v>118</v>
      </c>
      <c r="H429" s="59">
        <v>1182.04</v>
      </c>
      <c r="I429" s="11" t="s">
        <v>2313</v>
      </c>
      <c r="J429" s="11" t="s">
        <v>1950</v>
      </c>
      <c r="K429" t="s">
        <v>619</v>
      </c>
      <c r="L429" t="s">
        <v>619</v>
      </c>
      <c r="M429" t="s">
        <v>619</v>
      </c>
    </row>
    <row r="430" spans="1:13" x14ac:dyDescent="0.25">
      <c r="A430" s="82">
        <f t="shared" si="6"/>
        <v>429</v>
      </c>
      <c r="B430" s="8" t="s">
        <v>2314</v>
      </c>
      <c r="C430" s="9">
        <v>45653</v>
      </c>
      <c r="D430" t="s">
        <v>2315</v>
      </c>
      <c r="E430" t="s">
        <v>2316</v>
      </c>
      <c r="F430" t="s">
        <v>2317</v>
      </c>
      <c r="G430" s="11" t="s">
        <v>118</v>
      </c>
      <c r="H430" s="59">
        <v>1914.24</v>
      </c>
      <c r="I430" s="11" t="s">
        <v>2318</v>
      </c>
      <c r="J430" s="11" t="s">
        <v>1259</v>
      </c>
      <c r="K430" t="s">
        <v>619</v>
      </c>
      <c r="L430" t="s">
        <v>619</v>
      </c>
      <c r="M430" t="s">
        <v>619</v>
      </c>
    </row>
    <row r="431" spans="1:13" x14ac:dyDescent="0.25">
      <c r="A431" s="85">
        <f t="shared" si="6"/>
        <v>430</v>
      </c>
      <c r="B431" s="8" t="s">
        <v>2319</v>
      </c>
      <c r="C431" s="9">
        <v>45656</v>
      </c>
      <c r="D431" t="s">
        <v>2320</v>
      </c>
      <c r="E431" t="s">
        <v>2321</v>
      </c>
      <c r="F431" t="s">
        <v>2322</v>
      </c>
      <c r="G431" s="11" t="s">
        <v>195</v>
      </c>
      <c r="H431" s="59">
        <v>3991.56</v>
      </c>
      <c r="I431" s="11" t="s">
        <v>2323</v>
      </c>
      <c r="J431" s="11" t="s">
        <v>2330</v>
      </c>
      <c r="K431" t="s">
        <v>619</v>
      </c>
      <c r="L431" t="s">
        <v>619</v>
      </c>
      <c r="M431" t="s">
        <v>619</v>
      </c>
    </row>
    <row r="432" spans="1:13" x14ac:dyDescent="0.25">
      <c r="A432" s="84">
        <f t="shared" si="6"/>
        <v>431</v>
      </c>
      <c r="B432" s="8" t="s">
        <v>2324</v>
      </c>
      <c r="C432" s="9">
        <v>45653</v>
      </c>
      <c r="D432" t="s">
        <v>2325</v>
      </c>
      <c r="E432" t="s">
        <v>2326</v>
      </c>
      <c r="F432" t="s">
        <v>2327</v>
      </c>
      <c r="G432" s="11" t="s">
        <v>118</v>
      </c>
      <c r="H432" s="59">
        <v>743.27</v>
      </c>
      <c r="I432" s="11" t="s">
        <v>2328</v>
      </c>
      <c r="J432" s="11" t="s">
        <v>2329</v>
      </c>
      <c r="K432" t="s">
        <v>619</v>
      </c>
      <c r="L432" t="s">
        <v>619</v>
      </c>
      <c r="M432" t="s">
        <v>619</v>
      </c>
    </row>
    <row r="433" spans="1:13" x14ac:dyDescent="0.25">
      <c r="A433" s="82">
        <f t="shared" si="6"/>
        <v>432</v>
      </c>
      <c r="B433" s="8" t="s">
        <v>2331</v>
      </c>
      <c r="C433" s="9">
        <v>45656</v>
      </c>
      <c r="D433" t="s">
        <v>1816</v>
      </c>
      <c r="E433" t="s">
        <v>1817</v>
      </c>
      <c r="F433" t="s">
        <v>1818</v>
      </c>
      <c r="G433" s="11" t="s">
        <v>118</v>
      </c>
      <c r="H433" s="59">
        <v>1995</v>
      </c>
      <c r="I433" s="11" t="s">
        <v>2332</v>
      </c>
      <c r="J433" s="11" t="s">
        <v>228</v>
      </c>
      <c r="K433" t="s">
        <v>619</v>
      </c>
      <c r="L433" t="s">
        <v>619</v>
      </c>
      <c r="M433" t="s">
        <v>619</v>
      </c>
    </row>
    <row r="434" spans="1:13" x14ac:dyDescent="0.25">
      <c r="A434">
        <f t="shared" si="6"/>
        <v>433</v>
      </c>
    </row>
    <row r="435" spans="1:13" x14ac:dyDescent="0.25">
      <c r="A435">
        <f t="shared" si="6"/>
        <v>434</v>
      </c>
    </row>
    <row r="436" spans="1:13" x14ac:dyDescent="0.25">
      <c r="A436">
        <f t="shared" si="6"/>
        <v>435</v>
      </c>
    </row>
    <row r="437" spans="1:13" x14ac:dyDescent="0.25">
      <c r="A437">
        <f t="shared" si="6"/>
        <v>436</v>
      </c>
    </row>
    <row r="438" spans="1:13" x14ac:dyDescent="0.25">
      <c r="A438">
        <f t="shared" si="6"/>
        <v>437</v>
      </c>
    </row>
    <row r="439" spans="1:13" x14ac:dyDescent="0.25">
      <c r="A439">
        <f t="shared" si="6"/>
        <v>438</v>
      </c>
    </row>
    <row r="440" spans="1:13" x14ac:dyDescent="0.25">
      <c r="A440">
        <f t="shared" si="6"/>
        <v>439</v>
      </c>
    </row>
    <row r="441" spans="1:13" x14ac:dyDescent="0.25">
      <c r="A441">
        <f t="shared" si="6"/>
        <v>440</v>
      </c>
    </row>
    <row r="442" spans="1:13" x14ac:dyDescent="0.25">
      <c r="A442">
        <f t="shared" si="6"/>
        <v>441</v>
      </c>
    </row>
    <row r="443" spans="1:13" x14ac:dyDescent="0.25">
      <c r="A443">
        <f t="shared" si="6"/>
        <v>442</v>
      </c>
    </row>
    <row r="444" spans="1:13" x14ac:dyDescent="0.25">
      <c r="A444">
        <f t="shared" si="6"/>
        <v>443</v>
      </c>
    </row>
    <row r="445" spans="1:13" x14ac:dyDescent="0.25">
      <c r="A445">
        <f t="shared" si="6"/>
        <v>444</v>
      </c>
    </row>
    <row r="446" spans="1:13" x14ac:dyDescent="0.25">
      <c r="A446">
        <f t="shared" si="6"/>
        <v>445</v>
      </c>
    </row>
    <row r="447" spans="1:13" x14ac:dyDescent="0.25">
      <c r="A447">
        <f t="shared" si="6"/>
        <v>446</v>
      </c>
    </row>
    <row r="448" spans="1:13" x14ac:dyDescent="0.25">
      <c r="A448">
        <f t="shared" si="6"/>
        <v>447</v>
      </c>
    </row>
    <row r="449" spans="1:1" x14ac:dyDescent="0.25">
      <c r="A449">
        <f t="shared" si="6"/>
        <v>448</v>
      </c>
    </row>
    <row r="450" spans="1:1" x14ac:dyDescent="0.25">
      <c r="A450">
        <f t="shared" si="6"/>
        <v>449</v>
      </c>
    </row>
    <row r="451" spans="1:1" x14ac:dyDescent="0.25">
      <c r="A451">
        <f t="shared" si="6"/>
        <v>450</v>
      </c>
    </row>
    <row r="452" spans="1:1" x14ac:dyDescent="0.25">
      <c r="A452">
        <f t="shared" ref="A452:A515" si="7">A451+1</f>
        <v>451</v>
      </c>
    </row>
    <row r="453" spans="1:1" x14ac:dyDescent="0.25">
      <c r="A453">
        <f t="shared" si="7"/>
        <v>452</v>
      </c>
    </row>
    <row r="454" spans="1:1" x14ac:dyDescent="0.25">
      <c r="A454">
        <f t="shared" si="7"/>
        <v>453</v>
      </c>
    </row>
    <row r="455" spans="1:1" x14ac:dyDescent="0.25">
      <c r="A455">
        <f t="shared" si="7"/>
        <v>454</v>
      </c>
    </row>
    <row r="456" spans="1:1" x14ac:dyDescent="0.25">
      <c r="A456">
        <f t="shared" si="7"/>
        <v>455</v>
      </c>
    </row>
    <row r="457" spans="1:1" x14ac:dyDescent="0.25">
      <c r="A457">
        <f t="shared" si="7"/>
        <v>456</v>
      </c>
    </row>
    <row r="458" spans="1:1" x14ac:dyDescent="0.25">
      <c r="A458">
        <f t="shared" si="7"/>
        <v>457</v>
      </c>
    </row>
    <row r="459" spans="1:1" x14ac:dyDescent="0.25">
      <c r="A459">
        <f t="shared" si="7"/>
        <v>458</v>
      </c>
    </row>
    <row r="460" spans="1:1" x14ac:dyDescent="0.25">
      <c r="A460">
        <f t="shared" si="7"/>
        <v>459</v>
      </c>
    </row>
    <row r="461" spans="1:1" x14ac:dyDescent="0.25">
      <c r="A461">
        <f t="shared" si="7"/>
        <v>460</v>
      </c>
    </row>
    <row r="462" spans="1:1" x14ac:dyDescent="0.25">
      <c r="A462">
        <f t="shared" si="7"/>
        <v>461</v>
      </c>
    </row>
    <row r="463" spans="1:1" x14ac:dyDescent="0.25">
      <c r="A463">
        <f t="shared" si="7"/>
        <v>462</v>
      </c>
    </row>
    <row r="464" spans="1:1" x14ac:dyDescent="0.25">
      <c r="A464">
        <f t="shared" si="7"/>
        <v>463</v>
      </c>
    </row>
    <row r="465" spans="1:1" x14ac:dyDescent="0.25">
      <c r="A465">
        <f t="shared" si="7"/>
        <v>464</v>
      </c>
    </row>
    <row r="466" spans="1:1" x14ac:dyDescent="0.25">
      <c r="A466">
        <f t="shared" si="7"/>
        <v>465</v>
      </c>
    </row>
    <row r="467" spans="1:1" x14ac:dyDescent="0.25">
      <c r="A467">
        <f t="shared" si="7"/>
        <v>466</v>
      </c>
    </row>
    <row r="468" spans="1:1" x14ac:dyDescent="0.25">
      <c r="A468">
        <f t="shared" si="7"/>
        <v>467</v>
      </c>
    </row>
    <row r="469" spans="1:1" x14ac:dyDescent="0.25">
      <c r="A469">
        <f t="shared" si="7"/>
        <v>468</v>
      </c>
    </row>
    <row r="470" spans="1:1" x14ac:dyDescent="0.25">
      <c r="A470">
        <f t="shared" si="7"/>
        <v>469</v>
      </c>
    </row>
    <row r="471" spans="1:1" x14ac:dyDescent="0.25">
      <c r="A471">
        <f t="shared" si="7"/>
        <v>470</v>
      </c>
    </row>
    <row r="472" spans="1:1" x14ac:dyDescent="0.25">
      <c r="A472">
        <f t="shared" si="7"/>
        <v>471</v>
      </c>
    </row>
    <row r="473" spans="1:1" x14ac:dyDescent="0.25">
      <c r="A473">
        <f t="shared" si="7"/>
        <v>472</v>
      </c>
    </row>
    <row r="474" spans="1:1" x14ac:dyDescent="0.25">
      <c r="A474">
        <f t="shared" si="7"/>
        <v>473</v>
      </c>
    </row>
    <row r="475" spans="1:1" x14ac:dyDescent="0.25">
      <c r="A475">
        <f t="shared" si="7"/>
        <v>474</v>
      </c>
    </row>
    <row r="476" spans="1:1" x14ac:dyDescent="0.25">
      <c r="A476">
        <f t="shared" si="7"/>
        <v>475</v>
      </c>
    </row>
    <row r="477" spans="1:1" x14ac:dyDescent="0.25">
      <c r="A477">
        <f t="shared" si="7"/>
        <v>476</v>
      </c>
    </row>
    <row r="478" spans="1:1" x14ac:dyDescent="0.25">
      <c r="A478">
        <f t="shared" si="7"/>
        <v>477</v>
      </c>
    </row>
    <row r="479" spans="1:1" x14ac:dyDescent="0.25">
      <c r="A479">
        <f t="shared" si="7"/>
        <v>478</v>
      </c>
    </row>
    <row r="480" spans="1:1" x14ac:dyDescent="0.25">
      <c r="A480">
        <f t="shared" si="7"/>
        <v>479</v>
      </c>
    </row>
    <row r="481" spans="1:1" x14ac:dyDescent="0.25">
      <c r="A481">
        <f t="shared" si="7"/>
        <v>480</v>
      </c>
    </row>
    <row r="482" spans="1:1" x14ac:dyDescent="0.25">
      <c r="A482">
        <f t="shared" si="7"/>
        <v>481</v>
      </c>
    </row>
    <row r="483" spans="1:1" x14ac:dyDescent="0.25">
      <c r="A483">
        <f t="shared" si="7"/>
        <v>482</v>
      </c>
    </row>
    <row r="484" spans="1:1" x14ac:dyDescent="0.25">
      <c r="A484">
        <f t="shared" si="7"/>
        <v>483</v>
      </c>
    </row>
    <row r="485" spans="1:1" x14ac:dyDescent="0.25">
      <c r="A485">
        <f t="shared" si="7"/>
        <v>484</v>
      </c>
    </row>
    <row r="486" spans="1:1" x14ac:dyDescent="0.25">
      <c r="A486">
        <f t="shared" si="7"/>
        <v>485</v>
      </c>
    </row>
    <row r="487" spans="1:1" x14ac:dyDescent="0.25">
      <c r="A487">
        <f t="shared" si="7"/>
        <v>486</v>
      </c>
    </row>
    <row r="488" spans="1:1" x14ac:dyDescent="0.25">
      <c r="A488">
        <f t="shared" si="7"/>
        <v>487</v>
      </c>
    </row>
    <row r="489" spans="1:1" x14ac:dyDescent="0.25">
      <c r="A489">
        <f t="shared" si="7"/>
        <v>488</v>
      </c>
    </row>
    <row r="490" spans="1:1" x14ac:dyDescent="0.25">
      <c r="A490">
        <f t="shared" si="7"/>
        <v>489</v>
      </c>
    </row>
    <row r="491" spans="1:1" x14ac:dyDescent="0.25">
      <c r="A491">
        <f t="shared" si="7"/>
        <v>490</v>
      </c>
    </row>
    <row r="492" spans="1:1" x14ac:dyDescent="0.25">
      <c r="A492">
        <f t="shared" si="7"/>
        <v>491</v>
      </c>
    </row>
    <row r="493" spans="1:1" x14ac:dyDescent="0.25">
      <c r="A493">
        <f t="shared" si="7"/>
        <v>492</v>
      </c>
    </row>
    <row r="494" spans="1:1" x14ac:dyDescent="0.25">
      <c r="A494">
        <f t="shared" si="7"/>
        <v>493</v>
      </c>
    </row>
    <row r="495" spans="1:1" x14ac:dyDescent="0.25">
      <c r="A495">
        <f t="shared" si="7"/>
        <v>494</v>
      </c>
    </row>
    <row r="496" spans="1:1" x14ac:dyDescent="0.25">
      <c r="A496">
        <f t="shared" si="7"/>
        <v>495</v>
      </c>
    </row>
    <row r="497" spans="1:1" x14ac:dyDescent="0.25">
      <c r="A497">
        <f t="shared" si="7"/>
        <v>496</v>
      </c>
    </row>
    <row r="498" spans="1:1" x14ac:dyDescent="0.25">
      <c r="A498">
        <f t="shared" si="7"/>
        <v>497</v>
      </c>
    </row>
    <row r="499" spans="1:1" x14ac:dyDescent="0.25">
      <c r="A499">
        <f t="shared" si="7"/>
        <v>498</v>
      </c>
    </row>
    <row r="500" spans="1:1" x14ac:dyDescent="0.25">
      <c r="A500">
        <f t="shared" si="7"/>
        <v>499</v>
      </c>
    </row>
    <row r="501" spans="1:1" x14ac:dyDescent="0.25">
      <c r="A501">
        <f t="shared" si="7"/>
        <v>500</v>
      </c>
    </row>
    <row r="502" spans="1:1" x14ac:dyDescent="0.25">
      <c r="A502">
        <f t="shared" si="7"/>
        <v>501</v>
      </c>
    </row>
    <row r="503" spans="1:1" x14ac:dyDescent="0.25">
      <c r="A503">
        <f t="shared" si="7"/>
        <v>502</v>
      </c>
    </row>
    <row r="504" spans="1:1" x14ac:dyDescent="0.25">
      <c r="A504">
        <f t="shared" si="7"/>
        <v>503</v>
      </c>
    </row>
    <row r="505" spans="1:1" x14ac:dyDescent="0.25">
      <c r="A505">
        <f t="shared" si="7"/>
        <v>504</v>
      </c>
    </row>
    <row r="506" spans="1:1" x14ac:dyDescent="0.25">
      <c r="A506">
        <f t="shared" si="7"/>
        <v>505</v>
      </c>
    </row>
    <row r="507" spans="1:1" x14ac:dyDescent="0.25">
      <c r="A507">
        <f t="shared" si="7"/>
        <v>506</v>
      </c>
    </row>
    <row r="508" spans="1:1" x14ac:dyDescent="0.25">
      <c r="A508">
        <f t="shared" si="7"/>
        <v>507</v>
      </c>
    </row>
    <row r="509" spans="1:1" x14ac:dyDescent="0.25">
      <c r="A509">
        <f t="shared" si="7"/>
        <v>508</v>
      </c>
    </row>
    <row r="510" spans="1:1" x14ac:dyDescent="0.25">
      <c r="A510">
        <f t="shared" si="7"/>
        <v>509</v>
      </c>
    </row>
    <row r="511" spans="1:1" x14ac:dyDescent="0.25">
      <c r="A511">
        <f t="shared" si="7"/>
        <v>510</v>
      </c>
    </row>
    <row r="512" spans="1:1" x14ac:dyDescent="0.25">
      <c r="A512">
        <f t="shared" si="7"/>
        <v>511</v>
      </c>
    </row>
    <row r="513" spans="1:1" x14ac:dyDescent="0.25">
      <c r="A513">
        <f t="shared" si="7"/>
        <v>512</v>
      </c>
    </row>
    <row r="514" spans="1:1" x14ac:dyDescent="0.25">
      <c r="A514">
        <f t="shared" si="7"/>
        <v>513</v>
      </c>
    </row>
    <row r="515" spans="1:1" x14ac:dyDescent="0.25">
      <c r="A515">
        <f t="shared" si="7"/>
        <v>514</v>
      </c>
    </row>
    <row r="516" spans="1:1" x14ac:dyDescent="0.25">
      <c r="A516">
        <f t="shared" ref="A516:A579" si="8">A515+1</f>
        <v>515</v>
      </c>
    </row>
    <row r="517" spans="1:1" x14ac:dyDescent="0.25">
      <c r="A517">
        <f t="shared" si="8"/>
        <v>516</v>
      </c>
    </row>
    <row r="518" spans="1:1" x14ac:dyDescent="0.25">
      <c r="A518">
        <f t="shared" si="8"/>
        <v>517</v>
      </c>
    </row>
    <row r="519" spans="1:1" x14ac:dyDescent="0.25">
      <c r="A519">
        <f t="shared" si="8"/>
        <v>518</v>
      </c>
    </row>
    <row r="520" spans="1:1" x14ac:dyDescent="0.25">
      <c r="A520">
        <f t="shared" si="8"/>
        <v>519</v>
      </c>
    </row>
    <row r="521" spans="1:1" x14ac:dyDescent="0.25">
      <c r="A521">
        <f t="shared" si="8"/>
        <v>520</v>
      </c>
    </row>
    <row r="522" spans="1:1" x14ac:dyDescent="0.25">
      <c r="A522">
        <f t="shared" si="8"/>
        <v>521</v>
      </c>
    </row>
    <row r="523" spans="1:1" x14ac:dyDescent="0.25">
      <c r="A523">
        <f t="shared" si="8"/>
        <v>522</v>
      </c>
    </row>
    <row r="524" spans="1:1" x14ac:dyDescent="0.25">
      <c r="A524">
        <f t="shared" si="8"/>
        <v>523</v>
      </c>
    </row>
    <row r="525" spans="1:1" x14ac:dyDescent="0.25">
      <c r="A525">
        <f t="shared" si="8"/>
        <v>524</v>
      </c>
    </row>
    <row r="526" spans="1:1" x14ac:dyDescent="0.25">
      <c r="A526">
        <f t="shared" si="8"/>
        <v>525</v>
      </c>
    </row>
    <row r="527" spans="1:1" x14ac:dyDescent="0.25">
      <c r="A527">
        <f t="shared" si="8"/>
        <v>526</v>
      </c>
    </row>
    <row r="528" spans="1:1" x14ac:dyDescent="0.25">
      <c r="A528">
        <f t="shared" si="8"/>
        <v>527</v>
      </c>
    </row>
    <row r="529" spans="1:1" x14ac:dyDescent="0.25">
      <c r="A529">
        <f t="shared" si="8"/>
        <v>528</v>
      </c>
    </row>
    <row r="530" spans="1:1" x14ac:dyDescent="0.25">
      <c r="A530">
        <f t="shared" si="8"/>
        <v>529</v>
      </c>
    </row>
    <row r="531" spans="1:1" x14ac:dyDescent="0.25">
      <c r="A531">
        <f t="shared" si="8"/>
        <v>530</v>
      </c>
    </row>
    <row r="532" spans="1:1" x14ac:dyDescent="0.25">
      <c r="A532">
        <f t="shared" si="8"/>
        <v>531</v>
      </c>
    </row>
    <row r="533" spans="1:1" x14ac:dyDescent="0.25">
      <c r="A533">
        <f t="shared" si="8"/>
        <v>532</v>
      </c>
    </row>
    <row r="534" spans="1:1" x14ac:dyDescent="0.25">
      <c r="A534">
        <f t="shared" si="8"/>
        <v>533</v>
      </c>
    </row>
    <row r="535" spans="1:1" x14ac:dyDescent="0.25">
      <c r="A535">
        <f t="shared" si="8"/>
        <v>534</v>
      </c>
    </row>
    <row r="536" spans="1:1" x14ac:dyDescent="0.25">
      <c r="A536">
        <f t="shared" si="8"/>
        <v>535</v>
      </c>
    </row>
    <row r="537" spans="1:1" x14ac:dyDescent="0.25">
      <c r="A537">
        <f t="shared" si="8"/>
        <v>536</v>
      </c>
    </row>
    <row r="538" spans="1:1" x14ac:dyDescent="0.25">
      <c r="A538">
        <f t="shared" si="8"/>
        <v>537</v>
      </c>
    </row>
    <row r="539" spans="1:1" x14ac:dyDescent="0.25">
      <c r="A539">
        <f t="shared" si="8"/>
        <v>538</v>
      </c>
    </row>
    <row r="540" spans="1:1" x14ac:dyDescent="0.25">
      <c r="A540">
        <f t="shared" si="8"/>
        <v>539</v>
      </c>
    </row>
    <row r="541" spans="1:1" x14ac:dyDescent="0.25">
      <c r="A541">
        <f t="shared" si="8"/>
        <v>540</v>
      </c>
    </row>
    <row r="542" spans="1:1" x14ac:dyDescent="0.25">
      <c r="A542">
        <f t="shared" si="8"/>
        <v>541</v>
      </c>
    </row>
    <row r="543" spans="1:1" x14ac:dyDescent="0.25">
      <c r="A543">
        <f t="shared" si="8"/>
        <v>542</v>
      </c>
    </row>
    <row r="544" spans="1:1" x14ac:dyDescent="0.25">
      <c r="A544">
        <f t="shared" si="8"/>
        <v>543</v>
      </c>
    </row>
    <row r="545" spans="1:1" x14ac:dyDescent="0.25">
      <c r="A545">
        <f t="shared" si="8"/>
        <v>544</v>
      </c>
    </row>
    <row r="546" spans="1:1" x14ac:dyDescent="0.25">
      <c r="A546">
        <f t="shared" si="8"/>
        <v>545</v>
      </c>
    </row>
    <row r="547" spans="1:1" x14ac:dyDescent="0.25">
      <c r="A547">
        <f t="shared" si="8"/>
        <v>546</v>
      </c>
    </row>
    <row r="548" spans="1:1" x14ac:dyDescent="0.25">
      <c r="A548">
        <f t="shared" si="8"/>
        <v>547</v>
      </c>
    </row>
    <row r="549" spans="1:1" x14ac:dyDescent="0.25">
      <c r="A549">
        <f t="shared" si="8"/>
        <v>548</v>
      </c>
    </row>
    <row r="550" spans="1:1" x14ac:dyDescent="0.25">
      <c r="A550">
        <f t="shared" si="8"/>
        <v>549</v>
      </c>
    </row>
    <row r="551" spans="1:1" x14ac:dyDescent="0.25">
      <c r="A551">
        <f t="shared" si="8"/>
        <v>550</v>
      </c>
    </row>
    <row r="552" spans="1:1" x14ac:dyDescent="0.25">
      <c r="A552">
        <f t="shared" si="8"/>
        <v>551</v>
      </c>
    </row>
    <row r="553" spans="1:1" x14ac:dyDescent="0.25">
      <c r="A553">
        <f t="shared" si="8"/>
        <v>552</v>
      </c>
    </row>
    <row r="554" spans="1:1" x14ac:dyDescent="0.25">
      <c r="A554">
        <f t="shared" si="8"/>
        <v>553</v>
      </c>
    </row>
    <row r="555" spans="1:1" x14ac:dyDescent="0.25">
      <c r="A555">
        <f t="shared" si="8"/>
        <v>554</v>
      </c>
    </row>
    <row r="556" spans="1:1" x14ac:dyDescent="0.25">
      <c r="A556">
        <f t="shared" si="8"/>
        <v>555</v>
      </c>
    </row>
    <row r="557" spans="1:1" x14ac:dyDescent="0.25">
      <c r="A557">
        <f t="shared" si="8"/>
        <v>556</v>
      </c>
    </row>
    <row r="558" spans="1:1" x14ac:dyDescent="0.25">
      <c r="A558">
        <f t="shared" si="8"/>
        <v>557</v>
      </c>
    </row>
    <row r="559" spans="1:1" x14ac:dyDescent="0.25">
      <c r="A559">
        <f t="shared" si="8"/>
        <v>558</v>
      </c>
    </row>
    <row r="560" spans="1:1" x14ac:dyDescent="0.25">
      <c r="A560">
        <f t="shared" si="8"/>
        <v>559</v>
      </c>
    </row>
    <row r="561" spans="1:1" x14ac:dyDescent="0.25">
      <c r="A561">
        <f t="shared" si="8"/>
        <v>560</v>
      </c>
    </row>
    <row r="562" spans="1:1" x14ac:dyDescent="0.25">
      <c r="A562">
        <f t="shared" si="8"/>
        <v>561</v>
      </c>
    </row>
    <row r="563" spans="1:1" x14ac:dyDescent="0.25">
      <c r="A563">
        <f t="shared" si="8"/>
        <v>562</v>
      </c>
    </row>
    <row r="564" spans="1:1" x14ac:dyDescent="0.25">
      <c r="A564">
        <f t="shared" si="8"/>
        <v>563</v>
      </c>
    </row>
    <row r="565" spans="1:1" x14ac:dyDescent="0.25">
      <c r="A565">
        <f t="shared" si="8"/>
        <v>564</v>
      </c>
    </row>
    <row r="566" spans="1:1" x14ac:dyDescent="0.25">
      <c r="A566">
        <f t="shared" si="8"/>
        <v>565</v>
      </c>
    </row>
    <row r="567" spans="1:1" x14ac:dyDescent="0.25">
      <c r="A567">
        <f t="shared" si="8"/>
        <v>566</v>
      </c>
    </row>
    <row r="568" spans="1:1" x14ac:dyDescent="0.25">
      <c r="A568">
        <f t="shared" si="8"/>
        <v>567</v>
      </c>
    </row>
    <row r="569" spans="1:1" x14ac:dyDescent="0.25">
      <c r="A569">
        <f t="shared" si="8"/>
        <v>568</v>
      </c>
    </row>
    <row r="570" spans="1:1" x14ac:dyDescent="0.25">
      <c r="A570">
        <f t="shared" si="8"/>
        <v>569</v>
      </c>
    </row>
    <row r="571" spans="1:1" x14ac:dyDescent="0.25">
      <c r="A571">
        <f t="shared" si="8"/>
        <v>570</v>
      </c>
    </row>
    <row r="572" spans="1:1" x14ac:dyDescent="0.25">
      <c r="A572">
        <f t="shared" si="8"/>
        <v>571</v>
      </c>
    </row>
    <row r="573" spans="1:1" x14ac:dyDescent="0.25">
      <c r="A573">
        <f t="shared" si="8"/>
        <v>572</v>
      </c>
    </row>
    <row r="574" spans="1:1" x14ac:dyDescent="0.25">
      <c r="A574">
        <f t="shared" si="8"/>
        <v>573</v>
      </c>
    </row>
    <row r="575" spans="1:1" x14ac:dyDescent="0.25">
      <c r="A575">
        <f t="shared" si="8"/>
        <v>574</v>
      </c>
    </row>
    <row r="576" spans="1:1" x14ac:dyDescent="0.25">
      <c r="A576">
        <f t="shared" si="8"/>
        <v>575</v>
      </c>
    </row>
    <row r="577" spans="1:1" x14ac:dyDescent="0.25">
      <c r="A577">
        <f t="shared" si="8"/>
        <v>576</v>
      </c>
    </row>
    <row r="578" spans="1:1" x14ac:dyDescent="0.25">
      <c r="A578">
        <f t="shared" si="8"/>
        <v>577</v>
      </c>
    </row>
    <row r="579" spans="1:1" x14ac:dyDescent="0.25">
      <c r="A579">
        <f t="shared" si="8"/>
        <v>578</v>
      </c>
    </row>
    <row r="580" spans="1:1" x14ac:dyDescent="0.25">
      <c r="A580">
        <f t="shared" ref="A580:A643" si="9">A579+1</f>
        <v>579</v>
      </c>
    </row>
    <row r="581" spans="1:1" x14ac:dyDescent="0.25">
      <c r="A581">
        <f t="shared" si="9"/>
        <v>580</v>
      </c>
    </row>
    <row r="582" spans="1:1" x14ac:dyDescent="0.25">
      <c r="A582">
        <f t="shared" si="9"/>
        <v>581</v>
      </c>
    </row>
    <row r="583" spans="1:1" x14ac:dyDescent="0.25">
      <c r="A583">
        <f t="shared" si="9"/>
        <v>582</v>
      </c>
    </row>
    <row r="584" spans="1:1" x14ac:dyDescent="0.25">
      <c r="A584">
        <f t="shared" si="9"/>
        <v>583</v>
      </c>
    </row>
    <row r="585" spans="1:1" x14ac:dyDescent="0.25">
      <c r="A585">
        <f t="shared" si="9"/>
        <v>584</v>
      </c>
    </row>
    <row r="586" spans="1:1" x14ac:dyDescent="0.25">
      <c r="A586">
        <f t="shared" si="9"/>
        <v>585</v>
      </c>
    </row>
    <row r="587" spans="1:1" x14ac:dyDescent="0.25">
      <c r="A587">
        <f t="shared" si="9"/>
        <v>586</v>
      </c>
    </row>
    <row r="588" spans="1:1" x14ac:dyDescent="0.25">
      <c r="A588">
        <f t="shared" si="9"/>
        <v>587</v>
      </c>
    </row>
    <row r="589" spans="1:1" x14ac:dyDescent="0.25">
      <c r="A589">
        <f t="shared" si="9"/>
        <v>588</v>
      </c>
    </row>
    <row r="590" spans="1:1" x14ac:dyDescent="0.25">
      <c r="A590">
        <f t="shared" si="9"/>
        <v>589</v>
      </c>
    </row>
    <row r="591" spans="1:1" x14ac:dyDescent="0.25">
      <c r="A591">
        <f t="shared" si="9"/>
        <v>590</v>
      </c>
    </row>
    <row r="592" spans="1:1" x14ac:dyDescent="0.25">
      <c r="A592">
        <f t="shared" si="9"/>
        <v>591</v>
      </c>
    </row>
    <row r="593" spans="1:1" x14ac:dyDescent="0.25">
      <c r="A593">
        <f t="shared" si="9"/>
        <v>592</v>
      </c>
    </row>
    <row r="594" spans="1:1" x14ac:dyDescent="0.25">
      <c r="A594">
        <f t="shared" si="9"/>
        <v>593</v>
      </c>
    </row>
    <row r="595" spans="1:1" x14ac:dyDescent="0.25">
      <c r="A595">
        <f t="shared" si="9"/>
        <v>594</v>
      </c>
    </row>
    <row r="596" spans="1:1" x14ac:dyDescent="0.25">
      <c r="A596">
        <f t="shared" si="9"/>
        <v>595</v>
      </c>
    </row>
    <row r="597" spans="1:1" x14ac:dyDescent="0.25">
      <c r="A597">
        <f t="shared" si="9"/>
        <v>596</v>
      </c>
    </row>
    <row r="598" spans="1:1" x14ac:dyDescent="0.25">
      <c r="A598">
        <f t="shared" si="9"/>
        <v>597</v>
      </c>
    </row>
    <row r="599" spans="1:1" x14ac:dyDescent="0.25">
      <c r="A599">
        <f t="shared" si="9"/>
        <v>598</v>
      </c>
    </row>
    <row r="600" spans="1:1" x14ac:dyDescent="0.25">
      <c r="A600">
        <f t="shared" si="9"/>
        <v>599</v>
      </c>
    </row>
    <row r="601" spans="1:1" x14ac:dyDescent="0.25">
      <c r="A601">
        <f t="shared" si="9"/>
        <v>600</v>
      </c>
    </row>
    <row r="602" spans="1:1" x14ac:dyDescent="0.25">
      <c r="A602">
        <f t="shared" si="9"/>
        <v>601</v>
      </c>
    </row>
    <row r="603" spans="1:1" x14ac:dyDescent="0.25">
      <c r="A603">
        <f t="shared" si="9"/>
        <v>602</v>
      </c>
    </row>
    <row r="604" spans="1:1" x14ac:dyDescent="0.25">
      <c r="A604">
        <f t="shared" si="9"/>
        <v>603</v>
      </c>
    </row>
    <row r="605" spans="1:1" x14ac:dyDescent="0.25">
      <c r="A605">
        <f t="shared" si="9"/>
        <v>604</v>
      </c>
    </row>
    <row r="606" spans="1:1" x14ac:dyDescent="0.25">
      <c r="A606">
        <f t="shared" si="9"/>
        <v>605</v>
      </c>
    </row>
    <row r="607" spans="1:1" x14ac:dyDescent="0.25">
      <c r="A607">
        <f t="shared" si="9"/>
        <v>606</v>
      </c>
    </row>
    <row r="608" spans="1:1" x14ac:dyDescent="0.25">
      <c r="A608">
        <f t="shared" si="9"/>
        <v>607</v>
      </c>
    </row>
    <row r="609" spans="1:1" x14ac:dyDescent="0.25">
      <c r="A609">
        <f t="shared" si="9"/>
        <v>608</v>
      </c>
    </row>
    <row r="610" spans="1:1" x14ac:dyDescent="0.25">
      <c r="A610">
        <f t="shared" si="9"/>
        <v>609</v>
      </c>
    </row>
    <row r="611" spans="1:1" x14ac:dyDescent="0.25">
      <c r="A611">
        <f t="shared" si="9"/>
        <v>610</v>
      </c>
    </row>
    <row r="612" spans="1:1" x14ac:dyDescent="0.25">
      <c r="A612">
        <f t="shared" si="9"/>
        <v>611</v>
      </c>
    </row>
    <row r="613" spans="1:1" x14ac:dyDescent="0.25">
      <c r="A613">
        <f t="shared" si="9"/>
        <v>612</v>
      </c>
    </row>
    <row r="614" spans="1:1" x14ac:dyDescent="0.25">
      <c r="A614">
        <f t="shared" si="9"/>
        <v>613</v>
      </c>
    </row>
    <row r="615" spans="1:1" x14ac:dyDescent="0.25">
      <c r="A615">
        <f t="shared" si="9"/>
        <v>614</v>
      </c>
    </row>
    <row r="616" spans="1:1" x14ac:dyDescent="0.25">
      <c r="A616">
        <f t="shared" si="9"/>
        <v>615</v>
      </c>
    </row>
    <row r="617" spans="1:1" x14ac:dyDescent="0.25">
      <c r="A617">
        <f t="shared" si="9"/>
        <v>616</v>
      </c>
    </row>
    <row r="618" spans="1:1" x14ac:dyDescent="0.25">
      <c r="A618">
        <f t="shared" si="9"/>
        <v>617</v>
      </c>
    </row>
    <row r="619" spans="1:1" x14ac:dyDescent="0.25">
      <c r="A619">
        <f t="shared" si="9"/>
        <v>618</v>
      </c>
    </row>
    <row r="620" spans="1:1" x14ac:dyDescent="0.25">
      <c r="A620">
        <f t="shared" si="9"/>
        <v>619</v>
      </c>
    </row>
    <row r="621" spans="1:1" x14ac:dyDescent="0.25">
      <c r="A621">
        <f t="shared" si="9"/>
        <v>620</v>
      </c>
    </row>
    <row r="622" spans="1:1" x14ac:dyDescent="0.25">
      <c r="A622">
        <f t="shared" si="9"/>
        <v>621</v>
      </c>
    </row>
    <row r="623" spans="1:1" x14ac:dyDescent="0.25">
      <c r="A623">
        <f t="shared" si="9"/>
        <v>622</v>
      </c>
    </row>
    <row r="624" spans="1:1" x14ac:dyDescent="0.25">
      <c r="A624">
        <f t="shared" si="9"/>
        <v>623</v>
      </c>
    </row>
    <row r="625" spans="1:1" x14ac:dyDescent="0.25">
      <c r="A625">
        <f t="shared" si="9"/>
        <v>624</v>
      </c>
    </row>
    <row r="626" spans="1:1" x14ac:dyDescent="0.25">
      <c r="A626">
        <f t="shared" si="9"/>
        <v>625</v>
      </c>
    </row>
    <row r="627" spans="1:1" x14ac:dyDescent="0.25">
      <c r="A627">
        <f t="shared" si="9"/>
        <v>626</v>
      </c>
    </row>
    <row r="628" spans="1:1" x14ac:dyDescent="0.25">
      <c r="A628">
        <f t="shared" si="9"/>
        <v>627</v>
      </c>
    </row>
    <row r="629" spans="1:1" x14ac:dyDescent="0.25">
      <c r="A629">
        <f t="shared" si="9"/>
        <v>628</v>
      </c>
    </row>
    <row r="630" spans="1:1" x14ac:dyDescent="0.25">
      <c r="A630">
        <f t="shared" si="9"/>
        <v>629</v>
      </c>
    </row>
    <row r="631" spans="1:1" x14ac:dyDescent="0.25">
      <c r="A631">
        <f t="shared" si="9"/>
        <v>630</v>
      </c>
    </row>
    <row r="632" spans="1:1" x14ac:dyDescent="0.25">
      <c r="A632">
        <f t="shared" si="9"/>
        <v>631</v>
      </c>
    </row>
    <row r="633" spans="1:1" x14ac:dyDescent="0.25">
      <c r="A633">
        <f t="shared" si="9"/>
        <v>632</v>
      </c>
    </row>
    <row r="634" spans="1:1" x14ac:dyDescent="0.25">
      <c r="A634">
        <f t="shared" si="9"/>
        <v>633</v>
      </c>
    </row>
    <row r="635" spans="1:1" x14ac:dyDescent="0.25">
      <c r="A635">
        <f t="shared" si="9"/>
        <v>634</v>
      </c>
    </row>
    <row r="636" spans="1:1" x14ac:dyDescent="0.25">
      <c r="A636">
        <f t="shared" si="9"/>
        <v>635</v>
      </c>
    </row>
    <row r="637" spans="1:1" x14ac:dyDescent="0.25">
      <c r="A637">
        <f t="shared" si="9"/>
        <v>636</v>
      </c>
    </row>
    <row r="638" spans="1:1" x14ac:dyDescent="0.25">
      <c r="A638">
        <f t="shared" si="9"/>
        <v>637</v>
      </c>
    </row>
    <row r="639" spans="1:1" x14ac:dyDescent="0.25">
      <c r="A639">
        <f t="shared" si="9"/>
        <v>638</v>
      </c>
    </row>
    <row r="640" spans="1:1" x14ac:dyDescent="0.25">
      <c r="A640">
        <f t="shared" si="9"/>
        <v>639</v>
      </c>
    </row>
    <row r="641" spans="1:1" x14ac:dyDescent="0.25">
      <c r="A641">
        <f t="shared" si="9"/>
        <v>640</v>
      </c>
    </row>
    <row r="642" spans="1:1" x14ac:dyDescent="0.25">
      <c r="A642">
        <f t="shared" si="9"/>
        <v>641</v>
      </c>
    </row>
    <row r="643" spans="1:1" x14ac:dyDescent="0.25">
      <c r="A643">
        <f t="shared" si="9"/>
        <v>642</v>
      </c>
    </row>
    <row r="644" spans="1:1" x14ac:dyDescent="0.25">
      <c r="A644">
        <f t="shared" ref="A644:A660" si="10">A643+1</f>
        <v>643</v>
      </c>
    </row>
    <row r="645" spans="1:1" x14ac:dyDescent="0.25">
      <c r="A645">
        <f t="shared" si="10"/>
        <v>644</v>
      </c>
    </row>
    <row r="646" spans="1:1" x14ac:dyDescent="0.25">
      <c r="A646">
        <f t="shared" si="10"/>
        <v>645</v>
      </c>
    </row>
    <row r="647" spans="1:1" x14ac:dyDescent="0.25">
      <c r="A647">
        <f t="shared" si="10"/>
        <v>646</v>
      </c>
    </row>
    <row r="648" spans="1:1" x14ac:dyDescent="0.25">
      <c r="A648">
        <f t="shared" si="10"/>
        <v>647</v>
      </c>
    </row>
    <row r="649" spans="1:1" x14ac:dyDescent="0.25">
      <c r="A649">
        <f t="shared" si="10"/>
        <v>648</v>
      </c>
    </row>
    <row r="650" spans="1:1" x14ac:dyDescent="0.25">
      <c r="A650">
        <f t="shared" si="10"/>
        <v>649</v>
      </c>
    </row>
    <row r="651" spans="1:1" x14ac:dyDescent="0.25">
      <c r="A651">
        <f t="shared" si="10"/>
        <v>650</v>
      </c>
    </row>
    <row r="652" spans="1:1" x14ac:dyDescent="0.25">
      <c r="A652">
        <f t="shared" si="10"/>
        <v>651</v>
      </c>
    </row>
    <row r="653" spans="1:1" x14ac:dyDescent="0.25">
      <c r="A653">
        <f t="shared" si="10"/>
        <v>652</v>
      </c>
    </row>
    <row r="654" spans="1:1" x14ac:dyDescent="0.25">
      <c r="A654">
        <f t="shared" si="10"/>
        <v>653</v>
      </c>
    </row>
    <row r="655" spans="1:1" x14ac:dyDescent="0.25">
      <c r="A655">
        <f t="shared" si="10"/>
        <v>654</v>
      </c>
    </row>
    <row r="656" spans="1:1" x14ac:dyDescent="0.25">
      <c r="A656">
        <f t="shared" si="10"/>
        <v>655</v>
      </c>
    </row>
    <row r="657" spans="1:1" x14ac:dyDescent="0.25">
      <c r="A657">
        <f t="shared" si="10"/>
        <v>656</v>
      </c>
    </row>
    <row r="658" spans="1:1" x14ac:dyDescent="0.25">
      <c r="A658">
        <f t="shared" si="10"/>
        <v>657</v>
      </c>
    </row>
    <row r="659" spans="1:1" x14ac:dyDescent="0.25">
      <c r="A659">
        <f t="shared" si="10"/>
        <v>658</v>
      </c>
    </row>
    <row r="660" spans="1:1" x14ac:dyDescent="0.25">
      <c r="A660">
        <f t="shared" si="10"/>
        <v>659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35" workbookViewId="0">
      <selection activeCell="F49" sqref="F49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45293</v>
      </c>
      <c r="B2" t="s">
        <v>187</v>
      </c>
      <c r="C2" t="s">
        <v>361</v>
      </c>
      <c r="D2" t="s">
        <v>22</v>
      </c>
      <c r="E2" t="s">
        <v>118</v>
      </c>
      <c r="F2" s="59">
        <v>975</v>
      </c>
      <c r="G2" t="s">
        <v>190</v>
      </c>
      <c r="H2" t="s">
        <v>197</v>
      </c>
    </row>
    <row r="3" spans="1:8" x14ac:dyDescent="0.25">
      <c r="A3" s="9">
        <v>45294</v>
      </c>
      <c r="B3" t="s">
        <v>192</v>
      </c>
      <c r="C3" t="s">
        <v>106</v>
      </c>
      <c r="D3" t="s">
        <v>22</v>
      </c>
      <c r="E3" t="s">
        <v>195</v>
      </c>
      <c r="F3" s="59">
        <v>1539</v>
      </c>
      <c r="G3" t="s">
        <v>196</v>
      </c>
      <c r="H3" t="s">
        <v>204</v>
      </c>
    </row>
    <row r="4" spans="1:8" x14ac:dyDescent="0.25">
      <c r="A4" s="9">
        <v>45295</v>
      </c>
      <c r="B4" t="s">
        <v>200</v>
      </c>
      <c r="C4" t="s">
        <v>106</v>
      </c>
      <c r="D4" t="s">
        <v>24</v>
      </c>
      <c r="E4" t="s">
        <v>118</v>
      </c>
      <c r="F4" s="59">
        <v>4341.8999999999996</v>
      </c>
      <c r="G4" t="s">
        <v>203</v>
      </c>
      <c r="H4" t="s">
        <v>217</v>
      </c>
    </row>
    <row r="5" spans="1:8" x14ac:dyDescent="0.25">
      <c r="A5" s="9">
        <v>45295</v>
      </c>
      <c r="B5" t="s">
        <v>205</v>
      </c>
      <c r="C5" t="s">
        <v>106</v>
      </c>
      <c r="D5" t="s">
        <v>22</v>
      </c>
      <c r="E5" t="s">
        <v>195</v>
      </c>
      <c r="F5" s="59">
        <v>2676</v>
      </c>
      <c r="G5" t="s">
        <v>208</v>
      </c>
      <c r="H5" t="s">
        <v>209</v>
      </c>
    </row>
    <row r="6" spans="1:8" x14ac:dyDescent="0.25">
      <c r="A6" s="9">
        <v>45296</v>
      </c>
      <c r="B6" t="s">
        <v>212</v>
      </c>
      <c r="C6" t="s">
        <v>106</v>
      </c>
      <c r="D6" t="s">
        <v>22</v>
      </c>
      <c r="E6" t="s">
        <v>119</v>
      </c>
      <c r="F6" s="59">
        <v>2299</v>
      </c>
      <c r="G6" t="s">
        <v>215</v>
      </c>
      <c r="H6" t="s">
        <v>216</v>
      </c>
    </row>
    <row r="7" spans="1:8" x14ac:dyDescent="0.25">
      <c r="A7" s="9">
        <v>45297</v>
      </c>
      <c r="B7" t="s">
        <v>218</v>
      </c>
      <c r="C7" t="s">
        <v>106</v>
      </c>
      <c r="D7" t="s">
        <v>22</v>
      </c>
      <c r="E7" t="s">
        <v>195</v>
      </c>
      <c r="F7" s="59">
        <v>3475</v>
      </c>
      <c r="G7" t="s">
        <v>221</v>
      </c>
      <c r="H7" t="s">
        <v>222</v>
      </c>
    </row>
    <row r="8" spans="1:8" x14ac:dyDescent="0.25">
      <c r="A8" s="9">
        <v>45299</v>
      </c>
      <c r="B8" t="s">
        <v>224</v>
      </c>
      <c r="C8" t="s">
        <v>106</v>
      </c>
      <c r="D8" t="s">
        <v>22</v>
      </c>
      <c r="E8" t="s">
        <v>195</v>
      </c>
      <c r="F8" s="59">
        <v>1305</v>
      </c>
      <c r="G8" t="s">
        <v>227</v>
      </c>
      <c r="H8" t="s">
        <v>236</v>
      </c>
    </row>
    <row r="9" spans="1:8" x14ac:dyDescent="0.25">
      <c r="A9" s="9">
        <v>44929</v>
      </c>
      <c r="B9" t="s">
        <v>232</v>
      </c>
      <c r="C9" t="s">
        <v>362</v>
      </c>
      <c r="D9" t="s">
        <v>22</v>
      </c>
      <c r="E9" t="s">
        <v>195</v>
      </c>
      <c r="F9" s="59">
        <v>1450</v>
      </c>
      <c r="G9" t="s">
        <v>235</v>
      </c>
      <c r="H9" t="s">
        <v>245</v>
      </c>
    </row>
    <row r="10" spans="1:8" x14ac:dyDescent="0.25">
      <c r="A10" s="9">
        <v>45296</v>
      </c>
      <c r="B10" t="s">
        <v>237</v>
      </c>
      <c r="C10" t="s">
        <v>106</v>
      </c>
      <c r="D10" t="s">
        <v>22</v>
      </c>
      <c r="E10" t="s">
        <v>118</v>
      </c>
      <c r="F10" s="59">
        <v>1518</v>
      </c>
      <c r="G10" t="s">
        <v>240</v>
      </c>
      <c r="H10" t="s">
        <v>236</v>
      </c>
    </row>
    <row r="11" spans="1:8" x14ac:dyDescent="0.25">
      <c r="A11" s="9">
        <v>45300</v>
      </c>
      <c r="B11" t="s">
        <v>241</v>
      </c>
      <c r="C11" t="s">
        <v>363</v>
      </c>
      <c r="D11" t="s">
        <v>22</v>
      </c>
      <c r="E11" t="s">
        <v>195</v>
      </c>
      <c r="F11" s="59">
        <v>6051</v>
      </c>
      <c r="G11" t="s">
        <v>517</v>
      </c>
      <c r="H11" t="s">
        <v>236</v>
      </c>
    </row>
    <row r="12" spans="1:8" x14ac:dyDescent="0.25">
      <c r="A12" s="9">
        <v>44932</v>
      </c>
      <c r="B12" t="s">
        <v>248</v>
      </c>
      <c r="C12" t="s">
        <v>106</v>
      </c>
      <c r="D12" t="s">
        <v>22</v>
      </c>
      <c r="E12" t="s">
        <v>119</v>
      </c>
      <c r="F12" s="59">
        <v>1289</v>
      </c>
      <c r="G12" t="s">
        <v>251</v>
      </c>
      <c r="H12" t="s">
        <v>252</v>
      </c>
    </row>
    <row r="13" spans="1:8" x14ac:dyDescent="0.25">
      <c r="A13" s="9">
        <v>45301</v>
      </c>
      <c r="B13" t="s">
        <v>253</v>
      </c>
      <c r="C13" t="s">
        <v>362</v>
      </c>
      <c r="D13" t="s">
        <v>22</v>
      </c>
      <c r="E13" t="s">
        <v>195</v>
      </c>
      <c r="F13" s="59">
        <v>1944</v>
      </c>
      <c r="G13" t="s">
        <v>256</v>
      </c>
      <c r="H13" t="s">
        <v>265</v>
      </c>
    </row>
    <row r="14" spans="1:8" x14ac:dyDescent="0.25">
      <c r="A14" s="9">
        <v>44937</v>
      </c>
      <c r="B14" t="s">
        <v>260</v>
      </c>
      <c r="C14" t="s">
        <v>106</v>
      </c>
      <c r="D14" t="s">
        <v>22</v>
      </c>
      <c r="E14" t="s">
        <v>118</v>
      </c>
      <c r="F14" s="59">
        <v>3757.5</v>
      </c>
      <c r="G14" t="s">
        <v>263</v>
      </c>
      <c r="H14" t="s">
        <v>264</v>
      </c>
    </row>
    <row r="15" spans="1:8" x14ac:dyDescent="0.25">
      <c r="A15" s="9">
        <v>44938</v>
      </c>
      <c r="B15" t="s">
        <v>266</v>
      </c>
      <c r="C15" t="s">
        <v>106</v>
      </c>
      <c r="D15" t="s">
        <v>22</v>
      </c>
      <c r="E15" t="s">
        <v>195</v>
      </c>
      <c r="F15" s="59">
        <v>2786</v>
      </c>
      <c r="G15" t="s">
        <v>269</v>
      </c>
      <c r="H15" t="s">
        <v>295</v>
      </c>
    </row>
    <row r="16" spans="1:8" x14ac:dyDescent="0.25">
      <c r="A16" s="9">
        <v>45304</v>
      </c>
      <c r="B16" t="s">
        <v>270</v>
      </c>
      <c r="C16" t="s">
        <v>361</v>
      </c>
      <c r="D16" t="s">
        <v>22</v>
      </c>
      <c r="E16" t="s">
        <v>195</v>
      </c>
      <c r="F16" s="59">
        <v>2987</v>
      </c>
      <c r="G16" t="s">
        <v>273</v>
      </c>
      <c r="H16" t="s">
        <v>274</v>
      </c>
    </row>
    <row r="17" spans="1:8" x14ac:dyDescent="0.25">
      <c r="A17" s="9">
        <v>45306</v>
      </c>
      <c r="B17" t="s">
        <v>277</v>
      </c>
      <c r="C17" t="s">
        <v>364</v>
      </c>
      <c r="D17" t="s">
        <v>22</v>
      </c>
      <c r="E17" t="s">
        <v>118</v>
      </c>
      <c r="F17" s="59">
        <v>3795</v>
      </c>
      <c r="G17" t="s">
        <v>280</v>
      </c>
      <c r="H17" t="s">
        <v>245</v>
      </c>
    </row>
    <row r="18" spans="1:8" x14ac:dyDescent="0.25">
      <c r="A18" s="9">
        <v>45307</v>
      </c>
      <c r="B18" t="s">
        <v>281</v>
      </c>
      <c r="C18" t="s">
        <v>106</v>
      </c>
      <c r="D18" t="s">
        <v>22</v>
      </c>
      <c r="E18" t="s">
        <v>195</v>
      </c>
      <c r="F18" s="59">
        <v>1150</v>
      </c>
      <c r="G18" t="s">
        <v>284</v>
      </c>
      <c r="H18" t="s">
        <v>296</v>
      </c>
    </row>
    <row r="19" spans="1:8" x14ac:dyDescent="0.25">
      <c r="A19" s="9">
        <v>45307</v>
      </c>
      <c r="B19" t="s">
        <v>286</v>
      </c>
      <c r="C19" t="s">
        <v>106</v>
      </c>
      <c r="D19" t="s">
        <v>22</v>
      </c>
      <c r="E19" t="s">
        <v>195</v>
      </c>
      <c r="F19" s="59">
        <v>1395</v>
      </c>
      <c r="G19" t="s">
        <v>227</v>
      </c>
      <c r="H19" s="11" t="s">
        <v>297</v>
      </c>
    </row>
    <row r="20" spans="1:8" x14ac:dyDescent="0.25">
      <c r="A20" s="9">
        <v>45299</v>
      </c>
      <c r="B20" t="s">
        <v>291</v>
      </c>
      <c r="C20" t="s">
        <v>106</v>
      </c>
      <c r="D20" t="s">
        <v>22</v>
      </c>
      <c r="E20" t="s">
        <v>118</v>
      </c>
      <c r="F20" s="59">
        <v>4004.1</v>
      </c>
      <c r="G20" t="s">
        <v>294</v>
      </c>
      <c r="H20" t="s">
        <v>236</v>
      </c>
    </row>
    <row r="21" spans="1:8" x14ac:dyDescent="0.25">
      <c r="A21" s="9">
        <v>45308</v>
      </c>
      <c r="B21" t="s">
        <v>298</v>
      </c>
      <c r="C21" t="s">
        <v>362</v>
      </c>
      <c r="D21" t="s">
        <v>22</v>
      </c>
      <c r="E21" t="s">
        <v>195</v>
      </c>
      <c r="F21" s="59">
        <v>975</v>
      </c>
      <c r="G21" t="s">
        <v>301</v>
      </c>
      <c r="H21" t="s">
        <v>302</v>
      </c>
    </row>
    <row r="22" spans="1:8" x14ac:dyDescent="0.25">
      <c r="A22" s="9">
        <v>44944</v>
      </c>
      <c r="B22" t="s">
        <v>304</v>
      </c>
      <c r="C22" t="s">
        <v>106</v>
      </c>
      <c r="D22" t="s">
        <v>22</v>
      </c>
      <c r="E22" t="s">
        <v>195</v>
      </c>
      <c r="F22" s="59">
        <v>4016.7</v>
      </c>
      <c r="G22" t="s">
        <v>307</v>
      </c>
      <c r="H22" t="s">
        <v>317</v>
      </c>
    </row>
    <row r="23" spans="1:8" x14ac:dyDescent="0.25">
      <c r="A23" s="9">
        <v>45308</v>
      </c>
      <c r="B23" t="s">
        <v>313</v>
      </c>
      <c r="C23" t="s">
        <v>106</v>
      </c>
      <c r="D23" t="s">
        <v>22</v>
      </c>
      <c r="E23" t="s">
        <v>195</v>
      </c>
      <c r="F23" s="59">
        <v>2162</v>
      </c>
      <c r="G23" t="s">
        <v>316</v>
      </c>
      <c r="H23" t="s">
        <v>343</v>
      </c>
    </row>
    <row r="24" spans="1:8" x14ac:dyDescent="0.25">
      <c r="A24" s="9">
        <v>45310</v>
      </c>
      <c r="B24" t="s">
        <v>318</v>
      </c>
      <c r="C24" t="s">
        <v>106</v>
      </c>
      <c r="D24" t="s">
        <v>22</v>
      </c>
      <c r="E24" t="s">
        <v>118</v>
      </c>
      <c r="F24" s="59">
        <v>276</v>
      </c>
      <c r="G24" t="s">
        <v>321</v>
      </c>
      <c r="H24" t="s">
        <v>322</v>
      </c>
    </row>
    <row r="25" spans="1:8" x14ac:dyDescent="0.25">
      <c r="A25" s="9">
        <v>45310</v>
      </c>
      <c r="B25" t="s">
        <v>270</v>
      </c>
      <c r="C25" t="s">
        <v>361</v>
      </c>
      <c r="D25" t="s">
        <v>22</v>
      </c>
      <c r="E25" t="s">
        <v>118</v>
      </c>
      <c r="F25" s="59">
        <v>2688</v>
      </c>
      <c r="G25" t="s">
        <v>323</v>
      </c>
      <c r="H25" t="s">
        <v>344</v>
      </c>
    </row>
    <row r="26" spans="1:8" x14ac:dyDescent="0.25">
      <c r="A26" s="9">
        <v>45311</v>
      </c>
      <c r="B26" t="s">
        <v>515</v>
      </c>
      <c r="C26" t="s">
        <v>106</v>
      </c>
      <c r="D26" t="s">
        <v>22</v>
      </c>
      <c r="E26" t="s">
        <v>326</v>
      </c>
      <c r="F26" s="59">
        <v>3386</v>
      </c>
      <c r="G26" t="s">
        <v>327</v>
      </c>
      <c r="H26" t="s">
        <v>345</v>
      </c>
    </row>
    <row r="27" spans="1:8" x14ac:dyDescent="0.25">
      <c r="A27" s="9">
        <v>45313</v>
      </c>
      <c r="B27" t="s">
        <v>328</v>
      </c>
      <c r="C27" t="s">
        <v>362</v>
      </c>
      <c r="D27" t="s">
        <v>22</v>
      </c>
      <c r="E27" t="s">
        <v>119</v>
      </c>
      <c r="F27" s="59">
        <v>2327</v>
      </c>
      <c r="G27" t="s">
        <v>331</v>
      </c>
      <c r="H27" t="s">
        <v>236</v>
      </c>
    </row>
    <row r="28" spans="1:8" x14ac:dyDescent="0.25">
      <c r="A28" s="9">
        <v>45313</v>
      </c>
      <c r="B28" t="s">
        <v>334</v>
      </c>
      <c r="C28" t="s">
        <v>106</v>
      </c>
      <c r="D28" t="s">
        <v>22</v>
      </c>
      <c r="E28" t="s">
        <v>195</v>
      </c>
      <c r="F28" s="59">
        <v>1395</v>
      </c>
      <c r="G28" t="s">
        <v>337</v>
      </c>
      <c r="H28" t="s">
        <v>338</v>
      </c>
    </row>
    <row r="29" spans="1:8" x14ac:dyDescent="0.25">
      <c r="A29" s="9">
        <v>44951</v>
      </c>
      <c r="B29" t="s">
        <v>339</v>
      </c>
      <c r="C29" t="s">
        <v>361</v>
      </c>
      <c r="D29" t="s">
        <v>24</v>
      </c>
      <c r="E29" t="s">
        <v>195</v>
      </c>
      <c r="F29" s="59">
        <v>1624</v>
      </c>
      <c r="G29" t="s">
        <v>342</v>
      </c>
      <c r="H29" t="s">
        <v>353</v>
      </c>
    </row>
    <row r="30" spans="1:8" x14ac:dyDescent="0.25">
      <c r="A30" s="9">
        <v>45317</v>
      </c>
      <c r="B30" t="s">
        <v>349</v>
      </c>
      <c r="C30" t="s">
        <v>106</v>
      </c>
      <c r="D30" t="s">
        <v>22</v>
      </c>
      <c r="E30" t="s">
        <v>118</v>
      </c>
      <c r="F30" s="59">
        <v>918</v>
      </c>
      <c r="G30" t="s">
        <v>352</v>
      </c>
      <c r="H30" t="s">
        <v>371</v>
      </c>
    </row>
    <row r="31" spans="1:8" x14ac:dyDescent="0.25">
      <c r="A31" s="9">
        <v>45317</v>
      </c>
      <c r="B31" t="s">
        <v>354</v>
      </c>
      <c r="C31" t="s">
        <v>106</v>
      </c>
      <c r="D31" t="s">
        <v>22</v>
      </c>
      <c r="E31" t="s">
        <v>118</v>
      </c>
      <c r="F31" s="59">
        <v>3433</v>
      </c>
      <c r="G31" t="s">
        <v>357</v>
      </c>
      <c r="H31" t="s">
        <v>296</v>
      </c>
    </row>
    <row r="32" spans="1:8" x14ac:dyDescent="0.25">
      <c r="A32" s="9">
        <v>45318</v>
      </c>
      <c r="B32" t="s">
        <v>358</v>
      </c>
      <c r="C32" t="s">
        <v>106</v>
      </c>
      <c r="D32" t="s">
        <v>22</v>
      </c>
      <c r="E32" t="s">
        <v>195</v>
      </c>
      <c r="F32" s="59">
        <v>1043</v>
      </c>
      <c r="G32" t="s">
        <v>190</v>
      </c>
      <c r="H32" t="s">
        <v>372</v>
      </c>
    </row>
    <row r="33" spans="1:10" x14ac:dyDescent="0.25">
      <c r="A33" s="9">
        <v>45314</v>
      </c>
      <c r="B33" t="s">
        <v>367</v>
      </c>
      <c r="C33" t="s">
        <v>106</v>
      </c>
      <c r="D33" t="s">
        <v>22</v>
      </c>
      <c r="E33" t="s">
        <v>118</v>
      </c>
      <c r="F33" s="59">
        <v>1074.4000000000001</v>
      </c>
      <c r="G33" t="s">
        <v>370</v>
      </c>
      <c r="H33" t="s">
        <v>386</v>
      </c>
    </row>
    <row r="34" spans="1:10" x14ac:dyDescent="0.25">
      <c r="A34" s="9">
        <v>45315</v>
      </c>
      <c r="B34" t="s">
        <v>373</v>
      </c>
      <c r="C34" t="s">
        <v>106</v>
      </c>
      <c r="D34" t="s">
        <v>22</v>
      </c>
      <c r="E34" t="s">
        <v>118</v>
      </c>
      <c r="F34" s="59">
        <v>2323.8000000000002</v>
      </c>
      <c r="G34" t="s">
        <v>376</v>
      </c>
      <c r="H34" t="s">
        <v>387</v>
      </c>
    </row>
    <row r="35" spans="1:10" x14ac:dyDescent="0.25">
      <c r="A35" s="9">
        <v>45321</v>
      </c>
      <c r="B35" t="s">
        <v>377</v>
      </c>
      <c r="C35" t="s">
        <v>106</v>
      </c>
      <c r="D35" t="s">
        <v>22</v>
      </c>
      <c r="E35" t="s">
        <v>195</v>
      </c>
      <c r="F35" s="86">
        <v>950</v>
      </c>
      <c r="G35" t="s">
        <v>378</v>
      </c>
      <c r="H35" t="s">
        <v>385</v>
      </c>
    </row>
    <row r="36" spans="1:10" x14ac:dyDescent="0.25">
      <c r="A36" s="9">
        <v>45322</v>
      </c>
      <c r="B36" t="s">
        <v>379</v>
      </c>
      <c r="C36" t="s">
        <v>106</v>
      </c>
      <c r="D36" t="s">
        <v>22</v>
      </c>
      <c r="E36" t="s">
        <v>195</v>
      </c>
      <c r="F36" s="86">
        <v>2110.5</v>
      </c>
      <c r="G36" t="s">
        <v>380</v>
      </c>
      <c r="H36" t="s">
        <v>392</v>
      </c>
    </row>
    <row r="37" spans="1:10" x14ac:dyDescent="0.25">
      <c r="A37" s="9">
        <v>45311</v>
      </c>
      <c r="B37" t="s">
        <v>398</v>
      </c>
      <c r="C37" t="s">
        <v>106</v>
      </c>
      <c r="D37" t="s">
        <v>22</v>
      </c>
      <c r="E37" t="s">
        <v>118</v>
      </c>
      <c r="F37" s="59">
        <v>2122</v>
      </c>
      <c r="G37" t="s">
        <v>401</v>
      </c>
      <c r="H37" t="s">
        <v>392</v>
      </c>
    </row>
    <row r="38" spans="1:10" x14ac:dyDescent="0.25">
      <c r="A38" s="9">
        <v>45311</v>
      </c>
      <c r="B38" t="s">
        <v>349</v>
      </c>
      <c r="C38" t="s">
        <v>106</v>
      </c>
      <c r="D38" t="s">
        <v>22</v>
      </c>
      <c r="E38" t="s">
        <v>118</v>
      </c>
      <c r="F38" s="59">
        <v>340</v>
      </c>
      <c r="G38" t="s">
        <v>402</v>
      </c>
      <c r="H38" t="s">
        <v>407</v>
      </c>
    </row>
    <row r="39" spans="1:10" x14ac:dyDescent="0.25">
      <c r="A39" s="9">
        <v>45320</v>
      </c>
      <c r="B39" t="s">
        <v>403</v>
      </c>
      <c r="C39" t="s">
        <v>106</v>
      </c>
      <c r="D39" t="s">
        <v>22</v>
      </c>
      <c r="E39" t="s">
        <v>195</v>
      </c>
      <c r="F39" s="59">
        <v>2364</v>
      </c>
      <c r="G39" t="s">
        <v>406</v>
      </c>
      <c r="H39" t="s">
        <v>516</v>
      </c>
    </row>
    <row r="40" spans="1:10" x14ac:dyDescent="0.25">
      <c r="A40" s="9">
        <v>45317</v>
      </c>
      <c r="B40" t="s">
        <v>460</v>
      </c>
      <c r="C40" t="s">
        <v>106</v>
      </c>
      <c r="D40" t="s">
        <v>22</v>
      </c>
      <c r="E40" t="s">
        <v>118</v>
      </c>
      <c r="F40" s="59">
        <v>1668.22</v>
      </c>
      <c r="G40" t="s">
        <v>463</v>
      </c>
      <c r="H40" t="s">
        <v>236</v>
      </c>
    </row>
    <row r="41" spans="1:10" x14ac:dyDescent="0.25">
      <c r="A41" s="9">
        <v>45311</v>
      </c>
      <c r="B41" t="s">
        <v>349</v>
      </c>
      <c r="C41" t="s">
        <v>106</v>
      </c>
      <c r="D41" t="s">
        <v>22</v>
      </c>
      <c r="E41" t="s">
        <v>118</v>
      </c>
      <c r="F41" s="59">
        <v>881.84</v>
      </c>
      <c r="G41" t="s">
        <v>479</v>
      </c>
      <c r="H41" t="s">
        <v>392</v>
      </c>
    </row>
    <row r="42" spans="1:10" x14ac:dyDescent="0.25">
      <c r="A42" s="9">
        <v>45321</v>
      </c>
      <c r="B42" t="s">
        <v>481</v>
      </c>
      <c r="C42" t="s">
        <v>106</v>
      </c>
      <c r="D42" t="s">
        <v>22</v>
      </c>
      <c r="E42" t="s">
        <v>118</v>
      </c>
      <c r="F42" s="59">
        <v>2000</v>
      </c>
      <c r="G42" t="s">
        <v>484</v>
      </c>
      <c r="H42" t="s">
        <v>392</v>
      </c>
    </row>
    <row r="43" spans="1:10" x14ac:dyDescent="0.25">
      <c r="A43" s="9"/>
      <c r="F43" s="59"/>
    </row>
    <row r="46" spans="1:10" ht="15.75" thickBot="1" x14ac:dyDescent="0.3">
      <c r="A46" s="97" t="s">
        <v>8</v>
      </c>
      <c r="B46" s="97"/>
      <c r="C46" s="97"/>
      <c r="D46" s="97"/>
      <c r="E46" s="97"/>
      <c r="F46" s="97"/>
      <c r="G46" s="7"/>
    </row>
    <row r="47" spans="1:10" x14ac:dyDescent="0.25">
      <c r="A47" s="8" t="s">
        <v>9</v>
      </c>
      <c r="B47" s="9"/>
      <c r="C47" s="10">
        <f>SUM(F2:F44)</f>
        <v>88815.959999999992</v>
      </c>
      <c r="D47" s="11"/>
      <c r="E47" s="12" t="s">
        <v>10</v>
      </c>
      <c r="F47" s="13"/>
      <c r="G47" s="7"/>
      <c r="H47" s="14" t="s">
        <v>11</v>
      </c>
      <c r="I47" s="15">
        <v>21</v>
      </c>
      <c r="J47" s="16"/>
    </row>
    <row r="48" spans="1:10" x14ac:dyDescent="0.25">
      <c r="A48" s="8"/>
      <c r="B48" s="9"/>
      <c r="C48" s="10"/>
      <c r="D48" s="11"/>
      <c r="E48" s="17" t="s">
        <v>12</v>
      </c>
      <c r="F48" s="18">
        <v>88815.959999999992</v>
      </c>
      <c r="G48" s="7"/>
      <c r="H48" s="17" t="s">
        <v>13</v>
      </c>
      <c r="I48" s="19">
        <v>5</v>
      </c>
      <c r="J48" s="20">
        <f>I48/I$47</f>
        <v>0.23809523809523808</v>
      </c>
    </row>
    <row r="49" spans="1:10" ht="15.75" thickBot="1" x14ac:dyDescent="0.3">
      <c r="A49" s="8" t="s">
        <v>14</v>
      </c>
      <c r="B49" s="9"/>
      <c r="C49" s="21">
        <v>26</v>
      </c>
      <c r="D49" s="11"/>
      <c r="E49" s="22" t="s">
        <v>15</v>
      </c>
      <c r="F49" s="23">
        <f>F48/C49</f>
        <v>3415.998461538461</v>
      </c>
      <c r="G49" s="7"/>
      <c r="H49" s="17" t="s">
        <v>16</v>
      </c>
      <c r="I49" s="19">
        <v>16</v>
      </c>
      <c r="J49" s="20">
        <f>I49/I$47</f>
        <v>0.76190476190476186</v>
      </c>
    </row>
    <row r="50" spans="1:10" ht="15.75" thickBot="1" x14ac:dyDescent="0.3">
      <c r="A50" s="8" t="s">
        <v>17</v>
      </c>
      <c r="B50" s="9"/>
      <c r="C50">
        <v>41</v>
      </c>
      <c r="D50" s="11"/>
      <c r="E50" s="11"/>
      <c r="F50" s="24"/>
      <c r="G50" s="7"/>
      <c r="H50" s="22" t="s">
        <v>18</v>
      </c>
      <c r="I50" s="25">
        <v>1</v>
      </c>
      <c r="J50" s="26">
        <f>I50/I$47</f>
        <v>4.7619047619047616E-2</v>
      </c>
    </row>
    <row r="51" spans="1:10" x14ac:dyDescent="0.25">
      <c r="A51" s="8"/>
      <c r="B51" s="9"/>
      <c r="D51" s="11" t="s">
        <v>19</v>
      </c>
      <c r="E51" s="12" t="s">
        <v>20</v>
      </c>
      <c r="F51" s="13"/>
      <c r="G51" s="7"/>
    </row>
    <row r="52" spans="1:10" ht="15.75" thickBot="1" x14ac:dyDescent="0.3">
      <c r="A52" s="8" t="s">
        <v>21</v>
      </c>
      <c r="B52" s="9"/>
      <c r="C52">
        <v>39</v>
      </c>
      <c r="D52" s="11" t="s">
        <v>19</v>
      </c>
      <c r="E52" s="17" t="s">
        <v>22</v>
      </c>
      <c r="F52" s="20">
        <f>C52/C50</f>
        <v>0.95121951219512191</v>
      </c>
      <c r="G52" s="7"/>
    </row>
    <row r="53" spans="1:10" ht="15.75" thickBot="1" x14ac:dyDescent="0.3">
      <c r="A53" s="8" t="s">
        <v>23</v>
      </c>
      <c r="B53" s="9"/>
      <c r="C53">
        <v>2</v>
      </c>
      <c r="D53" s="11"/>
      <c r="E53" s="22" t="s">
        <v>24</v>
      </c>
      <c r="F53" s="26">
        <f>C53/C50</f>
        <v>4.878048780487805E-2</v>
      </c>
      <c r="G53" s="7"/>
      <c r="H53" s="14" t="s">
        <v>25</v>
      </c>
      <c r="I53" s="15">
        <v>22</v>
      </c>
      <c r="J53" s="16"/>
    </row>
    <row r="54" spans="1:10" ht="15.75" thickBot="1" x14ac:dyDescent="0.3">
      <c r="A54" s="8"/>
      <c r="B54" s="9"/>
      <c r="D54" s="11"/>
      <c r="E54" s="11"/>
      <c r="F54" s="24"/>
      <c r="G54" s="7"/>
      <c r="H54" s="27" t="s">
        <v>26</v>
      </c>
      <c r="I54" s="30">
        <v>11</v>
      </c>
      <c r="J54" s="20">
        <f>I54/I$53</f>
        <v>0.5</v>
      </c>
    </row>
    <row r="55" spans="1:10" x14ac:dyDescent="0.25">
      <c r="A55" s="8" t="s">
        <v>27</v>
      </c>
      <c r="B55" s="9"/>
      <c r="D55" s="11"/>
      <c r="E55" s="12" t="s">
        <v>28</v>
      </c>
      <c r="F55" s="13"/>
      <c r="G55" s="7"/>
      <c r="H55" s="27" t="s">
        <v>29</v>
      </c>
      <c r="I55" s="30">
        <v>5</v>
      </c>
      <c r="J55" s="20">
        <f>I55/I$53</f>
        <v>0.22727272727272727</v>
      </c>
    </row>
    <row r="56" spans="1:10" ht="15.75" thickBot="1" x14ac:dyDescent="0.3">
      <c r="A56" s="8" t="s">
        <v>30</v>
      </c>
      <c r="B56" s="9"/>
      <c r="C56">
        <v>4</v>
      </c>
      <c r="D56" s="11"/>
      <c r="E56" s="28" t="s">
        <v>30</v>
      </c>
      <c r="F56" s="20">
        <f>C56/C$65</f>
        <v>5.4794520547945202E-2</v>
      </c>
      <c r="G56" s="7"/>
      <c r="H56" s="29" t="s">
        <v>31</v>
      </c>
      <c r="I56" s="25">
        <v>5</v>
      </c>
      <c r="J56" s="26">
        <f>I56/I$53</f>
        <v>0.22727272727272727</v>
      </c>
    </row>
    <row r="57" spans="1:10" ht="15.75" thickBot="1" x14ac:dyDescent="0.3">
      <c r="A57" s="8" t="s">
        <v>11</v>
      </c>
      <c r="B57" s="9"/>
      <c r="C57">
        <v>21</v>
      </c>
      <c r="D57" s="11"/>
      <c r="E57" s="28" t="s">
        <v>11</v>
      </c>
      <c r="F57" s="20">
        <f t="shared" ref="F57:F64" si="0">C57/C$65</f>
        <v>0.28767123287671231</v>
      </c>
      <c r="G57" s="7"/>
    </row>
    <row r="58" spans="1:10" x14ac:dyDescent="0.25">
      <c r="A58" s="8" t="s">
        <v>32</v>
      </c>
      <c r="B58" s="9"/>
      <c r="C58">
        <v>22</v>
      </c>
      <c r="D58" s="11"/>
      <c r="E58" s="28" t="s">
        <v>32</v>
      </c>
      <c r="F58" s="20">
        <f t="shared" si="0"/>
        <v>0.30136986301369861</v>
      </c>
      <c r="G58" s="11" t="s">
        <v>19</v>
      </c>
      <c r="H58" s="14" t="s">
        <v>33</v>
      </c>
      <c r="I58" s="15">
        <v>2</v>
      </c>
      <c r="J58" s="13">
        <f t="shared" ref="J58:J69" si="1">I58/I$53</f>
        <v>9.0909090909090912E-2</v>
      </c>
    </row>
    <row r="59" spans="1:10" x14ac:dyDescent="0.25">
      <c r="A59" s="8" t="s">
        <v>34</v>
      </c>
      <c r="B59" s="9"/>
      <c r="C59">
        <v>1</v>
      </c>
      <c r="D59" s="11"/>
      <c r="E59" s="28" t="s">
        <v>34</v>
      </c>
      <c r="F59" s="20">
        <f t="shared" si="0"/>
        <v>1.3698630136986301E-2</v>
      </c>
      <c r="G59" s="7"/>
      <c r="H59" s="27" t="s">
        <v>35</v>
      </c>
      <c r="I59" s="30">
        <v>1</v>
      </c>
      <c r="J59" s="20">
        <f t="shared" si="1"/>
        <v>4.5454545454545456E-2</v>
      </c>
    </row>
    <row r="60" spans="1:10" x14ac:dyDescent="0.25">
      <c r="A60" s="8" t="s">
        <v>36</v>
      </c>
      <c r="B60" s="9"/>
      <c r="C60">
        <v>7</v>
      </c>
      <c r="D60" s="11"/>
      <c r="E60" s="28" t="s">
        <v>36</v>
      </c>
      <c r="F60" s="20">
        <f t="shared" si="0"/>
        <v>9.5890410958904104E-2</v>
      </c>
      <c r="G60" s="7"/>
      <c r="H60" s="27" t="s">
        <v>37</v>
      </c>
      <c r="I60" s="30">
        <v>2</v>
      </c>
      <c r="J60" s="20">
        <f t="shared" si="1"/>
        <v>9.0909090909090912E-2</v>
      </c>
    </row>
    <row r="61" spans="1:10" x14ac:dyDescent="0.25">
      <c r="A61" s="8" t="s">
        <v>38</v>
      </c>
      <c r="B61" s="9"/>
      <c r="C61">
        <v>3</v>
      </c>
      <c r="D61" s="11"/>
      <c r="E61" s="28" t="s">
        <v>38</v>
      </c>
      <c r="F61" s="20">
        <f t="shared" si="0"/>
        <v>4.1095890410958902E-2</v>
      </c>
      <c r="G61" s="7"/>
      <c r="H61" s="27" t="s">
        <v>39</v>
      </c>
      <c r="I61" s="30">
        <v>2</v>
      </c>
      <c r="J61" s="20">
        <f t="shared" si="1"/>
        <v>9.0909090909090912E-2</v>
      </c>
    </row>
    <row r="62" spans="1:10" x14ac:dyDescent="0.25">
      <c r="A62" s="8" t="s">
        <v>40</v>
      </c>
      <c r="B62" s="9"/>
      <c r="C62">
        <v>11</v>
      </c>
      <c r="D62" s="11"/>
      <c r="E62" s="28" t="s">
        <v>40</v>
      </c>
      <c r="F62" s="20">
        <f t="shared" si="0"/>
        <v>0.15068493150684931</v>
      </c>
      <c r="G62" s="7"/>
      <c r="H62" s="27" t="s">
        <v>41</v>
      </c>
      <c r="I62" s="30">
        <v>4</v>
      </c>
      <c r="J62" s="20">
        <f t="shared" si="1"/>
        <v>0.18181818181818182</v>
      </c>
    </row>
    <row r="63" spans="1:10" x14ac:dyDescent="0.25">
      <c r="A63" s="8" t="s">
        <v>42</v>
      </c>
      <c r="B63" s="9"/>
      <c r="C63">
        <v>0</v>
      </c>
      <c r="D63" s="11"/>
      <c r="E63" s="28" t="s">
        <v>42</v>
      </c>
      <c r="F63" s="20">
        <f t="shared" si="0"/>
        <v>0</v>
      </c>
      <c r="G63" s="7"/>
      <c r="H63" s="27" t="s">
        <v>43</v>
      </c>
      <c r="I63" s="30">
        <v>9</v>
      </c>
      <c r="J63" s="20">
        <f t="shared" si="1"/>
        <v>0.40909090909090912</v>
      </c>
    </row>
    <row r="64" spans="1:10" ht="15.75" thickBot="1" x14ac:dyDescent="0.3">
      <c r="A64" s="8" t="s">
        <v>44</v>
      </c>
      <c r="B64" s="9"/>
      <c r="C64">
        <v>4</v>
      </c>
      <c r="D64" s="11"/>
      <c r="E64" s="31" t="s">
        <v>44</v>
      </c>
      <c r="F64" s="26">
        <f t="shared" si="0"/>
        <v>5.4794520547945202E-2</v>
      </c>
      <c r="G64" s="11" t="s">
        <v>19</v>
      </c>
      <c r="H64" s="32" t="s">
        <v>45</v>
      </c>
      <c r="I64" s="30">
        <v>1</v>
      </c>
      <c r="J64" s="20">
        <f t="shared" si="1"/>
        <v>4.5454545454545456E-2</v>
      </c>
    </row>
    <row r="65" spans="1:10" ht="15.75" thickBot="1" x14ac:dyDescent="0.3">
      <c r="A65" s="8" t="s">
        <v>46</v>
      </c>
      <c r="B65" s="9"/>
      <c r="C65">
        <f>SUM(C56:C64)</f>
        <v>73</v>
      </c>
      <c r="D65" s="11"/>
      <c r="E65" s="8"/>
      <c r="F65" s="24"/>
      <c r="G65" s="7"/>
      <c r="H65" s="32" t="s">
        <v>47</v>
      </c>
      <c r="I65" s="30">
        <v>1</v>
      </c>
      <c r="J65" s="20">
        <f t="shared" si="1"/>
        <v>4.5454545454545456E-2</v>
      </c>
    </row>
    <row r="66" spans="1:10" x14ac:dyDescent="0.25">
      <c r="A66" s="8"/>
      <c r="B66" s="9"/>
      <c r="D66" s="11"/>
      <c r="E66" s="33" t="s">
        <v>48</v>
      </c>
      <c r="F66" s="13"/>
      <c r="G66" s="7"/>
      <c r="H66" s="32" t="s">
        <v>49</v>
      </c>
      <c r="I66" s="30">
        <v>0</v>
      </c>
      <c r="J66" s="20">
        <f t="shared" si="1"/>
        <v>0</v>
      </c>
    </row>
    <row r="67" spans="1:10" x14ac:dyDescent="0.25">
      <c r="A67" s="8" t="s">
        <v>50</v>
      </c>
      <c r="B67" s="9"/>
      <c r="D67" s="11"/>
      <c r="E67" s="28" t="s">
        <v>51</v>
      </c>
      <c r="F67" s="20">
        <f>C68/C$78</f>
        <v>0.16867469879518071</v>
      </c>
      <c r="G67" s="7"/>
      <c r="H67" s="27" t="s">
        <v>52</v>
      </c>
      <c r="I67" s="30">
        <v>0</v>
      </c>
      <c r="J67" s="20">
        <f t="shared" si="1"/>
        <v>0</v>
      </c>
    </row>
    <row r="68" spans="1:10" x14ac:dyDescent="0.25">
      <c r="A68" s="8" t="s">
        <v>51</v>
      </c>
      <c r="B68" s="9"/>
      <c r="C68">
        <v>14</v>
      </c>
      <c r="D68" s="11"/>
      <c r="E68" s="28" t="s">
        <v>53</v>
      </c>
      <c r="F68" s="20">
        <f t="shared" ref="F68:F76" si="2">C69/C$78</f>
        <v>0.2289156626506024</v>
      </c>
      <c r="G68" s="7"/>
      <c r="H68" s="32" t="s">
        <v>54</v>
      </c>
      <c r="I68" s="30">
        <v>0</v>
      </c>
      <c r="J68" s="20">
        <f t="shared" si="1"/>
        <v>0</v>
      </c>
    </row>
    <row r="69" spans="1:10" ht="15.75" thickBot="1" x14ac:dyDescent="0.3">
      <c r="A69" s="8" t="s">
        <v>53</v>
      </c>
      <c r="B69" s="9"/>
      <c r="C69">
        <v>19</v>
      </c>
      <c r="D69" s="11"/>
      <c r="E69" s="28" t="s">
        <v>55</v>
      </c>
      <c r="F69" s="20">
        <f t="shared" si="2"/>
        <v>0.20481927710843373</v>
      </c>
      <c r="G69" s="7"/>
      <c r="H69" s="34" t="s">
        <v>56</v>
      </c>
      <c r="I69" s="25">
        <v>0</v>
      </c>
      <c r="J69" s="26">
        <f t="shared" si="1"/>
        <v>0</v>
      </c>
    </row>
    <row r="70" spans="1:10" x14ac:dyDescent="0.25">
      <c r="A70" s="8" t="s">
        <v>55</v>
      </c>
      <c r="B70" s="9"/>
      <c r="C70">
        <v>17</v>
      </c>
      <c r="D70" s="11"/>
      <c r="E70" s="28" t="s">
        <v>57</v>
      </c>
      <c r="F70" s="20">
        <f t="shared" si="2"/>
        <v>0.16867469879518071</v>
      </c>
      <c r="G70" s="7"/>
    </row>
    <row r="71" spans="1:10" ht="15.75" thickBot="1" x14ac:dyDescent="0.3">
      <c r="A71" s="8" t="s">
        <v>57</v>
      </c>
      <c r="B71" s="9"/>
      <c r="C71">
        <v>14</v>
      </c>
      <c r="D71" s="11"/>
      <c r="E71" s="28" t="s">
        <v>58</v>
      </c>
      <c r="F71" s="20">
        <f t="shared" si="2"/>
        <v>8.4337349397590355E-2</v>
      </c>
      <c r="G71" s="11" t="s">
        <v>19</v>
      </c>
    </row>
    <row r="72" spans="1:10" x14ac:dyDescent="0.25">
      <c r="A72" s="8" t="s">
        <v>58</v>
      </c>
      <c r="B72" s="9"/>
      <c r="C72">
        <v>7</v>
      </c>
      <c r="D72" s="11"/>
      <c r="E72" s="28" t="s">
        <v>59</v>
      </c>
      <c r="F72" s="20">
        <f t="shared" si="2"/>
        <v>0</v>
      </c>
      <c r="G72" s="7"/>
      <c r="H72" s="14" t="s">
        <v>36</v>
      </c>
      <c r="I72" s="15">
        <v>7</v>
      </c>
      <c r="J72" s="16"/>
    </row>
    <row r="73" spans="1:10" x14ac:dyDescent="0.25">
      <c r="A73" s="8" t="s">
        <v>59</v>
      </c>
      <c r="B73" s="9"/>
      <c r="C73">
        <v>0</v>
      </c>
      <c r="D73" s="11"/>
      <c r="E73" s="28" t="s">
        <v>60</v>
      </c>
      <c r="F73" s="20">
        <f t="shared" si="2"/>
        <v>0</v>
      </c>
      <c r="G73" s="7"/>
      <c r="H73" s="27" t="s">
        <v>61</v>
      </c>
      <c r="I73" s="30">
        <v>3</v>
      </c>
      <c r="J73" s="20">
        <f>I73/I$72</f>
        <v>0.42857142857142855</v>
      </c>
    </row>
    <row r="74" spans="1:10" ht="15.75" thickBot="1" x14ac:dyDescent="0.3">
      <c r="A74" s="8" t="s">
        <v>60</v>
      </c>
      <c r="B74" s="9"/>
      <c r="C74">
        <v>0</v>
      </c>
      <c r="D74" s="11"/>
      <c r="E74" s="28" t="s">
        <v>62</v>
      </c>
      <c r="F74" s="20">
        <f t="shared" si="2"/>
        <v>0</v>
      </c>
      <c r="G74" s="7"/>
      <c r="H74" s="29" t="s">
        <v>63</v>
      </c>
      <c r="I74" s="25">
        <v>4</v>
      </c>
      <c r="J74" s="26">
        <f>I74/I$72</f>
        <v>0.5714285714285714</v>
      </c>
    </row>
    <row r="75" spans="1:10" x14ac:dyDescent="0.25">
      <c r="A75" s="8" t="s">
        <v>62</v>
      </c>
      <c r="B75" s="9"/>
      <c r="C75">
        <v>0</v>
      </c>
      <c r="D75" s="11"/>
      <c r="E75" s="28" t="s">
        <v>64</v>
      </c>
      <c r="F75" s="20">
        <f t="shared" si="2"/>
        <v>2.4096385542168676E-2</v>
      </c>
      <c r="G75" s="7"/>
    </row>
    <row r="76" spans="1:10" ht="15.75" thickBot="1" x14ac:dyDescent="0.3">
      <c r="A76" s="8" t="s">
        <v>64</v>
      </c>
      <c r="B76" s="9"/>
      <c r="C76">
        <v>2</v>
      </c>
      <c r="D76" s="11"/>
      <c r="E76" s="31" t="s">
        <v>65</v>
      </c>
      <c r="F76" s="26">
        <f t="shared" si="2"/>
        <v>0.12048192771084337</v>
      </c>
      <c r="G76" s="7"/>
    </row>
    <row r="77" spans="1:10" ht="15.75" thickBot="1" x14ac:dyDescent="0.3">
      <c r="A77" s="8" t="s">
        <v>65</v>
      </c>
      <c r="B77" s="9"/>
      <c r="C77">
        <v>10</v>
      </c>
      <c r="D77" s="11"/>
      <c r="E77" s="8"/>
      <c r="F77" s="24"/>
      <c r="G77" s="7"/>
      <c r="H77" s="14" t="s">
        <v>66</v>
      </c>
      <c r="I77" s="15">
        <v>2</v>
      </c>
      <c r="J77" s="16"/>
    </row>
    <row r="78" spans="1:10" x14ac:dyDescent="0.25">
      <c r="A78" s="8" t="s">
        <v>67</v>
      </c>
      <c r="B78" s="9"/>
      <c r="C78">
        <f>SUM(C68:C77)</f>
        <v>83</v>
      </c>
      <c r="D78" s="11"/>
      <c r="E78" s="33" t="s">
        <v>68</v>
      </c>
      <c r="F78" s="13"/>
      <c r="G78" s="7"/>
      <c r="H78" s="27" t="s">
        <v>69</v>
      </c>
      <c r="I78" s="19">
        <v>1</v>
      </c>
      <c r="J78" s="20">
        <f t="shared" ref="J78:J83" si="3">I78/I$77</f>
        <v>0.5</v>
      </c>
    </row>
    <row r="79" spans="1:10" x14ac:dyDescent="0.25">
      <c r="A79" s="8"/>
      <c r="B79" s="9"/>
      <c r="D79" s="11"/>
      <c r="E79" s="35" t="s">
        <v>70</v>
      </c>
      <c r="F79" s="20">
        <f>C80/C$50</f>
        <v>0.68292682926829273</v>
      </c>
      <c r="G79" s="7"/>
      <c r="H79" s="27" t="s">
        <v>71</v>
      </c>
      <c r="I79" s="19">
        <v>1</v>
      </c>
      <c r="J79" s="20">
        <f t="shared" si="3"/>
        <v>0.5</v>
      </c>
    </row>
    <row r="80" spans="1:10" x14ac:dyDescent="0.25">
      <c r="A80" s="8" t="s">
        <v>72</v>
      </c>
      <c r="B80" s="9"/>
      <c r="C80">
        <v>28</v>
      </c>
      <c r="D80" s="11"/>
      <c r="E80" s="35" t="s">
        <v>73</v>
      </c>
      <c r="F80" s="20">
        <f>C81/C$50</f>
        <v>7.3170731707317069E-2</v>
      </c>
      <c r="G80" s="7"/>
      <c r="H80" s="27" t="s">
        <v>74</v>
      </c>
      <c r="I80" s="19">
        <v>0</v>
      </c>
      <c r="J80" s="20">
        <f t="shared" si="3"/>
        <v>0</v>
      </c>
    </row>
    <row r="81" spans="1:10" ht="15.75" thickBot="1" x14ac:dyDescent="0.3">
      <c r="A81" s="8" t="s">
        <v>75</v>
      </c>
      <c r="B81" s="9"/>
      <c r="C81">
        <v>3</v>
      </c>
      <c r="D81" s="11"/>
      <c r="E81" s="36" t="s">
        <v>76</v>
      </c>
      <c r="F81" s="26">
        <f>C82/C$50</f>
        <v>0.24390243902439024</v>
      </c>
      <c r="G81" s="7"/>
      <c r="H81" s="27" t="s">
        <v>77</v>
      </c>
      <c r="I81" s="30">
        <v>0</v>
      </c>
      <c r="J81" s="20">
        <f t="shared" si="3"/>
        <v>0</v>
      </c>
    </row>
    <row r="82" spans="1:10" ht="15.75" thickBot="1" x14ac:dyDescent="0.3">
      <c r="A82" s="8" t="s">
        <v>78</v>
      </c>
      <c r="B82" s="9"/>
      <c r="C82">
        <v>10</v>
      </c>
      <c r="D82" s="11"/>
      <c r="E82" s="37"/>
      <c r="F82" s="24"/>
      <c r="G82" s="11" t="s">
        <v>19</v>
      </c>
      <c r="H82" s="27" t="s">
        <v>79</v>
      </c>
      <c r="I82" s="30">
        <v>0</v>
      </c>
      <c r="J82" s="20">
        <f t="shared" si="3"/>
        <v>0</v>
      </c>
    </row>
    <row r="83" spans="1:10" ht="15.75" thickBot="1" x14ac:dyDescent="0.3">
      <c r="A83" s="8"/>
      <c r="B83" s="9"/>
      <c r="D83" s="11"/>
      <c r="E83" s="38" t="s">
        <v>20</v>
      </c>
      <c r="F83" s="13"/>
      <c r="G83" s="7"/>
      <c r="H83" s="29" t="s">
        <v>80</v>
      </c>
      <c r="I83" s="25">
        <v>0</v>
      </c>
      <c r="J83" s="26">
        <f t="shared" si="3"/>
        <v>0</v>
      </c>
    </row>
    <row r="84" spans="1:10" x14ac:dyDescent="0.25">
      <c r="A84" s="8" t="s">
        <v>20</v>
      </c>
      <c r="B84" s="9"/>
      <c r="D84" s="11"/>
      <c r="E84" s="28" t="s">
        <v>81</v>
      </c>
      <c r="F84" s="20">
        <f>C85/C$50</f>
        <v>0.58536585365853655</v>
      </c>
      <c r="G84" s="7"/>
    </row>
    <row r="85" spans="1:10" ht="15.75" thickBot="1" x14ac:dyDescent="0.3">
      <c r="A85" s="8" t="s">
        <v>82</v>
      </c>
      <c r="B85" s="9"/>
      <c r="C85">
        <v>24</v>
      </c>
      <c r="D85" s="11"/>
      <c r="E85" s="31" t="s">
        <v>83</v>
      </c>
      <c r="F85" s="26">
        <f>C86/C$50</f>
        <v>0.41463414634146339</v>
      </c>
      <c r="G85" s="7"/>
    </row>
    <row r="86" spans="1:10" ht="15.75" thickBot="1" x14ac:dyDescent="0.3">
      <c r="A86" s="8" t="s">
        <v>83</v>
      </c>
      <c r="B86" s="9"/>
      <c r="C86">
        <v>17</v>
      </c>
      <c r="D86" s="11"/>
      <c r="E86" s="39"/>
      <c r="F86" s="40"/>
      <c r="G86" s="7"/>
      <c r="H86" s="14" t="s">
        <v>40</v>
      </c>
      <c r="I86" s="15">
        <v>11</v>
      </c>
      <c r="J86" s="16"/>
    </row>
    <row r="87" spans="1:10" x14ac:dyDescent="0.25">
      <c r="A87" s="8"/>
      <c r="B87" s="9"/>
      <c r="C87" t="s">
        <v>19</v>
      </c>
      <c r="D87" s="11"/>
      <c r="E87" s="14" t="s">
        <v>84</v>
      </c>
      <c r="F87" s="13"/>
      <c r="G87" s="7"/>
      <c r="H87" s="27" t="s">
        <v>85</v>
      </c>
      <c r="I87" s="30">
        <v>0</v>
      </c>
      <c r="J87" s="20">
        <f>I87/I$86</f>
        <v>0</v>
      </c>
    </row>
    <row r="88" spans="1:10" x14ac:dyDescent="0.25">
      <c r="A88" t="s">
        <v>84</v>
      </c>
      <c r="D88" s="11"/>
      <c r="E88" s="27" t="s">
        <v>86</v>
      </c>
      <c r="F88" s="20">
        <f>C89/C$86</f>
        <v>0.70588235294117652</v>
      </c>
      <c r="G88" s="7"/>
      <c r="H88" s="27" t="s">
        <v>87</v>
      </c>
      <c r="I88" s="30">
        <v>2</v>
      </c>
      <c r="J88" s="20">
        <f>I88/I$86</f>
        <v>0.18181818181818182</v>
      </c>
    </row>
    <row r="89" spans="1:10" ht="15.75" thickBot="1" x14ac:dyDescent="0.3">
      <c r="A89" t="s">
        <v>86</v>
      </c>
      <c r="C89">
        <v>12</v>
      </c>
      <c r="D89" s="11"/>
      <c r="E89" s="29" t="s">
        <v>88</v>
      </c>
      <c r="F89" s="26">
        <f>C90/C$86</f>
        <v>0.29411764705882354</v>
      </c>
      <c r="G89" s="7"/>
      <c r="H89" s="27" t="s">
        <v>89</v>
      </c>
      <c r="I89" s="30">
        <v>2</v>
      </c>
      <c r="J89" s="20">
        <f>I89/I$86</f>
        <v>0.18181818181818182</v>
      </c>
    </row>
    <row r="90" spans="1:10" ht="15.75" thickBot="1" x14ac:dyDescent="0.3">
      <c r="A90" t="s">
        <v>88</v>
      </c>
      <c r="C90">
        <v>5</v>
      </c>
      <c r="D90" s="11"/>
      <c r="E90" s="39"/>
      <c r="F90" s="40"/>
      <c r="G90" s="7"/>
      <c r="H90" s="27" t="s">
        <v>90</v>
      </c>
      <c r="I90" s="30">
        <v>3</v>
      </c>
      <c r="J90" s="20">
        <f>I90/I$86</f>
        <v>0.27272727272727271</v>
      </c>
    </row>
    <row r="91" spans="1:10" ht="15.75" thickBot="1" x14ac:dyDescent="0.3">
      <c r="A91" s="8"/>
      <c r="B91" s="9"/>
      <c r="D91" s="11"/>
      <c r="E91" s="33" t="s">
        <v>91</v>
      </c>
      <c r="F91" s="13"/>
      <c r="G91" s="7"/>
      <c r="H91" s="29" t="s">
        <v>92</v>
      </c>
      <c r="I91" s="25">
        <v>4</v>
      </c>
      <c r="J91" s="26">
        <f>I91/I$86</f>
        <v>0.36363636363636365</v>
      </c>
    </row>
    <row r="92" spans="1:10" x14ac:dyDescent="0.25">
      <c r="A92" s="8" t="s">
        <v>93</v>
      </c>
      <c r="B92" s="9"/>
      <c r="D92" s="11"/>
      <c r="E92" s="28" t="s">
        <v>94</v>
      </c>
      <c r="F92" s="20">
        <f t="shared" ref="F92:F97" si="4">C93/C$50</f>
        <v>0.48780487804878048</v>
      </c>
      <c r="G92" s="7"/>
    </row>
    <row r="93" spans="1:10" ht="15.75" thickBot="1" x14ac:dyDescent="0.3">
      <c r="A93" s="8" t="s">
        <v>94</v>
      </c>
      <c r="B93" s="9"/>
      <c r="C93">
        <v>20</v>
      </c>
      <c r="D93" s="11"/>
      <c r="E93" s="17" t="s">
        <v>95</v>
      </c>
      <c r="F93" s="20">
        <f t="shared" si="4"/>
        <v>7.3170731707317069E-2</v>
      </c>
      <c r="G93" s="7"/>
    </row>
    <row r="94" spans="1:10" x14ac:dyDescent="0.25">
      <c r="A94" s="8" t="s">
        <v>95</v>
      </c>
      <c r="B94" s="9"/>
      <c r="C94">
        <v>3</v>
      </c>
      <c r="D94" s="11"/>
      <c r="E94" s="17" t="s">
        <v>96</v>
      </c>
      <c r="F94" s="20">
        <f t="shared" si="4"/>
        <v>0</v>
      </c>
      <c r="G94" s="7"/>
      <c r="H94" s="14" t="s">
        <v>44</v>
      </c>
      <c r="I94" s="15">
        <v>4</v>
      </c>
      <c r="J94" s="16"/>
    </row>
    <row r="95" spans="1:10" x14ac:dyDescent="0.25">
      <c r="A95" s="8" t="s">
        <v>96</v>
      </c>
      <c r="B95" s="9"/>
      <c r="C95">
        <v>0</v>
      </c>
      <c r="D95" s="11"/>
      <c r="E95" s="17" t="s">
        <v>97</v>
      </c>
      <c r="F95" s="20">
        <f t="shared" si="4"/>
        <v>0</v>
      </c>
      <c r="G95" s="7"/>
      <c r="H95" s="27" t="s">
        <v>98</v>
      </c>
      <c r="I95" s="19">
        <v>0</v>
      </c>
      <c r="J95" s="20">
        <f>I95/I$94</f>
        <v>0</v>
      </c>
    </row>
    <row r="96" spans="1:10" x14ac:dyDescent="0.25">
      <c r="A96" s="8" t="s">
        <v>97</v>
      </c>
      <c r="B96" s="9"/>
      <c r="C96">
        <v>0</v>
      </c>
      <c r="D96" s="11"/>
      <c r="E96" s="17" t="s">
        <v>99</v>
      </c>
      <c r="F96" s="20">
        <f t="shared" si="4"/>
        <v>0.41463414634146339</v>
      </c>
      <c r="G96" s="7"/>
      <c r="H96" s="27" t="s">
        <v>100</v>
      </c>
      <c r="I96" s="19">
        <v>2</v>
      </c>
      <c r="J96" s="20">
        <f t="shared" ref="J96:J104" si="5">I96/I$94</f>
        <v>0.5</v>
      </c>
    </row>
    <row r="97" spans="1:10" ht="15.75" thickBot="1" x14ac:dyDescent="0.3">
      <c r="A97" s="8" t="s">
        <v>99</v>
      </c>
      <c r="B97" s="9"/>
      <c r="C97">
        <v>17</v>
      </c>
      <c r="D97" s="11"/>
      <c r="E97" s="22" t="s">
        <v>44</v>
      </c>
      <c r="F97" s="26">
        <f t="shared" si="4"/>
        <v>2.4390243902439025E-2</v>
      </c>
      <c r="G97" s="7"/>
      <c r="H97" s="27" t="s">
        <v>101</v>
      </c>
      <c r="I97" s="30">
        <v>0</v>
      </c>
      <c r="J97" s="20">
        <f t="shared" si="5"/>
        <v>0</v>
      </c>
    </row>
    <row r="98" spans="1:10" ht="15.75" thickBot="1" x14ac:dyDescent="0.3">
      <c r="A98" s="8" t="s">
        <v>44</v>
      </c>
      <c r="B98" s="9"/>
      <c r="C98">
        <v>1</v>
      </c>
      <c r="D98" s="11"/>
      <c r="E98" s="11"/>
      <c r="F98" s="24"/>
      <c r="G98" s="7"/>
      <c r="H98" s="27" t="s">
        <v>102</v>
      </c>
      <c r="I98" s="30">
        <v>0</v>
      </c>
      <c r="J98" s="20">
        <f t="shared" si="5"/>
        <v>0</v>
      </c>
    </row>
    <row r="99" spans="1:10" x14ac:dyDescent="0.25">
      <c r="A99" s="8"/>
      <c r="B99" s="9"/>
      <c r="D99" s="11"/>
      <c r="E99" s="12" t="s">
        <v>103</v>
      </c>
      <c r="F99" s="13"/>
      <c r="G99" s="7"/>
      <c r="H99" s="27" t="s">
        <v>104</v>
      </c>
      <c r="I99" s="30">
        <v>1</v>
      </c>
      <c r="J99" s="20">
        <f t="shared" si="5"/>
        <v>0.25</v>
      </c>
    </row>
    <row r="100" spans="1:10" x14ac:dyDescent="0.25">
      <c r="A100" s="8" t="s">
        <v>105</v>
      </c>
      <c r="B100" s="9"/>
      <c r="C100">
        <v>5</v>
      </c>
      <c r="D100" s="11"/>
      <c r="E100" s="17" t="s">
        <v>106</v>
      </c>
      <c r="F100" s="20">
        <f>C101/C$50</f>
        <v>0.75609756097560976</v>
      </c>
      <c r="G100" s="7"/>
      <c r="H100" s="41" t="s">
        <v>107</v>
      </c>
      <c r="I100" s="30">
        <v>1</v>
      </c>
      <c r="J100" s="20">
        <f t="shared" si="5"/>
        <v>0.25</v>
      </c>
    </row>
    <row r="101" spans="1:10" x14ac:dyDescent="0.25">
      <c r="A101" s="8" t="s">
        <v>106</v>
      </c>
      <c r="B101" s="9"/>
      <c r="C101">
        <v>31</v>
      </c>
      <c r="D101" s="11"/>
      <c r="E101" s="17" t="s">
        <v>108</v>
      </c>
      <c r="F101" s="20">
        <f>C102/C$50</f>
        <v>9.7560975609756101E-2</v>
      </c>
      <c r="G101" s="7"/>
      <c r="H101" s="41" t="s">
        <v>109</v>
      </c>
      <c r="I101" s="30">
        <v>0</v>
      </c>
      <c r="J101" s="20">
        <f t="shared" si="5"/>
        <v>0</v>
      </c>
    </row>
    <row r="102" spans="1:10" x14ac:dyDescent="0.25">
      <c r="A102" s="8" t="s">
        <v>108</v>
      </c>
      <c r="B102" s="9"/>
      <c r="C102">
        <v>4</v>
      </c>
      <c r="D102" s="11"/>
      <c r="E102" s="17" t="s">
        <v>110</v>
      </c>
      <c r="F102" s="20">
        <f>C103/C$50</f>
        <v>9.7560975609756101E-2</v>
      </c>
      <c r="G102" s="7"/>
      <c r="H102" s="41" t="s">
        <v>111</v>
      </c>
      <c r="I102" s="30">
        <v>0</v>
      </c>
      <c r="J102" s="20">
        <f t="shared" si="5"/>
        <v>0</v>
      </c>
    </row>
    <row r="103" spans="1:10" x14ac:dyDescent="0.25">
      <c r="A103" s="8" t="s">
        <v>110</v>
      </c>
      <c r="B103" s="9"/>
      <c r="C103">
        <v>4</v>
      </c>
      <c r="D103" s="11"/>
      <c r="E103" s="17" t="s">
        <v>112</v>
      </c>
      <c r="F103" s="20">
        <f>C104/C$50</f>
        <v>0</v>
      </c>
      <c r="G103" s="7"/>
      <c r="H103" s="41" t="s">
        <v>113</v>
      </c>
      <c r="I103" s="30">
        <v>0</v>
      </c>
      <c r="J103" s="20">
        <f t="shared" si="5"/>
        <v>0</v>
      </c>
    </row>
    <row r="104" spans="1:10" ht="15.75" thickBot="1" x14ac:dyDescent="0.3">
      <c r="A104" s="8" t="s">
        <v>112</v>
      </c>
      <c r="B104" s="9"/>
      <c r="E104" s="22" t="s">
        <v>114</v>
      </c>
      <c r="F104" s="26">
        <f>C105/C$50</f>
        <v>0</v>
      </c>
      <c r="H104" s="42" t="s">
        <v>115</v>
      </c>
      <c r="I104" s="25">
        <v>0</v>
      </c>
      <c r="J104" s="26">
        <f t="shared" si="5"/>
        <v>0</v>
      </c>
    </row>
    <row r="105" spans="1:10" x14ac:dyDescent="0.25">
      <c r="A105" s="8" t="s">
        <v>114</v>
      </c>
      <c r="B105" s="9"/>
      <c r="E105" s="11"/>
      <c r="F105" s="24"/>
    </row>
    <row r="106" spans="1:10" x14ac:dyDescent="0.25">
      <c r="A106" s="8" t="s">
        <v>116</v>
      </c>
      <c r="B106" s="9"/>
      <c r="E106" s="11"/>
      <c r="F106" s="24"/>
    </row>
    <row r="107" spans="1:10" x14ac:dyDescent="0.25">
      <c r="A107" s="8"/>
      <c r="B107" s="9"/>
      <c r="E107" s="11"/>
      <c r="F107" s="24"/>
    </row>
    <row r="108" spans="1:10" ht="15.75" thickBot="1" x14ac:dyDescent="0.3"/>
    <row r="109" spans="1:10" x14ac:dyDescent="0.25">
      <c r="A109" s="43" t="s">
        <v>117</v>
      </c>
      <c r="B109" s="87">
        <f>SUM(B110:B113)</f>
        <v>88815.959999999992</v>
      </c>
    </row>
    <row r="110" spans="1:10" x14ac:dyDescent="0.25">
      <c r="A110" s="44" t="s">
        <v>94</v>
      </c>
      <c r="B110" s="45">
        <f>SUM(F3,F5,F7:F9,F11,F13,F15:F16,F18:F19,F21:F23,F28:F29,F32,F35:F36,F39,)</f>
        <v>43398.2</v>
      </c>
    </row>
    <row r="111" spans="1:10" x14ac:dyDescent="0.25">
      <c r="A111" s="44" t="s">
        <v>118</v>
      </c>
      <c r="B111" s="45">
        <f>SUM(F2,F4,F10,F14,F17,F20,F24:F25,F30:F31,F33:F34,F37:F38,F40:F42,)</f>
        <v>36116.759999999995</v>
      </c>
    </row>
    <row r="112" spans="1:10" x14ac:dyDescent="0.25">
      <c r="A112" s="44" t="s">
        <v>119</v>
      </c>
      <c r="B112" s="45">
        <f>SUM(F6,F12,F27,)</f>
        <v>5915</v>
      </c>
    </row>
    <row r="113" spans="1:2" x14ac:dyDescent="0.25">
      <c r="A113" s="44" t="s">
        <v>44</v>
      </c>
      <c r="B113" s="46">
        <f>SUM(F26,,)</f>
        <v>3386</v>
      </c>
    </row>
    <row r="114" spans="1:2" ht="15.75" thickBot="1" x14ac:dyDescent="0.3">
      <c r="A114" s="47"/>
      <c r="B114" s="48"/>
    </row>
  </sheetData>
  <mergeCells count="1">
    <mergeCell ref="A46:F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opLeftCell="A65" workbookViewId="0">
      <selection activeCell="B90" sqref="B90"/>
    </sheetView>
  </sheetViews>
  <sheetFormatPr baseColWidth="10" defaultRowHeight="15" x14ac:dyDescent="0.25"/>
  <cols>
    <col min="2" max="2" width="37.42578125" customWidth="1"/>
    <col min="3" max="3" width="12" customWidth="1"/>
    <col min="4" max="4" width="5.7109375" customWidth="1"/>
    <col min="5" max="5" width="7.42578125" customWidth="1"/>
    <col min="7" max="7" width="38.71093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45324</v>
      </c>
      <c r="B2" t="s">
        <v>558</v>
      </c>
      <c r="C2" t="s">
        <v>361</v>
      </c>
      <c r="D2" t="s">
        <v>24</v>
      </c>
      <c r="E2" t="s">
        <v>118</v>
      </c>
      <c r="F2" s="59">
        <v>3130.49</v>
      </c>
      <c r="G2" t="s">
        <v>410</v>
      </c>
      <c r="H2" t="s">
        <v>445</v>
      </c>
    </row>
    <row r="3" spans="1:8" x14ac:dyDescent="0.25">
      <c r="A3" s="9">
        <v>45329</v>
      </c>
      <c r="B3" t="s">
        <v>411</v>
      </c>
      <c r="C3" t="s">
        <v>361</v>
      </c>
      <c r="D3" t="s">
        <v>22</v>
      </c>
      <c r="E3" t="s">
        <v>118</v>
      </c>
      <c r="F3" s="59">
        <v>2066.46</v>
      </c>
      <c r="G3" t="s">
        <v>414</v>
      </c>
      <c r="H3" t="s">
        <v>265</v>
      </c>
    </row>
    <row r="4" spans="1:8" x14ac:dyDescent="0.25">
      <c r="A4" s="9">
        <v>45329</v>
      </c>
      <c r="B4" t="s">
        <v>416</v>
      </c>
      <c r="C4" t="s">
        <v>106</v>
      </c>
      <c r="D4" t="s">
        <v>22</v>
      </c>
      <c r="E4" t="s">
        <v>195</v>
      </c>
      <c r="F4" s="59">
        <v>3096</v>
      </c>
      <c r="G4" t="s">
        <v>419</v>
      </c>
      <c r="H4" t="s">
        <v>447</v>
      </c>
    </row>
    <row r="5" spans="1:8" x14ac:dyDescent="0.25">
      <c r="A5" s="9">
        <v>45331</v>
      </c>
      <c r="B5" t="s">
        <v>421</v>
      </c>
      <c r="C5" t="s">
        <v>106</v>
      </c>
      <c r="D5" t="s">
        <v>22</v>
      </c>
      <c r="E5" t="s">
        <v>195</v>
      </c>
      <c r="F5" s="59">
        <v>1431</v>
      </c>
      <c r="G5" t="s">
        <v>424</v>
      </c>
      <c r="H5" t="s">
        <v>557</v>
      </c>
    </row>
    <row r="6" spans="1:8" x14ac:dyDescent="0.25">
      <c r="A6" s="9">
        <v>45337</v>
      </c>
      <c r="B6" t="s">
        <v>426</v>
      </c>
      <c r="C6" t="s">
        <v>106</v>
      </c>
      <c r="D6" t="s">
        <v>22</v>
      </c>
      <c r="E6" t="s">
        <v>118</v>
      </c>
      <c r="F6" s="59">
        <v>3710</v>
      </c>
      <c r="G6" t="s">
        <v>427</v>
      </c>
      <c r="H6" t="s">
        <v>428</v>
      </c>
    </row>
    <row r="7" spans="1:8" x14ac:dyDescent="0.25">
      <c r="A7" s="9">
        <v>45338</v>
      </c>
      <c r="B7" t="s">
        <v>430</v>
      </c>
      <c r="C7" t="s">
        <v>106</v>
      </c>
      <c r="D7" t="s">
        <v>22</v>
      </c>
      <c r="E7" t="s">
        <v>118</v>
      </c>
      <c r="F7" s="59">
        <v>1305.72</v>
      </c>
      <c r="G7" t="s">
        <v>402</v>
      </c>
      <c r="H7" t="s">
        <v>448</v>
      </c>
    </row>
    <row r="8" spans="1:8" x14ac:dyDescent="0.25">
      <c r="A8" s="9">
        <v>45341</v>
      </c>
      <c r="B8" t="s">
        <v>434</v>
      </c>
      <c r="C8" t="s">
        <v>106</v>
      </c>
      <c r="D8" t="s">
        <v>22</v>
      </c>
      <c r="E8" t="s">
        <v>118</v>
      </c>
      <c r="F8" s="59">
        <v>1453</v>
      </c>
      <c r="G8" t="s">
        <v>437</v>
      </c>
      <c r="H8" t="s">
        <v>438</v>
      </c>
    </row>
    <row r="9" spans="1:8" x14ac:dyDescent="0.25">
      <c r="A9" s="9">
        <v>45346</v>
      </c>
      <c r="B9" t="s">
        <v>441</v>
      </c>
      <c r="C9" t="s">
        <v>106</v>
      </c>
      <c r="D9" t="s">
        <v>22</v>
      </c>
      <c r="E9" t="s">
        <v>118</v>
      </c>
      <c r="F9" s="59">
        <v>1774.8</v>
      </c>
      <c r="G9" t="s">
        <v>444</v>
      </c>
      <c r="H9" t="s">
        <v>245</v>
      </c>
    </row>
    <row r="10" spans="1:8" x14ac:dyDescent="0.25">
      <c r="A10" s="9">
        <v>45346</v>
      </c>
      <c r="B10" t="s">
        <v>449</v>
      </c>
      <c r="C10" t="s">
        <v>106</v>
      </c>
      <c r="D10" t="s">
        <v>24</v>
      </c>
      <c r="E10" t="s">
        <v>118</v>
      </c>
      <c r="F10" s="59">
        <v>2524.16</v>
      </c>
      <c r="G10" t="s">
        <v>452</v>
      </c>
      <c r="H10" t="s">
        <v>453</v>
      </c>
    </row>
    <row r="11" spans="1:8" x14ac:dyDescent="0.25">
      <c r="A11" s="9">
        <v>45348</v>
      </c>
      <c r="B11" t="s">
        <v>455</v>
      </c>
      <c r="C11" t="s">
        <v>106</v>
      </c>
      <c r="D11" t="s">
        <v>22</v>
      </c>
      <c r="E11" t="s">
        <v>118</v>
      </c>
      <c r="F11" s="59">
        <v>534</v>
      </c>
      <c r="G11" t="s">
        <v>458</v>
      </c>
      <c r="H11" t="s">
        <v>464</v>
      </c>
    </row>
    <row r="12" spans="1:8" x14ac:dyDescent="0.25">
      <c r="A12" s="9">
        <v>45343</v>
      </c>
      <c r="B12" t="s">
        <v>471</v>
      </c>
      <c r="C12" t="s">
        <v>106</v>
      </c>
      <c r="D12" t="s">
        <v>22</v>
      </c>
      <c r="E12" t="s">
        <v>119</v>
      </c>
      <c r="F12" s="59">
        <v>5010</v>
      </c>
      <c r="G12" t="s">
        <v>474</v>
      </c>
      <c r="H12" t="s">
        <v>480</v>
      </c>
    </row>
    <row r="13" spans="1:8" x14ac:dyDescent="0.25">
      <c r="A13" s="9">
        <v>45350</v>
      </c>
      <c r="B13" t="s">
        <v>475</v>
      </c>
      <c r="C13" t="s">
        <v>362</v>
      </c>
      <c r="D13" t="s">
        <v>22</v>
      </c>
      <c r="E13" t="s">
        <v>195</v>
      </c>
      <c r="F13" s="59">
        <v>966</v>
      </c>
      <c r="G13" t="s">
        <v>478</v>
      </c>
      <c r="H13" t="s">
        <v>236</v>
      </c>
    </row>
    <row r="14" spans="1:8" x14ac:dyDescent="0.25">
      <c r="A14" s="9">
        <v>45351</v>
      </c>
      <c r="B14" t="s">
        <v>485</v>
      </c>
      <c r="C14" t="s">
        <v>106</v>
      </c>
      <c r="D14" t="s">
        <v>24</v>
      </c>
      <c r="E14" t="s">
        <v>118</v>
      </c>
      <c r="F14" s="59">
        <v>1648.36</v>
      </c>
      <c r="G14" t="s">
        <v>488</v>
      </c>
      <c r="H14" t="s">
        <v>236</v>
      </c>
    </row>
    <row r="15" spans="1:8" x14ac:dyDescent="0.25">
      <c r="A15" s="9">
        <v>45351</v>
      </c>
      <c r="B15" t="s">
        <v>489</v>
      </c>
      <c r="C15" t="s">
        <v>114</v>
      </c>
      <c r="D15" t="s">
        <v>22</v>
      </c>
      <c r="E15" t="s">
        <v>195</v>
      </c>
      <c r="F15" s="59">
        <v>1640</v>
      </c>
      <c r="G15" t="s">
        <v>492</v>
      </c>
      <c r="H15" t="s">
        <v>493</v>
      </c>
    </row>
    <row r="16" spans="1:8" x14ac:dyDescent="0.25">
      <c r="A16" s="9">
        <v>45350</v>
      </c>
      <c r="B16" t="s">
        <v>498</v>
      </c>
      <c r="C16" t="s">
        <v>106</v>
      </c>
      <c r="D16" t="s">
        <v>22</v>
      </c>
      <c r="E16" t="s">
        <v>118</v>
      </c>
      <c r="F16" s="59">
        <v>1089</v>
      </c>
      <c r="G16" t="s">
        <v>501</v>
      </c>
      <c r="H16" t="s">
        <v>502</v>
      </c>
    </row>
    <row r="17" spans="1:10" x14ac:dyDescent="0.25">
      <c r="A17" s="9">
        <v>45344</v>
      </c>
      <c r="B17" t="s">
        <v>523</v>
      </c>
      <c r="C17" t="s">
        <v>106</v>
      </c>
      <c r="D17" t="s">
        <v>22</v>
      </c>
      <c r="E17" t="s">
        <v>118</v>
      </c>
      <c r="F17" s="59">
        <v>2109.36</v>
      </c>
      <c r="G17" t="s">
        <v>526</v>
      </c>
      <c r="H17" t="s">
        <v>527</v>
      </c>
    </row>
    <row r="18" spans="1:10" x14ac:dyDescent="0.25">
      <c r="A18" s="9">
        <v>45344</v>
      </c>
      <c r="B18" t="s">
        <v>528</v>
      </c>
      <c r="C18" t="s">
        <v>106</v>
      </c>
      <c r="D18" t="s">
        <v>22</v>
      </c>
      <c r="E18" t="s">
        <v>118</v>
      </c>
      <c r="F18" s="59">
        <v>1509</v>
      </c>
      <c r="G18" t="s">
        <v>531</v>
      </c>
      <c r="H18" t="s">
        <v>551</v>
      </c>
    </row>
    <row r="19" spans="1:10" x14ac:dyDescent="0.25">
      <c r="A19" s="9">
        <v>45350</v>
      </c>
      <c r="B19" t="s">
        <v>547</v>
      </c>
      <c r="C19" t="s">
        <v>106</v>
      </c>
      <c r="D19" t="s">
        <v>22</v>
      </c>
      <c r="E19" t="s">
        <v>195</v>
      </c>
      <c r="F19" s="59">
        <v>2148</v>
      </c>
      <c r="G19" t="s">
        <v>550</v>
      </c>
      <c r="H19" t="s">
        <v>236</v>
      </c>
    </row>
    <row r="26" spans="1:10" ht="15.75" thickBot="1" x14ac:dyDescent="0.3">
      <c r="A26" s="97" t="s">
        <v>8</v>
      </c>
      <c r="B26" s="97"/>
      <c r="C26" s="97"/>
      <c r="D26" s="97"/>
      <c r="E26" s="97"/>
      <c r="F26" s="97"/>
      <c r="G26" s="7"/>
    </row>
    <row r="27" spans="1:10" x14ac:dyDescent="0.25">
      <c r="A27" s="8" t="s">
        <v>9</v>
      </c>
      <c r="B27" s="9"/>
      <c r="C27" s="10">
        <f>SUM(F2:F23)</f>
        <v>37145.35</v>
      </c>
      <c r="D27" s="11"/>
      <c r="E27" s="12" t="s">
        <v>10</v>
      </c>
      <c r="F27" s="13"/>
      <c r="G27" s="7"/>
      <c r="H27" s="14" t="s">
        <v>11</v>
      </c>
      <c r="I27" s="15">
        <v>7</v>
      </c>
      <c r="J27" s="16"/>
    </row>
    <row r="28" spans="1:10" x14ac:dyDescent="0.25">
      <c r="A28" s="8"/>
      <c r="B28" s="9"/>
      <c r="C28" s="10"/>
      <c r="D28" s="11"/>
      <c r="E28" s="17" t="s">
        <v>12</v>
      </c>
      <c r="F28" s="18">
        <v>37145.35</v>
      </c>
      <c r="G28" s="7"/>
      <c r="H28" s="17" t="s">
        <v>13</v>
      </c>
      <c r="I28" s="19">
        <v>2</v>
      </c>
      <c r="J28" s="20">
        <f>I28/I$27</f>
        <v>0.2857142857142857</v>
      </c>
    </row>
    <row r="29" spans="1:10" ht="15.75" thickBot="1" x14ac:dyDescent="0.3">
      <c r="A29" s="8" t="s">
        <v>14</v>
      </c>
      <c r="B29" s="9"/>
      <c r="C29" s="21">
        <v>24</v>
      </c>
      <c r="D29" s="11"/>
      <c r="E29" s="22" t="s">
        <v>15</v>
      </c>
      <c r="F29" s="23">
        <f>C27/C29</f>
        <v>1547.7229166666666</v>
      </c>
      <c r="G29" s="7"/>
      <c r="H29" s="17" t="s">
        <v>16</v>
      </c>
      <c r="I29" s="19">
        <v>4</v>
      </c>
      <c r="J29" s="20">
        <f>I29/I$27</f>
        <v>0.5714285714285714</v>
      </c>
    </row>
    <row r="30" spans="1:10" ht="15.75" thickBot="1" x14ac:dyDescent="0.3">
      <c r="A30" s="8" t="s">
        <v>17</v>
      </c>
      <c r="B30" s="9"/>
      <c r="C30">
        <v>18</v>
      </c>
      <c r="D30" s="11"/>
      <c r="E30" s="11"/>
      <c r="F30" s="24"/>
      <c r="G30" s="7"/>
      <c r="H30" s="22" t="s">
        <v>18</v>
      </c>
      <c r="I30" s="25">
        <v>1</v>
      </c>
      <c r="J30" s="26">
        <f>I30/I$27</f>
        <v>0.14285714285714285</v>
      </c>
    </row>
    <row r="31" spans="1:10" x14ac:dyDescent="0.25">
      <c r="A31" s="8"/>
      <c r="B31" s="9"/>
      <c r="D31" s="11" t="s">
        <v>19</v>
      </c>
      <c r="E31" s="12" t="s">
        <v>20</v>
      </c>
      <c r="F31" s="13"/>
      <c r="G31" s="7"/>
    </row>
    <row r="32" spans="1:10" ht="15.75" thickBot="1" x14ac:dyDescent="0.3">
      <c r="A32" s="8" t="s">
        <v>21</v>
      </c>
      <c r="B32" s="9"/>
      <c r="C32">
        <v>15</v>
      </c>
      <c r="D32" s="11" t="s">
        <v>19</v>
      </c>
      <c r="E32" s="17" t="s">
        <v>22</v>
      </c>
      <c r="F32" s="20">
        <f>C32/C$30</f>
        <v>0.83333333333333337</v>
      </c>
      <c r="G32" s="7"/>
    </row>
    <row r="33" spans="1:10" ht="15.75" thickBot="1" x14ac:dyDescent="0.3">
      <c r="A33" s="8" t="s">
        <v>23</v>
      </c>
      <c r="B33" s="9"/>
      <c r="C33">
        <v>3</v>
      </c>
      <c r="D33" s="11"/>
      <c r="E33" s="22" t="s">
        <v>24</v>
      </c>
      <c r="F33" s="26">
        <f>C33/C$30</f>
        <v>0.16666666666666666</v>
      </c>
      <c r="G33" s="7"/>
      <c r="H33" s="14" t="s">
        <v>25</v>
      </c>
      <c r="I33" s="15">
        <v>7</v>
      </c>
      <c r="J33" s="16"/>
    </row>
    <row r="34" spans="1:10" ht="15.75" thickBot="1" x14ac:dyDescent="0.3">
      <c r="A34" s="8"/>
      <c r="B34" s="9"/>
      <c r="D34" s="11"/>
      <c r="E34" s="11"/>
      <c r="F34" s="24"/>
      <c r="G34" s="7"/>
      <c r="H34" s="27" t="s">
        <v>26</v>
      </c>
      <c r="I34" s="30">
        <v>1</v>
      </c>
      <c r="J34" s="20">
        <f>I34/I$33</f>
        <v>0.14285714285714285</v>
      </c>
    </row>
    <row r="35" spans="1:10" x14ac:dyDescent="0.25">
      <c r="A35" s="8" t="s">
        <v>27</v>
      </c>
      <c r="B35" s="9"/>
      <c r="D35" s="11"/>
      <c r="E35" s="12" t="s">
        <v>28</v>
      </c>
      <c r="F35" s="13"/>
      <c r="G35" s="7"/>
      <c r="H35" s="27" t="s">
        <v>29</v>
      </c>
      <c r="I35" s="30">
        <v>2</v>
      </c>
      <c r="J35" s="20">
        <f>I35/I$33</f>
        <v>0.2857142857142857</v>
      </c>
    </row>
    <row r="36" spans="1:10" ht="15.75" thickBot="1" x14ac:dyDescent="0.3">
      <c r="A36" s="8" t="s">
        <v>30</v>
      </c>
      <c r="B36" s="9"/>
      <c r="C36">
        <v>2</v>
      </c>
      <c r="D36" s="11"/>
      <c r="E36" s="28" t="s">
        <v>30</v>
      </c>
      <c r="F36" s="20">
        <f>C36/C$45</f>
        <v>6.25E-2</v>
      </c>
      <c r="G36" s="7"/>
      <c r="H36" s="29" t="s">
        <v>31</v>
      </c>
      <c r="I36" s="25">
        <v>4</v>
      </c>
      <c r="J36" s="26">
        <f>I36/I$33</f>
        <v>0.5714285714285714</v>
      </c>
    </row>
    <row r="37" spans="1:10" ht="15.75" thickBot="1" x14ac:dyDescent="0.3">
      <c r="A37" s="8" t="s">
        <v>11</v>
      </c>
      <c r="B37" s="9"/>
      <c r="C37">
        <v>7</v>
      </c>
      <c r="D37" s="11"/>
      <c r="E37" s="28" t="s">
        <v>11</v>
      </c>
      <c r="F37" s="20">
        <f t="shared" ref="F37:F44" si="0">C37/C$45</f>
        <v>0.21875</v>
      </c>
      <c r="G37" s="7"/>
    </row>
    <row r="38" spans="1:10" x14ac:dyDescent="0.25">
      <c r="A38" s="8" t="s">
        <v>32</v>
      </c>
      <c r="B38" s="9"/>
      <c r="C38">
        <v>7</v>
      </c>
      <c r="D38" s="11"/>
      <c r="E38" s="28" t="s">
        <v>32</v>
      </c>
      <c r="F38" s="20">
        <f t="shared" si="0"/>
        <v>0.21875</v>
      </c>
      <c r="G38" s="11" t="s">
        <v>19</v>
      </c>
      <c r="H38" s="14" t="s">
        <v>33</v>
      </c>
      <c r="I38" s="15">
        <v>0</v>
      </c>
      <c r="J38" s="13">
        <f t="shared" ref="J38:J49" si="1">I38/I$33</f>
        <v>0</v>
      </c>
    </row>
    <row r="39" spans="1:10" x14ac:dyDescent="0.25">
      <c r="A39" s="8" t="s">
        <v>34</v>
      </c>
      <c r="B39" s="9"/>
      <c r="C39">
        <v>0</v>
      </c>
      <c r="D39" s="11"/>
      <c r="E39" s="28" t="s">
        <v>34</v>
      </c>
      <c r="F39" s="20">
        <f t="shared" si="0"/>
        <v>0</v>
      </c>
      <c r="G39" s="7"/>
      <c r="H39" s="27" t="s">
        <v>35</v>
      </c>
      <c r="I39" s="30">
        <v>2</v>
      </c>
      <c r="J39" s="20">
        <f t="shared" si="1"/>
        <v>0.2857142857142857</v>
      </c>
    </row>
    <row r="40" spans="1:10" x14ac:dyDescent="0.25">
      <c r="A40" s="8" t="s">
        <v>36</v>
      </c>
      <c r="B40" s="9"/>
      <c r="C40">
        <v>3</v>
      </c>
      <c r="D40" s="11"/>
      <c r="E40" s="28" t="s">
        <v>36</v>
      </c>
      <c r="F40" s="20">
        <f t="shared" si="0"/>
        <v>9.375E-2</v>
      </c>
      <c r="G40" s="7"/>
      <c r="H40" s="27" t="s">
        <v>37</v>
      </c>
      <c r="I40" s="30">
        <v>1</v>
      </c>
      <c r="J40" s="20">
        <f t="shared" si="1"/>
        <v>0.14285714285714285</v>
      </c>
    </row>
    <row r="41" spans="1:10" x14ac:dyDescent="0.25">
      <c r="A41" s="8" t="s">
        <v>38</v>
      </c>
      <c r="B41" s="9"/>
      <c r="C41">
        <v>1</v>
      </c>
      <c r="D41" s="11"/>
      <c r="E41" s="28" t="s">
        <v>38</v>
      </c>
      <c r="F41" s="20">
        <f t="shared" si="0"/>
        <v>3.125E-2</v>
      </c>
      <c r="G41" s="7"/>
      <c r="H41" s="27" t="s">
        <v>39</v>
      </c>
      <c r="I41" s="30">
        <v>1</v>
      </c>
      <c r="J41" s="20">
        <f t="shared" si="1"/>
        <v>0.14285714285714285</v>
      </c>
    </row>
    <row r="42" spans="1:10" x14ac:dyDescent="0.25">
      <c r="A42" s="8" t="s">
        <v>40</v>
      </c>
      <c r="B42" s="9"/>
      <c r="C42">
        <v>5</v>
      </c>
      <c r="D42" s="11"/>
      <c r="E42" s="28" t="s">
        <v>40</v>
      </c>
      <c r="F42" s="20">
        <f t="shared" si="0"/>
        <v>0.15625</v>
      </c>
      <c r="G42" s="7"/>
      <c r="H42" s="27" t="s">
        <v>41</v>
      </c>
      <c r="I42" s="30">
        <v>2</v>
      </c>
      <c r="J42" s="20">
        <f t="shared" si="1"/>
        <v>0.2857142857142857</v>
      </c>
    </row>
    <row r="43" spans="1:10" x14ac:dyDescent="0.25">
      <c r="A43" s="8" t="s">
        <v>42</v>
      </c>
      <c r="B43" s="9"/>
      <c r="C43">
        <v>1</v>
      </c>
      <c r="D43" s="11"/>
      <c r="E43" s="28" t="s">
        <v>42</v>
      </c>
      <c r="F43" s="20">
        <f t="shared" si="0"/>
        <v>3.125E-2</v>
      </c>
      <c r="G43" s="7"/>
      <c r="H43" s="27" t="s">
        <v>43</v>
      </c>
      <c r="I43" s="30">
        <v>1</v>
      </c>
      <c r="J43" s="20">
        <f t="shared" si="1"/>
        <v>0.14285714285714285</v>
      </c>
    </row>
    <row r="44" spans="1:10" ht="15.75" thickBot="1" x14ac:dyDescent="0.3">
      <c r="A44" s="8" t="s">
        <v>44</v>
      </c>
      <c r="B44" s="9"/>
      <c r="C44">
        <v>6</v>
      </c>
      <c r="D44" s="11"/>
      <c r="E44" s="31" t="s">
        <v>44</v>
      </c>
      <c r="F44" s="26">
        <f t="shared" si="0"/>
        <v>0.1875</v>
      </c>
      <c r="G44" s="11" t="s">
        <v>19</v>
      </c>
      <c r="H44" s="32" t="s">
        <v>45</v>
      </c>
      <c r="I44" s="30">
        <v>0</v>
      </c>
      <c r="J44" s="20">
        <f t="shared" si="1"/>
        <v>0</v>
      </c>
    </row>
    <row r="45" spans="1:10" ht="15.75" thickBot="1" x14ac:dyDescent="0.3">
      <c r="A45" s="8" t="s">
        <v>46</v>
      </c>
      <c r="B45" s="9"/>
      <c r="C45">
        <f>SUM(C36:C44)</f>
        <v>32</v>
      </c>
      <c r="D45" s="11"/>
      <c r="E45" s="8"/>
      <c r="F45" s="24"/>
      <c r="G45" s="7"/>
      <c r="H45" s="32" t="s">
        <v>47</v>
      </c>
      <c r="I45" s="30">
        <v>0</v>
      </c>
      <c r="J45" s="20">
        <f t="shared" si="1"/>
        <v>0</v>
      </c>
    </row>
    <row r="46" spans="1:10" x14ac:dyDescent="0.25">
      <c r="A46" s="8"/>
      <c r="B46" s="9"/>
      <c r="D46" s="11"/>
      <c r="E46" s="33" t="s">
        <v>48</v>
      </c>
      <c r="F46" s="13"/>
      <c r="G46" s="7"/>
      <c r="H46" s="32" t="s">
        <v>49</v>
      </c>
      <c r="I46" s="30">
        <v>0</v>
      </c>
      <c r="J46" s="20">
        <f t="shared" si="1"/>
        <v>0</v>
      </c>
    </row>
    <row r="47" spans="1:10" x14ac:dyDescent="0.25">
      <c r="A47" s="8" t="s">
        <v>50</v>
      </c>
      <c r="B47" s="9"/>
      <c r="D47" s="11"/>
      <c r="E47" s="28" t="s">
        <v>51</v>
      </c>
      <c r="F47" s="20">
        <f>C48/C$58</f>
        <v>0.29411764705882354</v>
      </c>
      <c r="G47" s="7"/>
      <c r="H47" s="27" t="s">
        <v>52</v>
      </c>
      <c r="I47" s="30">
        <v>0</v>
      </c>
      <c r="J47" s="20">
        <f t="shared" si="1"/>
        <v>0</v>
      </c>
    </row>
    <row r="48" spans="1:10" x14ac:dyDescent="0.25">
      <c r="A48" s="8" t="s">
        <v>51</v>
      </c>
      <c r="B48" s="9"/>
      <c r="C48">
        <v>10</v>
      </c>
      <c r="D48" s="11"/>
      <c r="E48" s="28" t="s">
        <v>53</v>
      </c>
      <c r="F48" s="20">
        <f t="shared" ref="F48:F56" si="2">C49/C$58</f>
        <v>0.17647058823529413</v>
      </c>
      <c r="G48" s="7"/>
      <c r="H48" s="32" t="s">
        <v>54</v>
      </c>
      <c r="I48" s="30">
        <v>0</v>
      </c>
      <c r="J48" s="20">
        <f t="shared" si="1"/>
        <v>0</v>
      </c>
    </row>
    <row r="49" spans="1:10" ht="15.75" thickBot="1" x14ac:dyDescent="0.3">
      <c r="A49" s="8" t="s">
        <v>53</v>
      </c>
      <c r="B49" s="9"/>
      <c r="C49">
        <v>6</v>
      </c>
      <c r="D49" s="11"/>
      <c r="E49" s="28" t="s">
        <v>55</v>
      </c>
      <c r="F49" s="20">
        <f t="shared" si="2"/>
        <v>5.8823529411764705E-2</v>
      </c>
      <c r="G49" s="7"/>
      <c r="H49" s="34" t="s">
        <v>56</v>
      </c>
      <c r="I49" s="25">
        <v>0</v>
      </c>
      <c r="J49" s="26">
        <f t="shared" si="1"/>
        <v>0</v>
      </c>
    </row>
    <row r="50" spans="1:10" x14ac:dyDescent="0.25">
      <c r="A50" s="8" t="s">
        <v>55</v>
      </c>
      <c r="B50" s="9"/>
      <c r="C50">
        <v>2</v>
      </c>
      <c r="D50" s="11"/>
      <c r="E50" s="28" t="s">
        <v>57</v>
      </c>
      <c r="F50" s="20">
        <f t="shared" si="2"/>
        <v>0.14705882352941177</v>
      </c>
      <c r="G50" s="7"/>
    </row>
    <row r="51" spans="1:10" ht="15.75" thickBot="1" x14ac:dyDescent="0.3">
      <c r="A51" s="8" t="s">
        <v>57</v>
      </c>
      <c r="B51" s="9"/>
      <c r="C51">
        <v>5</v>
      </c>
      <c r="D51" s="11"/>
      <c r="E51" s="28" t="s">
        <v>58</v>
      </c>
      <c r="F51" s="20">
        <f t="shared" si="2"/>
        <v>0.26470588235294118</v>
      </c>
      <c r="G51" s="11" t="s">
        <v>19</v>
      </c>
    </row>
    <row r="52" spans="1:10" x14ac:dyDescent="0.25">
      <c r="A52" s="8" t="s">
        <v>58</v>
      </c>
      <c r="B52" s="9"/>
      <c r="C52">
        <v>9</v>
      </c>
      <c r="D52" s="11"/>
      <c r="E52" s="28" t="s">
        <v>59</v>
      </c>
      <c r="F52" s="20">
        <f t="shared" si="2"/>
        <v>0</v>
      </c>
      <c r="G52" s="7"/>
      <c r="H52" s="14" t="s">
        <v>36</v>
      </c>
      <c r="I52" s="15">
        <v>3</v>
      </c>
      <c r="J52" s="16"/>
    </row>
    <row r="53" spans="1:10" x14ac:dyDescent="0.25">
      <c r="A53" s="8" t="s">
        <v>59</v>
      </c>
      <c r="B53" s="9"/>
      <c r="C53">
        <v>0</v>
      </c>
      <c r="D53" s="11"/>
      <c r="E53" s="28" t="s">
        <v>60</v>
      </c>
      <c r="F53" s="20">
        <f t="shared" si="2"/>
        <v>0</v>
      </c>
      <c r="G53" s="7"/>
      <c r="H53" s="27" t="s">
        <v>61</v>
      </c>
      <c r="I53" s="30">
        <v>0</v>
      </c>
      <c r="J53" s="20">
        <f>I53/I$52</f>
        <v>0</v>
      </c>
    </row>
    <row r="54" spans="1:10" ht="15.75" thickBot="1" x14ac:dyDescent="0.3">
      <c r="A54" s="8" t="s">
        <v>60</v>
      </c>
      <c r="B54" s="9"/>
      <c r="C54">
        <v>0</v>
      </c>
      <c r="D54" s="11"/>
      <c r="E54" s="28" t="s">
        <v>62</v>
      </c>
      <c r="F54" s="20">
        <f t="shared" si="2"/>
        <v>0</v>
      </c>
      <c r="G54" s="7"/>
      <c r="H54" s="29" t="s">
        <v>63</v>
      </c>
      <c r="I54" s="25">
        <v>3</v>
      </c>
      <c r="J54" s="26">
        <f>I54/I$52</f>
        <v>1</v>
      </c>
    </row>
    <row r="55" spans="1:10" x14ac:dyDescent="0.25">
      <c r="A55" s="8" t="s">
        <v>62</v>
      </c>
      <c r="B55" s="9"/>
      <c r="C55">
        <v>0</v>
      </c>
      <c r="D55" s="11"/>
      <c r="E55" s="28" t="s">
        <v>64</v>
      </c>
      <c r="F55" s="20">
        <f t="shared" si="2"/>
        <v>0</v>
      </c>
      <c r="G55" s="7"/>
    </row>
    <row r="56" spans="1:10" ht="15.75" thickBot="1" x14ac:dyDescent="0.3">
      <c r="A56" s="8" t="s">
        <v>64</v>
      </c>
      <c r="B56" s="9"/>
      <c r="C56">
        <v>0</v>
      </c>
      <c r="D56" s="11"/>
      <c r="E56" s="31" t="s">
        <v>65</v>
      </c>
      <c r="F56" s="26">
        <f t="shared" si="2"/>
        <v>5.8823529411764705E-2</v>
      </c>
      <c r="G56" s="7"/>
    </row>
    <row r="57" spans="1:10" ht="15.75" thickBot="1" x14ac:dyDescent="0.3">
      <c r="A57" s="8" t="s">
        <v>65</v>
      </c>
      <c r="B57" s="9"/>
      <c r="C57">
        <v>2</v>
      </c>
      <c r="D57" s="11"/>
      <c r="E57" s="8"/>
      <c r="F57" s="24"/>
      <c r="G57" s="7"/>
      <c r="H57" s="14" t="s">
        <v>66</v>
      </c>
      <c r="I57" s="15">
        <v>1</v>
      </c>
      <c r="J57" s="16"/>
    </row>
    <row r="58" spans="1:10" x14ac:dyDescent="0.25">
      <c r="A58" s="8" t="s">
        <v>67</v>
      </c>
      <c r="B58" s="9"/>
      <c r="C58">
        <f>SUM(C48:C57)</f>
        <v>34</v>
      </c>
      <c r="D58" s="11"/>
      <c r="E58" s="33" t="s">
        <v>68</v>
      </c>
      <c r="F58" s="13"/>
      <c r="G58" s="7"/>
      <c r="H58" s="27" t="s">
        <v>69</v>
      </c>
      <c r="I58" s="19">
        <v>0</v>
      </c>
      <c r="J58" s="20">
        <f t="shared" ref="J58:J63" si="3">I58/I$57</f>
        <v>0</v>
      </c>
    </row>
    <row r="59" spans="1:10" x14ac:dyDescent="0.25">
      <c r="A59" s="8"/>
      <c r="B59" s="9"/>
      <c r="D59" s="11"/>
      <c r="E59" s="35" t="s">
        <v>70</v>
      </c>
      <c r="F59" s="20">
        <f>C60/C$30</f>
        <v>0.61111111111111116</v>
      </c>
      <c r="G59" s="7"/>
      <c r="H59" s="27" t="s">
        <v>71</v>
      </c>
      <c r="I59" s="19">
        <v>1</v>
      </c>
      <c r="J59" s="20">
        <f t="shared" si="3"/>
        <v>1</v>
      </c>
    </row>
    <row r="60" spans="1:10" x14ac:dyDescent="0.25">
      <c r="A60" s="8" t="s">
        <v>72</v>
      </c>
      <c r="B60" s="9"/>
      <c r="C60">
        <v>11</v>
      </c>
      <c r="D60" s="11"/>
      <c r="E60" s="35" t="s">
        <v>73</v>
      </c>
      <c r="F60" s="20">
        <f>C61/C$30</f>
        <v>5.5555555555555552E-2</v>
      </c>
      <c r="G60" s="7"/>
      <c r="H60" s="27" t="s">
        <v>74</v>
      </c>
      <c r="I60" s="19">
        <v>0</v>
      </c>
      <c r="J60" s="20">
        <f t="shared" si="3"/>
        <v>0</v>
      </c>
    </row>
    <row r="61" spans="1:10" ht="15.75" thickBot="1" x14ac:dyDescent="0.3">
      <c r="A61" s="8" t="s">
        <v>75</v>
      </c>
      <c r="B61" s="9"/>
      <c r="C61">
        <v>1</v>
      </c>
      <c r="D61" s="11"/>
      <c r="E61" s="36" t="s">
        <v>76</v>
      </c>
      <c r="F61" s="26">
        <f>C62/C$30</f>
        <v>0.33333333333333331</v>
      </c>
      <c r="G61" s="7"/>
      <c r="H61" s="27" t="s">
        <v>77</v>
      </c>
      <c r="I61" s="30">
        <v>0</v>
      </c>
      <c r="J61" s="20">
        <f t="shared" si="3"/>
        <v>0</v>
      </c>
    </row>
    <row r="62" spans="1:10" ht="15.75" thickBot="1" x14ac:dyDescent="0.3">
      <c r="A62" s="8" t="s">
        <v>78</v>
      </c>
      <c r="B62" s="9"/>
      <c r="C62">
        <v>6</v>
      </c>
      <c r="D62" s="11"/>
      <c r="E62" s="37"/>
      <c r="F62" s="24"/>
      <c r="G62" s="11" t="s">
        <v>19</v>
      </c>
      <c r="H62" s="27" t="s">
        <v>79</v>
      </c>
      <c r="I62" s="30">
        <v>0</v>
      </c>
      <c r="J62" s="20">
        <f t="shared" si="3"/>
        <v>0</v>
      </c>
    </row>
    <row r="63" spans="1:10" ht="15.75" thickBot="1" x14ac:dyDescent="0.3">
      <c r="A63" s="8"/>
      <c r="B63" s="9"/>
      <c r="D63" s="11"/>
      <c r="E63" s="38" t="s">
        <v>20</v>
      </c>
      <c r="F63" s="13"/>
      <c r="G63" s="7"/>
      <c r="H63" s="29" t="s">
        <v>80</v>
      </c>
      <c r="I63" s="25">
        <v>0</v>
      </c>
      <c r="J63" s="26">
        <f t="shared" si="3"/>
        <v>0</v>
      </c>
    </row>
    <row r="64" spans="1:10" x14ac:dyDescent="0.25">
      <c r="A64" s="8" t="s">
        <v>20</v>
      </c>
      <c r="B64" s="9"/>
      <c r="D64" s="11"/>
      <c r="E64" s="28" t="s">
        <v>81</v>
      </c>
      <c r="F64" s="20">
        <f>C65/C$30</f>
        <v>0.33333333333333331</v>
      </c>
      <c r="G64" s="7"/>
    </row>
    <row r="65" spans="1:10" ht="15.75" thickBot="1" x14ac:dyDescent="0.3">
      <c r="A65" s="8" t="s">
        <v>82</v>
      </c>
      <c r="B65" s="9"/>
      <c r="C65">
        <v>6</v>
      </c>
      <c r="D65" s="11"/>
      <c r="E65" s="31" t="s">
        <v>83</v>
      </c>
      <c r="F65" s="26">
        <f>C66/C$30</f>
        <v>0.66666666666666663</v>
      </c>
      <c r="G65" s="7"/>
    </row>
    <row r="66" spans="1:10" ht="15.75" thickBot="1" x14ac:dyDescent="0.3">
      <c r="A66" s="8" t="s">
        <v>83</v>
      </c>
      <c r="B66" s="9"/>
      <c r="C66">
        <v>12</v>
      </c>
      <c r="D66" s="11"/>
      <c r="E66" s="39"/>
      <c r="F66" s="40"/>
      <c r="G66" s="7"/>
      <c r="H66" s="14" t="s">
        <v>40</v>
      </c>
      <c r="I66" s="15">
        <v>5</v>
      </c>
      <c r="J66" s="16"/>
    </row>
    <row r="67" spans="1:10" x14ac:dyDescent="0.25">
      <c r="A67" s="8"/>
      <c r="B67" s="9"/>
      <c r="D67" s="11"/>
      <c r="E67" s="14" t="s">
        <v>84</v>
      </c>
      <c r="F67" s="13"/>
      <c r="G67" s="7"/>
      <c r="H67" s="27" t="s">
        <v>85</v>
      </c>
      <c r="I67" s="30">
        <v>0</v>
      </c>
      <c r="J67" s="20">
        <f>I67/I$66</f>
        <v>0</v>
      </c>
    </row>
    <row r="68" spans="1:10" x14ac:dyDescent="0.25">
      <c r="A68" t="s">
        <v>84</v>
      </c>
      <c r="D68" s="11"/>
      <c r="E68" s="27" t="s">
        <v>86</v>
      </c>
      <c r="F68" s="20">
        <f>C69/C$66</f>
        <v>0.5</v>
      </c>
      <c r="G68" s="7"/>
      <c r="H68" s="27" t="s">
        <v>87</v>
      </c>
      <c r="I68" s="19">
        <v>1</v>
      </c>
      <c r="J68" s="20">
        <f>I68/I$66</f>
        <v>0.2</v>
      </c>
    </row>
    <row r="69" spans="1:10" ht="15.75" thickBot="1" x14ac:dyDescent="0.3">
      <c r="A69" t="s">
        <v>86</v>
      </c>
      <c r="C69">
        <v>6</v>
      </c>
      <c r="D69" s="11"/>
      <c r="E69" s="29" t="s">
        <v>88</v>
      </c>
      <c r="F69" s="26">
        <f>C70/C$66</f>
        <v>0.5</v>
      </c>
      <c r="G69" s="7"/>
      <c r="H69" s="27" t="s">
        <v>89</v>
      </c>
      <c r="I69" s="30">
        <v>1</v>
      </c>
      <c r="J69" s="20">
        <f>I69/I$66</f>
        <v>0.2</v>
      </c>
    </row>
    <row r="70" spans="1:10" ht="15.75" thickBot="1" x14ac:dyDescent="0.3">
      <c r="A70" t="s">
        <v>88</v>
      </c>
      <c r="C70">
        <v>6</v>
      </c>
      <c r="D70" s="11"/>
      <c r="E70" s="39"/>
      <c r="F70" s="40"/>
      <c r="G70" s="7"/>
      <c r="H70" s="27" t="s">
        <v>90</v>
      </c>
      <c r="I70" s="30">
        <v>0</v>
      </c>
      <c r="J70" s="20">
        <f>I70/I$66</f>
        <v>0</v>
      </c>
    </row>
    <row r="71" spans="1:10" ht="15.75" thickBot="1" x14ac:dyDescent="0.3">
      <c r="A71" s="8"/>
      <c r="B71" s="9"/>
      <c r="D71" s="11"/>
      <c r="E71" s="33" t="s">
        <v>91</v>
      </c>
      <c r="F71" s="13"/>
      <c r="G71" s="7"/>
      <c r="H71" s="29" t="s">
        <v>92</v>
      </c>
      <c r="I71" s="25">
        <v>3</v>
      </c>
      <c r="J71" s="26">
        <f>I71/I$66</f>
        <v>0.6</v>
      </c>
    </row>
    <row r="72" spans="1:10" x14ac:dyDescent="0.25">
      <c r="A72" s="8" t="s">
        <v>93</v>
      </c>
      <c r="B72" s="9"/>
      <c r="D72" s="11"/>
      <c r="E72" s="28" t="s">
        <v>94</v>
      </c>
      <c r="F72" s="20">
        <f t="shared" ref="F72:F77" si="4">C73/C$30</f>
        <v>0.27777777777777779</v>
      </c>
      <c r="G72" s="7"/>
    </row>
    <row r="73" spans="1:10" ht="15.75" thickBot="1" x14ac:dyDescent="0.3">
      <c r="A73" s="8" t="s">
        <v>94</v>
      </c>
      <c r="B73" s="9"/>
      <c r="C73">
        <v>5</v>
      </c>
      <c r="D73" s="11"/>
      <c r="E73" s="17" t="s">
        <v>95</v>
      </c>
      <c r="F73" s="20">
        <f t="shared" si="4"/>
        <v>5.5555555555555552E-2</v>
      </c>
      <c r="G73" s="7"/>
    </row>
    <row r="74" spans="1:10" x14ac:dyDescent="0.25">
      <c r="A74" s="8" t="s">
        <v>95</v>
      </c>
      <c r="B74" s="9"/>
      <c r="C74">
        <v>1</v>
      </c>
      <c r="D74" s="11"/>
      <c r="E74" s="17" t="s">
        <v>96</v>
      </c>
      <c r="F74" s="20">
        <f t="shared" si="4"/>
        <v>0</v>
      </c>
      <c r="G74" s="7"/>
      <c r="H74" s="14" t="s">
        <v>44</v>
      </c>
      <c r="I74" s="15">
        <v>6</v>
      </c>
      <c r="J74" s="16"/>
    </row>
    <row r="75" spans="1:10" x14ac:dyDescent="0.25">
      <c r="A75" s="8" t="s">
        <v>96</v>
      </c>
      <c r="B75" s="9"/>
      <c r="C75">
        <v>0</v>
      </c>
      <c r="D75" s="11"/>
      <c r="E75" s="17" t="s">
        <v>97</v>
      </c>
      <c r="F75" s="20">
        <f t="shared" si="4"/>
        <v>0</v>
      </c>
      <c r="G75" s="7"/>
      <c r="H75" s="27" t="s">
        <v>98</v>
      </c>
      <c r="I75" s="19">
        <v>1</v>
      </c>
      <c r="J75" s="20">
        <f>I75/I$74</f>
        <v>0.16666666666666666</v>
      </c>
    </row>
    <row r="76" spans="1:10" x14ac:dyDescent="0.25">
      <c r="A76" s="8" t="s">
        <v>97</v>
      </c>
      <c r="B76" s="9"/>
      <c r="C76">
        <v>0</v>
      </c>
      <c r="D76" s="11"/>
      <c r="E76" s="17" t="s">
        <v>99</v>
      </c>
      <c r="F76" s="20">
        <f t="shared" si="4"/>
        <v>0.66666666666666663</v>
      </c>
      <c r="G76" s="7"/>
      <c r="H76" s="27" t="s">
        <v>100</v>
      </c>
      <c r="I76" s="19">
        <v>0</v>
      </c>
      <c r="J76" s="20">
        <f t="shared" ref="J76:J84" si="5">I76/I$74</f>
        <v>0</v>
      </c>
    </row>
    <row r="77" spans="1:10" ht="15.75" thickBot="1" x14ac:dyDescent="0.3">
      <c r="A77" s="8" t="s">
        <v>99</v>
      </c>
      <c r="B77" s="9"/>
      <c r="C77">
        <v>12</v>
      </c>
      <c r="D77" s="11"/>
      <c r="E77" s="22" t="s">
        <v>44</v>
      </c>
      <c r="F77" s="26">
        <f t="shared" si="4"/>
        <v>0</v>
      </c>
      <c r="G77" s="7"/>
      <c r="H77" s="27" t="s">
        <v>101</v>
      </c>
      <c r="I77" s="19">
        <v>0</v>
      </c>
      <c r="J77" s="20">
        <f t="shared" si="5"/>
        <v>0</v>
      </c>
    </row>
    <row r="78" spans="1:10" ht="15.75" thickBot="1" x14ac:dyDescent="0.3">
      <c r="A78" s="8" t="s">
        <v>44</v>
      </c>
      <c r="B78" s="9"/>
      <c r="C78">
        <v>0</v>
      </c>
      <c r="D78" s="11"/>
      <c r="E78" s="11"/>
      <c r="F78" s="24"/>
      <c r="G78" s="7"/>
      <c r="H78" s="27" t="s">
        <v>102</v>
      </c>
      <c r="I78" s="30">
        <v>0</v>
      </c>
      <c r="J78" s="20">
        <f t="shared" si="5"/>
        <v>0</v>
      </c>
    </row>
    <row r="79" spans="1:10" x14ac:dyDescent="0.25">
      <c r="A79" s="8"/>
      <c r="B79" s="9"/>
      <c r="D79" s="11"/>
      <c r="E79" s="12" t="s">
        <v>103</v>
      </c>
      <c r="F79" s="13"/>
      <c r="G79" s="7"/>
      <c r="H79" s="27" t="s">
        <v>104</v>
      </c>
      <c r="I79" s="30">
        <v>0</v>
      </c>
      <c r="J79" s="20">
        <f t="shared" si="5"/>
        <v>0</v>
      </c>
    </row>
    <row r="80" spans="1:10" x14ac:dyDescent="0.25">
      <c r="A80" s="8" t="s">
        <v>105</v>
      </c>
      <c r="B80" s="9"/>
      <c r="D80" s="11"/>
      <c r="E80" s="17" t="s">
        <v>106</v>
      </c>
      <c r="F80" s="20">
        <f>C81/C$30</f>
        <v>0.77777777777777779</v>
      </c>
      <c r="G80" s="7"/>
      <c r="H80" s="41" t="s">
        <v>107</v>
      </c>
      <c r="I80" s="30">
        <v>0</v>
      </c>
      <c r="J80" s="20">
        <f t="shared" si="5"/>
        <v>0</v>
      </c>
    </row>
    <row r="81" spans="1:10" x14ac:dyDescent="0.25">
      <c r="A81" s="8" t="s">
        <v>106</v>
      </c>
      <c r="B81" s="9"/>
      <c r="C81">
        <v>14</v>
      </c>
      <c r="D81" s="11"/>
      <c r="E81" s="17" t="s">
        <v>108</v>
      </c>
      <c r="F81" s="20">
        <f>C82/C$30</f>
        <v>0.1111111111111111</v>
      </c>
      <c r="G81" s="7"/>
      <c r="H81" s="41" t="s">
        <v>109</v>
      </c>
      <c r="I81" s="30">
        <v>0</v>
      </c>
      <c r="J81" s="20">
        <f t="shared" si="5"/>
        <v>0</v>
      </c>
    </row>
    <row r="82" spans="1:10" x14ac:dyDescent="0.25">
      <c r="A82" s="8" t="s">
        <v>108</v>
      </c>
      <c r="B82" s="9"/>
      <c r="C82">
        <v>2</v>
      </c>
      <c r="D82" s="11"/>
      <c r="E82" s="17" t="s">
        <v>110</v>
      </c>
      <c r="F82" s="20">
        <f>C83/C$30</f>
        <v>5.5555555555555552E-2</v>
      </c>
      <c r="G82" s="7"/>
      <c r="H82" s="41" t="s">
        <v>111</v>
      </c>
      <c r="I82" s="30">
        <v>5</v>
      </c>
      <c r="J82" s="20">
        <f t="shared" si="5"/>
        <v>0.83333333333333337</v>
      </c>
    </row>
    <row r="83" spans="1:10" x14ac:dyDescent="0.25">
      <c r="A83" s="8" t="s">
        <v>110</v>
      </c>
      <c r="B83" s="9"/>
      <c r="C83">
        <v>1</v>
      </c>
      <c r="D83" s="11"/>
      <c r="E83" s="17" t="s">
        <v>112</v>
      </c>
      <c r="F83" s="20">
        <f>C84/C$30</f>
        <v>0</v>
      </c>
      <c r="G83" s="7"/>
      <c r="H83" s="41" t="s">
        <v>113</v>
      </c>
      <c r="I83" s="30">
        <v>0</v>
      </c>
      <c r="J83" s="20">
        <f t="shared" si="5"/>
        <v>0</v>
      </c>
    </row>
    <row r="84" spans="1:10" ht="15.75" thickBot="1" x14ac:dyDescent="0.3">
      <c r="A84" s="8" t="s">
        <v>112</v>
      </c>
      <c r="B84" s="9"/>
      <c r="C84">
        <v>0</v>
      </c>
      <c r="E84" s="22" t="s">
        <v>114</v>
      </c>
      <c r="F84" s="26">
        <f>C85/C$30</f>
        <v>5.5555555555555552E-2</v>
      </c>
      <c r="H84" s="42" t="s">
        <v>115</v>
      </c>
      <c r="I84" s="25">
        <v>0</v>
      </c>
      <c r="J84" s="26">
        <f t="shared" si="5"/>
        <v>0</v>
      </c>
    </row>
    <row r="85" spans="1:10" x14ac:dyDescent="0.25">
      <c r="A85" s="8" t="s">
        <v>114</v>
      </c>
      <c r="B85" s="9"/>
      <c r="C85">
        <v>1</v>
      </c>
      <c r="E85" s="11"/>
      <c r="F85" s="24"/>
    </row>
    <row r="86" spans="1:10" x14ac:dyDescent="0.25">
      <c r="A86" s="8" t="s">
        <v>116</v>
      </c>
      <c r="B86" s="9"/>
      <c r="C86">
        <v>0</v>
      </c>
      <c r="E86" s="11"/>
      <c r="F86" s="24"/>
    </row>
    <row r="87" spans="1:10" x14ac:dyDescent="0.25">
      <c r="A87" s="8"/>
      <c r="B87" s="9"/>
      <c r="E87" s="11"/>
      <c r="F87" s="24"/>
    </row>
    <row r="88" spans="1:10" ht="15.75" thickBot="1" x14ac:dyDescent="0.3"/>
    <row r="89" spans="1:10" x14ac:dyDescent="0.25">
      <c r="A89" s="43" t="s">
        <v>117</v>
      </c>
      <c r="B89" s="87">
        <f>SUM(B90:B94)</f>
        <v>37145.35</v>
      </c>
    </row>
    <row r="90" spans="1:10" x14ac:dyDescent="0.25">
      <c r="A90" s="44" t="s">
        <v>94</v>
      </c>
      <c r="B90" s="45">
        <f>SUM(F4:F5,F13,F15,F19)</f>
        <v>9281</v>
      </c>
    </row>
    <row r="91" spans="1:10" x14ac:dyDescent="0.25">
      <c r="A91" s="44" t="s">
        <v>118</v>
      </c>
      <c r="B91" s="45">
        <f>SUM(F2:F3,F6:F11,F14,F16:F18)</f>
        <v>22854.35</v>
      </c>
    </row>
    <row r="92" spans="1:10" x14ac:dyDescent="0.25">
      <c r="A92" s="44" t="s">
        <v>119</v>
      </c>
      <c r="B92" s="45">
        <v>5010</v>
      </c>
    </row>
    <row r="93" spans="1:10" x14ac:dyDescent="0.25">
      <c r="A93" s="44" t="s">
        <v>44</v>
      </c>
      <c r="B93" s="46">
        <v>0</v>
      </c>
    </row>
    <row r="94" spans="1:10" ht="15.75" thickBot="1" x14ac:dyDescent="0.3">
      <c r="A94" s="47"/>
      <c r="B94" s="48"/>
    </row>
  </sheetData>
  <mergeCells count="1">
    <mergeCell ref="A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opLeftCell="A65" workbookViewId="0">
      <selection activeCell="B94" sqref="B94"/>
    </sheetView>
  </sheetViews>
  <sheetFormatPr baseColWidth="10" defaultRowHeight="15" customHeight="1" x14ac:dyDescent="0.25"/>
  <cols>
    <col min="2" max="2" width="34.140625" customWidth="1"/>
    <col min="3" max="3" width="11.85546875" customWidth="1"/>
    <col min="4" max="4" width="5.5703125" customWidth="1"/>
    <col min="5" max="5" width="7.28515625" customWidth="1"/>
    <col min="7" max="7" width="34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ht="15" customHeight="1" x14ac:dyDescent="0.25">
      <c r="A2" s="9">
        <v>45352</v>
      </c>
      <c r="B2" t="s">
        <v>503</v>
      </c>
      <c r="C2" t="s">
        <v>106</v>
      </c>
      <c r="D2" t="s">
        <v>22</v>
      </c>
      <c r="E2" t="s">
        <v>195</v>
      </c>
      <c r="F2" s="59">
        <v>2649</v>
      </c>
      <c r="G2" t="s">
        <v>506</v>
      </c>
      <c r="H2" t="s">
        <v>502</v>
      </c>
    </row>
    <row r="3" spans="1:8" ht="15" customHeight="1" x14ac:dyDescent="0.25">
      <c r="A3" s="9">
        <v>45352</v>
      </c>
      <c r="B3" t="s">
        <v>507</v>
      </c>
      <c r="C3" t="s">
        <v>106</v>
      </c>
      <c r="D3" t="s">
        <v>22</v>
      </c>
      <c r="E3" t="s">
        <v>118</v>
      </c>
      <c r="F3" s="59">
        <v>1670</v>
      </c>
      <c r="G3" t="s">
        <v>510</v>
      </c>
      <c r="H3" t="s">
        <v>502</v>
      </c>
    </row>
    <row r="4" spans="1:8" ht="15" customHeight="1" x14ac:dyDescent="0.25">
      <c r="A4" s="9">
        <v>45353</v>
      </c>
      <c r="B4" t="s">
        <v>511</v>
      </c>
      <c r="C4" t="s">
        <v>106</v>
      </c>
      <c r="D4" t="s">
        <v>22</v>
      </c>
      <c r="E4" t="s">
        <v>118</v>
      </c>
      <c r="F4" s="59">
        <v>1328</v>
      </c>
      <c r="G4" t="s">
        <v>514</v>
      </c>
      <c r="H4" t="s">
        <v>502</v>
      </c>
    </row>
    <row r="5" spans="1:8" ht="15" customHeight="1" x14ac:dyDescent="0.25">
      <c r="A5" s="9">
        <v>45356</v>
      </c>
      <c r="B5" t="s">
        <v>532</v>
      </c>
      <c r="C5" t="s">
        <v>106</v>
      </c>
      <c r="D5" t="s">
        <v>22</v>
      </c>
      <c r="E5" t="s">
        <v>195</v>
      </c>
      <c r="F5" s="59">
        <v>1635</v>
      </c>
      <c r="G5" t="s">
        <v>535</v>
      </c>
      <c r="H5" t="s">
        <v>536</v>
      </c>
    </row>
    <row r="6" spans="1:8" ht="15" customHeight="1" x14ac:dyDescent="0.25">
      <c r="A6" s="9">
        <v>45356</v>
      </c>
      <c r="B6" t="s">
        <v>538</v>
      </c>
      <c r="C6" t="s">
        <v>106</v>
      </c>
      <c r="D6" t="s">
        <v>22</v>
      </c>
      <c r="E6" t="s">
        <v>118</v>
      </c>
      <c r="F6" s="59">
        <v>1467</v>
      </c>
      <c r="G6" t="s">
        <v>540</v>
      </c>
      <c r="H6" t="s">
        <v>216</v>
      </c>
    </row>
    <row r="7" spans="1:8" ht="15" customHeight="1" x14ac:dyDescent="0.25">
      <c r="A7" s="9">
        <v>45356</v>
      </c>
      <c r="B7" t="s">
        <v>541</v>
      </c>
      <c r="C7" t="s">
        <v>106</v>
      </c>
      <c r="D7" t="s">
        <v>22</v>
      </c>
      <c r="E7" t="s">
        <v>118</v>
      </c>
      <c r="F7" s="59">
        <v>842</v>
      </c>
      <c r="G7" t="s">
        <v>544</v>
      </c>
      <c r="H7" t="s">
        <v>545</v>
      </c>
    </row>
    <row r="8" spans="1:8" ht="15" customHeight="1" x14ac:dyDescent="0.25">
      <c r="A8" s="9">
        <v>45358</v>
      </c>
      <c r="B8" t="s">
        <v>553</v>
      </c>
      <c r="C8" t="s">
        <v>362</v>
      </c>
      <c r="D8" t="s">
        <v>22</v>
      </c>
      <c r="E8" t="s">
        <v>195</v>
      </c>
      <c r="F8" s="59">
        <v>925</v>
      </c>
      <c r="G8" t="s">
        <v>556</v>
      </c>
      <c r="H8" t="s">
        <v>502</v>
      </c>
    </row>
    <row r="9" spans="1:8" ht="15" customHeight="1" x14ac:dyDescent="0.25">
      <c r="A9" s="9">
        <v>45362</v>
      </c>
      <c r="B9" t="s">
        <v>561</v>
      </c>
      <c r="C9" t="s">
        <v>106</v>
      </c>
      <c r="D9" t="s">
        <v>24</v>
      </c>
      <c r="E9" t="s">
        <v>195</v>
      </c>
      <c r="F9" s="59">
        <v>2353.64</v>
      </c>
      <c r="G9" t="s">
        <v>564</v>
      </c>
      <c r="H9" t="s">
        <v>245</v>
      </c>
    </row>
    <row r="10" spans="1:8" ht="15" customHeight="1" x14ac:dyDescent="0.25">
      <c r="A10" s="9">
        <v>45355</v>
      </c>
      <c r="B10" t="s">
        <v>566</v>
      </c>
      <c r="C10" t="s">
        <v>106</v>
      </c>
      <c r="D10" t="s">
        <v>22</v>
      </c>
      <c r="E10" t="s">
        <v>118</v>
      </c>
      <c r="F10" s="59">
        <v>1756.5</v>
      </c>
      <c r="G10" t="s">
        <v>569</v>
      </c>
      <c r="H10" t="s">
        <v>574</v>
      </c>
    </row>
    <row r="11" spans="1:8" ht="15" customHeight="1" x14ac:dyDescent="0.25">
      <c r="A11" s="9">
        <v>45365</v>
      </c>
      <c r="B11" t="s">
        <v>571</v>
      </c>
      <c r="C11" t="s">
        <v>106</v>
      </c>
      <c r="D11" t="s">
        <v>22</v>
      </c>
      <c r="E11" t="s">
        <v>195</v>
      </c>
      <c r="F11" s="59">
        <v>1254</v>
      </c>
      <c r="G11" t="s">
        <v>580</v>
      </c>
      <c r="H11" t="s">
        <v>581</v>
      </c>
    </row>
    <row r="12" spans="1:8" ht="15" customHeight="1" x14ac:dyDescent="0.25">
      <c r="A12" s="9">
        <v>45362</v>
      </c>
      <c r="B12" t="s">
        <v>577</v>
      </c>
      <c r="C12" t="s">
        <v>106</v>
      </c>
      <c r="D12" t="s">
        <v>22</v>
      </c>
      <c r="E12" t="s">
        <v>118</v>
      </c>
      <c r="F12" s="59">
        <v>1171.26</v>
      </c>
      <c r="G12" t="s">
        <v>402</v>
      </c>
      <c r="H12" t="s">
        <v>603</v>
      </c>
    </row>
    <row r="13" spans="1:8" ht="15" customHeight="1" x14ac:dyDescent="0.25">
      <c r="A13" s="9">
        <v>45366</v>
      </c>
      <c r="B13" t="s">
        <v>582</v>
      </c>
      <c r="C13" t="s">
        <v>106</v>
      </c>
      <c r="D13" t="s">
        <v>22</v>
      </c>
      <c r="E13" t="s">
        <v>118</v>
      </c>
      <c r="F13" s="59">
        <v>1038</v>
      </c>
      <c r="G13" t="s">
        <v>585</v>
      </c>
      <c r="H13" t="s">
        <v>216</v>
      </c>
    </row>
    <row r="14" spans="1:8" ht="15" customHeight="1" x14ac:dyDescent="0.25">
      <c r="A14" s="9">
        <v>45362</v>
      </c>
      <c r="B14" t="s">
        <v>587</v>
      </c>
      <c r="C14" t="s">
        <v>106</v>
      </c>
      <c r="D14" t="s">
        <v>22</v>
      </c>
      <c r="E14" t="s">
        <v>118</v>
      </c>
      <c r="F14" s="59">
        <v>1906.6</v>
      </c>
      <c r="G14" t="s">
        <v>590</v>
      </c>
      <c r="H14" t="s">
        <v>591</v>
      </c>
    </row>
    <row r="15" spans="1:8" ht="15" customHeight="1" x14ac:dyDescent="0.25">
      <c r="A15" s="9">
        <v>45369</v>
      </c>
      <c r="B15" t="s">
        <v>594</v>
      </c>
      <c r="C15" t="s">
        <v>106</v>
      </c>
      <c r="D15" t="s">
        <v>22</v>
      </c>
      <c r="E15" t="s">
        <v>118</v>
      </c>
      <c r="F15" s="59">
        <v>1625.56</v>
      </c>
      <c r="G15" t="s">
        <v>597</v>
      </c>
      <c r="H15" t="s">
        <v>216</v>
      </c>
    </row>
    <row r="16" spans="1:8" ht="15" customHeight="1" x14ac:dyDescent="0.25">
      <c r="A16" s="9">
        <v>45372</v>
      </c>
      <c r="B16" t="s">
        <v>598</v>
      </c>
      <c r="C16" t="s">
        <v>106</v>
      </c>
      <c r="D16" t="s">
        <v>22</v>
      </c>
      <c r="E16" t="s">
        <v>195</v>
      </c>
      <c r="F16" s="59">
        <v>952</v>
      </c>
      <c r="G16" t="s">
        <v>601</v>
      </c>
      <c r="H16" t="s">
        <v>602</v>
      </c>
    </row>
    <row r="17" spans="1:10" ht="15" customHeight="1" x14ac:dyDescent="0.25">
      <c r="A17" s="9">
        <v>45373</v>
      </c>
      <c r="B17" t="s">
        <v>605</v>
      </c>
      <c r="C17" t="s">
        <v>361</v>
      </c>
      <c r="D17" t="s">
        <v>22</v>
      </c>
      <c r="E17" t="s">
        <v>118</v>
      </c>
      <c r="F17" s="59">
        <v>984</v>
      </c>
      <c r="G17" t="s">
        <v>608</v>
      </c>
      <c r="H17" t="s">
        <v>609</v>
      </c>
    </row>
    <row r="18" spans="1:10" ht="15" customHeight="1" x14ac:dyDescent="0.25">
      <c r="A18" s="9">
        <v>45371</v>
      </c>
      <c r="B18" t="s">
        <v>611</v>
      </c>
      <c r="C18" t="s">
        <v>106</v>
      </c>
      <c r="D18" t="s">
        <v>22</v>
      </c>
      <c r="E18" t="s">
        <v>195</v>
      </c>
      <c r="F18" s="59">
        <v>1265</v>
      </c>
      <c r="G18" t="s">
        <v>614</v>
      </c>
      <c r="H18" t="s">
        <v>265</v>
      </c>
    </row>
    <row r="19" spans="1:10" ht="15" customHeight="1" x14ac:dyDescent="0.25">
      <c r="A19" s="9">
        <v>45373</v>
      </c>
      <c r="B19" t="s">
        <v>515</v>
      </c>
      <c r="C19" t="s">
        <v>106</v>
      </c>
      <c r="D19" t="s">
        <v>22</v>
      </c>
      <c r="E19" t="s">
        <v>118</v>
      </c>
      <c r="F19" s="59">
        <v>230.4</v>
      </c>
      <c r="G19" t="s">
        <v>616</v>
      </c>
      <c r="H19" t="s">
        <v>617</v>
      </c>
    </row>
    <row r="20" spans="1:10" ht="15" customHeight="1" x14ac:dyDescent="0.25">
      <c r="A20" s="9">
        <v>45376</v>
      </c>
      <c r="B20" t="s">
        <v>622</v>
      </c>
      <c r="C20" t="s">
        <v>106</v>
      </c>
      <c r="D20" t="s">
        <v>22</v>
      </c>
      <c r="E20" t="s">
        <v>118</v>
      </c>
      <c r="F20" s="59">
        <v>6099</v>
      </c>
      <c r="G20" t="s">
        <v>352</v>
      </c>
    </row>
    <row r="21" spans="1:10" ht="15" customHeight="1" x14ac:dyDescent="0.25">
      <c r="A21" s="9">
        <v>45377</v>
      </c>
      <c r="B21" t="s">
        <v>622</v>
      </c>
      <c r="C21" t="s">
        <v>361</v>
      </c>
      <c r="D21" t="s">
        <v>22</v>
      </c>
      <c r="E21" t="s">
        <v>118</v>
      </c>
      <c r="F21" s="59">
        <v>6148.4</v>
      </c>
      <c r="G21" t="s">
        <v>352</v>
      </c>
    </row>
    <row r="22" spans="1:10" ht="15" customHeight="1" x14ac:dyDescent="0.25">
      <c r="A22" s="9">
        <v>45371</v>
      </c>
      <c r="B22" t="s">
        <v>398</v>
      </c>
      <c r="C22" t="s">
        <v>106</v>
      </c>
      <c r="D22" t="s">
        <v>22</v>
      </c>
      <c r="E22" t="s">
        <v>118</v>
      </c>
      <c r="F22" s="59">
        <v>2122</v>
      </c>
      <c r="G22" t="s">
        <v>628</v>
      </c>
      <c r="H22" t="s">
        <v>445</v>
      </c>
    </row>
    <row r="23" spans="1:10" ht="15" customHeight="1" x14ac:dyDescent="0.25">
      <c r="A23" s="9">
        <v>45376</v>
      </c>
      <c r="B23" t="s">
        <v>629</v>
      </c>
      <c r="C23" t="s">
        <v>106</v>
      </c>
      <c r="D23" t="s">
        <v>22</v>
      </c>
      <c r="E23" t="s">
        <v>119</v>
      </c>
      <c r="F23" s="59">
        <v>3130</v>
      </c>
      <c r="G23" t="s">
        <v>632</v>
      </c>
      <c r="H23" t="s">
        <v>236</v>
      </c>
    </row>
    <row r="24" spans="1:10" ht="15" customHeight="1" x14ac:dyDescent="0.25">
      <c r="A24" s="9">
        <v>45378</v>
      </c>
      <c r="B24" t="s">
        <v>703</v>
      </c>
      <c r="C24" t="s">
        <v>106</v>
      </c>
      <c r="D24" t="s">
        <v>22</v>
      </c>
      <c r="E24" t="s">
        <v>118</v>
      </c>
      <c r="F24" s="59">
        <v>850</v>
      </c>
      <c r="G24" t="s">
        <v>706</v>
      </c>
      <c r="H24" t="s">
        <v>228</v>
      </c>
    </row>
    <row r="30" spans="1:10" ht="15" customHeight="1" thickBot="1" x14ac:dyDescent="0.3">
      <c r="A30" s="97" t="s">
        <v>8</v>
      </c>
      <c r="B30" s="97"/>
      <c r="C30" s="97"/>
      <c r="D30" s="97"/>
      <c r="E30" s="97"/>
      <c r="F30" s="97"/>
      <c r="G30" s="7"/>
    </row>
    <row r="31" spans="1:10" ht="15" customHeight="1" x14ac:dyDescent="0.25">
      <c r="A31" s="8" t="s">
        <v>9</v>
      </c>
      <c r="B31" s="9"/>
      <c r="C31" s="10">
        <f>SUM(F2:F27)</f>
        <v>43402.36</v>
      </c>
      <c r="D31" s="11"/>
      <c r="E31" s="12" t="s">
        <v>10</v>
      </c>
      <c r="F31" s="91"/>
      <c r="G31" s="7"/>
      <c r="H31" s="14" t="s">
        <v>11</v>
      </c>
      <c r="I31" s="15">
        <v>14</v>
      </c>
      <c r="J31" s="16"/>
    </row>
    <row r="32" spans="1:10" ht="15" customHeight="1" x14ac:dyDescent="0.25">
      <c r="A32" s="8"/>
      <c r="B32" s="9"/>
      <c r="C32" s="10"/>
      <c r="D32" s="11"/>
      <c r="E32" s="17" t="s">
        <v>12</v>
      </c>
      <c r="F32" s="90">
        <v>43402.36</v>
      </c>
      <c r="G32" s="7"/>
      <c r="H32" s="17" t="s">
        <v>13</v>
      </c>
      <c r="I32" s="19">
        <v>3</v>
      </c>
      <c r="J32" s="20">
        <f>I32/I$31</f>
        <v>0.21428571428571427</v>
      </c>
    </row>
    <row r="33" spans="1:10" ht="15" customHeight="1" thickBot="1" x14ac:dyDescent="0.3">
      <c r="A33" s="8" t="s">
        <v>14</v>
      </c>
      <c r="B33" s="9"/>
      <c r="C33" s="21">
        <v>23</v>
      </c>
      <c r="D33" s="11"/>
      <c r="E33" s="22" t="s">
        <v>15</v>
      </c>
      <c r="F33" s="23">
        <f>C31/C33</f>
        <v>1887.0591304347827</v>
      </c>
      <c r="G33" s="7"/>
      <c r="H33" s="17" t="s">
        <v>16</v>
      </c>
      <c r="I33" s="19">
        <v>11</v>
      </c>
      <c r="J33" s="20">
        <f>I33/I$31</f>
        <v>0.7857142857142857</v>
      </c>
    </row>
    <row r="34" spans="1:10" ht="15" customHeight="1" thickBot="1" x14ac:dyDescent="0.3">
      <c r="A34" s="8" t="s">
        <v>17</v>
      </c>
      <c r="B34" s="9"/>
      <c r="C34">
        <v>23</v>
      </c>
      <c r="D34" s="11"/>
      <c r="E34" s="11"/>
      <c r="F34" s="24"/>
      <c r="G34" s="7"/>
      <c r="H34" s="22" t="s">
        <v>18</v>
      </c>
      <c r="I34" s="25">
        <v>0</v>
      </c>
      <c r="J34" s="26">
        <f>I34/I$31</f>
        <v>0</v>
      </c>
    </row>
    <row r="35" spans="1:10" ht="15" customHeight="1" x14ac:dyDescent="0.25">
      <c r="A35" s="8"/>
      <c r="B35" s="9"/>
      <c r="D35" s="11" t="s">
        <v>19</v>
      </c>
      <c r="E35" s="12" t="s">
        <v>20</v>
      </c>
      <c r="F35" s="13"/>
      <c r="G35" s="7"/>
    </row>
    <row r="36" spans="1:10" ht="15" customHeight="1" thickBot="1" x14ac:dyDescent="0.3">
      <c r="A36" s="8" t="s">
        <v>21</v>
      </c>
      <c r="B36" s="9"/>
      <c r="C36">
        <v>22</v>
      </c>
      <c r="D36" s="11" t="s">
        <v>19</v>
      </c>
      <c r="E36" s="17" t="s">
        <v>22</v>
      </c>
      <c r="F36" s="20">
        <f>C36/C$34</f>
        <v>0.95652173913043481</v>
      </c>
      <c r="G36" s="7"/>
    </row>
    <row r="37" spans="1:10" ht="15" customHeight="1" thickBot="1" x14ac:dyDescent="0.3">
      <c r="A37" s="8" t="s">
        <v>23</v>
      </c>
      <c r="B37" s="9"/>
      <c r="C37">
        <v>1</v>
      </c>
      <c r="D37" s="11"/>
      <c r="E37" s="22" t="s">
        <v>24</v>
      </c>
      <c r="F37" s="26">
        <f>C37/C$34</f>
        <v>4.3478260869565216E-2</v>
      </c>
      <c r="G37" s="7"/>
      <c r="H37" s="14" t="s">
        <v>25</v>
      </c>
      <c r="I37" s="15">
        <v>8</v>
      </c>
      <c r="J37" s="16"/>
    </row>
    <row r="38" spans="1:10" ht="15" customHeight="1" thickBot="1" x14ac:dyDescent="0.3">
      <c r="A38" s="8"/>
      <c r="B38" s="9"/>
      <c r="D38" s="11"/>
      <c r="E38" s="11"/>
      <c r="F38" s="24"/>
      <c r="G38" s="7"/>
      <c r="H38" s="27" t="s">
        <v>26</v>
      </c>
      <c r="I38" s="30">
        <v>3</v>
      </c>
      <c r="J38" s="20">
        <f>I38/I$37</f>
        <v>0.375</v>
      </c>
    </row>
    <row r="39" spans="1:10" ht="15" customHeight="1" x14ac:dyDescent="0.25">
      <c r="A39" s="8" t="s">
        <v>27</v>
      </c>
      <c r="B39" s="9"/>
      <c r="D39" s="11"/>
      <c r="E39" s="12" t="s">
        <v>28</v>
      </c>
      <c r="F39" s="13"/>
      <c r="G39" s="7"/>
      <c r="H39" s="27" t="s">
        <v>29</v>
      </c>
      <c r="I39" s="30">
        <v>3</v>
      </c>
      <c r="J39" s="20">
        <f>I39/I$37</f>
        <v>0.375</v>
      </c>
    </row>
    <row r="40" spans="1:10" ht="15" customHeight="1" thickBot="1" x14ac:dyDescent="0.3">
      <c r="A40" s="8" t="s">
        <v>30</v>
      </c>
      <c r="B40" s="9"/>
      <c r="C40">
        <v>0</v>
      </c>
      <c r="D40" s="11"/>
      <c r="E40" s="28" t="s">
        <v>30</v>
      </c>
      <c r="F40" s="20">
        <f>C40/C$49</f>
        <v>0</v>
      </c>
      <c r="G40" s="7"/>
      <c r="H40" s="29" t="s">
        <v>31</v>
      </c>
      <c r="I40" s="25">
        <v>2</v>
      </c>
      <c r="J40" s="26">
        <f>I40/I$37</f>
        <v>0.25</v>
      </c>
    </row>
    <row r="41" spans="1:10" ht="15" customHeight="1" thickBot="1" x14ac:dyDescent="0.3">
      <c r="A41" s="8" t="s">
        <v>11</v>
      </c>
      <c r="B41" s="9"/>
      <c r="C41">
        <v>14</v>
      </c>
      <c r="D41" s="11"/>
      <c r="E41" s="28" t="s">
        <v>11</v>
      </c>
      <c r="F41" s="20">
        <f t="shared" ref="F41:F48" si="0">C41/C$49</f>
        <v>0.3783783783783784</v>
      </c>
      <c r="G41" s="7"/>
    </row>
    <row r="42" spans="1:10" ht="15" customHeight="1" x14ac:dyDescent="0.25">
      <c r="A42" s="8" t="s">
        <v>32</v>
      </c>
      <c r="B42" s="9"/>
      <c r="C42">
        <v>8</v>
      </c>
      <c r="D42" s="11"/>
      <c r="E42" s="28" t="s">
        <v>32</v>
      </c>
      <c r="F42" s="20">
        <f t="shared" si="0"/>
        <v>0.21621621621621623</v>
      </c>
      <c r="G42" s="11" t="s">
        <v>19</v>
      </c>
      <c r="H42" s="14" t="s">
        <v>33</v>
      </c>
      <c r="I42" s="15">
        <v>1</v>
      </c>
      <c r="J42" s="13">
        <f t="shared" ref="J42:J53" si="1">I42/I$37</f>
        <v>0.125</v>
      </c>
    </row>
    <row r="43" spans="1:10" ht="15" customHeight="1" x14ac:dyDescent="0.25">
      <c r="A43" s="8" t="s">
        <v>34</v>
      </c>
      <c r="B43" s="9"/>
      <c r="C43">
        <v>0</v>
      </c>
      <c r="D43" s="11"/>
      <c r="E43" s="28" t="s">
        <v>34</v>
      </c>
      <c r="F43" s="20">
        <f t="shared" si="0"/>
        <v>0</v>
      </c>
      <c r="G43" s="7"/>
      <c r="H43" s="27" t="s">
        <v>35</v>
      </c>
      <c r="I43" s="30">
        <v>2</v>
      </c>
      <c r="J43" s="20">
        <f t="shared" si="1"/>
        <v>0.25</v>
      </c>
    </row>
    <row r="44" spans="1:10" ht="15" customHeight="1" x14ac:dyDescent="0.25">
      <c r="A44" s="8" t="s">
        <v>36</v>
      </c>
      <c r="B44" s="9"/>
      <c r="C44">
        <v>5</v>
      </c>
      <c r="D44" s="11"/>
      <c r="E44" s="28" t="s">
        <v>36</v>
      </c>
      <c r="F44" s="20">
        <f t="shared" si="0"/>
        <v>0.13513513513513514</v>
      </c>
      <c r="G44" s="7"/>
      <c r="H44" s="27" t="s">
        <v>37</v>
      </c>
      <c r="I44" s="30">
        <v>1</v>
      </c>
      <c r="J44" s="20">
        <f t="shared" si="1"/>
        <v>0.125</v>
      </c>
    </row>
    <row r="45" spans="1:10" ht="15" customHeight="1" x14ac:dyDescent="0.25">
      <c r="A45" s="8" t="s">
        <v>38</v>
      </c>
      <c r="B45" s="9"/>
      <c r="C45">
        <v>0</v>
      </c>
      <c r="D45" s="11"/>
      <c r="E45" s="28" t="s">
        <v>38</v>
      </c>
      <c r="F45" s="20">
        <f t="shared" si="0"/>
        <v>0</v>
      </c>
      <c r="G45" s="7"/>
      <c r="H45" s="27" t="s">
        <v>39</v>
      </c>
      <c r="I45" s="30">
        <v>1</v>
      </c>
      <c r="J45" s="20">
        <f t="shared" si="1"/>
        <v>0.125</v>
      </c>
    </row>
    <row r="46" spans="1:10" ht="15" customHeight="1" x14ac:dyDescent="0.25">
      <c r="A46" s="8" t="s">
        <v>40</v>
      </c>
      <c r="B46" s="9"/>
      <c r="C46">
        <v>7</v>
      </c>
      <c r="D46" s="11"/>
      <c r="E46" s="28" t="s">
        <v>40</v>
      </c>
      <c r="F46" s="20">
        <f t="shared" si="0"/>
        <v>0.1891891891891892</v>
      </c>
      <c r="G46" s="7"/>
      <c r="H46" s="27" t="s">
        <v>41</v>
      </c>
      <c r="I46" s="30">
        <v>0</v>
      </c>
      <c r="J46" s="20">
        <f t="shared" si="1"/>
        <v>0</v>
      </c>
    </row>
    <row r="47" spans="1:10" ht="15" customHeight="1" x14ac:dyDescent="0.25">
      <c r="A47" s="8" t="s">
        <v>42</v>
      </c>
      <c r="B47" s="9"/>
      <c r="C47">
        <v>0</v>
      </c>
      <c r="D47" s="11"/>
      <c r="E47" s="28" t="s">
        <v>42</v>
      </c>
      <c r="F47" s="20">
        <f t="shared" si="0"/>
        <v>0</v>
      </c>
      <c r="G47" s="7"/>
      <c r="H47" s="27" t="s">
        <v>43</v>
      </c>
      <c r="I47" s="30">
        <v>3</v>
      </c>
      <c r="J47" s="20">
        <f t="shared" si="1"/>
        <v>0.375</v>
      </c>
    </row>
    <row r="48" spans="1:10" ht="15" customHeight="1" thickBot="1" x14ac:dyDescent="0.3">
      <c r="A48" s="8" t="s">
        <v>44</v>
      </c>
      <c r="B48" s="9"/>
      <c r="C48">
        <v>3</v>
      </c>
      <c r="D48" s="11"/>
      <c r="E48" s="31" t="s">
        <v>44</v>
      </c>
      <c r="F48" s="26">
        <f t="shared" si="0"/>
        <v>8.1081081081081086E-2</v>
      </c>
      <c r="G48" s="11" t="s">
        <v>19</v>
      </c>
      <c r="H48" s="32" t="s">
        <v>45</v>
      </c>
      <c r="I48" s="30">
        <v>0</v>
      </c>
      <c r="J48" s="20">
        <f t="shared" si="1"/>
        <v>0</v>
      </c>
    </row>
    <row r="49" spans="1:10" ht="15" customHeight="1" thickBot="1" x14ac:dyDescent="0.3">
      <c r="A49" s="8" t="s">
        <v>46</v>
      </c>
      <c r="B49" s="9"/>
      <c r="C49">
        <f>SUM(C40:C48)</f>
        <v>37</v>
      </c>
      <c r="D49" s="11"/>
      <c r="E49" s="8"/>
      <c r="F49" s="24"/>
      <c r="G49" s="7"/>
      <c r="H49" s="32" t="s">
        <v>47</v>
      </c>
      <c r="I49" s="30">
        <v>0</v>
      </c>
      <c r="J49" s="20">
        <f t="shared" si="1"/>
        <v>0</v>
      </c>
    </row>
    <row r="50" spans="1:10" ht="15" customHeight="1" x14ac:dyDescent="0.25">
      <c r="A50" s="8"/>
      <c r="B50" s="9"/>
      <c r="D50" s="11"/>
      <c r="E50" s="33" t="s">
        <v>48</v>
      </c>
      <c r="F50" s="13"/>
      <c r="G50" s="7"/>
      <c r="H50" s="32" t="s">
        <v>49</v>
      </c>
      <c r="I50" s="30">
        <v>0</v>
      </c>
      <c r="J50" s="20">
        <f t="shared" si="1"/>
        <v>0</v>
      </c>
    </row>
    <row r="51" spans="1:10" ht="15" customHeight="1" x14ac:dyDescent="0.25">
      <c r="A51" s="8" t="s">
        <v>50</v>
      </c>
      <c r="B51" s="9"/>
      <c r="D51" s="11"/>
      <c r="E51" s="28" t="s">
        <v>51</v>
      </c>
      <c r="F51" s="20">
        <f>C52/C$62</f>
        <v>0.5</v>
      </c>
      <c r="G51" s="7"/>
      <c r="H51" s="27" t="s">
        <v>52</v>
      </c>
      <c r="I51" s="30">
        <v>0</v>
      </c>
      <c r="J51" s="20">
        <f t="shared" si="1"/>
        <v>0</v>
      </c>
    </row>
    <row r="52" spans="1:10" ht="15" customHeight="1" x14ac:dyDescent="0.25">
      <c r="A52" s="8" t="s">
        <v>51</v>
      </c>
      <c r="B52" s="9"/>
      <c r="C52">
        <v>20</v>
      </c>
      <c r="D52" s="11"/>
      <c r="E52" s="28" t="s">
        <v>53</v>
      </c>
      <c r="F52" s="20">
        <f t="shared" ref="F52:F60" si="2">C53/C$62</f>
        <v>0.125</v>
      </c>
      <c r="G52" s="7"/>
      <c r="H52" s="32" t="s">
        <v>54</v>
      </c>
      <c r="I52" s="30">
        <v>0</v>
      </c>
      <c r="J52" s="20">
        <f t="shared" si="1"/>
        <v>0</v>
      </c>
    </row>
    <row r="53" spans="1:10" ht="15" customHeight="1" thickBot="1" x14ac:dyDescent="0.3">
      <c r="A53" s="8" t="s">
        <v>53</v>
      </c>
      <c r="B53" s="9"/>
      <c r="C53">
        <v>5</v>
      </c>
      <c r="D53" s="11"/>
      <c r="E53" s="28" t="s">
        <v>55</v>
      </c>
      <c r="F53" s="20">
        <f t="shared" si="2"/>
        <v>0</v>
      </c>
      <c r="G53" s="7"/>
      <c r="H53" s="34" t="s">
        <v>56</v>
      </c>
      <c r="I53" s="25">
        <v>0</v>
      </c>
      <c r="J53" s="26">
        <f t="shared" si="1"/>
        <v>0</v>
      </c>
    </row>
    <row r="54" spans="1:10" ht="15" customHeight="1" x14ac:dyDescent="0.25">
      <c r="A54" s="8" t="s">
        <v>55</v>
      </c>
      <c r="B54" s="9"/>
      <c r="C54">
        <v>0</v>
      </c>
      <c r="D54" s="11"/>
      <c r="E54" s="28" t="s">
        <v>57</v>
      </c>
      <c r="F54" s="20">
        <f t="shared" si="2"/>
        <v>0.15</v>
      </c>
      <c r="G54" s="7"/>
    </row>
    <row r="55" spans="1:10" ht="15" customHeight="1" thickBot="1" x14ac:dyDescent="0.3">
      <c r="A55" s="8" t="s">
        <v>57</v>
      </c>
      <c r="B55" s="9"/>
      <c r="C55">
        <v>6</v>
      </c>
      <c r="D55" s="11"/>
      <c r="E55" s="28" t="s">
        <v>58</v>
      </c>
      <c r="F55" s="20">
        <f t="shared" si="2"/>
        <v>0.15</v>
      </c>
      <c r="G55" s="11" t="s">
        <v>19</v>
      </c>
    </row>
    <row r="56" spans="1:10" ht="15" customHeight="1" x14ac:dyDescent="0.25">
      <c r="A56" s="8" t="s">
        <v>58</v>
      </c>
      <c r="B56" s="9"/>
      <c r="C56">
        <v>6</v>
      </c>
      <c r="D56" s="11"/>
      <c r="E56" s="28" t="s">
        <v>59</v>
      </c>
      <c r="F56" s="20">
        <f t="shared" si="2"/>
        <v>0</v>
      </c>
      <c r="G56" s="7"/>
      <c r="H56" s="14" t="s">
        <v>36</v>
      </c>
      <c r="I56" s="15">
        <v>5</v>
      </c>
      <c r="J56" s="16"/>
    </row>
    <row r="57" spans="1:10" ht="15" customHeight="1" x14ac:dyDescent="0.25">
      <c r="A57" s="8" t="s">
        <v>59</v>
      </c>
      <c r="B57" s="9"/>
      <c r="C57">
        <v>0</v>
      </c>
      <c r="D57" s="11"/>
      <c r="E57" s="28" t="s">
        <v>60</v>
      </c>
      <c r="F57" s="20">
        <f t="shared" si="2"/>
        <v>0</v>
      </c>
      <c r="G57" s="7"/>
      <c r="H57" s="27" t="s">
        <v>61</v>
      </c>
      <c r="I57" s="30">
        <v>1</v>
      </c>
      <c r="J57" s="20">
        <f>I57/I$56</f>
        <v>0.2</v>
      </c>
    </row>
    <row r="58" spans="1:10" ht="15" customHeight="1" thickBot="1" x14ac:dyDescent="0.3">
      <c r="A58" s="8" t="s">
        <v>60</v>
      </c>
      <c r="B58" s="9"/>
      <c r="C58">
        <v>0</v>
      </c>
      <c r="D58" s="11"/>
      <c r="E58" s="28" t="s">
        <v>62</v>
      </c>
      <c r="F58" s="20">
        <f t="shared" si="2"/>
        <v>0</v>
      </c>
      <c r="G58" s="7"/>
      <c r="H58" s="29" t="s">
        <v>63</v>
      </c>
      <c r="I58" s="25">
        <v>4</v>
      </c>
      <c r="J58" s="26">
        <f>I58/I$56</f>
        <v>0.8</v>
      </c>
    </row>
    <row r="59" spans="1:10" ht="15" customHeight="1" x14ac:dyDescent="0.25">
      <c r="A59" s="8" t="s">
        <v>62</v>
      </c>
      <c r="B59" s="9"/>
      <c r="C59">
        <v>0</v>
      </c>
      <c r="D59" s="11"/>
      <c r="E59" s="28" t="s">
        <v>64</v>
      </c>
      <c r="F59" s="20">
        <f t="shared" si="2"/>
        <v>0</v>
      </c>
      <c r="G59" s="7"/>
    </row>
    <row r="60" spans="1:10" ht="15" customHeight="1" thickBot="1" x14ac:dyDescent="0.3">
      <c r="A60" s="8" t="s">
        <v>64</v>
      </c>
      <c r="B60" s="9"/>
      <c r="C60">
        <v>0</v>
      </c>
      <c r="D60" s="11"/>
      <c r="E60" s="31" t="s">
        <v>65</v>
      </c>
      <c r="F60" s="26">
        <f t="shared" si="2"/>
        <v>7.4999999999999997E-2</v>
      </c>
      <c r="G60" s="7"/>
    </row>
    <row r="61" spans="1:10" ht="15" customHeight="1" thickBot="1" x14ac:dyDescent="0.3">
      <c r="A61" s="8" t="s">
        <v>65</v>
      </c>
      <c r="B61" s="9"/>
      <c r="C61">
        <v>3</v>
      </c>
      <c r="D61" s="11"/>
      <c r="E61" s="8"/>
      <c r="F61" s="24"/>
      <c r="G61" s="7"/>
      <c r="H61" s="14" t="s">
        <v>66</v>
      </c>
      <c r="I61" s="15">
        <v>0</v>
      </c>
      <c r="J61" s="16"/>
    </row>
    <row r="62" spans="1:10" ht="15" customHeight="1" x14ac:dyDescent="0.25">
      <c r="A62" s="8" t="s">
        <v>67</v>
      </c>
      <c r="B62" s="9"/>
      <c r="C62">
        <f>SUM(C52:C61)</f>
        <v>40</v>
      </c>
      <c r="D62" s="11"/>
      <c r="E62" s="33" t="s">
        <v>68</v>
      </c>
      <c r="F62" s="13"/>
      <c r="G62" s="7"/>
      <c r="H62" s="27" t="s">
        <v>69</v>
      </c>
      <c r="I62" s="30">
        <v>0</v>
      </c>
      <c r="J62" s="20">
        <f t="shared" ref="J62:J67" si="3">I62/I$78</f>
        <v>0</v>
      </c>
    </row>
    <row r="63" spans="1:10" ht="15" customHeight="1" x14ac:dyDescent="0.25">
      <c r="A63" s="8"/>
      <c r="B63" s="9"/>
      <c r="D63" s="11"/>
      <c r="E63" s="35" t="s">
        <v>70</v>
      </c>
      <c r="F63" s="20">
        <f>C64/C$34</f>
        <v>0.82608695652173914</v>
      </c>
      <c r="G63" s="7"/>
      <c r="H63" s="27" t="s">
        <v>71</v>
      </c>
      <c r="I63" s="30">
        <v>0</v>
      </c>
      <c r="J63" s="20">
        <f t="shared" si="3"/>
        <v>0</v>
      </c>
    </row>
    <row r="64" spans="1:10" ht="15" customHeight="1" x14ac:dyDescent="0.25">
      <c r="A64" s="8" t="s">
        <v>72</v>
      </c>
      <c r="B64" s="9"/>
      <c r="C64">
        <v>19</v>
      </c>
      <c r="D64" s="11"/>
      <c r="E64" s="35" t="s">
        <v>73</v>
      </c>
      <c r="F64" s="20">
        <f>C65/C$34</f>
        <v>4.3478260869565216E-2</v>
      </c>
      <c r="G64" s="7"/>
      <c r="H64" s="27" t="s">
        <v>74</v>
      </c>
      <c r="I64" s="30">
        <v>0</v>
      </c>
      <c r="J64" s="20">
        <f t="shared" si="3"/>
        <v>0</v>
      </c>
    </row>
    <row r="65" spans="1:10" ht="15" customHeight="1" thickBot="1" x14ac:dyDescent="0.3">
      <c r="A65" s="8" t="s">
        <v>75</v>
      </c>
      <c r="B65" s="9"/>
      <c r="C65">
        <v>1</v>
      </c>
      <c r="D65" s="11"/>
      <c r="E65" s="36" t="s">
        <v>76</v>
      </c>
      <c r="F65" s="26">
        <f>C66/C$34</f>
        <v>0.13043478260869565</v>
      </c>
      <c r="G65" s="7"/>
      <c r="H65" s="27" t="s">
        <v>77</v>
      </c>
      <c r="I65" s="30">
        <v>0</v>
      </c>
      <c r="J65" s="20">
        <f t="shared" si="3"/>
        <v>0</v>
      </c>
    </row>
    <row r="66" spans="1:10" ht="15" customHeight="1" thickBot="1" x14ac:dyDescent="0.3">
      <c r="A66" s="8" t="s">
        <v>78</v>
      </c>
      <c r="B66" s="9"/>
      <c r="C66">
        <v>3</v>
      </c>
      <c r="D66" s="11"/>
      <c r="E66" s="37"/>
      <c r="F66" s="24"/>
      <c r="G66" s="11" t="s">
        <v>19</v>
      </c>
      <c r="H66" s="27" t="s">
        <v>79</v>
      </c>
      <c r="I66" s="30">
        <v>0</v>
      </c>
      <c r="J66" s="20">
        <f t="shared" si="3"/>
        <v>0</v>
      </c>
    </row>
    <row r="67" spans="1:10" ht="15" customHeight="1" thickBot="1" x14ac:dyDescent="0.3">
      <c r="A67" s="8"/>
      <c r="B67" s="9"/>
      <c r="D67" s="11"/>
      <c r="E67" s="38" t="s">
        <v>20</v>
      </c>
      <c r="F67" s="13"/>
      <c r="G67" s="7"/>
      <c r="H67" s="29" t="s">
        <v>80</v>
      </c>
      <c r="I67" s="25">
        <v>0</v>
      </c>
      <c r="J67" s="26">
        <f t="shared" si="3"/>
        <v>0</v>
      </c>
    </row>
    <row r="68" spans="1:10" ht="15" customHeight="1" x14ac:dyDescent="0.25">
      <c r="A68" s="8" t="s">
        <v>20</v>
      </c>
      <c r="B68" s="9"/>
      <c r="D68" s="11"/>
      <c r="E68" s="28" t="s">
        <v>81</v>
      </c>
      <c r="F68" s="20">
        <f>C69/C$34</f>
        <v>0.34782608695652173</v>
      </c>
      <c r="G68" s="7"/>
    </row>
    <row r="69" spans="1:10" ht="15" customHeight="1" thickBot="1" x14ac:dyDescent="0.3">
      <c r="A69" s="8" t="s">
        <v>82</v>
      </c>
      <c r="B69" s="9"/>
      <c r="C69">
        <v>8</v>
      </c>
      <c r="D69" s="11"/>
      <c r="E69" s="31" t="s">
        <v>83</v>
      </c>
      <c r="F69" s="26">
        <f>C70/C$34</f>
        <v>0.65217391304347827</v>
      </c>
      <c r="G69" s="7"/>
    </row>
    <row r="70" spans="1:10" ht="15" customHeight="1" thickBot="1" x14ac:dyDescent="0.3">
      <c r="A70" s="8" t="s">
        <v>83</v>
      </c>
      <c r="B70" s="9"/>
      <c r="C70">
        <v>15</v>
      </c>
      <c r="D70" s="11"/>
      <c r="E70" s="39"/>
      <c r="F70" s="40"/>
      <c r="G70" s="7"/>
      <c r="H70" s="14" t="s">
        <v>40</v>
      </c>
      <c r="I70" s="15">
        <v>7</v>
      </c>
      <c r="J70" s="16"/>
    </row>
    <row r="71" spans="1:10" ht="15" customHeight="1" x14ac:dyDescent="0.25">
      <c r="A71" s="8"/>
      <c r="B71" s="9"/>
      <c r="D71" s="11"/>
      <c r="E71" s="14" t="s">
        <v>84</v>
      </c>
      <c r="F71" s="13"/>
      <c r="G71" s="7"/>
      <c r="H71" s="27" t="s">
        <v>85</v>
      </c>
      <c r="I71" s="30">
        <v>0</v>
      </c>
      <c r="J71" s="20">
        <f>I71/I$70</f>
        <v>0</v>
      </c>
    </row>
    <row r="72" spans="1:10" ht="15" customHeight="1" x14ac:dyDescent="0.25">
      <c r="A72" t="s">
        <v>84</v>
      </c>
      <c r="D72" s="11"/>
      <c r="E72" s="27" t="s">
        <v>86</v>
      </c>
      <c r="F72" s="20">
        <f>C73/C$70</f>
        <v>0.8</v>
      </c>
      <c r="G72" s="7"/>
      <c r="H72" s="27" t="s">
        <v>87</v>
      </c>
      <c r="I72" s="30">
        <v>1</v>
      </c>
      <c r="J72" s="20">
        <f>I72/I$70</f>
        <v>0.14285714285714285</v>
      </c>
    </row>
    <row r="73" spans="1:10" ht="15" customHeight="1" thickBot="1" x14ac:dyDescent="0.3">
      <c r="A73" t="s">
        <v>86</v>
      </c>
      <c r="C73">
        <v>12</v>
      </c>
      <c r="D73" s="11"/>
      <c r="E73" s="29" t="s">
        <v>88</v>
      </c>
      <c r="F73" s="26">
        <f>C74/C$70</f>
        <v>0.2</v>
      </c>
      <c r="G73" s="7"/>
      <c r="H73" s="27" t="s">
        <v>89</v>
      </c>
      <c r="I73" s="30">
        <v>3</v>
      </c>
      <c r="J73" s="20">
        <f>I73/I$70</f>
        <v>0.42857142857142855</v>
      </c>
    </row>
    <row r="74" spans="1:10" ht="15" customHeight="1" thickBot="1" x14ac:dyDescent="0.3">
      <c r="A74" t="s">
        <v>88</v>
      </c>
      <c r="C74">
        <v>3</v>
      </c>
      <c r="D74" s="11"/>
      <c r="E74" s="39"/>
      <c r="F74" s="40"/>
      <c r="G74" s="7"/>
      <c r="H74" s="27" t="s">
        <v>90</v>
      </c>
      <c r="I74" s="30">
        <v>2</v>
      </c>
      <c r="J74" s="20">
        <f>I74/I$70</f>
        <v>0.2857142857142857</v>
      </c>
    </row>
    <row r="75" spans="1:10" ht="15" customHeight="1" thickBot="1" x14ac:dyDescent="0.3">
      <c r="A75" s="8"/>
      <c r="B75" s="9"/>
      <c r="D75" s="11"/>
      <c r="E75" s="33" t="s">
        <v>91</v>
      </c>
      <c r="F75" s="13"/>
      <c r="G75" s="7"/>
      <c r="H75" s="29" t="s">
        <v>92</v>
      </c>
      <c r="I75" s="25">
        <v>1</v>
      </c>
      <c r="J75" s="26">
        <f>I75/I$70</f>
        <v>0.14285714285714285</v>
      </c>
    </row>
    <row r="76" spans="1:10" ht="15" customHeight="1" x14ac:dyDescent="0.25">
      <c r="A76" s="8" t="s">
        <v>93</v>
      </c>
      <c r="B76" s="9"/>
      <c r="D76" s="11"/>
      <c r="E76" s="28" t="s">
        <v>94</v>
      </c>
      <c r="F76" s="20">
        <f t="shared" ref="F76:F81" si="4">C77/C$34</f>
        <v>0.30434782608695654</v>
      </c>
      <c r="G76" s="7"/>
    </row>
    <row r="77" spans="1:10" ht="15" customHeight="1" thickBot="1" x14ac:dyDescent="0.3">
      <c r="A77" s="8" t="s">
        <v>94</v>
      </c>
      <c r="B77" s="9"/>
      <c r="C77">
        <v>7</v>
      </c>
      <c r="D77" s="11"/>
      <c r="E77" s="17" t="s">
        <v>95</v>
      </c>
      <c r="F77" s="20">
        <f t="shared" si="4"/>
        <v>4.3478260869565216E-2</v>
      </c>
      <c r="G77" s="7"/>
    </row>
    <row r="78" spans="1:10" ht="15" customHeight="1" x14ac:dyDescent="0.25">
      <c r="A78" s="8" t="s">
        <v>95</v>
      </c>
      <c r="B78" s="9"/>
      <c r="C78">
        <v>1</v>
      </c>
      <c r="D78" s="11"/>
      <c r="E78" s="17" t="s">
        <v>96</v>
      </c>
      <c r="F78" s="20">
        <f t="shared" si="4"/>
        <v>0</v>
      </c>
      <c r="G78" s="7"/>
      <c r="H78" s="14" t="s">
        <v>44</v>
      </c>
      <c r="I78" s="15">
        <v>3</v>
      </c>
      <c r="J78" s="16"/>
    </row>
    <row r="79" spans="1:10" ht="15" customHeight="1" x14ac:dyDescent="0.25">
      <c r="A79" s="8" t="s">
        <v>96</v>
      </c>
      <c r="B79" s="9"/>
      <c r="C79">
        <v>0</v>
      </c>
      <c r="D79" s="11"/>
      <c r="E79" s="17" t="s">
        <v>97</v>
      </c>
      <c r="F79" s="20">
        <f t="shared" si="4"/>
        <v>0</v>
      </c>
      <c r="G79" s="7"/>
      <c r="H79" s="27" t="s">
        <v>98</v>
      </c>
      <c r="I79" s="30">
        <v>1</v>
      </c>
      <c r="J79" s="20">
        <f>I79/I$78</f>
        <v>0.33333333333333331</v>
      </c>
    </row>
    <row r="80" spans="1:10" ht="15" customHeight="1" x14ac:dyDescent="0.25">
      <c r="A80" s="8" t="s">
        <v>97</v>
      </c>
      <c r="B80" s="9"/>
      <c r="C80">
        <v>0</v>
      </c>
      <c r="D80" s="11"/>
      <c r="E80" s="17" t="s">
        <v>99</v>
      </c>
      <c r="F80" s="20">
        <f t="shared" si="4"/>
        <v>0.65217391304347827</v>
      </c>
      <c r="G80" s="7"/>
      <c r="H80" s="27" t="s">
        <v>100</v>
      </c>
      <c r="I80" s="30">
        <v>1</v>
      </c>
      <c r="J80" s="20">
        <f t="shared" ref="J80:J88" si="5">I80/I$78</f>
        <v>0.33333333333333331</v>
      </c>
    </row>
    <row r="81" spans="1:10" ht="15" customHeight="1" thickBot="1" x14ac:dyDescent="0.3">
      <c r="A81" s="8" t="s">
        <v>99</v>
      </c>
      <c r="B81" s="9"/>
      <c r="C81">
        <v>15</v>
      </c>
      <c r="D81" s="11"/>
      <c r="E81" s="22" t="s">
        <v>44</v>
      </c>
      <c r="F81" s="26">
        <f t="shared" si="4"/>
        <v>0</v>
      </c>
      <c r="G81" s="7"/>
      <c r="H81" s="27" t="s">
        <v>101</v>
      </c>
      <c r="I81" s="30">
        <v>0</v>
      </c>
      <c r="J81" s="20">
        <f t="shared" si="5"/>
        <v>0</v>
      </c>
    </row>
    <row r="82" spans="1:10" ht="15" customHeight="1" thickBot="1" x14ac:dyDescent="0.3">
      <c r="A82" s="8" t="s">
        <v>44</v>
      </c>
      <c r="B82" s="9"/>
      <c r="C82">
        <v>0</v>
      </c>
      <c r="D82" s="11"/>
      <c r="E82" s="11"/>
      <c r="F82" s="24"/>
      <c r="G82" s="7"/>
      <c r="H82" s="27" t="s">
        <v>102</v>
      </c>
      <c r="I82" s="30">
        <v>0</v>
      </c>
      <c r="J82" s="20">
        <f t="shared" si="5"/>
        <v>0</v>
      </c>
    </row>
    <row r="83" spans="1:10" ht="15" customHeight="1" x14ac:dyDescent="0.25">
      <c r="A83" s="8"/>
      <c r="B83" s="9"/>
      <c r="D83" s="11"/>
      <c r="E83" s="12" t="s">
        <v>103</v>
      </c>
      <c r="F83" s="13"/>
      <c r="G83" s="7"/>
      <c r="H83" s="27" t="s">
        <v>104</v>
      </c>
      <c r="I83" s="30">
        <v>0</v>
      </c>
      <c r="J83" s="20">
        <f t="shared" si="5"/>
        <v>0</v>
      </c>
    </row>
    <row r="84" spans="1:10" ht="15" customHeight="1" x14ac:dyDescent="0.25">
      <c r="A84" s="8" t="s">
        <v>105</v>
      </c>
      <c r="B84" s="9"/>
      <c r="D84" s="11"/>
      <c r="E84" s="17" t="s">
        <v>106</v>
      </c>
      <c r="F84" s="20">
        <f>C85/C$34</f>
        <v>0.86956521739130432</v>
      </c>
      <c r="G84" s="7"/>
      <c r="H84" s="41" t="s">
        <v>107</v>
      </c>
      <c r="I84" s="30">
        <v>1</v>
      </c>
      <c r="J84" s="20">
        <f t="shared" si="5"/>
        <v>0.33333333333333331</v>
      </c>
    </row>
    <row r="85" spans="1:10" ht="15" customHeight="1" x14ac:dyDescent="0.25">
      <c r="A85" s="8" t="s">
        <v>106</v>
      </c>
      <c r="B85" s="9"/>
      <c r="C85">
        <v>20</v>
      </c>
      <c r="D85" s="11"/>
      <c r="E85" s="17" t="s">
        <v>108</v>
      </c>
      <c r="F85" s="20">
        <f>C86/C$34</f>
        <v>8.6956521739130432E-2</v>
      </c>
      <c r="G85" s="7"/>
      <c r="H85" s="41" t="s">
        <v>109</v>
      </c>
      <c r="I85" s="30">
        <v>0</v>
      </c>
      <c r="J85" s="20">
        <f t="shared" si="5"/>
        <v>0</v>
      </c>
    </row>
    <row r="86" spans="1:10" ht="15" customHeight="1" x14ac:dyDescent="0.25">
      <c r="A86" s="8" t="s">
        <v>108</v>
      </c>
      <c r="B86" s="9"/>
      <c r="C86">
        <v>2</v>
      </c>
      <c r="D86" s="11"/>
      <c r="E86" s="17" t="s">
        <v>110</v>
      </c>
      <c r="F86" s="20">
        <f>C87/C$34</f>
        <v>4.3478260869565216E-2</v>
      </c>
      <c r="G86" s="7"/>
      <c r="H86" s="41" t="s">
        <v>111</v>
      </c>
      <c r="I86" s="30">
        <v>0</v>
      </c>
      <c r="J86" s="20">
        <f t="shared" si="5"/>
        <v>0</v>
      </c>
    </row>
    <row r="87" spans="1:10" ht="15" customHeight="1" x14ac:dyDescent="0.25">
      <c r="A87" s="8" t="s">
        <v>110</v>
      </c>
      <c r="B87" s="9"/>
      <c r="C87">
        <v>1</v>
      </c>
      <c r="D87" s="11"/>
      <c r="E87" s="17" t="s">
        <v>112</v>
      </c>
      <c r="F87" s="20">
        <f>C88/C$34</f>
        <v>0</v>
      </c>
      <c r="G87" s="7"/>
      <c r="H87" s="41" t="s">
        <v>113</v>
      </c>
      <c r="I87" s="30">
        <v>0</v>
      </c>
      <c r="J87" s="20">
        <f t="shared" si="5"/>
        <v>0</v>
      </c>
    </row>
    <row r="88" spans="1:10" ht="15" customHeight="1" thickBot="1" x14ac:dyDescent="0.3">
      <c r="A88" s="8" t="s">
        <v>112</v>
      </c>
      <c r="B88" s="9"/>
      <c r="C88">
        <v>0</v>
      </c>
      <c r="E88" s="22" t="s">
        <v>114</v>
      </c>
      <c r="F88" s="26">
        <f>C89/C$34</f>
        <v>0</v>
      </c>
      <c r="H88" s="42" t="s">
        <v>115</v>
      </c>
      <c r="I88" s="25">
        <v>0</v>
      </c>
      <c r="J88" s="26">
        <f t="shared" si="5"/>
        <v>0</v>
      </c>
    </row>
    <row r="89" spans="1:10" ht="15" customHeight="1" x14ac:dyDescent="0.25">
      <c r="A89" s="8" t="s">
        <v>114</v>
      </c>
      <c r="B89" s="9"/>
      <c r="C89">
        <v>0</v>
      </c>
      <c r="E89" s="11"/>
      <c r="F89" s="24"/>
    </row>
    <row r="90" spans="1:10" ht="15" customHeight="1" x14ac:dyDescent="0.25">
      <c r="A90" s="8" t="s">
        <v>116</v>
      </c>
      <c r="B90" s="9"/>
      <c r="C90">
        <v>0</v>
      </c>
      <c r="E90" s="11"/>
      <c r="F90" s="24"/>
    </row>
    <row r="91" spans="1:10" ht="15" customHeight="1" x14ac:dyDescent="0.25">
      <c r="A91" s="8"/>
      <c r="B91" s="9"/>
      <c r="E91" s="11"/>
      <c r="F91" s="24"/>
    </row>
    <row r="92" spans="1:10" ht="15" customHeight="1" thickBot="1" x14ac:dyDescent="0.3"/>
    <row r="93" spans="1:10" ht="15" customHeight="1" x14ac:dyDescent="0.25">
      <c r="A93" s="43" t="s">
        <v>117</v>
      </c>
      <c r="B93" s="87">
        <f>SUM(B94:B97)</f>
        <v>43402.36</v>
      </c>
    </row>
    <row r="94" spans="1:10" ht="15" customHeight="1" x14ac:dyDescent="0.25">
      <c r="A94" s="44" t="s">
        <v>94</v>
      </c>
      <c r="B94" s="45">
        <f>SUM(F2,F5,F8:F9,F11,F16,F18,)</f>
        <v>11033.64</v>
      </c>
    </row>
    <row r="95" spans="1:10" ht="15" customHeight="1" x14ac:dyDescent="0.25">
      <c r="A95" s="44" t="s">
        <v>118</v>
      </c>
      <c r="B95" s="45">
        <f>SUM(F3:F4,F6:F7,F10,F12:F15,F17,F19:F22,F24,)</f>
        <v>29238.720000000001</v>
      </c>
    </row>
    <row r="96" spans="1:10" ht="15" customHeight="1" x14ac:dyDescent="0.25">
      <c r="A96" s="44" t="s">
        <v>119</v>
      </c>
      <c r="B96" s="45">
        <v>3130</v>
      </c>
    </row>
    <row r="97" spans="1:2" ht="15" customHeight="1" x14ac:dyDescent="0.25">
      <c r="A97" s="44" t="s">
        <v>44</v>
      </c>
      <c r="B97" s="46">
        <v>0</v>
      </c>
    </row>
    <row r="98" spans="1:2" ht="15" customHeight="1" thickBot="1" x14ac:dyDescent="0.3">
      <c r="A98" s="47"/>
      <c r="B98" s="48"/>
    </row>
  </sheetData>
  <mergeCells count="1">
    <mergeCell ref="A30:F30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85" workbookViewId="0">
      <selection activeCell="B108" sqref="B108"/>
    </sheetView>
  </sheetViews>
  <sheetFormatPr baseColWidth="10" defaultRowHeight="15" x14ac:dyDescent="0.25"/>
  <cols>
    <col min="1" max="1" width="11" customWidth="1"/>
    <col min="2" max="2" width="34.7109375" customWidth="1"/>
    <col min="3" max="3" width="12.28515625" customWidth="1"/>
    <col min="4" max="4" width="5" customWidth="1"/>
    <col min="5" max="5" width="7.140625" customWidth="1"/>
    <col min="6" max="6" width="13.28515625" customWidth="1"/>
    <col min="7" max="7" width="34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45384</v>
      </c>
      <c r="B2" t="s">
        <v>634</v>
      </c>
      <c r="C2" t="s">
        <v>800</v>
      </c>
      <c r="D2" t="s">
        <v>22</v>
      </c>
      <c r="E2" t="s">
        <v>118</v>
      </c>
      <c r="F2" s="59">
        <v>2391</v>
      </c>
      <c r="G2" t="s">
        <v>637</v>
      </c>
      <c r="H2" t="s">
        <v>646</v>
      </c>
    </row>
    <row r="3" spans="1:8" x14ac:dyDescent="0.25">
      <c r="A3" s="9">
        <v>45385</v>
      </c>
      <c r="B3" t="s">
        <v>642</v>
      </c>
      <c r="C3" t="s">
        <v>362</v>
      </c>
      <c r="D3" t="s">
        <v>22</v>
      </c>
      <c r="E3" t="s">
        <v>118</v>
      </c>
      <c r="F3" s="59">
        <v>2627</v>
      </c>
      <c r="G3" t="s">
        <v>645</v>
      </c>
      <c r="H3" t="s">
        <v>245</v>
      </c>
    </row>
    <row r="4" spans="1:8" x14ac:dyDescent="0.25">
      <c r="A4" s="9">
        <v>45385</v>
      </c>
      <c r="B4" t="s">
        <v>622</v>
      </c>
      <c r="C4" t="s">
        <v>361</v>
      </c>
      <c r="D4" t="s">
        <v>22</v>
      </c>
      <c r="E4" t="s">
        <v>118</v>
      </c>
      <c r="F4" s="59">
        <v>5886.2</v>
      </c>
      <c r="G4" t="s">
        <v>648</v>
      </c>
    </row>
    <row r="5" spans="1:8" x14ac:dyDescent="0.25">
      <c r="A5" s="9">
        <v>45386</v>
      </c>
      <c r="B5" t="s">
        <v>649</v>
      </c>
      <c r="C5" t="s">
        <v>106</v>
      </c>
      <c r="D5" t="s">
        <v>22</v>
      </c>
      <c r="E5" t="s">
        <v>195</v>
      </c>
      <c r="F5" s="59">
        <v>1884</v>
      </c>
      <c r="G5" t="s">
        <v>652</v>
      </c>
      <c r="H5" t="s">
        <v>653</v>
      </c>
    </row>
    <row r="6" spans="1:8" x14ac:dyDescent="0.25">
      <c r="A6" s="9">
        <v>45386</v>
      </c>
      <c r="B6" t="s">
        <v>622</v>
      </c>
      <c r="C6" t="s">
        <v>361</v>
      </c>
      <c r="D6" t="s">
        <v>22</v>
      </c>
      <c r="E6" t="s">
        <v>118</v>
      </c>
      <c r="F6" s="59">
        <v>4567.6000000000004</v>
      </c>
      <c r="G6" t="s">
        <v>352</v>
      </c>
    </row>
    <row r="7" spans="1:8" x14ac:dyDescent="0.25">
      <c r="A7" s="9">
        <v>45387</v>
      </c>
      <c r="B7" t="s">
        <v>658</v>
      </c>
      <c r="C7" t="s">
        <v>106</v>
      </c>
      <c r="D7" t="s">
        <v>22</v>
      </c>
      <c r="E7" t="s">
        <v>195</v>
      </c>
      <c r="F7" s="59">
        <v>4337.8900000000003</v>
      </c>
      <c r="G7" t="s">
        <v>444</v>
      </c>
      <c r="H7" t="s">
        <v>661</v>
      </c>
    </row>
    <row r="8" spans="1:8" x14ac:dyDescent="0.25">
      <c r="A8" s="9">
        <v>45387</v>
      </c>
      <c r="B8" t="s">
        <v>622</v>
      </c>
      <c r="C8" t="s">
        <v>106</v>
      </c>
      <c r="D8" t="s">
        <v>22</v>
      </c>
      <c r="E8" t="s">
        <v>118</v>
      </c>
      <c r="F8" s="59">
        <v>4867.8</v>
      </c>
      <c r="G8" t="s">
        <v>663</v>
      </c>
    </row>
    <row r="9" spans="1:8" x14ac:dyDescent="0.25">
      <c r="A9" s="9">
        <v>45388</v>
      </c>
      <c r="B9" t="s">
        <v>618</v>
      </c>
      <c r="C9" t="s">
        <v>106</v>
      </c>
      <c r="D9" t="s">
        <v>22</v>
      </c>
      <c r="E9" t="s">
        <v>118</v>
      </c>
      <c r="F9" s="59">
        <v>1825</v>
      </c>
      <c r="G9" t="s">
        <v>667</v>
      </c>
      <c r="H9" t="s">
        <v>679</v>
      </c>
    </row>
    <row r="10" spans="1:8" x14ac:dyDescent="0.25">
      <c r="A10" s="9">
        <v>45390</v>
      </c>
      <c r="B10" t="s">
        <v>187</v>
      </c>
      <c r="C10" t="s">
        <v>106</v>
      </c>
      <c r="D10" t="s">
        <v>22</v>
      </c>
      <c r="E10" t="s">
        <v>118</v>
      </c>
      <c r="F10" s="59">
        <v>1674</v>
      </c>
      <c r="G10" t="s">
        <v>669</v>
      </c>
      <c r="H10" t="s">
        <v>678</v>
      </c>
    </row>
    <row r="11" spans="1:8" x14ac:dyDescent="0.25">
      <c r="A11" s="9">
        <v>45390</v>
      </c>
      <c r="B11" t="s">
        <v>622</v>
      </c>
      <c r="C11" t="s">
        <v>106</v>
      </c>
      <c r="D11" t="s">
        <v>22</v>
      </c>
      <c r="E11" t="s">
        <v>118</v>
      </c>
      <c r="F11" s="59">
        <v>5487.2</v>
      </c>
      <c r="G11" t="s">
        <v>352</v>
      </c>
    </row>
    <row r="12" spans="1:8" x14ac:dyDescent="0.25">
      <c r="A12" s="9">
        <v>45391</v>
      </c>
      <c r="B12" t="s">
        <v>674</v>
      </c>
      <c r="C12" t="s">
        <v>114</v>
      </c>
      <c r="D12" t="s">
        <v>22</v>
      </c>
      <c r="E12" t="s">
        <v>195</v>
      </c>
      <c r="F12" s="59">
        <v>1493</v>
      </c>
      <c r="G12" t="s">
        <v>677</v>
      </c>
      <c r="H12" t="s">
        <v>690</v>
      </c>
    </row>
    <row r="13" spans="1:8" x14ac:dyDescent="0.25">
      <c r="A13" s="9">
        <v>45391</v>
      </c>
      <c r="B13" t="s">
        <v>680</v>
      </c>
      <c r="C13" t="s">
        <v>361</v>
      </c>
      <c r="D13" t="s">
        <v>22</v>
      </c>
      <c r="E13" t="s">
        <v>195</v>
      </c>
      <c r="F13" s="59">
        <v>950</v>
      </c>
      <c r="G13" t="s">
        <v>683</v>
      </c>
      <c r="H13" t="s">
        <v>265</v>
      </c>
    </row>
    <row r="14" spans="1:8" x14ac:dyDescent="0.25">
      <c r="A14" s="9">
        <v>45391</v>
      </c>
      <c r="B14" t="s">
        <v>622</v>
      </c>
      <c r="C14" t="s">
        <v>362</v>
      </c>
      <c r="D14" t="s">
        <v>22</v>
      </c>
      <c r="E14" t="s">
        <v>118</v>
      </c>
      <c r="F14" s="59">
        <v>4607.5</v>
      </c>
      <c r="G14" t="s">
        <v>648</v>
      </c>
    </row>
    <row r="15" spans="1:8" x14ac:dyDescent="0.25">
      <c r="A15" s="9">
        <v>45392</v>
      </c>
      <c r="B15" t="s">
        <v>686</v>
      </c>
      <c r="C15" t="s">
        <v>106</v>
      </c>
      <c r="D15" t="s">
        <v>24</v>
      </c>
      <c r="E15" t="s">
        <v>195</v>
      </c>
      <c r="F15" s="59">
        <v>1280.6400000000001</v>
      </c>
      <c r="G15" t="s">
        <v>689</v>
      </c>
      <c r="H15" t="s">
        <v>236</v>
      </c>
    </row>
    <row r="16" spans="1:8" x14ac:dyDescent="0.25">
      <c r="A16" s="9">
        <v>45392</v>
      </c>
      <c r="B16" t="s">
        <v>622</v>
      </c>
      <c r="C16" t="s">
        <v>106</v>
      </c>
      <c r="D16" t="s">
        <v>22</v>
      </c>
      <c r="E16" t="s">
        <v>118</v>
      </c>
      <c r="F16" s="59">
        <v>4259.8</v>
      </c>
      <c r="G16" t="s">
        <v>648</v>
      </c>
    </row>
    <row r="17" spans="1:8" x14ac:dyDescent="0.25">
      <c r="A17" s="9">
        <v>45386</v>
      </c>
      <c r="B17" t="s">
        <v>695</v>
      </c>
      <c r="C17" t="s">
        <v>106</v>
      </c>
      <c r="D17" t="s">
        <v>22</v>
      </c>
      <c r="E17" t="s">
        <v>118</v>
      </c>
      <c r="F17" s="59">
        <v>1360</v>
      </c>
      <c r="G17" t="s">
        <v>698</v>
      </c>
      <c r="H17" t="s">
        <v>236</v>
      </c>
    </row>
    <row r="18" spans="1:8" x14ac:dyDescent="0.25">
      <c r="A18" s="9">
        <v>45393</v>
      </c>
      <c r="B18" t="s">
        <v>622</v>
      </c>
      <c r="C18" t="s">
        <v>361</v>
      </c>
      <c r="D18" t="s">
        <v>22</v>
      </c>
      <c r="E18" t="s">
        <v>118</v>
      </c>
      <c r="F18" s="59">
        <v>6049.6</v>
      </c>
      <c r="G18" t="s">
        <v>648</v>
      </c>
    </row>
    <row r="19" spans="1:8" x14ac:dyDescent="0.25">
      <c r="A19" s="9">
        <v>45390</v>
      </c>
      <c r="B19" t="s">
        <v>707</v>
      </c>
      <c r="C19" t="s">
        <v>106</v>
      </c>
      <c r="D19" t="s">
        <v>22</v>
      </c>
      <c r="E19" t="s">
        <v>195</v>
      </c>
      <c r="F19" s="59">
        <v>2535</v>
      </c>
      <c r="G19" t="s">
        <v>821</v>
      </c>
      <c r="H19" t="s">
        <v>574</v>
      </c>
    </row>
    <row r="20" spans="1:8" x14ac:dyDescent="0.25">
      <c r="A20" s="9">
        <v>45395</v>
      </c>
      <c r="B20" t="s">
        <v>710</v>
      </c>
      <c r="C20" t="s">
        <v>362</v>
      </c>
      <c r="D20" t="s">
        <v>24</v>
      </c>
      <c r="E20" t="s">
        <v>195</v>
      </c>
      <c r="F20" s="59">
        <v>4025.2</v>
      </c>
      <c r="G20" t="s">
        <v>712</v>
      </c>
      <c r="H20" t="s">
        <v>236</v>
      </c>
    </row>
    <row r="21" spans="1:8" x14ac:dyDescent="0.25">
      <c r="A21" s="9">
        <v>45397</v>
      </c>
      <c r="B21" t="s">
        <v>714</v>
      </c>
      <c r="C21" t="s">
        <v>106</v>
      </c>
      <c r="D21" t="s">
        <v>22</v>
      </c>
      <c r="E21" t="s">
        <v>118</v>
      </c>
      <c r="F21" s="59">
        <v>986</v>
      </c>
      <c r="G21" t="s">
        <v>717</v>
      </c>
      <c r="H21" t="s">
        <v>245</v>
      </c>
    </row>
    <row r="22" spans="1:8" x14ac:dyDescent="0.25">
      <c r="A22" s="9">
        <v>45398</v>
      </c>
      <c r="B22" t="s">
        <v>719</v>
      </c>
      <c r="C22" t="s">
        <v>106</v>
      </c>
      <c r="D22" t="s">
        <v>22</v>
      </c>
      <c r="E22" t="s">
        <v>195</v>
      </c>
      <c r="F22" s="59">
        <v>3291</v>
      </c>
      <c r="G22" t="s">
        <v>722</v>
      </c>
      <c r="H22" t="s">
        <v>728</v>
      </c>
    </row>
    <row r="23" spans="1:8" x14ac:dyDescent="0.25">
      <c r="A23" s="9">
        <v>45399</v>
      </c>
      <c r="B23" t="s">
        <v>710</v>
      </c>
      <c r="C23" t="s">
        <v>362</v>
      </c>
      <c r="D23" t="s">
        <v>24</v>
      </c>
      <c r="E23" t="s">
        <v>118</v>
      </c>
      <c r="F23" s="59">
        <v>11270.56</v>
      </c>
      <c r="G23" t="s">
        <v>726</v>
      </c>
      <c r="H23" t="s">
        <v>727</v>
      </c>
    </row>
    <row r="24" spans="1:8" x14ac:dyDescent="0.25">
      <c r="A24" s="9">
        <v>45399</v>
      </c>
      <c r="B24" t="s">
        <v>729</v>
      </c>
      <c r="C24" t="s">
        <v>362</v>
      </c>
      <c r="D24" t="s">
        <v>22</v>
      </c>
      <c r="E24" t="s">
        <v>195</v>
      </c>
      <c r="F24" s="59">
        <v>1753</v>
      </c>
      <c r="G24" t="s">
        <v>732</v>
      </c>
      <c r="H24" t="s">
        <v>745</v>
      </c>
    </row>
    <row r="25" spans="1:8" x14ac:dyDescent="0.25">
      <c r="A25" s="9">
        <v>45393</v>
      </c>
      <c r="B25" t="s">
        <v>741</v>
      </c>
      <c r="C25" t="s">
        <v>106</v>
      </c>
      <c r="D25" t="s">
        <v>22</v>
      </c>
      <c r="E25" t="s">
        <v>118</v>
      </c>
      <c r="F25" s="59">
        <v>1874.12</v>
      </c>
      <c r="G25" t="s">
        <v>744</v>
      </c>
      <c r="H25" t="s">
        <v>392</v>
      </c>
    </row>
    <row r="26" spans="1:8" x14ac:dyDescent="0.25">
      <c r="A26" s="9">
        <v>45394</v>
      </c>
      <c r="B26" t="s">
        <v>622</v>
      </c>
      <c r="C26" t="s">
        <v>106</v>
      </c>
      <c r="D26" t="s">
        <v>22</v>
      </c>
      <c r="E26" t="s">
        <v>118</v>
      </c>
      <c r="F26" s="59">
        <v>7916.35</v>
      </c>
      <c r="G26" t="s">
        <v>352</v>
      </c>
    </row>
    <row r="27" spans="1:8" x14ac:dyDescent="0.25">
      <c r="A27" s="9">
        <v>45397</v>
      </c>
      <c r="B27" t="s">
        <v>747</v>
      </c>
      <c r="C27" t="s">
        <v>106</v>
      </c>
      <c r="D27" t="s">
        <v>22</v>
      </c>
      <c r="E27" t="s">
        <v>118</v>
      </c>
      <c r="F27" s="59">
        <v>2430.7800000000002</v>
      </c>
      <c r="G27" t="s">
        <v>750</v>
      </c>
      <c r="H27" t="s">
        <v>751</v>
      </c>
    </row>
    <row r="28" spans="1:8" x14ac:dyDescent="0.25">
      <c r="A28" s="9">
        <v>45397</v>
      </c>
      <c r="B28" t="s">
        <v>752</v>
      </c>
      <c r="C28" t="s">
        <v>106</v>
      </c>
      <c r="D28" t="s">
        <v>22</v>
      </c>
      <c r="E28" t="s">
        <v>195</v>
      </c>
      <c r="F28" s="59">
        <v>1113.5999999999999</v>
      </c>
      <c r="G28" t="s">
        <v>755</v>
      </c>
      <c r="H28" t="s">
        <v>756</v>
      </c>
    </row>
    <row r="29" spans="1:8" x14ac:dyDescent="0.25">
      <c r="A29" s="9">
        <v>45397</v>
      </c>
      <c r="B29" t="s">
        <v>757</v>
      </c>
      <c r="C29" t="s">
        <v>106</v>
      </c>
      <c r="D29" t="s">
        <v>22</v>
      </c>
      <c r="E29" t="s">
        <v>118</v>
      </c>
      <c r="F29" s="59">
        <v>1696.5</v>
      </c>
      <c r="G29" t="s">
        <v>759</v>
      </c>
      <c r="H29" t="s">
        <v>760</v>
      </c>
    </row>
    <row r="30" spans="1:8" x14ac:dyDescent="0.25">
      <c r="A30" s="9">
        <v>45400</v>
      </c>
      <c r="B30" t="s">
        <v>761</v>
      </c>
      <c r="C30" t="s">
        <v>106</v>
      </c>
      <c r="D30" t="s">
        <v>22</v>
      </c>
      <c r="E30" t="s">
        <v>118</v>
      </c>
      <c r="F30" s="59">
        <v>1496.8</v>
      </c>
      <c r="G30" t="s">
        <v>764</v>
      </c>
      <c r="H30" t="s">
        <v>760</v>
      </c>
    </row>
    <row r="31" spans="1:8" x14ac:dyDescent="0.25">
      <c r="A31" s="9">
        <v>45405</v>
      </c>
      <c r="B31" t="s">
        <v>765</v>
      </c>
      <c r="C31" t="s">
        <v>106</v>
      </c>
      <c r="D31" t="s">
        <v>24</v>
      </c>
      <c r="E31" t="s">
        <v>768</v>
      </c>
      <c r="F31" s="59">
        <v>7911.2</v>
      </c>
      <c r="G31" t="s">
        <v>769</v>
      </c>
      <c r="H31" t="s">
        <v>778</v>
      </c>
    </row>
    <row r="32" spans="1:8" x14ac:dyDescent="0.25">
      <c r="A32" s="9">
        <v>45405</v>
      </c>
      <c r="B32" t="s">
        <v>770</v>
      </c>
      <c r="C32" t="s">
        <v>106</v>
      </c>
      <c r="D32" t="s">
        <v>22</v>
      </c>
      <c r="E32" t="s">
        <v>118</v>
      </c>
      <c r="F32" s="59">
        <v>5289.3</v>
      </c>
      <c r="G32" t="s">
        <v>773</v>
      </c>
      <c r="H32" t="s">
        <v>236</v>
      </c>
    </row>
    <row r="33" spans="1:10" x14ac:dyDescent="0.25">
      <c r="A33" s="9">
        <v>45406</v>
      </c>
      <c r="B33" t="s">
        <v>485</v>
      </c>
      <c r="C33" t="s">
        <v>106</v>
      </c>
      <c r="D33" t="s">
        <v>24</v>
      </c>
      <c r="E33" t="s">
        <v>118</v>
      </c>
      <c r="F33" s="59">
        <v>3696.76</v>
      </c>
      <c r="G33" t="s">
        <v>488</v>
      </c>
      <c r="H33" t="s">
        <v>784</v>
      </c>
    </row>
    <row r="34" spans="1:10" x14ac:dyDescent="0.25">
      <c r="A34" s="9">
        <v>45406</v>
      </c>
      <c r="B34" t="s">
        <v>642</v>
      </c>
      <c r="C34" t="s">
        <v>362</v>
      </c>
      <c r="D34" t="s">
        <v>22</v>
      </c>
      <c r="E34" t="s">
        <v>118</v>
      </c>
      <c r="F34" s="59">
        <v>1908</v>
      </c>
      <c r="G34" t="s">
        <v>777</v>
      </c>
      <c r="H34" t="s">
        <v>236</v>
      </c>
    </row>
    <row r="35" spans="1:10" x14ac:dyDescent="0.25">
      <c r="A35" s="9">
        <v>45407</v>
      </c>
      <c r="B35" t="s">
        <v>780</v>
      </c>
      <c r="C35" t="s">
        <v>361</v>
      </c>
      <c r="D35" t="s">
        <v>22</v>
      </c>
      <c r="E35" t="s">
        <v>118</v>
      </c>
      <c r="F35" s="59">
        <v>1488</v>
      </c>
      <c r="G35" t="s">
        <v>783</v>
      </c>
      <c r="H35" t="s">
        <v>791</v>
      </c>
    </row>
    <row r="36" spans="1:10" x14ac:dyDescent="0.25">
      <c r="A36" s="9">
        <v>45408</v>
      </c>
      <c r="B36" t="s">
        <v>787</v>
      </c>
      <c r="C36" t="s">
        <v>106</v>
      </c>
      <c r="D36" t="s">
        <v>22</v>
      </c>
      <c r="E36" t="s">
        <v>118</v>
      </c>
      <c r="F36" s="59">
        <v>1754</v>
      </c>
      <c r="G36" t="s">
        <v>790</v>
      </c>
      <c r="H36" t="s">
        <v>791</v>
      </c>
    </row>
    <row r="37" spans="1:10" x14ac:dyDescent="0.25">
      <c r="A37" s="9">
        <v>45409</v>
      </c>
      <c r="B37" t="s">
        <v>792</v>
      </c>
      <c r="C37" t="s">
        <v>106</v>
      </c>
      <c r="D37" t="s">
        <v>24</v>
      </c>
      <c r="E37" t="s">
        <v>118</v>
      </c>
      <c r="F37" s="59">
        <v>4732.8</v>
      </c>
      <c r="G37" t="s">
        <v>273</v>
      </c>
      <c r="H37" t="s">
        <v>819</v>
      </c>
    </row>
    <row r="38" spans="1:10" x14ac:dyDescent="0.25">
      <c r="A38" s="9">
        <v>45411</v>
      </c>
      <c r="B38" t="s">
        <v>796</v>
      </c>
      <c r="C38" t="s">
        <v>106</v>
      </c>
      <c r="D38" t="s">
        <v>22</v>
      </c>
      <c r="E38" t="s">
        <v>195</v>
      </c>
      <c r="F38" s="59">
        <v>6273</v>
      </c>
      <c r="G38" t="s">
        <v>799</v>
      </c>
      <c r="H38" t="s">
        <v>574</v>
      </c>
    </row>
    <row r="39" spans="1:10" x14ac:dyDescent="0.25">
      <c r="A39" s="9">
        <v>45398</v>
      </c>
      <c r="B39" t="s">
        <v>804</v>
      </c>
      <c r="C39" t="s">
        <v>106</v>
      </c>
      <c r="D39" t="s">
        <v>22</v>
      </c>
      <c r="E39" t="s">
        <v>118</v>
      </c>
      <c r="F39" s="59">
        <v>3075.25</v>
      </c>
      <c r="G39" t="s">
        <v>807</v>
      </c>
      <c r="H39" t="s">
        <v>228</v>
      </c>
    </row>
    <row r="40" spans="1:10" x14ac:dyDescent="0.25">
      <c r="A40" s="9">
        <v>45408</v>
      </c>
      <c r="B40" t="s">
        <v>810</v>
      </c>
      <c r="C40" t="s">
        <v>106</v>
      </c>
      <c r="D40" t="s">
        <v>22</v>
      </c>
      <c r="E40" t="s">
        <v>195</v>
      </c>
      <c r="F40" s="59">
        <v>2220</v>
      </c>
      <c r="G40" t="s">
        <v>813</v>
      </c>
      <c r="H40" t="s">
        <v>814</v>
      </c>
    </row>
    <row r="44" spans="1:10" ht="15.75" thickBot="1" x14ac:dyDescent="0.3">
      <c r="A44" s="97" t="s">
        <v>8</v>
      </c>
      <c r="B44" s="97"/>
      <c r="C44" s="97"/>
      <c r="D44" s="97"/>
      <c r="E44" s="97"/>
      <c r="F44" s="97"/>
      <c r="G44" s="7"/>
    </row>
    <row r="45" spans="1:10" x14ac:dyDescent="0.25">
      <c r="A45" s="8" t="s">
        <v>9</v>
      </c>
      <c r="B45" s="9"/>
      <c r="C45" s="10">
        <f>SUM(F2:F43)</f>
        <v>134285.45000000001</v>
      </c>
      <c r="D45" s="11"/>
      <c r="E45" s="12" t="s">
        <v>10</v>
      </c>
      <c r="F45" s="13"/>
      <c r="G45" s="7"/>
      <c r="H45" s="14" t="s">
        <v>11</v>
      </c>
      <c r="I45" s="15">
        <v>16</v>
      </c>
      <c r="J45" s="16"/>
    </row>
    <row r="46" spans="1:10" x14ac:dyDescent="0.25">
      <c r="A46" s="8"/>
      <c r="B46" s="9"/>
      <c r="C46" s="10"/>
      <c r="D46" s="11"/>
      <c r="E46" s="17" t="s">
        <v>12</v>
      </c>
      <c r="F46" s="18">
        <v>130025.65000000001</v>
      </c>
      <c r="G46" s="7"/>
      <c r="H46" s="17" t="s">
        <v>13</v>
      </c>
      <c r="I46" s="19">
        <v>2</v>
      </c>
      <c r="J46" s="20">
        <f>I46/I$45</f>
        <v>0.125</v>
      </c>
    </row>
    <row r="47" spans="1:10" ht="15.75" thickBot="1" x14ac:dyDescent="0.3">
      <c r="A47" s="8" t="s">
        <v>14</v>
      </c>
      <c r="B47" s="9"/>
      <c r="C47" s="21">
        <v>26</v>
      </c>
      <c r="D47" s="11"/>
      <c r="E47" s="22" t="s">
        <v>15</v>
      </c>
      <c r="F47" s="23">
        <f>C45/C47</f>
        <v>5164.8250000000007</v>
      </c>
      <c r="G47" s="7"/>
      <c r="H47" s="17" t="s">
        <v>16</v>
      </c>
      <c r="I47" s="19">
        <v>14</v>
      </c>
      <c r="J47" s="20">
        <f>I47/I$45</f>
        <v>0.875</v>
      </c>
    </row>
    <row r="48" spans="1:10" ht="15.75" thickBot="1" x14ac:dyDescent="0.3">
      <c r="A48" s="8" t="s">
        <v>17</v>
      </c>
      <c r="B48" s="9"/>
      <c r="C48">
        <v>39</v>
      </c>
      <c r="D48" s="11"/>
      <c r="E48" s="11"/>
      <c r="F48" s="24"/>
      <c r="G48" s="7"/>
      <c r="H48" s="22" t="s">
        <v>18</v>
      </c>
      <c r="I48" s="25">
        <v>0</v>
      </c>
      <c r="J48" s="26">
        <f>I48/I$45</f>
        <v>0</v>
      </c>
    </row>
    <row r="49" spans="1:10" x14ac:dyDescent="0.25">
      <c r="A49" s="8"/>
      <c r="B49" s="9"/>
      <c r="D49" s="11" t="s">
        <v>19</v>
      </c>
      <c r="E49" s="12" t="s">
        <v>20</v>
      </c>
      <c r="F49" s="13"/>
      <c r="G49" s="7"/>
    </row>
    <row r="50" spans="1:10" ht="15.75" thickBot="1" x14ac:dyDescent="0.3">
      <c r="A50" s="8" t="s">
        <v>21</v>
      </c>
      <c r="B50" s="9"/>
      <c r="C50">
        <v>33</v>
      </c>
      <c r="D50" s="11" t="s">
        <v>19</v>
      </c>
      <c r="E50" s="17" t="s">
        <v>22</v>
      </c>
      <c r="F50" s="20">
        <f>C50/C$48</f>
        <v>0.84615384615384615</v>
      </c>
      <c r="G50" s="7"/>
    </row>
    <row r="51" spans="1:10" ht="15.75" thickBot="1" x14ac:dyDescent="0.3">
      <c r="A51" s="8" t="s">
        <v>23</v>
      </c>
      <c r="B51" s="9"/>
      <c r="C51">
        <v>6</v>
      </c>
      <c r="D51" s="11"/>
      <c r="E51" s="22" t="s">
        <v>24</v>
      </c>
      <c r="F51" s="26">
        <f>C51/C$48</f>
        <v>0.15384615384615385</v>
      </c>
      <c r="G51" s="7"/>
      <c r="H51" s="14" t="s">
        <v>25</v>
      </c>
      <c r="I51" s="15">
        <v>35</v>
      </c>
      <c r="J51" s="16"/>
    </row>
    <row r="52" spans="1:10" ht="15.75" thickBot="1" x14ac:dyDescent="0.3">
      <c r="A52" s="8"/>
      <c r="B52" s="9"/>
      <c r="D52" s="11"/>
      <c r="E52" s="11"/>
      <c r="F52" s="24"/>
      <c r="G52" s="7"/>
      <c r="H52" s="27" t="s">
        <v>26</v>
      </c>
      <c r="I52" s="30">
        <v>28</v>
      </c>
      <c r="J52" s="20">
        <f>I52/I$51</f>
        <v>0.8</v>
      </c>
    </row>
    <row r="53" spans="1:10" x14ac:dyDescent="0.25">
      <c r="A53" s="8" t="s">
        <v>27</v>
      </c>
      <c r="B53" s="9"/>
      <c r="D53" s="11"/>
      <c r="E53" s="12" t="s">
        <v>28</v>
      </c>
      <c r="F53" s="13"/>
      <c r="G53" s="7"/>
      <c r="H53" s="27" t="s">
        <v>29</v>
      </c>
      <c r="I53" s="30">
        <v>5</v>
      </c>
      <c r="J53" s="20">
        <f>I53/I$51</f>
        <v>0.14285714285714285</v>
      </c>
    </row>
    <row r="54" spans="1:10" ht="15.75" thickBot="1" x14ac:dyDescent="0.3">
      <c r="A54" s="8" t="s">
        <v>30</v>
      </c>
      <c r="B54" s="9"/>
      <c r="C54">
        <v>4</v>
      </c>
      <c r="D54" s="11"/>
      <c r="E54" s="28" t="s">
        <v>30</v>
      </c>
      <c r="F54" s="20">
        <f>C54/C$63</f>
        <v>3.7383177570093455E-2</v>
      </c>
      <c r="G54" s="7"/>
      <c r="H54" s="29" t="s">
        <v>31</v>
      </c>
      <c r="I54" s="25">
        <v>2</v>
      </c>
      <c r="J54" s="26">
        <f>I54/I$51</f>
        <v>5.7142857142857141E-2</v>
      </c>
    </row>
    <row r="55" spans="1:10" ht="15.75" thickBot="1" x14ac:dyDescent="0.3">
      <c r="A55" s="8" t="s">
        <v>11</v>
      </c>
      <c r="B55" s="9"/>
      <c r="C55">
        <v>16</v>
      </c>
      <c r="D55" s="11"/>
      <c r="E55" s="28" t="s">
        <v>11</v>
      </c>
      <c r="F55" s="20">
        <f t="shared" ref="F55:F62" si="0">C55/C$63</f>
        <v>0.14953271028037382</v>
      </c>
      <c r="G55" s="7"/>
    </row>
    <row r="56" spans="1:10" x14ac:dyDescent="0.25">
      <c r="A56" s="8" t="s">
        <v>32</v>
      </c>
      <c r="B56" s="9"/>
      <c r="C56">
        <v>35</v>
      </c>
      <c r="D56" s="11"/>
      <c r="E56" s="28" t="s">
        <v>32</v>
      </c>
      <c r="F56" s="20">
        <f t="shared" si="0"/>
        <v>0.32710280373831774</v>
      </c>
      <c r="G56" s="11" t="s">
        <v>19</v>
      </c>
      <c r="H56" s="14" t="s">
        <v>33</v>
      </c>
      <c r="I56" s="15">
        <v>3</v>
      </c>
      <c r="J56" s="13">
        <f t="shared" ref="J56:J67" si="1">I56/I$51</f>
        <v>8.5714285714285715E-2</v>
      </c>
    </row>
    <row r="57" spans="1:10" x14ac:dyDescent="0.25">
      <c r="A57" s="8" t="s">
        <v>34</v>
      </c>
      <c r="B57" s="9"/>
      <c r="C57">
        <v>1</v>
      </c>
      <c r="D57" s="11"/>
      <c r="E57" s="28" t="s">
        <v>34</v>
      </c>
      <c r="F57" s="20">
        <f t="shared" si="0"/>
        <v>9.3457943925233638E-3</v>
      </c>
      <c r="G57" s="7"/>
      <c r="H57" s="27" t="s">
        <v>35</v>
      </c>
      <c r="I57" s="30">
        <v>18</v>
      </c>
      <c r="J57" s="20">
        <f t="shared" si="1"/>
        <v>0.51428571428571423</v>
      </c>
    </row>
    <row r="58" spans="1:10" x14ac:dyDescent="0.25">
      <c r="A58" s="8" t="s">
        <v>36</v>
      </c>
      <c r="B58" s="9"/>
      <c r="C58">
        <v>21</v>
      </c>
      <c r="D58" s="11"/>
      <c r="E58" s="28" t="s">
        <v>36</v>
      </c>
      <c r="F58" s="20">
        <f t="shared" si="0"/>
        <v>0.19626168224299065</v>
      </c>
      <c r="G58" s="7"/>
      <c r="H58" s="27" t="s">
        <v>37</v>
      </c>
      <c r="I58" s="30">
        <v>2</v>
      </c>
      <c r="J58" s="20">
        <f t="shared" si="1"/>
        <v>5.7142857142857141E-2</v>
      </c>
    </row>
    <row r="59" spans="1:10" x14ac:dyDescent="0.25">
      <c r="A59" s="8" t="s">
        <v>38</v>
      </c>
      <c r="B59" s="9"/>
      <c r="C59">
        <v>0</v>
      </c>
      <c r="D59" s="11"/>
      <c r="E59" s="28" t="s">
        <v>38</v>
      </c>
      <c r="F59" s="20">
        <f t="shared" si="0"/>
        <v>0</v>
      </c>
      <c r="G59" s="7"/>
      <c r="H59" s="27" t="s">
        <v>39</v>
      </c>
      <c r="I59" s="30">
        <v>1</v>
      </c>
      <c r="J59" s="20">
        <f t="shared" si="1"/>
        <v>2.8571428571428571E-2</v>
      </c>
    </row>
    <row r="60" spans="1:10" x14ac:dyDescent="0.25">
      <c r="A60" s="8" t="s">
        <v>40</v>
      </c>
      <c r="B60" s="9"/>
      <c r="C60">
        <v>9</v>
      </c>
      <c r="D60" s="11"/>
      <c r="E60" s="28" t="s">
        <v>40</v>
      </c>
      <c r="F60" s="20">
        <f t="shared" si="0"/>
        <v>8.4112149532710276E-2</v>
      </c>
      <c r="G60" s="7"/>
      <c r="H60" s="27" t="s">
        <v>41</v>
      </c>
      <c r="I60" s="30">
        <v>4</v>
      </c>
      <c r="J60" s="20">
        <f t="shared" si="1"/>
        <v>0.11428571428571428</v>
      </c>
    </row>
    <row r="61" spans="1:10" x14ac:dyDescent="0.25">
      <c r="A61" s="8" t="s">
        <v>42</v>
      </c>
      <c r="B61" s="9"/>
      <c r="C61">
        <v>0</v>
      </c>
      <c r="D61" s="11"/>
      <c r="E61" s="28" t="s">
        <v>42</v>
      </c>
      <c r="F61" s="20">
        <f t="shared" si="0"/>
        <v>0</v>
      </c>
      <c r="G61" s="7"/>
      <c r="H61" s="27" t="s">
        <v>43</v>
      </c>
      <c r="I61" s="30">
        <v>5</v>
      </c>
      <c r="J61" s="20">
        <f t="shared" si="1"/>
        <v>0.14285714285714285</v>
      </c>
    </row>
    <row r="62" spans="1:10" ht="15.75" thickBot="1" x14ac:dyDescent="0.3">
      <c r="A62" s="8" t="s">
        <v>44</v>
      </c>
      <c r="B62" s="9"/>
      <c r="C62">
        <v>21</v>
      </c>
      <c r="D62" s="11"/>
      <c r="E62" s="31" t="s">
        <v>44</v>
      </c>
      <c r="F62" s="26">
        <f t="shared" si="0"/>
        <v>0.19626168224299065</v>
      </c>
      <c r="G62" s="11" t="s">
        <v>19</v>
      </c>
      <c r="H62" s="32" t="s">
        <v>45</v>
      </c>
      <c r="I62" s="30">
        <v>0</v>
      </c>
      <c r="J62" s="20">
        <f t="shared" si="1"/>
        <v>0</v>
      </c>
    </row>
    <row r="63" spans="1:10" ht="15.75" thickBot="1" x14ac:dyDescent="0.3">
      <c r="A63" s="8" t="s">
        <v>46</v>
      </c>
      <c r="B63" s="9"/>
      <c r="C63">
        <f>SUM(C54:C62)</f>
        <v>107</v>
      </c>
      <c r="D63" s="11"/>
      <c r="E63" s="8"/>
      <c r="F63" s="24"/>
      <c r="G63" s="7"/>
      <c r="H63" s="32" t="s">
        <v>47</v>
      </c>
      <c r="I63" s="30">
        <v>1</v>
      </c>
      <c r="J63" s="20">
        <f t="shared" si="1"/>
        <v>2.8571428571428571E-2</v>
      </c>
    </row>
    <row r="64" spans="1:10" x14ac:dyDescent="0.25">
      <c r="A64" s="8"/>
      <c r="B64" s="9"/>
      <c r="D64" s="11"/>
      <c r="E64" s="33" t="s">
        <v>48</v>
      </c>
      <c r="F64" s="13"/>
      <c r="G64" s="7"/>
      <c r="H64" s="32" t="s">
        <v>49</v>
      </c>
      <c r="I64" s="30">
        <v>0</v>
      </c>
      <c r="J64" s="20">
        <f t="shared" si="1"/>
        <v>0</v>
      </c>
    </row>
    <row r="65" spans="1:10" x14ac:dyDescent="0.25">
      <c r="A65" s="8" t="s">
        <v>50</v>
      </c>
      <c r="B65" s="9"/>
      <c r="D65" s="11"/>
      <c r="E65" s="28" t="s">
        <v>51</v>
      </c>
      <c r="F65" s="20">
        <f>C66/C$76</f>
        <v>0.30357142857142855</v>
      </c>
      <c r="G65" s="7"/>
      <c r="H65" s="27" t="s">
        <v>52</v>
      </c>
      <c r="I65" s="30">
        <v>1</v>
      </c>
      <c r="J65" s="20">
        <f t="shared" si="1"/>
        <v>2.8571428571428571E-2</v>
      </c>
    </row>
    <row r="66" spans="1:10" x14ac:dyDescent="0.25">
      <c r="A66" s="8" t="s">
        <v>51</v>
      </c>
      <c r="B66" s="9"/>
      <c r="C66">
        <v>34</v>
      </c>
      <c r="D66" s="11"/>
      <c r="E66" s="28" t="s">
        <v>53</v>
      </c>
      <c r="F66" s="20">
        <f t="shared" ref="F66:F74" si="2">C67/C$76</f>
        <v>0.20535714285714285</v>
      </c>
      <c r="G66" s="7"/>
      <c r="H66" s="32" t="s">
        <v>54</v>
      </c>
      <c r="I66" s="30">
        <v>0</v>
      </c>
      <c r="J66" s="20">
        <f t="shared" si="1"/>
        <v>0</v>
      </c>
    </row>
    <row r="67" spans="1:10" ht="15.75" thickBot="1" x14ac:dyDescent="0.3">
      <c r="A67" s="8" t="s">
        <v>53</v>
      </c>
      <c r="B67" s="9"/>
      <c r="C67">
        <v>23</v>
      </c>
      <c r="D67" s="11"/>
      <c r="E67" s="28" t="s">
        <v>55</v>
      </c>
      <c r="F67" s="20">
        <f t="shared" si="2"/>
        <v>0.21428571428571427</v>
      </c>
      <c r="G67" s="7"/>
      <c r="H67" s="34" t="s">
        <v>56</v>
      </c>
      <c r="I67" s="25">
        <v>0</v>
      </c>
      <c r="J67" s="26">
        <f t="shared" si="1"/>
        <v>0</v>
      </c>
    </row>
    <row r="68" spans="1:10" x14ac:dyDescent="0.25">
      <c r="A68" s="8" t="s">
        <v>55</v>
      </c>
      <c r="B68" s="9"/>
      <c r="C68">
        <v>24</v>
      </c>
      <c r="D68" s="11"/>
      <c r="E68" s="28" t="s">
        <v>57</v>
      </c>
      <c r="F68" s="20">
        <f t="shared" si="2"/>
        <v>8.0357142857142863E-2</v>
      </c>
      <c r="G68" s="7"/>
    </row>
    <row r="69" spans="1:10" ht="15.75" thickBot="1" x14ac:dyDescent="0.3">
      <c r="A69" s="8" t="s">
        <v>57</v>
      </c>
      <c r="B69" s="9"/>
      <c r="C69">
        <v>9</v>
      </c>
      <c r="D69" s="11"/>
      <c r="E69" s="28" t="s">
        <v>58</v>
      </c>
      <c r="F69" s="20">
        <f t="shared" si="2"/>
        <v>8.9285714285714288E-2</v>
      </c>
      <c r="G69" s="11" t="s">
        <v>19</v>
      </c>
    </row>
    <row r="70" spans="1:10" x14ac:dyDescent="0.25">
      <c r="A70" s="8" t="s">
        <v>58</v>
      </c>
      <c r="B70" s="9"/>
      <c r="C70">
        <v>10</v>
      </c>
      <c r="D70" s="11"/>
      <c r="E70" s="28" t="s">
        <v>59</v>
      </c>
      <c r="F70" s="20">
        <f t="shared" si="2"/>
        <v>8.9285714285714281E-3</v>
      </c>
      <c r="G70" s="7"/>
      <c r="H70" s="14" t="s">
        <v>36</v>
      </c>
      <c r="I70" s="15">
        <v>21</v>
      </c>
      <c r="J70" s="16"/>
    </row>
    <row r="71" spans="1:10" x14ac:dyDescent="0.25">
      <c r="A71" s="8" t="s">
        <v>59</v>
      </c>
      <c r="B71" s="9"/>
      <c r="C71">
        <v>1</v>
      </c>
      <c r="D71" s="11"/>
      <c r="E71" s="28" t="s">
        <v>60</v>
      </c>
      <c r="F71" s="20">
        <f t="shared" si="2"/>
        <v>4.4642857142857144E-2</v>
      </c>
      <c r="G71" s="7"/>
      <c r="H71" s="27" t="s">
        <v>61</v>
      </c>
      <c r="I71" s="19">
        <v>3</v>
      </c>
      <c r="J71" s="20">
        <f>I71/I$70</f>
        <v>0.14285714285714285</v>
      </c>
    </row>
    <row r="72" spans="1:10" ht="15.75" thickBot="1" x14ac:dyDescent="0.3">
      <c r="A72" s="8" t="s">
        <v>60</v>
      </c>
      <c r="B72" s="9"/>
      <c r="C72">
        <v>5</v>
      </c>
      <c r="D72" s="11"/>
      <c r="E72" s="28" t="s">
        <v>62</v>
      </c>
      <c r="F72" s="20">
        <f t="shared" si="2"/>
        <v>0</v>
      </c>
      <c r="G72" s="7"/>
      <c r="H72" s="29" t="s">
        <v>63</v>
      </c>
      <c r="I72" s="25">
        <v>18</v>
      </c>
      <c r="J72" s="26">
        <f>I72/I$70</f>
        <v>0.8571428571428571</v>
      </c>
    </row>
    <row r="73" spans="1:10" x14ac:dyDescent="0.25">
      <c r="A73" s="8" t="s">
        <v>62</v>
      </c>
      <c r="B73" s="9"/>
      <c r="C73">
        <v>0</v>
      </c>
      <c r="D73" s="11"/>
      <c r="E73" s="28" t="s">
        <v>64</v>
      </c>
      <c r="F73" s="20">
        <f t="shared" si="2"/>
        <v>8.9285714285714281E-3</v>
      </c>
      <c r="G73" s="7"/>
    </row>
    <row r="74" spans="1:10" ht="15.75" thickBot="1" x14ac:dyDescent="0.3">
      <c r="A74" s="8" t="s">
        <v>64</v>
      </c>
      <c r="B74" s="9"/>
      <c r="C74">
        <v>1</v>
      </c>
      <c r="D74" s="11"/>
      <c r="E74" s="31" t="s">
        <v>65</v>
      </c>
      <c r="F74" s="26">
        <f t="shared" si="2"/>
        <v>4.4642857142857144E-2</v>
      </c>
      <c r="G74" s="7"/>
    </row>
    <row r="75" spans="1:10" ht="15.75" thickBot="1" x14ac:dyDescent="0.3">
      <c r="A75" s="8" t="s">
        <v>65</v>
      </c>
      <c r="B75" s="9"/>
      <c r="C75">
        <v>5</v>
      </c>
      <c r="D75" s="11"/>
      <c r="E75" s="8"/>
      <c r="F75" s="24"/>
      <c r="G75" s="7"/>
      <c r="H75" s="14" t="s">
        <v>66</v>
      </c>
      <c r="I75" s="15">
        <v>0</v>
      </c>
      <c r="J75" s="16"/>
    </row>
    <row r="76" spans="1:10" x14ac:dyDescent="0.25">
      <c r="A76" s="8" t="s">
        <v>67</v>
      </c>
      <c r="B76" s="9"/>
      <c r="C76">
        <f>SUM(C66:C75)</f>
        <v>112</v>
      </c>
      <c r="D76" s="11"/>
      <c r="E76" s="33" t="s">
        <v>68</v>
      </c>
      <c r="F76" s="13"/>
      <c r="G76" s="7"/>
      <c r="H76" s="27" t="s">
        <v>69</v>
      </c>
      <c r="I76" s="30">
        <v>0</v>
      </c>
      <c r="J76" s="20">
        <v>0</v>
      </c>
    </row>
    <row r="77" spans="1:10" x14ac:dyDescent="0.25">
      <c r="A77" s="8"/>
      <c r="B77" s="9"/>
      <c r="D77" s="11"/>
      <c r="E77" s="35" t="s">
        <v>70</v>
      </c>
      <c r="F77" s="20">
        <f>C78/C$48</f>
        <v>0.79487179487179482</v>
      </c>
      <c r="G77" s="7"/>
      <c r="H77" s="27" t="s">
        <v>71</v>
      </c>
      <c r="I77" s="30">
        <v>0</v>
      </c>
      <c r="J77" s="20">
        <v>0</v>
      </c>
    </row>
    <row r="78" spans="1:10" x14ac:dyDescent="0.25">
      <c r="A78" s="8" t="s">
        <v>72</v>
      </c>
      <c r="B78" s="9"/>
      <c r="C78">
        <v>31</v>
      </c>
      <c r="D78" s="11"/>
      <c r="E78" s="35" t="s">
        <v>73</v>
      </c>
      <c r="F78" s="20">
        <f>C79/C$48</f>
        <v>2.564102564102564E-2</v>
      </c>
      <c r="G78" s="7"/>
      <c r="H78" s="27" t="s">
        <v>74</v>
      </c>
      <c r="I78" s="30">
        <v>0</v>
      </c>
      <c r="J78" s="20">
        <v>0</v>
      </c>
    </row>
    <row r="79" spans="1:10" ht="15.75" thickBot="1" x14ac:dyDescent="0.3">
      <c r="A79" s="8" t="s">
        <v>75</v>
      </c>
      <c r="B79" s="9"/>
      <c r="C79">
        <v>1</v>
      </c>
      <c r="D79" s="11"/>
      <c r="E79" s="36" t="s">
        <v>76</v>
      </c>
      <c r="F79" s="26">
        <f>C80/C$48</f>
        <v>0.17948717948717949</v>
      </c>
      <c r="G79" s="7"/>
      <c r="H79" s="27" t="s">
        <v>77</v>
      </c>
      <c r="I79" s="30">
        <v>0</v>
      </c>
      <c r="J79" s="20">
        <v>0</v>
      </c>
    </row>
    <row r="80" spans="1:10" ht="15.75" thickBot="1" x14ac:dyDescent="0.3">
      <c r="A80" s="8" t="s">
        <v>78</v>
      </c>
      <c r="B80" s="9"/>
      <c r="C80">
        <v>7</v>
      </c>
      <c r="D80" s="11"/>
      <c r="E80" s="37"/>
      <c r="F80" s="24"/>
      <c r="G80" s="11" t="s">
        <v>19</v>
      </c>
      <c r="H80" s="27" t="s">
        <v>79</v>
      </c>
      <c r="I80" s="30">
        <v>0</v>
      </c>
      <c r="J80" s="20">
        <v>0</v>
      </c>
    </row>
    <row r="81" spans="1:10" ht="15.75" thickBot="1" x14ac:dyDescent="0.3">
      <c r="A81" s="8"/>
      <c r="B81" s="9"/>
      <c r="D81" s="11"/>
      <c r="E81" s="38" t="s">
        <v>20</v>
      </c>
      <c r="F81" s="13"/>
      <c r="G81" s="7"/>
      <c r="H81" s="29" t="s">
        <v>80</v>
      </c>
      <c r="I81" s="25">
        <v>0</v>
      </c>
      <c r="J81" s="26">
        <v>0</v>
      </c>
    </row>
    <row r="82" spans="1:10" x14ac:dyDescent="0.25">
      <c r="A82" s="8" t="s">
        <v>20</v>
      </c>
      <c r="B82" s="9"/>
      <c r="D82" s="11"/>
      <c r="E82" s="28" t="s">
        <v>81</v>
      </c>
      <c r="F82" s="20">
        <f>C83/C$48</f>
        <v>0.30769230769230771</v>
      </c>
      <c r="G82" s="7"/>
    </row>
    <row r="83" spans="1:10" ht="15.75" thickBot="1" x14ac:dyDescent="0.3">
      <c r="A83" s="8" t="s">
        <v>82</v>
      </c>
      <c r="B83" s="9"/>
      <c r="C83">
        <v>12</v>
      </c>
      <c r="D83" s="11"/>
      <c r="E83" s="31" t="s">
        <v>83</v>
      </c>
      <c r="F83" s="26">
        <f>C84/C$48</f>
        <v>0.69230769230769229</v>
      </c>
      <c r="G83" s="7"/>
    </row>
    <row r="84" spans="1:10" ht="15.75" thickBot="1" x14ac:dyDescent="0.3">
      <c r="A84" s="8" t="s">
        <v>83</v>
      </c>
      <c r="B84" s="9"/>
      <c r="C84">
        <v>27</v>
      </c>
      <c r="D84" s="11"/>
      <c r="E84" s="39"/>
      <c r="F84" s="40"/>
      <c r="G84" s="7"/>
      <c r="H84" s="14" t="s">
        <v>40</v>
      </c>
      <c r="I84" s="15">
        <v>9</v>
      </c>
      <c r="J84" s="16"/>
    </row>
    <row r="85" spans="1:10" x14ac:dyDescent="0.25">
      <c r="A85" s="8"/>
      <c r="B85" s="9"/>
      <c r="D85" s="11"/>
      <c r="E85" s="14" t="s">
        <v>84</v>
      </c>
      <c r="F85" s="13"/>
      <c r="G85" s="7"/>
      <c r="H85" s="27" t="s">
        <v>85</v>
      </c>
      <c r="I85" s="30">
        <v>0</v>
      </c>
      <c r="J85" s="20">
        <f>I85/I$84</f>
        <v>0</v>
      </c>
    </row>
    <row r="86" spans="1:10" x14ac:dyDescent="0.25">
      <c r="A86" t="s">
        <v>84</v>
      </c>
      <c r="D86" s="11"/>
      <c r="E86" s="27" t="s">
        <v>86</v>
      </c>
      <c r="F86" s="20">
        <f>C87/C$84</f>
        <v>0.66666666666666663</v>
      </c>
      <c r="G86" s="7"/>
      <c r="H86" s="27" t="s">
        <v>87</v>
      </c>
      <c r="I86" s="30">
        <v>2</v>
      </c>
      <c r="J86" s="20">
        <f>I86/I$84</f>
        <v>0.22222222222222221</v>
      </c>
    </row>
    <row r="87" spans="1:10" ht="15.75" thickBot="1" x14ac:dyDescent="0.3">
      <c r="A87" t="s">
        <v>86</v>
      </c>
      <c r="C87">
        <v>18</v>
      </c>
      <c r="D87" s="11"/>
      <c r="E87" s="29" t="s">
        <v>88</v>
      </c>
      <c r="F87" s="26">
        <f>C88/C$84</f>
        <v>0.29629629629629628</v>
      </c>
      <c r="G87" s="7"/>
      <c r="H87" s="27" t="s">
        <v>89</v>
      </c>
      <c r="I87" s="30">
        <v>3</v>
      </c>
      <c r="J87" s="20">
        <f>I87/I$84</f>
        <v>0.33333333333333331</v>
      </c>
    </row>
    <row r="88" spans="1:10" ht="15.75" thickBot="1" x14ac:dyDescent="0.3">
      <c r="A88" t="s">
        <v>88</v>
      </c>
      <c r="C88">
        <v>8</v>
      </c>
      <c r="D88" s="11"/>
      <c r="E88" s="39"/>
      <c r="F88" s="40"/>
      <c r="G88" s="7"/>
      <c r="H88" s="27" t="s">
        <v>90</v>
      </c>
      <c r="I88" s="30">
        <v>1</v>
      </c>
      <c r="J88" s="20">
        <f>I88/I$84</f>
        <v>0.1111111111111111</v>
      </c>
    </row>
    <row r="89" spans="1:10" ht="15.75" thickBot="1" x14ac:dyDescent="0.3">
      <c r="A89" s="8"/>
      <c r="B89" s="9"/>
      <c r="D89" s="11"/>
      <c r="E89" s="33" t="s">
        <v>91</v>
      </c>
      <c r="F89" s="13"/>
      <c r="G89" s="7"/>
      <c r="H89" s="29" t="s">
        <v>92</v>
      </c>
      <c r="I89" s="25">
        <v>3</v>
      </c>
      <c r="J89" s="26">
        <f>I89/I$84</f>
        <v>0.33333333333333331</v>
      </c>
    </row>
    <row r="90" spans="1:10" x14ac:dyDescent="0.25">
      <c r="A90" s="8" t="s">
        <v>93</v>
      </c>
      <c r="B90" s="9"/>
      <c r="D90" s="11"/>
      <c r="E90" s="28" t="s">
        <v>94</v>
      </c>
      <c r="F90" s="20">
        <f t="shared" ref="F90:F95" si="3">C91/C$48</f>
        <v>0.28205128205128205</v>
      </c>
      <c r="G90" s="7"/>
    </row>
    <row r="91" spans="1:10" ht="15.75" thickBot="1" x14ac:dyDescent="0.3">
      <c r="A91" s="8" t="s">
        <v>94</v>
      </c>
      <c r="B91" s="9"/>
      <c r="C91">
        <v>11</v>
      </c>
      <c r="D91" s="11"/>
      <c r="E91" s="17" t="s">
        <v>95</v>
      </c>
      <c r="F91" s="20">
        <f t="shared" si="3"/>
        <v>0</v>
      </c>
      <c r="G91" s="7"/>
    </row>
    <row r="92" spans="1:10" x14ac:dyDescent="0.25">
      <c r="A92" s="8" t="s">
        <v>95</v>
      </c>
      <c r="B92" s="9"/>
      <c r="C92">
        <v>0</v>
      </c>
      <c r="D92" s="11"/>
      <c r="E92" s="17" t="s">
        <v>96</v>
      </c>
      <c r="F92" s="20">
        <f t="shared" si="3"/>
        <v>0</v>
      </c>
      <c r="G92" s="7"/>
      <c r="H92" s="14" t="s">
        <v>44</v>
      </c>
      <c r="I92" s="15">
        <v>21</v>
      </c>
      <c r="J92" s="16"/>
    </row>
    <row r="93" spans="1:10" x14ac:dyDescent="0.25">
      <c r="A93" s="8" t="s">
        <v>96</v>
      </c>
      <c r="B93" s="9"/>
      <c r="C93">
        <v>0</v>
      </c>
      <c r="D93" s="11"/>
      <c r="E93" s="17" t="s">
        <v>97</v>
      </c>
      <c r="F93" s="20">
        <f t="shared" si="3"/>
        <v>0</v>
      </c>
      <c r="G93" s="7"/>
      <c r="H93" s="27" t="s">
        <v>98</v>
      </c>
      <c r="I93" s="19">
        <v>1</v>
      </c>
      <c r="J93" s="20">
        <f>I93/I$92</f>
        <v>4.7619047619047616E-2</v>
      </c>
    </row>
    <row r="94" spans="1:10" x14ac:dyDescent="0.25">
      <c r="A94" s="8" t="s">
        <v>97</v>
      </c>
      <c r="B94" s="9"/>
      <c r="C94">
        <v>0</v>
      </c>
      <c r="D94" s="11"/>
      <c r="E94" s="17" t="s">
        <v>99</v>
      </c>
      <c r="F94" s="20">
        <f t="shared" si="3"/>
        <v>0.69230769230769229</v>
      </c>
      <c r="G94" s="7"/>
      <c r="H94" s="27" t="s">
        <v>100</v>
      </c>
      <c r="I94" s="19">
        <v>0</v>
      </c>
      <c r="J94" s="20">
        <f t="shared" ref="J94:J102" si="4">I94/I$92</f>
        <v>0</v>
      </c>
    </row>
    <row r="95" spans="1:10" ht="15.75" thickBot="1" x14ac:dyDescent="0.3">
      <c r="A95" s="8" t="s">
        <v>99</v>
      </c>
      <c r="B95" s="9"/>
      <c r="C95">
        <v>27</v>
      </c>
      <c r="D95" s="11"/>
      <c r="E95" s="22" t="s">
        <v>44</v>
      </c>
      <c r="F95" s="26">
        <f t="shared" si="3"/>
        <v>2.564102564102564E-2</v>
      </c>
      <c r="G95" s="7"/>
      <c r="H95" s="27" t="s">
        <v>101</v>
      </c>
      <c r="I95" s="19">
        <v>0</v>
      </c>
      <c r="J95" s="20">
        <f t="shared" si="4"/>
        <v>0</v>
      </c>
    </row>
    <row r="96" spans="1:10" ht="15.75" thickBot="1" x14ac:dyDescent="0.3">
      <c r="A96" s="8" t="s">
        <v>44</v>
      </c>
      <c r="B96" s="9"/>
      <c r="C96">
        <v>1</v>
      </c>
      <c r="D96" s="11"/>
      <c r="E96" s="11"/>
      <c r="F96" s="24"/>
      <c r="G96" s="7"/>
      <c r="H96" s="27" t="s">
        <v>102</v>
      </c>
      <c r="I96" s="30">
        <v>0</v>
      </c>
      <c r="J96" s="20">
        <f t="shared" si="4"/>
        <v>0</v>
      </c>
    </row>
    <row r="97" spans="1:10" x14ac:dyDescent="0.25">
      <c r="A97" s="8"/>
      <c r="B97" s="9"/>
      <c r="D97" s="11"/>
      <c r="E97" s="12" t="s">
        <v>103</v>
      </c>
      <c r="F97" s="13"/>
      <c r="G97" s="7"/>
      <c r="H97" s="27" t="s">
        <v>104</v>
      </c>
      <c r="I97" s="30">
        <v>5</v>
      </c>
      <c r="J97" s="20">
        <f t="shared" si="4"/>
        <v>0.23809523809523808</v>
      </c>
    </row>
    <row r="98" spans="1:10" x14ac:dyDescent="0.25">
      <c r="A98" s="8" t="s">
        <v>105</v>
      </c>
      <c r="B98" s="9"/>
      <c r="D98" s="11"/>
      <c r="E98" s="17" t="s">
        <v>106</v>
      </c>
      <c r="F98" s="20">
        <f>C99/C$48</f>
        <v>0.66666666666666663</v>
      </c>
      <c r="G98" s="7"/>
      <c r="H98" s="41" t="s">
        <v>107</v>
      </c>
      <c r="I98" s="30">
        <v>1</v>
      </c>
      <c r="J98" s="20">
        <f t="shared" si="4"/>
        <v>4.7619047619047616E-2</v>
      </c>
    </row>
    <row r="99" spans="1:10" x14ac:dyDescent="0.25">
      <c r="A99" s="8" t="s">
        <v>106</v>
      </c>
      <c r="B99" s="9"/>
      <c r="C99">
        <v>26</v>
      </c>
      <c r="D99" s="11"/>
      <c r="E99" s="17" t="s">
        <v>108</v>
      </c>
      <c r="F99" s="20">
        <f>C100/C$48</f>
        <v>0.12820512820512819</v>
      </c>
      <c r="G99" s="7"/>
      <c r="H99" s="41" t="s">
        <v>109</v>
      </c>
      <c r="I99" s="30">
        <v>0</v>
      </c>
      <c r="J99" s="20">
        <f t="shared" si="4"/>
        <v>0</v>
      </c>
    </row>
    <row r="100" spans="1:10" x14ac:dyDescent="0.25">
      <c r="A100" s="8" t="s">
        <v>108</v>
      </c>
      <c r="B100" s="9"/>
      <c r="C100">
        <v>5</v>
      </c>
      <c r="D100" s="11"/>
      <c r="E100" s="17" t="s">
        <v>110</v>
      </c>
      <c r="F100" s="20">
        <f>C101/C$48</f>
        <v>0.15384615384615385</v>
      </c>
      <c r="G100" s="7"/>
      <c r="H100" s="41" t="s">
        <v>111</v>
      </c>
      <c r="I100" s="30">
        <v>12</v>
      </c>
      <c r="J100" s="20">
        <f t="shared" si="4"/>
        <v>0.5714285714285714</v>
      </c>
    </row>
    <row r="101" spans="1:10" x14ac:dyDescent="0.25">
      <c r="A101" s="8" t="s">
        <v>110</v>
      </c>
      <c r="B101" s="9"/>
      <c r="C101">
        <v>6</v>
      </c>
      <c r="D101" s="11"/>
      <c r="E101" s="17" t="s">
        <v>112</v>
      </c>
      <c r="F101" s="20">
        <f>C102/C$48</f>
        <v>2.564102564102564E-2</v>
      </c>
      <c r="G101" s="7"/>
      <c r="H101" s="41" t="s">
        <v>113</v>
      </c>
      <c r="I101" s="30">
        <v>2</v>
      </c>
      <c r="J101" s="20">
        <f t="shared" si="4"/>
        <v>9.5238095238095233E-2</v>
      </c>
    </row>
    <row r="102" spans="1:10" ht="15.75" thickBot="1" x14ac:dyDescent="0.3">
      <c r="A102" s="8" t="s">
        <v>112</v>
      </c>
      <c r="B102" s="9"/>
      <c r="C102">
        <v>1</v>
      </c>
      <c r="E102" s="22" t="s">
        <v>114</v>
      </c>
      <c r="F102" s="26">
        <f>C103/C$48</f>
        <v>2.564102564102564E-2</v>
      </c>
      <c r="H102" s="42" t="s">
        <v>115</v>
      </c>
      <c r="I102" s="25">
        <v>0</v>
      </c>
      <c r="J102" s="26">
        <f t="shared" si="4"/>
        <v>0</v>
      </c>
    </row>
    <row r="103" spans="1:10" x14ac:dyDescent="0.25">
      <c r="A103" s="8" t="s">
        <v>114</v>
      </c>
      <c r="B103" s="9"/>
      <c r="C103">
        <v>1</v>
      </c>
      <c r="E103" s="11"/>
      <c r="F103" s="24"/>
    </row>
    <row r="104" spans="1:10" x14ac:dyDescent="0.25">
      <c r="A104" s="8" t="s">
        <v>116</v>
      </c>
      <c r="B104" s="9"/>
      <c r="E104" s="11"/>
      <c r="F104" s="24"/>
    </row>
    <row r="105" spans="1:10" x14ac:dyDescent="0.25">
      <c r="A105" s="8"/>
      <c r="B105" s="9"/>
      <c r="E105" s="11"/>
      <c r="F105" s="24"/>
    </row>
    <row r="106" spans="1:10" ht="15.75" thickBot="1" x14ac:dyDescent="0.3"/>
    <row r="107" spans="1:10" x14ac:dyDescent="0.25">
      <c r="A107" s="43" t="s">
        <v>117</v>
      </c>
      <c r="B107" s="87">
        <f>SUM(B108:B111)</f>
        <v>134285.45000000001</v>
      </c>
    </row>
    <row r="108" spans="1:10" x14ac:dyDescent="0.25">
      <c r="A108" s="44" t="s">
        <v>94</v>
      </c>
      <c r="B108" s="45">
        <f>SUM(F5,F7,F12:F13,F15,F19:F20,F22,F24,F28,F38,F40,)</f>
        <v>31156.329999999998</v>
      </c>
    </row>
    <row r="109" spans="1:10" x14ac:dyDescent="0.25">
      <c r="A109" s="44" t="s">
        <v>118</v>
      </c>
      <c r="B109" s="45">
        <f>SUM(F2:F4,F6,F8:F11,F14,F16:F18,F21,F23,F25:F27,F29:F30,F32:F37,F39,)</f>
        <v>95217.920000000013</v>
      </c>
    </row>
    <row r="110" spans="1:10" x14ac:dyDescent="0.25">
      <c r="A110" s="44" t="s">
        <v>119</v>
      </c>
      <c r="B110" s="45">
        <v>0</v>
      </c>
    </row>
    <row r="111" spans="1:10" x14ac:dyDescent="0.25">
      <c r="A111" s="44" t="s">
        <v>44</v>
      </c>
      <c r="B111" s="46">
        <v>7911.2</v>
      </c>
    </row>
    <row r="112" spans="1:10" ht="15.75" thickBot="1" x14ac:dyDescent="0.3">
      <c r="A112" s="47"/>
      <c r="B112" s="48"/>
    </row>
  </sheetData>
  <mergeCells count="1">
    <mergeCell ref="A44:F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opLeftCell="A21" workbookViewId="0">
      <selection activeCell="B104" sqref="B104"/>
    </sheetView>
  </sheetViews>
  <sheetFormatPr baseColWidth="10" defaultRowHeight="15" x14ac:dyDescent="0.25"/>
  <cols>
    <col min="1" max="1" width="10.5703125" customWidth="1"/>
    <col min="2" max="2" width="34.140625" customWidth="1"/>
    <col min="3" max="3" width="11.85546875" customWidth="1"/>
    <col min="4" max="4" width="5.5703125" customWidth="1"/>
    <col min="5" max="5" width="7.28515625" customWidth="1"/>
    <col min="7" max="7" width="42.425781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45414</v>
      </c>
      <c r="B2" t="s">
        <v>815</v>
      </c>
      <c r="C2" t="s">
        <v>106</v>
      </c>
      <c r="D2" t="s">
        <v>24</v>
      </c>
      <c r="E2" t="s">
        <v>195</v>
      </c>
      <c r="F2" s="59">
        <v>1055</v>
      </c>
      <c r="G2" t="s">
        <v>818</v>
      </c>
      <c r="H2" t="s">
        <v>236</v>
      </c>
    </row>
    <row r="3" spans="1:8" x14ac:dyDescent="0.25">
      <c r="A3" s="9">
        <v>45415</v>
      </c>
      <c r="B3" t="s">
        <v>826</v>
      </c>
      <c r="C3" t="s">
        <v>361</v>
      </c>
      <c r="D3" t="s">
        <v>22</v>
      </c>
      <c r="E3" t="s">
        <v>118</v>
      </c>
      <c r="F3" s="59">
        <v>1344</v>
      </c>
      <c r="G3" t="s">
        <v>829</v>
      </c>
      <c r="H3" t="s">
        <v>846</v>
      </c>
    </row>
    <row r="4" spans="1:8" x14ac:dyDescent="0.25">
      <c r="A4" s="9">
        <v>45415</v>
      </c>
      <c r="B4" t="s">
        <v>830</v>
      </c>
      <c r="C4" t="s">
        <v>106</v>
      </c>
      <c r="D4" t="s">
        <v>22</v>
      </c>
      <c r="E4" t="s">
        <v>118</v>
      </c>
      <c r="F4" s="59">
        <v>1356.6</v>
      </c>
      <c r="G4" t="s">
        <v>833</v>
      </c>
      <c r="H4" t="s">
        <v>837</v>
      </c>
    </row>
    <row r="5" spans="1:8" x14ac:dyDescent="0.25">
      <c r="A5" s="9">
        <v>45416</v>
      </c>
      <c r="B5" t="s">
        <v>834</v>
      </c>
      <c r="C5" t="s">
        <v>106</v>
      </c>
      <c r="D5" t="s">
        <v>24</v>
      </c>
      <c r="E5" t="s">
        <v>195</v>
      </c>
      <c r="F5" s="59">
        <v>8439.4599999999991</v>
      </c>
      <c r="G5" t="s">
        <v>323</v>
      </c>
      <c r="H5" t="s">
        <v>236</v>
      </c>
    </row>
    <row r="6" spans="1:8" x14ac:dyDescent="0.25">
      <c r="A6" s="9">
        <v>45416</v>
      </c>
      <c r="B6" t="s">
        <v>838</v>
      </c>
      <c r="C6" t="s">
        <v>106</v>
      </c>
      <c r="D6" t="s">
        <v>22</v>
      </c>
      <c r="E6" t="s">
        <v>195</v>
      </c>
      <c r="F6" s="59">
        <v>1190</v>
      </c>
      <c r="G6" t="s">
        <v>841</v>
      </c>
      <c r="H6" t="s">
        <v>847</v>
      </c>
    </row>
    <row r="7" spans="1:8" x14ac:dyDescent="0.25">
      <c r="A7" s="9">
        <v>45414</v>
      </c>
      <c r="B7" t="s">
        <v>810</v>
      </c>
      <c r="C7" t="s">
        <v>106</v>
      </c>
      <c r="D7" t="s">
        <v>22</v>
      </c>
      <c r="E7" t="s">
        <v>118</v>
      </c>
      <c r="F7" s="59">
        <v>373.7</v>
      </c>
      <c r="G7" t="s">
        <v>845</v>
      </c>
      <c r="H7" t="s">
        <v>265</v>
      </c>
    </row>
    <row r="8" spans="1:8" x14ac:dyDescent="0.25">
      <c r="A8" s="9">
        <v>45414</v>
      </c>
      <c r="B8" t="s">
        <v>498</v>
      </c>
      <c r="C8" t="s">
        <v>106</v>
      </c>
      <c r="D8" t="s">
        <v>22</v>
      </c>
      <c r="E8" t="s">
        <v>118</v>
      </c>
      <c r="F8" s="59">
        <v>1362.5</v>
      </c>
      <c r="G8" t="s">
        <v>526</v>
      </c>
      <c r="H8" t="s">
        <v>265</v>
      </c>
    </row>
    <row r="9" spans="1:8" x14ac:dyDescent="0.25">
      <c r="A9" s="9">
        <v>45418</v>
      </c>
      <c r="B9" t="s">
        <v>848</v>
      </c>
      <c r="C9" t="s">
        <v>106</v>
      </c>
      <c r="D9" t="s">
        <v>22</v>
      </c>
      <c r="E9" t="s">
        <v>195</v>
      </c>
      <c r="F9" s="59">
        <v>4116</v>
      </c>
      <c r="G9" t="s">
        <v>851</v>
      </c>
      <c r="H9" t="s">
        <v>852</v>
      </c>
    </row>
    <row r="10" spans="1:8" x14ac:dyDescent="0.25">
      <c r="A10" s="9">
        <v>45419</v>
      </c>
      <c r="B10" t="s">
        <v>855</v>
      </c>
      <c r="C10" t="s">
        <v>106</v>
      </c>
      <c r="D10" t="s">
        <v>22</v>
      </c>
      <c r="E10" t="s">
        <v>118</v>
      </c>
      <c r="F10" s="59">
        <v>2068.15</v>
      </c>
      <c r="G10" t="s">
        <v>858</v>
      </c>
      <c r="H10" t="s">
        <v>245</v>
      </c>
    </row>
    <row r="11" spans="1:8" x14ac:dyDescent="0.25">
      <c r="A11" s="9">
        <v>45420</v>
      </c>
      <c r="B11" t="s">
        <v>872</v>
      </c>
      <c r="C11" t="s">
        <v>106</v>
      </c>
      <c r="D11" t="s">
        <v>22</v>
      </c>
      <c r="E11" t="s">
        <v>118</v>
      </c>
      <c r="F11" s="59">
        <v>1038</v>
      </c>
      <c r="G11" t="s">
        <v>585</v>
      </c>
      <c r="H11" t="s">
        <v>265</v>
      </c>
    </row>
    <row r="12" spans="1:8" x14ac:dyDescent="0.25">
      <c r="A12" s="9">
        <v>45415</v>
      </c>
      <c r="B12" t="s">
        <v>868</v>
      </c>
      <c r="C12" t="s">
        <v>361</v>
      </c>
      <c r="D12" t="s">
        <v>22</v>
      </c>
      <c r="E12" t="s">
        <v>195</v>
      </c>
      <c r="F12" s="59">
        <v>2216</v>
      </c>
      <c r="G12" t="s">
        <v>871</v>
      </c>
      <c r="H12" t="s">
        <v>904</v>
      </c>
    </row>
    <row r="13" spans="1:8" x14ac:dyDescent="0.25">
      <c r="A13" s="9">
        <v>45418</v>
      </c>
      <c r="B13" t="s">
        <v>873</v>
      </c>
      <c r="C13" t="s">
        <v>106</v>
      </c>
      <c r="D13" t="s">
        <v>22</v>
      </c>
      <c r="E13" t="s">
        <v>118</v>
      </c>
      <c r="F13" s="59">
        <v>2334.6</v>
      </c>
      <c r="G13" t="s">
        <v>876</v>
      </c>
      <c r="H13" t="s">
        <v>245</v>
      </c>
    </row>
    <row r="14" spans="1:8" x14ac:dyDescent="0.25">
      <c r="A14" s="9">
        <v>45421</v>
      </c>
      <c r="B14" t="s">
        <v>877</v>
      </c>
      <c r="C14" t="s">
        <v>800</v>
      </c>
      <c r="D14" t="s">
        <v>22</v>
      </c>
      <c r="E14" t="s">
        <v>195</v>
      </c>
      <c r="F14" s="59">
        <v>1038</v>
      </c>
      <c r="G14" t="s">
        <v>880</v>
      </c>
      <c r="H14" t="s">
        <v>905</v>
      </c>
    </row>
    <row r="15" spans="1:8" x14ac:dyDescent="0.25">
      <c r="A15" s="9">
        <v>45422</v>
      </c>
      <c r="B15" t="s">
        <v>642</v>
      </c>
      <c r="C15" t="s">
        <v>362</v>
      </c>
      <c r="D15" t="s">
        <v>22</v>
      </c>
      <c r="E15" t="s">
        <v>118</v>
      </c>
      <c r="F15" s="59">
        <v>1908</v>
      </c>
      <c r="G15" t="s">
        <v>881</v>
      </c>
      <c r="H15" t="s">
        <v>216</v>
      </c>
    </row>
    <row r="16" spans="1:8" x14ac:dyDescent="0.25">
      <c r="A16" s="9">
        <v>45423</v>
      </c>
      <c r="B16" t="s">
        <v>882</v>
      </c>
      <c r="C16" t="s">
        <v>362</v>
      </c>
      <c r="D16" t="s">
        <v>22</v>
      </c>
      <c r="E16" t="s">
        <v>118</v>
      </c>
      <c r="F16" s="59">
        <v>3208.15</v>
      </c>
      <c r="G16" t="s">
        <v>1050</v>
      </c>
      <c r="H16" t="s">
        <v>886</v>
      </c>
    </row>
    <row r="17" spans="1:8" x14ac:dyDescent="0.25">
      <c r="A17" s="9">
        <v>45425</v>
      </c>
      <c r="B17" t="s">
        <v>887</v>
      </c>
      <c r="C17" t="s">
        <v>361</v>
      </c>
      <c r="D17" t="s">
        <v>22</v>
      </c>
      <c r="E17" t="s">
        <v>195</v>
      </c>
      <c r="F17" s="59">
        <v>1479</v>
      </c>
      <c r="G17" t="s">
        <v>890</v>
      </c>
      <c r="H17" t="s">
        <v>236</v>
      </c>
    </row>
    <row r="18" spans="1:8" x14ac:dyDescent="0.25">
      <c r="A18" s="9">
        <v>45425</v>
      </c>
      <c r="B18" t="s">
        <v>891</v>
      </c>
      <c r="C18" t="s">
        <v>361</v>
      </c>
      <c r="D18" t="s">
        <v>22</v>
      </c>
      <c r="E18" t="s">
        <v>118</v>
      </c>
      <c r="F18" s="59">
        <v>1388</v>
      </c>
      <c r="G18" t="s">
        <v>894</v>
      </c>
      <c r="H18" t="s">
        <v>895</v>
      </c>
    </row>
    <row r="19" spans="1:8" x14ac:dyDescent="0.25">
      <c r="A19" s="9">
        <v>45426</v>
      </c>
      <c r="B19" t="s">
        <v>900</v>
      </c>
      <c r="C19" t="s">
        <v>106</v>
      </c>
      <c r="D19" t="s">
        <v>24</v>
      </c>
      <c r="E19" t="s">
        <v>118</v>
      </c>
      <c r="F19" s="59">
        <v>2125.12</v>
      </c>
      <c r="G19" t="s">
        <v>903</v>
      </c>
      <c r="H19" t="s">
        <v>502</v>
      </c>
    </row>
    <row r="20" spans="1:8" x14ac:dyDescent="0.25">
      <c r="A20" s="9">
        <v>45426</v>
      </c>
      <c r="B20" t="s">
        <v>566</v>
      </c>
      <c r="C20" t="s">
        <v>106</v>
      </c>
      <c r="D20" t="s">
        <v>22</v>
      </c>
      <c r="E20" t="s">
        <v>118</v>
      </c>
      <c r="F20" s="59">
        <v>1012</v>
      </c>
      <c r="G20" t="s">
        <v>906</v>
      </c>
      <c r="H20" t="s">
        <v>907</v>
      </c>
    </row>
    <row r="21" spans="1:8" x14ac:dyDescent="0.25">
      <c r="A21" s="9">
        <v>45426</v>
      </c>
      <c r="B21" t="s">
        <v>908</v>
      </c>
      <c r="C21" t="s">
        <v>106</v>
      </c>
      <c r="D21" t="s">
        <v>22</v>
      </c>
      <c r="E21" t="s">
        <v>118</v>
      </c>
      <c r="F21" s="59">
        <v>1145</v>
      </c>
      <c r="G21" t="s">
        <v>911</v>
      </c>
      <c r="H21" t="s">
        <v>920</v>
      </c>
    </row>
    <row r="22" spans="1:8" x14ac:dyDescent="0.25">
      <c r="A22" s="9">
        <v>45427</v>
      </c>
      <c r="B22" t="s">
        <v>922</v>
      </c>
      <c r="C22" t="s">
        <v>106</v>
      </c>
      <c r="D22" t="s">
        <v>22</v>
      </c>
      <c r="E22" t="s">
        <v>195</v>
      </c>
      <c r="F22" s="59">
        <v>3692.65</v>
      </c>
      <c r="G22" t="s">
        <v>1051</v>
      </c>
      <c r="H22" t="s">
        <v>921</v>
      </c>
    </row>
    <row r="23" spans="1:8" x14ac:dyDescent="0.25">
      <c r="A23" s="9">
        <v>45429</v>
      </c>
      <c r="B23" t="s">
        <v>916</v>
      </c>
      <c r="C23" t="s">
        <v>106</v>
      </c>
      <c r="D23" t="s">
        <v>22</v>
      </c>
      <c r="E23" t="s">
        <v>195</v>
      </c>
      <c r="F23" s="59">
        <v>1348</v>
      </c>
      <c r="G23" t="s">
        <v>919</v>
      </c>
      <c r="H23" t="s">
        <v>617</v>
      </c>
    </row>
    <row r="24" spans="1:8" x14ac:dyDescent="0.25">
      <c r="A24" s="9">
        <v>45428</v>
      </c>
      <c r="B24" t="s">
        <v>925</v>
      </c>
      <c r="C24" t="s">
        <v>800</v>
      </c>
      <c r="D24" t="s">
        <v>22</v>
      </c>
      <c r="E24" t="s">
        <v>928</v>
      </c>
      <c r="F24" s="59">
        <v>1506.89</v>
      </c>
      <c r="G24" t="s">
        <v>929</v>
      </c>
      <c r="H24" t="s">
        <v>938</v>
      </c>
    </row>
    <row r="25" spans="1:8" x14ac:dyDescent="0.25">
      <c r="A25" s="9">
        <v>45433</v>
      </c>
      <c r="B25" t="s">
        <v>930</v>
      </c>
      <c r="C25" t="s">
        <v>800</v>
      </c>
      <c r="D25" t="s">
        <v>22</v>
      </c>
      <c r="E25" t="s">
        <v>118</v>
      </c>
      <c r="F25" s="59">
        <v>1240</v>
      </c>
      <c r="G25" t="s">
        <v>880</v>
      </c>
      <c r="H25" t="s">
        <v>265</v>
      </c>
    </row>
    <row r="26" spans="1:8" x14ac:dyDescent="0.25">
      <c r="A26" s="9">
        <v>45434</v>
      </c>
      <c r="B26" t="s">
        <v>934</v>
      </c>
      <c r="C26" t="s">
        <v>106</v>
      </c>
      <c r="D26" t="s">
        <v>22</v>
      </c>
      <c r="E26" t="s">
        <v>195</v>
      </c>
      <c r="F26" s="59">
        <v>1373</v>
      </c>
      <c r="G26" t="s">
        <v>937</v>
      </c>
      <c r="H26" t="s">
        <v>617</v>
      </c>
    </row>
    <row r="27" spans="1:8" x14ac:dyDescent="0.25">
      <c r="A27" s="9">
        <v>45439</v>
      </c>
      <c r="B27" t="s">
        <v>941</v>
      </c>
      <c r="C27" t="s">
        <v>106</v>
      </c>
      <c r="D27" t="s">
        <v>22</v>
      </c>
      <c r="E27" t="s">
        <v>195</v>
      </c>
      <c r="F27" s="59">
        <v>4174.95</v>
      </c>
      <c r="G27" t="s">
        <v>944</v>
      </c>
      <c r="H27" t="s">
        <v>945</v>
      </c>
    </row>
    <row r="28" spans="1:8" x14ac:dyDescent="0.25">
      <c r="A28" s="9">
        <v>45439</v>
      </c>
      <c r="B28" t="s">
        <v>946</v>
      </c>
      <c r="C28" t="s">
        <v>361</v>
      </c>
      <c r="D28" t="s">
        <v>24</v>
      </c>
      <c r="E28" t="s">
        <v>119</v>
      </c>
      <c r="F28" s="59">
        <v>1440.72</v>
      </c>
      <c r="G28" t="s">
        <v>949</v>
      </c>
      <c r="H28" t="s">
        <v>265</v>
      </c>
    </row>
    <row r="29" spans="1:8" x14ac:dyDescent="0.25">
      <c r="A29" s="9">
        <v>45432</v>
      </c>
      <c r="B29" t="s">
        <v>953</v>
      </c>
      <c r="C29" t="s">
        <v>106</v>
      </c>
      <c r="D29" t="s">
        <v>24</v>
      </c>
      <c r="E29" t="s">
        <v>119</v>
      </c>
      <c r="F29" s="59">
        <v>13873.79</v>
      </c>
      <c r="G29" t="s">
        <v>956</v>
      </c>
      <c r="H29" t="s">
        <v>957</v>
      </c>
    </row>
    <row r="30" spans="1:8" x14ac:dyDescent="0.25">
      <c r="A30" s="9">
        <v>45434</v>
      </c>
      <c r="B30" t="s">
        <v>958</v>
      </c>
      <c r="C30" t="s">
        <v>106</v>
      </c>
      <c r="D30" t="s">
        <v>22</v>
      </c>
      <c r="E30" t="s">
        <v>118</v>
      </c>
      <c r="F30" s="59">
        <v>2331</v>
      </c>
      <c r="G30" t="s">
        <v>961</v>
      </c>
      <c r="H30" t="s">
        <v>236</v>
      </c>
    </row>
    <row r="31" spans="1:8" x14ac:dyDescent="0.25">
      <c r="A31" s="9">
        <v>45440</v>
      </c>
      <c r="B31" t="s">
        <v>941</v>
      </c>
      <c r="C31" t="s">
        <v>106</v>
      </c>
      <c r="D31" t="s">
        <v>22</v>
      </c>
      <c r="E31" t="s">
        <v>195</v>
      </c>
      <c r="F31" s="59">
        <v>1149.3800000000001</v>
      </c>
      <c r="G31" t="s">
        <v>190</v>
      </c>
      <c r="H31" t="s">
        <v>905</v>
      </c>
    </row>
    <row r="32" spans="1:8" x14ac:dyDescent="0.25">
      <c r="A32" s="9">
        <v>45440</v>
      </c>
      <c r="B32" t="s">
        <v>963</v>
      </c>
      <c r="C32" t="s">
        <v>106</v>
      </c>
      <c r="D32" t="s">
        <v>22</v>
      </c>
      <c r="E32" t="s">
        <v>118</v>
      </c>
      <c r="F32" s="59">
        <v>1225</v>
      </c>
      <c r="G32" t="s">
        <v>966</v>
      </c>
      <c r="H32" t="s">
        <v>236</v>
      </c>
    </row>
    <row r="33" spans="1:10" x14ac:dyDescent="0.25">
      <c r="A33" s="9">
        <v>45442</v>
      </c>
      <c r="B33" t="s">
        <v>967</v>
      </c>
      <c r="C33" t="s">
        <v>106</v>
      </c>
      <c r="D33" t="s">
        <v>24</v>
      </c>
      <c r="E33" t="s">
        <v>118</v>
      </c>
      <c r="F33" s="59">
        <v>8538.2900000000009</v>
      </c>
      <c r="G33" t="s">
        <v>323</v>
      </c>
      <c r="H33" t="s">
        <v>977</v>
      </c>
    </row>
    <row r="34" spans="1:10" x14ac:dyDescent="0.25">
      <c r="A34" s="9">
        <v>45443</v>
      </c>
      <c r="B34" t="s">
        <v>973</v>
      </c>
      <c r="C34" t="s">
        <v>106</v>
      </c>
      <c r="D34" t="s">
        <v>24</v>
      </c>
      <c r="E34" t="s">
        <v>195</v>
      </c>
      <c r="F34" s="59">
        <v>5909.21</v>
      </c>
      <c r="G34" t="s">
        <v>976</v>
      </c>
      <c r="H34" t="s">
        <v>265</v>
      </c>
    </row>
    <row r="35" spans="1:10" x14ac:dyDescent="0.25">
      <c r="A35" s="9">
        <v>45443</v>
      </c>
      <c r="B35" t="s">
        <v>978</v>
      </c>
      <c r="C35" t="s">
        <v>106</v>
      </c>
      <c r="D35" t="s">
        <v>22</v>
      </c>
      <c r="E35" t="s">
        <v>118</v>
      </c>
      <c r="F35" s="59">
        <v>2641</v>
      </c>
      <c r="G35" t="s">
        <v>981</v>
      </c>
      <c r="H35" t="s">
        <v>1052</v>
      </c>
    </row>
    <row r="36" spans="1:10" x14ac:dyDescent="0.25">
      <c r="A36" s="9">
        <v>45441</v>
      </c>
      <c r="B36" t="s">
        <v>1012</v>
      </c>
      <c r="C36" t="s">
        <v>106</v>
      </c>
      <c r="D36" t="s">
        <v>22</v>
      </c>
      <c r="E36" t="s">
        <v>195</v>
      </c>
      <c r="F36" s="59">
        <v>1340.7</v>
      </c>
      <c r="G36" t="s">
        <v>1015</v>
      </c>
      <c r="H36" t="s">
        <v>236</v>
      </c>
    </row>
    <row r="40" spans="1:10" ht="15.75" thickBot="1" x14ac:dyDescent="0.3">
      <c r="A40" s="97" t="s">
        <v>8</v>
      </c>
      <c r="B40" s="97"/>
      <c r="C40" s="97"/>
      <c r="D40" s="97"/>
      <c r="E40" s="97"/>
      <c r="F40" s="97"/>
      <c r="G40" s="7"/>
    </row>
    <row r="41" spans="1:10" x14ac:dyDescent="0.25">
      <c r="A41" s="8" t="s">
        <v>9</v>
      </c>
      <c r="B41" s="9"/>
      <c r="C41" s="10">
        <f>SUM(F2:F38)</f>
        <v>91981.860000000015</v>
      </c>
      <c r="D41" s="11"/>
      <c r="E41" s="12" t="s">
        <v>10</v>
      </c>
      <c r="F41" s="13"/>
      <c r="G41" s="7"/>
      <c r="H41" s="14" t="s">
        <v>11</v>
      </c>
      <c r="I41" s="15">
        <v>21</v>
      </c>
      <c r="J41" s="16"/>
    </row>
    <row r="42" spans="1:10" x14ac:dyDescent="0.25">
      <c r="A42" s="8"/>
      <c r="B42" s="9"/>
      <c r="C42" s="10"/>
      <c r="D42" s="11"/>
      <c r="E42" s="17" t="s">
        <v>12</v>
      </c>
      <c r="F42" s="18">
        <v>91981.860000000015</v>
      </c>
      <c r="G42" s="7"/>
      <c r="H42" s="17" t="s">
        <v>13</v>
      </c>
      <c r="I42" s="19">
        <v>1</v>
      </c>
      <c r="J42" s="20">
        <f>I42/I$41</f>
        <v>4.7619047619047616E-2</v>
      </c>
    </row>
    <row r="43" spans="1:10" ht="15.75" thickBot="1" x14ac:dyDescent="0.3">
      <c r="A43" s="8" t="s">
        <v>14</v>
      </c>
      <c r="B43" s="9"/>
      <c r="C43" s="21">
        <v>26</v>
      </c>
      <c r="D43" s="11"/>
      <c r="E43" s="22" t="s">
        <v>15</v>
      </c>
      <c r="F43" s="23">
        <f>C41/C43</f>
        <v>3537.7638461538468</v>
      </c>
      <c r="G43" s="7"/>
      <c r="H43" s="17" t="s">
        <v>16</v>
      </c>
      <c r="I43" s="19">
        <v>19</v>
      </c>
      <c r="J43" s="20">
        <f>I43/I$41</f>
        <v>0.90476190476190477</v>
      </c>
    </row>
    <row r="44" spans="1:10" ht="15.75" thickBot="1" x14ac:dyDescent="0.3">
      <c r="A44" s="8" t="s">
        <v>17</v>
      </c>
      <c r="B44" s="9"/>
      <c r="C44">
        <v>35</v>
      </c>
      <c r="D44" s="11"/>
      <c r="E44" s="11"/>
      <c r="F44" s="24"/>
      <c r="G44" s="7"/>
      <c r="H44" s="22" t="s">
        <v>18</v>
      </c>
      <c r="I44" s="25">
        <v>1</v>
      </c>
      <c r="J44" s="26">
        <f>I44/I$41</f>
        <v>4.7619047619047616E-2</v>
      </c>
    </row>
    <row r="45" spans="1:10" x14ac:dyDescent="0.25">
      <c r="A45" s="8"/>
      <c r="B45" s="9"/>
      <c r="D45" s="11" t="s">
        <v>19</v>
      </c>
      <c r="E45" s="12" t="s">
        <v>20</v>
      </c>
      <c r="F45" s="13"/>
      <c r="G45" s="7"/>
    </row>
    <row r="46" spans="1:10" ht="15.75" thickBot="1" x14ac:dyDescent="0.3">
      <c r="A46" s="8" t="s">
        <v>21</v>
      </c>
      <c r="B46" s="9"/>
      <c r="C46">
        <v>28</v>
      </c>
      <c r="D46" s="11" t="s">
        <v>19</v>
      </c>
      <c r="E46" s="17" t="s">
        <v>22</v>
      </c>
      <c r="F46" s="20">
        <f>C46/C$44</f>
        <v>0.8</v>
      </c>
      <c r="G46" s="7"/>
    </row>
    <row r="47" spans="1:10" ht="15.75" thickBot="1" x14ac:dyDescent="0.3">
      <c r="A47" s="8" t="s">
        <v>23</v>
      </c>
      <c r="B47" s="9"/>
      <c r="C47">
        <v>7</v>
      </c>
      <c r="D47" s="11"/>
      <c r="E47" s="22" t="s">
        <v>24</v>
      </c>
      <c r="F47" s="26">
        <f>C47/C$44</f>
        <v>0.2</v>
      </c>
      <c r="G47" s="7"/>
      <c r="H47" s="14" t="s">
        <v>25</v>
      </c>
      <c r="I47" s="15">
        <v>25</v>
      </c>
      <c r="J47" s="16"/>
    </row>
    <row r="48" spans="1:10" ht="15.75" thickBot="1" x14ac:dyDescent="0.3">
      <c r="A48" s="8"/>
      <c r="B48" s="9"/>
      <c r="D48" s="11"/>
      <c r="E48" s="11"/>
      <c r="F48" s="24"/>
      <c r="G48" s="7"/>
      <c r="H48" s="27" t="s">
        <v>26</v>
      </c>
      <c r="I48" s="30">
        <v>12</v>
      </c>
      <c r="J48" s="20">
        <f>I48/I$47</f>
        <v>0.48</v>
      </c>
    </row>
    <row r="49" spans="1:10" x14ac:dyDescent="0.25">
      <c r="A49" s="8" t="s">
        <v>27</v>
      </c>
      <c r="B49" s="9"/>
      <c r="D49" s="11"/>
      <c r="E49" s="12" t="s">
        <v>28</v>
      </c>
      <c r="F49" s="13"/>
      <c r="G49" s="7"/>
      <c r="H49" s="27" t="s">
        <v>29</v>
      </c>
      <c r="I49" s="30">
        <v>7</v>
      </c>
      <c r="J49" s="20">
        <f>I49/I$47</f>
        <v>0.28000000000000003</v>
      </c>
    </row>
    <row r="50" spans="1:10" ht="15.75" thickBot="1" x14ac:dyDescent="0.3">
      <c r="A50" s="8" t="s">
        <v>30</v>
      </c>
      <c r="B50" s="9"/>
      <c r="C50">
        <v>3</v>
      </c>
      <c r="D50" s="11"/>
      <c r="E50" s="28" t="s">
        <v>30</v>
      </c>
      <c r="F50" s="20">
        <f>C50/C$59</f>
        <v>3.3333333333333333E-2</v>
      </c>
      <c r="G50" s="7"/>
      <c r="H50" s="29" t="s">
        <v>31</v>
      </c>
      <c r="I50" s="25">
        <v>4</v>
      </c>
      <c r="J50" s="26">
        <f>I50/I$47</f>
        <v>0.16</v>
      </c>
    </row>
    <row r="51" spans="1:10" ht="15.75" thickBot="1" x14ac:dyDescent="0.3">
      <c r="A51" s="8" t="s">
        <v>11</v>
      </c>
      <c r="B51" s="9"/>
      <c r="C51">
        <v>21</v>
      </c>
      <c r="D51" s="11"/>
      <c r="E51" s="28" t="s">
        <v>11</v>
      </c>
      <c r="F51" s="20">
        <f t="shared" ref="F51:F58" si="0">C51/C$59</f>
        <v>0.23333333333333334</v>
      </c>
      <c r="G51" s="7"/>
    </row>
    <row r="52" spans="1:10" x14ac:dyDescent="0.25">
      <c r="A52" s="8" t="s">
        <v>32</v>
      </c>
      <c r="B52" s="9"/>
      <c r="C52">
        <v>25</v>
      </c>
      <c r="D52" s="11"/>
      <c r="E52" s="28" t="s">
        <v>32</v>
      </c>
      <c r="F52" s="20">
        <f t="shared" si="0"/>
        <v>0.27777777777777779</v>
      </c>
      <c r="G52" s="11" t="s">
        <v>19</v>
      </c>
      <c r="H52" s="14" t="s">
        <v>33</v>
      </c>
      <c r="I52" s="15">
        <v>0</v>
      </c>
      <c r="J52" s="13">
        <f t="shared" ref="J52:J63" si="1">I52/I$47</f>
        <v>0</v>
      </c>
    </row>
    <row r="53" spans="1:10" x14ac:dyDescent="0.25">
      <c r="A53" s="8" t="s">
        <v>34</v>
      </c>
      <c r="B53" s="9"/>
      <c r="C53">
        <v>0</v>
      </c>
      <c r="D53" s="11"/>
      <c r="E53" s="28" t="s">
        <v>34</v>
      </c>
      <c r="F53" s="20">
        <f t="shared" si="0"/>
        <v>0</v>
      </c>
      <c r="G53" s="7"/>
      <c r="H53" s="27" t="s">
        <v>35</v>
      </c>
      <c r="I53" s="30">
        <v>3</v>
      </c>
      <c r="J53" s="20">
        <f t="shared" si="1"/>
        <v>0.12</v>
      </c>
    </row>
    <row r="54" spans="1:10" x14ac:dyDescent="0.25">
      <c r="A54" s="8" t="s">
        <v>36</v>
      </c>
      <c r="B54" s="9"/>
      <c r="C54">
        <v>10</v>
      </c>
      <c r="D54" s="11"/>
      <c r="E54" s="28" t="s">
        <v>36</v>
      </c>
      <c r="F54" s="20">
        <f t="shared" si="0"/>
        <v>0.1111111111111111</v>
      </c>
      <c r="G54" s="7"/>
      <c r="H54" s="27" t="s">
        <v>37</v>
      </c>
      <c r="I54" s="30">
        <v>2</v>
      </c>
      <c r="J54" s="20">
        <f t="shared" si="1"/>
        <v>0.08</v>
      </c>
    </row>
    <row r="55" spans="1:10" x14ac:dyDescent="0.25">
      <c r="A55" s="8" t="s">
        <v>38</v>
      </c>
      <c r="B55" s="9"/>
      <c r="C55">
        <v>1</v>
      </c>
      <c r="D55" s="11"/>
      <c r="E55" s="28" t="s">
        <v>38</v>
      </c>
      <c r="F55" s="20">
        <f t="shared" si="0"/>
        <v>1.1111111111111112E-2</v>
      </c>
      <c r="G55" s="7"/>
      <c r="H55" s="27" t="s">
        <v>39</v>
      </c>
      <c r="I55" s="30">
        <v>3</v>
      </c>
      <c r="J55" s="20">
        <f t="shared" si="1"/>
        <v>0.12</v>
      </c>
    </row>
    <row r="56" spans="1:10" x14ac:dyDescent="0.25">
      <c r="A56" s="8" t="s">
        <v>40</v>
      </c>
      <c r="B56" s="9"/>
      <c r="C56">
        <v>10</v>
      </c>
      <c r="D56" s="11"/>
      <c r="E56" s="28" t="s">
        <v>40</v>
      </c>
      <c r="F56" s="20">
        <f t="shared" si="0"/>
        <v>0.1111111111111111</v>
      </c>
      <c r="G56" s="7"/>
      <c r="H56" s="27" t="s">
        <v>41</v>
      </c>
      <c r="I56" s="30">
        <v>5</v>
      </c>
      <c r="J56" s="20">
        <f t="shared" si="1"/>
        <v>0.2</v>
      </c>
    </row>
    <row r="57" spans="1:10" x14ac:dyDescent="0.25">
      <c r="A57" s="8" t="s">
        <v>42</v>
      </c>
      <c r="B57" s="9"/>
      <c r="C57">
        <v>1</v>
      </c>
      <c r="D57" s="11"/>
      <c r="E57" s="28" t="s">
        <v>42</v>
      </c>
      <c r="F57" s="20">
        <f t="shared" si="0"/>
        <v>1.1111111111111112E-2</v>
      </c>
      <c r="G57" s="7"/>
      <c r="H57" s="27" t="s">
        <v>43</v>
      </c>
      <c r="I57" s="30">
        <v>7</v>
      </c>
      <c r="J57" s="20">
        <f t="shared" si="1"/>
        <v>0.28000000000000003</v>
      </c>
    </row>
    <row r="58" spans="1:10" ht="15.75" thickBot="1" x14ac:dyDescent="0.3">
      <c r="A58" s="8" t="s">
        <v>44</v>
      </c>
      <c r="B58" s="9"/>
      <c r="C58">
        <v>19</v>
      </c>
      <c r="D58" s="11"/>
      <c r="E58" s="31" t="s">
        <v>44</v>
      </c>
      <c r="F58" s="26">
        <f t="shared" si="0"/>
        <v>0.21111111111111111</v>
      </c>
      <c r="G58" s="11" t="s">
        <v>19</v>
      </c>
      <c r="H58" s="32" t="s">
        <v>45</v>
      </c>
      <c r="I58" s="30">
        <v>1</v>
      </c>
      <c r="J58" s="20">
        <f t="shared" si="1"/>
        <v>0.04</v>
      </c>
    </row>
    <row r="59" spans="1:10" ht="15.75" thickBot="1" x14ac:dyDescent="0.3">
      <c r="A59" s="8" t="s">
        <v>46</v>
      </c>
      <c r="B59" s="9"/>
      <c r="C59">
        <f>SUM(C50:C58)</f>
        <v>90</v>
      </c>
      <c r="D59" s="11"/>
      <c r="E59" s="8"/>
      <c r="F59" s="24"/>
      <c r="G59" s="7"/>
      <c r="H59" s="32" t="s">
        <v>47</v>
      </c>
      <c r="I59" s="30">
        <v>2</v>
      </c>
      <c r="J59" s="20">
        <f t="shared" si="1"/>
        <v>0.08</v>
      </c>
    </row>
    <row r="60" spans="1:10" x14ac:dyDescent="0.25">
      <c r="A60" s="8"/>
      <c r="B60" s="9"/>
      <c r="D60" s="11"/>
      <c r="E60" s="33" t="s">
        <v>48</v>
      </c>
      <c r="F60" s="13"/>
      <c r="G60" s="7"/>
      <c r="H60" s="32" t="s">
        <v>49</v>
      </c>
      <c r="I60" s="30">
        <v>0</v>
      </c>
      <c r="J60" s="20">
        <f t="shared" si="1"/>
        <v>0</v>
      </c>
    </row>
    <row r="61" spans="1:10" x14ac:dyDescent="0.25">
      <c r="A61" s="8" t="s">
        <v>50</v>
      </c>
      <c r="B61" s="9"/>
      <c r="D61" s="11"/>
      <c r="E61" s="28" t="s">
        <v>51</v>
      </c>
      <c r="F61" s="20">
        <f>C62/C$72</f>
        <v>0.51546391752577314</v>
      </c>
      <c r="G61" s="7"/>
      <c r="H61" s="27" t="s">
        <v>52</v>
      </c>
      <c r="I61" s="30">
        <v>1</v>
      </c>
      <c r="J61" s="20">
        <f t="shared" si="1"/>
        <v>0.04</v>
      </c>
    </row>
    <row r="62" spans="1:10" x14ac:dyDescent="0.25">
      <c r="A62" s="8" t="s">
        <v>51</v>
      </c>
      <c r="B62" s="9"/>
      <c r="C62">
        <v>50</v>
      </c>
      <c r="D62" s="11"/>
      <c r="E62" s="28" t="s">
        <v>53</v>
      </c>
      <c r="F62" s="20">
        <f t="shared" ref="F62:F70" si="2">C63/C$72</f>
        <v>0.21649484536082475</v>
      </c>
      <c r="G62" s="7"/>
      <c r="H62" s="32" t="s">
        <v>54</v>
      </c>
      <c r="I62" s="30">
        <v>0</v>
      </c>
      <c r="J62" s="20">
        <f t="shared" si="1"/>
        <v>0</v>
      </c>
    </row>
    <row r="63" spans="1:10" ht="15.75" thickBot="1" x14ac:dyDescent="0.3">
      <c r="A63" s="8" t="s">
        <v>53</v>
      </c>
      <c r="B63" s="9"/>
      <c r="C63">
        <v>21</v>
      </c>
      <c r="D63" s="11"/>
      <c r="E63" s="28" t="s">
        <v>55</v>
      </c>
      <c r="F63" s="20">
        <f t="shared" si="2"/>
        <v>5.1546391752577317E-2</v>
      </c>
      <c r="G63" s="7"/>
      <c r="H63" s="34" t="s">
        <v>56</v>
      </c>
      <c r="I63" s="25">
        <v>0</v>
      </c>
      <c r="J63" s="26">
        <f t="shared" si="1"/>
        <v>0</v>
      </c>
    </row>
    <row r="64" spans="1:10" x14ac:dyDescent="0.25">
      <c r="A64" s="8" t="s">
        <v>55</v>
      </c>
      <c r="B64" s="9"/>
      <c r="C64">
        <v>5</v>
      </c>
      <c r="D64" s="11"/>
      <c r="E64" s="28" t="s">
        <v>57</v>
      </c>
      <c r="F64" s="20">
        <f t="shared" si="2"/>
        <v>0.14432989690721648</v>
      </c>
      <c r="G64" s="7"/>
    </row>
    <row r="65" spans="1:10" ht="15.75" thickBot="1" x14ac:dyDescent="0.3">
      <c r="A65" s="8" t="s">
        <v>57</v>
      </c>
      <c r="B65" s="9"/>
      <c r="C65">
        <v>14</v>
      </c>
      <c r="D65" s="11"/>
      <c r="E65" s="28" t="s">
        <v>58</v>
      </c>
      <c r="F65" s="20">
        <f t="shared" si="2"/>
        <v>0</v>
      </c>
      <c r="G65" s="11" t="s">
        <v>19</v>
      </c>
    </row>
    <row r="66" spans="1:10" x14ac:dyDescent="0.25">
      <c r="A66" s="8" t="s">
        <v>58</v>
      </c>
      <c r="B66" s="9"/>
      <c r="C66">
        <v>0</v>
      </c>
      <c r="D66" s="11"/>
      <c r="E66" s="28" t="s">
        <v>59</v>
      </c>
      <c r="F66" s="20">
        <f t="shared" si="2"/>
        <v>0</v>
      </c>
      <c r="G66" s="7"/>
      <c r="H66" s="14" t="s">
        <v>36</v>
      </c>
      <c r="I66" s="15">
        <v>10</v>
      </c>
      <c r="J66" s="16"/>
    </row>
    <row r="67" spans="1:10" x14ac:dyDescent="0.25">
      <c r="A67" s="8" t="s">
        <v>59</v>
      </c>
      <c r="B67" s="9"/>
      <c r="C67">
        <v>0</v>
      </c>
      <c r="D67" s="11"/>
      <c r="E67" s="28" t="s">
        <v>60</v>
      </c>
      <c r="F67" s="20">
        <f t="shared" si="2"/>
        <v>0</v>
      </c>
      <c r="G67" s="7"/>
      <c r="H67" s="27" t="s">
        <v>61</v>
      </c>
      <c r="I67" s="30">
        <v>1</v>
      </c>
      <c r="J67" s="20">
        <f>I67/I$66</f>
        <v>0.1</v>
      </c>
    </row>
    <row r="68" spans="1:10" ht="15.75" thickBot="1" x14ac:dyDescent="0.3">
      <c r="A68" s="8" t="s">
        <v>60</v>
      </c>
      <c r="B68" s="9"/>
      <c r="C68">
        <v>0</v>
      </c>
      <c r="D68" s="11"/>
      <c r="E68" s="28" t="s">
        <v>62</v>
      </c>
      <c r="F68" s="20">
        <f t="shared" si="2"/>
        <v>0</v>
      </c>
      <c r="G68" s="7"/>
      <c r="H68" s="29" t="s">
        <v>63</v>
      </c>
      <c r="I68" s="25">
        <v>9</v>
      </c>
      <c r="J68" s="26">
        <f>I68/I$66</f>
        <v>0.9</v>
      </c>
    </row>
    <row r="69" spans="1:10" x14ac:dyDescent="0.25">
      <c r="A69" s="8" t="s">
        <v>62</v>
      </c>
      <c r="B69" s="9"/>
      <c r="C69">
        <v>0</v>
      </c>
      <c r="D69" s="11"/>
      <c r="E69" s="28" t="s">
        <v>64</v>
      </c>
      <c r="F69" s="20">
        <f t="shared" si="2"/>
        <v>0</v>
      </c>
      <c r="G69" s="7"/>
    </row>
    <row r="70" spans="1:10" ht="15.75" thickBot="1" x14ac:dyDescent="0.3">
      <c r="A70" s="8" t="s">
        <v>64</v>
      </c>
      <c r="B70" s="9"/>
      <c r="C70">
        <v>0</v>
      </c>
      <c r="D70" s="11"/>
      <c r="E70" s="31" t="s">
        <v>65</v>
      </c>
      <c r="F70" s="26">
        <f t="shared" si="2"/>
        <v>7.2164948453608241E-2</v>
      </c>
      <c r="G70" s="7"/>
    </row>
    <row r="71" spans="1:10" ht="15.75" thickBot="1" x14ac:dyDescent="0.3">
      <c r="A71" s="8" t="s">
        <v>65</v>
      </c>
      <c r="B71" s="9"/>
      <c r="C71">
        <v>7</v>
      </c>
      <c r="D71" s="11"/>
      <c r="E71" s="8"/>
      <c r="F71" s="24"/>
      <c r="G71" s="7"/>
      <c r="H71" s="14" t="s">
        <v>66</v>
      </c>
      <c r="I71" s="15">
        <v>1</v>
      </c>
      <c r="J71" s="16"/>
    </row>
    <row r="72" spans="1:10" x14ac:dyDescent="0.25">
      <c r="A72" s="8" t="s">
        <v>67</v>
      </c>
      <c r="B72" s="9"/>
      <c r="C72">
        <f>SUM(C62:C71)</f>
        <v>97</v>
      </c>
      <c r="D72" s="11"/>
      <c r="E72" s="33" t="s">
        <v>68</v>
      </c>
      <c r="F72" s="13"/>
      <c r="G72" s="7"/>
      <c r="H72" s="27" t="s">
        <v>69</v>
      </c>
      <c r="I72" s="30">
        <v>0</v>
      </c>
      <c r="J72" s="20">
        <f t="shared" ref="J72:J77" si="3">I72/I$71</f>
        <v>0</v>
      </c>
    </row>
    <row r="73" spans="1:10" x14ac:dyDescent="0.25">
      <c r="A73" s="8"/>
      <c r="B73" s="9"/>
      <c r="D73" s="11"/>
      <c r="E73" s="35" t="s">
        <v>70</v>
      </c>
      <c r="F73" s="20">
        <f>C74/C$44</f>
        <v>0.74285714285714288</v>
      </c>
      <c r="G73" s="7"/>
      <c r="H73" s="27" t="s">
        <v>71</v>
      </c>
      <c r="I73" s="30">
        <v>1</v>
      </c>
      <c r="J73" s="20">
        <f t="shared" si="3"/>
        <v>1</v>
      </c>
    </row>
    <row r="74" spans="1:10" x14ac:dyDescent="0.25">
      <c r="A74" s="8" t="s">
        <v>72</v>
      </c>
      <c r="B74" s="9"/>
      <c r="C74">
        <v>26</v>
      </c>
      <c r="D74" s="11"/>
      <c r="E74" s="35" t="s">
        <v>73</v>
      </c>
      <c r="F74" s="20">
        <f>C75/C$44</f>
        <v>5.7142857142857141E-2</v>
      </c>
      <c r="G74" s="7"/>
      <c r="H74" s="27" t="s">
        <v>74</v>
      </c>
      <c r="I74" s="30">
        <v>0</v>
      </c>
      <c r="J74" s="20">
        <f t="shared" si="3"/>
        <v>0</v>
      </c>
    </row>
    <row r="75" spans="1:10" ht="15.75" thickBot="1" x14ac:dyDescent="0.3">
      <c r="A75" s="8" t="s">
        <v>75</v>
      </c>
      <c r="B75" s="9"/>
      <c r="C75">
        <v>2</v>
      </c>
      <c r="D75" s="11"/>
      <c r="E75" s="36" t="s">
        <v>76</v>
      </c>
      <c r="F75" s="26">
        <f>C76/C$44</f>
        <v>0.2</v>
      </c>
      <c r="G75" s="7"/>
      <c r="H75" s="27" t="s">
        <v>77</v>
      </c>
      <c r="I75" s="30">
        <v>0</v>
      </c>
      <c r="J75" s="20">
        <f t="shared" si="3"/>
        <v>0</v>
      </c>
    </row>
    <row r="76" spans="1:10" ht="15.75" thickBot="1" x14ac:dyDescent="0.3">
      <c r="A76" s="8" t="s">
        <v>78</v>
      </c>
      <c r="B76" s="9"/>
      <c r="C76">
        <v>7</v>
      </c>
      <c r="D76" s="11"/>
      <c r="E76" s="37"/>
      <c r="F76" s="24"/>
      <c r="G76" s="11" t="s">
        <v>19</v>
      </c>
      <c r="H76" s="27" t="s">
        <v>79</v>
      </c>
      <c r="I76" s="30">
        <v>0</v>
      </c>
      <c r="J76" s="20">
        <f t="shared" si="3"/>
        <v>0</v>
      </c>
    </row>
    <row r="77" spans="1:10" ht="15.75" thickBot="1" x14ac:dyDescent="0.3">
      <c r="A77" s="8"/>
      <c r="B77" s="9"/>
      <c r="D77" s="11"/>
      <c r="E77" s="38" t="s">
        <v>20</v>
      </c>
      <c r="F77" s="13"/>
      <c r="G77" s="7"/>
      <c r="H77" s="29" t="s">
        <v>80</v>
      </c>
      <c r="I77" s="25">
        <v>0</v>
      </c>
      <c r="J77" s="26">
        <f t="shared" si="3"/>
        <v>0</v>
      </c>
    </row>
    <row r="78" spans="1:10" x14ac:dyDescent="0.25">
      <c r="A78" s="8" t="s">
        <v>20</v>
      </c>
      <c r="B78" s="9"/>
      <c r="D78" s="11"/>
      <c r="E78" s="28" t="s">
        <v>81</v>
      </c>
      <c r="F78" s="20">
        <f>C79/C$44</f>
        <v>0.45714285714285713</v>
      </c>
      <c r="G78" s="7"/>
    </row>
    <row r="79" spans="1:10" ht="15.75" thickBot="1" x14ac:dyDescent="0.3">
      <c r="A79" s="8" t="s">
        <v>82</v>
      </c>
      <c r="B79" s="9"/>
      <c r="C79">
        <v>16</v>
      </c>
      <c r="D79" s="11"/>
      <c r="E79" s="31" t="s">
        <v>83</v>
      </c>
      <c r="F79" s="26">
        <f>C80/C$44</f>
        <v>0.54285714285714282</v>
      </c>
      <c r="G79" s="7"/>
    </row>
    <row r="80" spans="1:10" ht="15.75" thickBot="1" x14ac:dyDescent="0.3">
      <c r="A80" s="8" t="s">
        <v>83</v>
      </c>
      <c r="B80" s="9"/>
      <c r="C80">
        <v>19</v>
      </c>
      <c r="D80" s="11"/>
      <c r="E80" s="39"/>
      <c r="F80" s="40"/>
      <c r="G80" s="7"/>
      <c r="H80" s="14" t="s">
        <v>40</v>
      </c>
      <c r="I80" s="15">
        <v>10</v>
      </c>
      <c r="J80" s="16"/>
    </row>
    <row r="81" spans="1:10" x14ac:dyDescent="0.25">
      <c r="A81" s="8"/>
      <c r="B81" s="9"/>
      <c r="D81" s="11"/>
      <c r="E81" s="14" t="s">
        <v>84</v>
      </c>
      <c r="F81" s="13"/>
      <c r="G81" s="7"/>
      <c r="H81" s="27" t="s">
        <v>85</v>
      </c>
      <c r="I81" s="30">
        <v>0</v>
      </c>
      <c r="J81" s="20">
        <f>I81/I$80</f>
        <v>0</v>
      </c>
    </row>
    <row r="82" spans="1:10" x14ac:dyDescent="0.25">
      <c r="A82" t="s">
        <v>84</v>
      </c>
      <c r="D82" s="11"/>
      <c r="E82" s="27" t="s">
        <v>86</v>
      </c>
      <c r="F82" s="20">
        <f>C83/C$80</f>
        <v>0.26315789473684209</v>
      </c>
      <c r="G82" s="7"/>
      <c r="H82" s="27" t="s">
        <v>87</v>
      </c>
      <c r="I82" s="19">
        <v>2</v>
      </c>
      <c r="J82" s="20">
        <f>I82/I$80</f>
        <v>0.2</v>
      </c>
    </row>
    <row r="83" spans="1:10" ht="15.75" thickBot="1" x14ac:dyDescent="0.3">
      <c r="A83" t="s">
        <v>86</v>
      </c>
      <c r="C83">
        <v>5</v>
      </c>
      <c r="D83" s="11"/>
      <c r="E83" s="29" t="s">
        <v>88</v>
      </c>
      <c r="F83" s="26">
        <f>C84/C$80</f>
        <v>0.73684210526315785</v>
      </c>
      <c r="G83" s="7"/>
      <c r="H83" s="27" t="s">
        <v>89</v>
      </c>
      <c r="I83" s="19">
        <v>5</v>
      </c>
      <c r="J83" s="20">
        <f>I83/I$80</f>
        <v>0.5</v>
      </c>
    </row>
    <row r="84" spans="1:10" ht="15.75" thickBot="1" x14ac:dyDescent="0.3">
      <c r="A84" t="s">
        <v>88</v>
      </c>
      <c r="C84">
        <v>14</v>
      </c>
      <c r="D84" s="11"/>
      <c r="E84" s="39"/>
      <c r="F84" s="40"/>
      <c r="G84" s="7"/>
      <c r="H84" s="27" t="s">
        <v>90</v>
      </c>
      <c r="I84" s="30">
        <v>2</v>
      </c>
      <c r="J84" s="20">
        <f>I84/I$80</f>
        <v>0.2</v>
      </c>
    </row>
    <row r="85" spans="1:10" ht="15.75" thickBot="1" x14ac:dyDescent="0.3">
      <c r="A85" s="8"/>
      <c r="B85" s="9"/>
      <c r="D85" s="11"/>
      <c r="E85" s="33" t="s">
        <v>91</v>
      </c>
      <c r="F85" s="13"/>
      <c r="G85" s="7"/>
      <c r="H85" s="29" t="s">
        <v>92</v>
      </c>
      <c r="I85" s="25">
        <v>1</v>
      </c>
      <c r="J85" s="26">
        <f>I85/I$80</f>
        <v>0.1</v>
      </c>
    </row>
    <row r="86" spans="1:10" x14ac:dyDescent="0.25">
      <c r="A86" s="8" t="s">
        <v>93</v>
      </c>
      <c r="B86" s="9"/>
      <c r="D86" s="11"/>
      <c r="E86" s="28" t="s">
        <v>94</v>
      </c>
      <c r="F86" s="20">
        <f t="shared" ref="F86:F91" si="4">C87/C$44</f>
        <v>0.37142857142857144</v>
      </c>
      <c r="G86" s="7"/>
    </row>
    <row r="87" spans="1:10" ht="15.75" thickBot="1" x14ac:dyDescent="0.3">
      <c r="A87" s="8" t="s">
        <v>94</v>
      </c>
      <c r="B87" s="9"/>
      <c r="C87">
        <v>13</v>
      </c>
      <c r="D87" s="11"/>
      <c r="E87" s="17" t="s">
        <v>95</v>
      </c>
      <c r="F87" s="20">
        <f t="shared" si="4"/>
        <v>5.7142857142857141E-2</v>
      </c>
      <c r="G87" s="7"/>
    </row>
    <row r="88" spans="1:10" x14ac:dyDescent="0.25">
      <c r="A88" s="8" t="s">
        <v>95</v>
      </c>
      <c r="B88" s="9"/>
      <c r="C88">
        <v>2</v>
      </c>
      <c r="D88" s="11"/>
      <c r="E88" s="17" t="s">
        <v>96</v>
      </c>
      <c r="F88" s="20">
        <f t="shared" si="4"/>
        <v>0</v>
      </c>
      <c r="G88" s="7"/>
      <c r="H88" s="14" t="s">
        <v>44</v>
      </c>
      <c r="I88" s="15">
        <v>19</v>
      </c>
      <c r="J88" s="16"/>
    </row>
    <row r="89" spans="1:10" x14ac:dyDescent="0.25">
      <c r="A89" s="8" t="s">
        <v>96</v>
      </c>
      <c r="B89" s="9"/>
      <c r="C89">
        <v>0</v>
      </c>
      <c r="D89" s="11"/>
      <c r="E89" s="17" t="s">
        <v>97</v>
      </c>
      <c r="F89" s="20">
        <f t="shared" si="4"/>
        <v>0</v>
      </c>
      <c r="G89" s="7"/>
      <c r="H89" s="27" t="s">
        <v>98</v>
      </c>
      <c r="I89" s="19">
        <v>3</v>
      </c>
      <c r="J89" s="20">
        <f>I89/I$88</f>
        <v>0.15789473684210525</v>
      </c>
    </row>
    <row r="90" spans="1:10" x14ac:dyDescent="0.25">
      <c r="A90" s="8" t="s">
        <v>97</v>
      </c>
      <c r="B90" s="9"/>
      <c r="C90">
        <v>0</v>
      </c>
      <c r="D90" s="11"/>
      <c r="E90" s="17" t="s">
        <v>99</v>
      </c>
      <c r="F90" s="20">
        <f t="shared" si="4"/>
        <v>0.54285714285714282</v>
      </c>
      <c r="G90" s="7"/>
      <c r="H90" s="27" t="s">
        <v>100</v>
      </c>
      <c r="I90" s="30">
        <v>3</v>
      </c>
      <c r="J90" s="20">
        <f t="shared" ref="J90:J98" si="5">I90/I$88</f>
        <v>0.15789473684210525</v>
      </c>
    </row>
    <row r="91" spans="1:10" ht="15.75" thickBot="1" x14ac:dyDescent="0.3">
      <c r="A91" s="8" t="s">
        <v>99</v>
      </c>
      <c r="B91" s="9"/>
      <c r="C91">
        <v>19</v>
      </c>
      <c r="D91" s="11"/>
      <c r="E91" s="22" t="s">
        <v>44</v>
      </c>
      <c r="F91" s="26">
        <f t="shared" si="4"/>
        <v>2.8571428571428571E-2</v>
      </c>
      <c r="G91" s="7"/>
      <c r="H91" s="27" t="s">
        <v>101</v>
      </c>
      <c r="I91" s="30">
        <v>0</v>
      </c>
      <c r="J91" s="20">
        <f t="shared" si="5"/>
        <v>0</v>
      </c>
    </row>
    <row r="92" spans="1:10" ht="15.75" thickBot="1" x14ac:dyDescent="0.3">
      <c r="A92" s="8" t="s">
        <v>44</v>
      </c>
      <c r="B92" s="9"/>
      <c r="C92">
        <v>1</v>
      </c>
      <c r="D92" s="11"/>
      <c r="E92" s="11"/>
      <c r="F92" s="24"/>
      <c r="G92" s="7"/>
      <c r="H92" s="27" t="s">
        <v>102</v>
      </c>
      <c r="I92" s="30">
        <v>0</v>
      </c>
      <c r="J92" s="20">
        <f t="shared" si="5"/>
        <v>0</v>
      </c>
    </row>
    <row r="93" spans="1:10" x14ac:dyDescent="0.25">
      <c r="A93" s="8"/>
      <c r="B93" s="9"/>
      <c r="D93" s="11"/>
      <c r="E93" s="12" t="s">
        <v>103</v>
      </c>
      <c r="F93" s="13"/>
      <c r="G93" s="7"/>
      <c r="H93" s="27" t="s">
        <v>104</v>
      </c>
      <c r="I93" s="30">
        <v>3</v>
      </c>
      <c r="J93" s="20">
        <f t="shared" si="5"/>
        <v>0.15789473684210525</v>
      </c>
    </row>
    <row r="94" spans="1:10" x14ac:dyDescent="0.25">
      <c r="A94" s="8" t="s">
        <v>105</v>
      </c>
      <c r="B94" s="9"/>
      <c r="D94" s="11"/>
      <c r="E94" s="17" t="s">
        <v>106</v>
      </c>
      <c r="F94" s="20">
        <f>C95/C$44</f>
        <v>0.5714285714285714</v>
      </c>
      <c r="G94" s="7"/>
      <c r="H94" s="41" t="s">
        <v>107</v>
      </c>
      <c r="I94" s="30">
        <v>1</v>
      </c>
      <c r="J94" s="20">
        <f t="shared" si="5"/>
        <v>5.2631578947368418E-2</v>
      </c>
    </row>
    <row r="95" spans="1:10" x14ac:dyDescent="0.25">
      <c r="A95" s="8" t="s">
        <v>106</v>
      </c>
      <c r="B95" s="9"/>
      <c r="C95">
        <v>20</v>
      </c>
      <c r="D95" s="11"/>
      <c r="E95" s="17" t="s">
        <v>108</v>
      </c>
      <c r="F95" s="20">
        <f>C96/C$44</f>
        <v>0.14285714285714285</v>
      </c>
      <c r="G95" s="7"/>
      <c r="H95" s="41" t="s">
        <v>109</v>
      </c>
      <c r="I95" s="30">
        <v>1</v>
      </c>
      <c r="J95" s="20">
        <f t="shared" si="5"/>
        <v>5.2631578947368418E-2</v>
      </c>
    </row>
    <row r="96" spans="1:10" x14ac:dyDescent="0.25">
      <c r="A96" s="8" t="s">
        <v>108</v>
      </c>
      <c r="B96" s="9"/>
      <c r="C96">
        <v>5</v>
      </c>
      <c r="D96" s="11"/>
      <c r="E96" s="17" t="s">
        <v>110</v>
      </c>
      <c r="F96" s="20">
        <f>C97/C$44</f>
        <v>5.7142857142857141E-2</v>
      </c>
      <c r="G96" s="7"/>
      <c r="H96" s="41" t="s">
        <v>111</v>
      </c>
      <c r="I96" s="30">
        <v>7</v>
      </c>
      <c r="J96" s="20">
        <f t="shared" si="5"/>
        <v>0.36842105263157893</v>
      </c>
    </row>
    <row r="97" spans="1:10" x14ac:dyDescent="0.25">
      <c r="A97" s="8" t="s">
        <v>110</v>
      </c>
      <c r="B97" s="9"/>
      <c r="C97">
        <v>2</v>
      </c>
      <c r="D97" s="11"/>
      <c r="E97" s="17" t="s">
        <v>112</v>
      </c>
      <c r="F97" s="20">
        <f>C98/C$44</f>
        <v>8.5714285714285715E-2</v>
      </c>
      <c r="G97" s="7"/>
      <c r="H97" s="41" t="s">
        <v>113</v>
      </c>
      <c r="I97" s="30">
        <v>0</v>
      </c>
      <c r="J97" s="20">
        <f t="shared" si="5"/>
        <v>0</v>
      </c>
    </row>
    <row r="98" spans="1:10" ht="15.75" thickBot="1" x14ac:dyDescent="0.3">
      <c r="A98" s="8" t="s">
        <v>112</v>
      </c>
      <c r="B98" s="9"/>
      <c r="C98">
        <v>3</v>
      </c>
      <c r="E98" s="22" t="s">
        <v>114</v>
      </c>
      <c r="F98" s="26">
        <f>C99/C$44</f>
        <v>0</v>
      </c>
      <c r="H98" s="42" t="s">
        <v>115</v>
      </c>
      <c r="I98" s="25">
        <v>0</v>
      </c>
      <c r="J98" s="26">
        <f t="shared" si="5"/>
        <v>0</v>
      </c>
    </row>
    <row r="99" spans="1:10" x14ac:dyDescent="0.25">
      <c r="A99" s="8" t="s">
        <v>114</v>
      </c>
      <c r="B99" s="9"/>
      <c r="C99">
        <v>0</v>
      </c>
      <c r="E99" s="11"/>
      <c r="F99" s="24"/>
    </row>
    <row r="100" spans="1:10" x14ac:dyDescent="0.25">
      <c r="A100" s="8" t="s">
        <v>116</v>
      </c>
      <c r="B100" s="9"/>
      <c r="C100">
        <v>0</v>
      </c>
      <c r="E100" s="11"/>
      <c r="F100" s="24"/>
    </row>
    <row r="101" spans="1:10" x14ac:dyDescent="0.25">
      <c r="A101" s="8"/>
      <c r="B101" s="9"/>
      <c r="E101" s="11"/>
      <c r="F101" s="24"/>
    </row>
    <row r="102" spans="1:10" ht="15.75" thickBot="1" x14ac:dyDescent="0.3"/>
    <row r="103" spans="1:10" x14ac:dyDescent="0.25">
      <c r="A103" s="43" t="s">
        <v>117</v>
      </c>
      <c r="B103" s="87">
        <f>SUM(B104:B107)</f>
        <v>91981.859999999986</v>
      </c>
    </row>
    <row r="104" spans="1:10" x14ac:dyDescent="0.25">
      <c r="A104" s="44" t="s">
        <v>94</v>
      </c>
      <c r="B104" s="45">
        <f>SUM(F2,F5:F6,F9,F12,F14,F17,F22:F23,F26:F27,F31,F34,F36)</f>
        <v>38521.35</v>
      </c>
    </row>
    <row r="105" spans="1:10" x14ac:dyDescent="0.25">
      <c r="A105" s="44" t="s">
        <v>118</v>
      </c>
      <c r="B105" s="94">
        <f>SUM(F3:F4,F7:F8,F10:F11,F13,F15:F16,F18:F21,F25,F30,F32:F33,F35)</f>
        <v>36639.11</v>
      </c>
    </row>
    <row r="106" spans="1:10" x14ac:dyDescent="0.25">
      <c r="A106" s="44" t="s">
        <v>119</v>
      </c>
      <c r="B106" s="45">
        <f>SUM(F24,F28:F29,)</f>
        <v>16821.400000000001</v>
      </c>
    </row>
    <row r="107" spans="1:10" x14ac:dyDescent="0.25">
      <c r="A107" s="44" t="s">
        <v>44</v>
      </c>
      <c r="B107" s="46">
        <v>0</v>
      </c>
    </row>
    <row r="108" spans="1:10" ht="15.75" thickBot="1" x14ac:dyDescent="0.3">
      <c r="A108" s="47"/>
      <c r="B108" s="48"/>
    </row>
  </sheetData>
  <mergeCells count="1">
    <mergeCell ref="A40: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opLeftCell="A42" workbookViewId="0">
      <selection activeCell="B112" sqref="B112"/>
    </sheetView>
  </sheetViews>
  <sheetFormatPr baseColWidth="10" defaultRowHeight="15" x14ac:dyDescent="0.25"/>
  <cols>
    <col min="2" max="2" width="35.28515625" customWidth="1"/>
    <col min="3" max="3" width="12.5703125" customWidth="1"/>
    <col min="4" max="4" width="5.7109375" customWidth="1"/>
    <col min="5" max="5" width="7" customWidth="1"/>
    <col min="6" max="6" width="13.140625" customWidth="1"/>
    <col min="7" max="7" width="45.71093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45446</v>
      </c>
      <c r="B2" t="s">
        <v>984</v>
      </c>
      <c r="C2" t="s">
        <v>362</v>
      </c>
      <c r="D2" t="s">
        <v>24</v>
      </c>
      <c r="E2" t="s">
        <v>195</v>
      </c>
      <c r="F2" s="59">
        <v>6522.9</v>
      </c>
      <c r="G2" t="s">
        <v>987</v>
      </c>
      <c r="H2" t="s">
        <v>1001</v>
      </c>
    </row>
    <row r="3" spans="1:8" x14ac:dyDescent="0.25">
      <c r="A3" s="9">
        <v>45446</v>
      </c>
      <c r="B3" t="s">
        <v>990</v>
      </c>
      <c r="C3" t="s">
        <v>114</v>
      </c>
      <c r="D3" t="s">
        <v>22</v>
      </c>
      <c r="E3" t="s">
        <v>118</v>
      </c>
      <c r="F3" s="59">
        <v>1302</v>
      </c>
      <c r="G3" t="s">
        <v>993</v>
      </c>
      <c r="H3" t="s">
        <v>1006</v>
      </c>
    </row>
    <row r="4" spans="1:8" x14ac:dyDescent="0.25">
      <c r="A4" s="9">
        <v>45447</v>
      </c>
      <c r="B4" t="s">
        <v>996</v>
      </c>
      <c r="C4" t="s">
        <v>361</v>
      </c>
      <c r="D4" t="s">
        <v>22</v>
      </c>
      <c r="E4" t="s">
        <v>999</v>
      </c>
      <c r="F4" s="59">
        <v>1012</v>
      </c>
      <c r="G4" t="s">
        <v>1000</v>
      </c>
      <c r="H4" t="s">
        <v>1016</v>
      </c>
    </row>
    <row r="5" spans="1:8" x14ac:dyDescent="0.25">
      <c r="A5" s="9">
        <v>45447</v>
      </c>
      <c r="B5" t="s">
        <v>1002</v>
      </c>
      <c r="C5" t="s">
        <v>106</v>
      </c>
      <c r="D5" t="s">
        <v>22</v>
      </c>
      <c r="E5" t="s">
        <v>195</v>
      </c>
      <c r="F5" s="59">
        <v>1351</v>
      </c>
      <c r="G5" t="s">
        <v>1005</v>
      </c>
      <c r="H5" t="s">
        <v>236</v>
      </c>
    </row>
    <row r="6" spans="1:8" x14ac:dyDescent="0.25">
      <c r="A6" s="9">
        <v>45444</v>
      </c>
      <c r="B6" t="s">
        <v>1017</v>
      </c>
      <c r="C6" t="s">
        <v>106</v>
      </c>
      <c r="D6" t="s">
        <v>24</v>
      </c>
      <c r="E6" t="s">
        <v>195</v>
      </c>
      <c r="F6" s="59">
        <v>16635.669999999998</v>
      </c>
      <c r="G6" t="s">
        <v>284</v>
      </c>
      <c r="H6" t="s">
        <v>1038</v>
      </c>
    </row>
    <row r="7" spans="1:8" x14ac:dyDescent="0.25">
      <c r="A7" s="9">
        <v>45449</v>
      </c>
      <c r="B7" t="s">
        <v>1020</v>
      </c>
      <c r="C7" t="s">
        <v>106</v>
      </c>
      <c r="D7" t="s">
        <v>22</v>
      </c>
      <c r="E7" t="s">
        <v>119</v>
      </c>
      <c r="F7" s="59">
        <v>1978</v>
      </c>
      <c r="G7" t="s">
        <v>1023</v>
      </c>
      <c r="H7" t="s">
        <v>1032</v>
      </c>
    </row>
    <row r="8" spans="1:8" x14ac:dyDescent="0.25">
      <c r="A8" s="9">
        <v>45450</v>
      </c>
      <c r="B8" t="s">
        <v>1024</v>
      </c>
      <c r="C8" t="s">
        <v>106</v>
      </c>
      <c r="D8" t="s">
        <v>22</v>
      </c>
      <c r="E8" t="s">
        <v>118</v>
      </c>
      <c r="F8" s="59">
        <v>1736</v>
      </c>
      <c r="G8" t="s">
        <v>1027</v>
      </c>
      <c r="H8" t="s">
        <v>1039</v>
      </c>
    </row>
    <row r="9" spans="1:8" x14ac:dyDescent="0.25">
      <c r="A9" s="9">
        <v>45450</v>
      </c>
      <c r="B9" t="s">
        <v>1028</v>
      </c>
      <c r="C9" t="s">
        <v>106</v>
      </c>
      <c r="D9" t="s">
        <v>22</v>
      </c>
      <c r="E9" t="s">
        <v>195</v>
      </c>
      <c r="F9" s="59">
        <v>1677</v>
      </c>
      <c r="G9" t="s">
        <v>1031</v>
      </c>
      <c r="H9" t="s">
        <v>236</v>
      </c>
    </row>
    <row r="10" spans="1:8" x14ac:dyDescent="0.25">
      <c r="A10" s="9">
        <v>45453</v>
      </c>
      <c r="B10" t="s">
        <v>1034</v>
      </c>
      <c r="C10" t="s">
        <v>106</v>
      </c>
      <c r="D10" t="s">
        <v>22</v>
      </c>
      <c r="E10" t="s">
        <v>118</v>
      </c>
      <c r="F10" s="59">
        <v>3036.2</v>
      </c>
      <c r="G10" t="s">
        <v>1037</v>
      </c>
      <c r="H10" t="s">
        <v>1039</v>
      </c>
    </row>
    <row r="11" spans="1:8" x14ac:dyDescent="0.25">
      <c r="A11" s="9">
        <v>45448</v>
      </c>
      <c r="B11" t="s">
        <v>1042</v>
      </c>
      <c r="C11" t="s">
        <v>800</v>
      </c>
      <c r="D11" t="s">
        <v>22</v>
      </c>
      <c r="E11" t="s">
        <v>195</v>
      </c>
      <c r="F11" s="59">
        <v>1459</v>
      </c>
      <c r="G11" t="s">
        <v>1045</v>
      </c>
      <c r="H11" t="s">
        <v>1058</v>
      </c>
    </row>
    <row r="12" spans="1:8" x14ac:dyDescent="0.25">
      <c r="A12" s="9">
        <v>45454</v>
      </c>
      <c r="B12" t="s">
        <v>1046</v>
      </c>
      <c r="C12" t="s">
        <v>106</v>
      </c>
      <c r="D12" t="s">
        <v>22</v>
      </c>
      <c r="E12" t="s">
        <v>118</v>
      </c>
      <c r="F12" s="59">
        <v>2778.84</v>
      </c>
      <c r="G12" t="s">
        <v>1049</v>
      </c>
      <c r="H12" t="s">
        <v>1059</v>
      </c>
    </row>
    <row r="13" spans="1:8" x14ac:dyDescent="0.25">
      <c r="A13" s="9">
        <v>45455</v>
      </c>
      <c r="B13" t="s">
        <v>1054</v>
      </c>
      <c r="C13" t="s">
        <v>106</v>
      </c>
      <c r="D13" t="s">
        <v>22</v>
      </c>
      <c r="E13" t="s">
        <v>195</v>
      </c>
      <c r="F13" s="59">
        <v>1266</v>
      </c>
      <c r="G13" t="s">
        <v>1057</v>
      </c>
      <c r="H13" t="s">
        <v>1072</v>
      </c>
    </row>
    <row r="14" spans="1:8" x14ac:dyDescent="0.25">
      <c r="A14" s="9">
        <v>45453</v>
      </c>
      <c r="B14" t="s">
        <v>1068</v>
      </c>
      <c r="C14" t="s">
        <v>106</v>
      </c>
      <c r="D14" t="s">
        <v>22</v>
      </c>
      <c r="E14" t="s">
        <v>118</v>
      </c>
      <c r="F14" s="59">
        <v>5194.5600000000004</v>
      </c>
      <c r="G14" t="s">
        <v>1071</v>
      </c>
      <c r="H14" t="s">
        <v>265</v>
      </c>
    </row>
    <row r="15" spans="1:8" x14ac:dyDescent="0.25">
      <c r="A15" s="9">
        <v>45454</v>
      </c>
      <c r="B15" t="s">
        <v>1073</v>
      </c>
      <c r="C15" t="s">
        <v>106</v>
      </c>
      <c r="D15" t="s">
        <v>22</v>
      </c>
      <c r="E15" t="s">
        <v>118</v>
      </c>
      <c r="F15" s="59">
        <v>2540</v>
      </c>
      <c r="G15" t="s">
        <v>1076</v>
      </c>
      <c r="H15" t="s">
        <v>1231</v>
      </c>
    </row>
    <row r="16" spans="1:8" x14ac:dyDescent="0.25">
      <c r="A16" s="9">
        <v>45456</v>
      </c>
      <c r="B16" t="s">
        <v>1077</v>
      </c>
      <c r="C16" t="s">
        <v>362</v>
      </c>
      <c r="D16" t="s">
        <v>22</v>
      </c>
      <c r="E16" t="s">
        <v>118</v>
      </c>
      <c r="F16" s="59">
        <v>2237</v>
      </c>
      <c r="G16" t="s">
        <v>1078</v>
      </c>
      <c r="H16" t="s">
        <v>245</v>
      </c>
    </row>
    <row r="17" spans="1:8" x14ac:dyDescent="0.25">
      <c r="A17" s="9">
        <v>45456</v>
      </c>
      <c r="B17" t="s">
        <v>1079</v>
      </c>
      <c r="C17" t="s">
        <v>361</v>
      </c>
      <c r="D17" t="s">
        <v>22</v>
      </c>
      <c r="E17" t="s">
        <v>195</v>
      </c>
      <c r="F17" s="59">
        <v>1615</v>
      </c>
      <c r="G17" t="s">
        <v>1082</v>
      </c>
      <c r="H17" t="s">
        <v>1083</v>
      </c>
    </row>
    <row r="18" spans="1:8" x14ac:dyDescent="0.25">
      <c r="A18" s="9">
        <v>45457</v>
      </c>
      <c r="B18" t="s">
        <v>1084</v>
      </c>
      <c r="C18" t="s">
        <v>106</v>
      </c>
      <c r="D18" t="s">
        <v>22</v>
      </c>
      <c r="E18" t="s">
        <v>195</v>
      </c>
      <c r="F18" s="59">
        <v>1240</v>
      </c>
      <c r="G18" t="s">
        <v>880</v>
      </c>
      <c r="H18" t="s">
        <v>236</v>
      </c>
    </row>
    <row r="19" spans="1:8" x14ac:dyDescent="0.25">
      <c r="A19" s="9">
        <v>45457</v>
      </c>
      <c r="B19" t="s">
        <v>1087</v>
      </c>
      <c r="C19" t="s">
        <v>106</v>
      </c>
      <c r="D19" t="s">
        <v>22</v>
      </c>
      <c r="E19" t="s">
        <v>195</v>
      </c>
      <c r="F19" s="59">
        <v>1454</v>
      </c>
      <c r="G19" t="s">
        <v>1090</v>
      </c>
      <c r="H19" t="s">
        <v>1091</v>
      </c>
    </row>
    <row r="20" spans="1:8" x14ac:dyDescent="0.25">
      <c r="A20" s="9">
        <v>45457</v>
      </c>
      <c r="B20" t="s">
        <v>1046</v>
      </c>
      <c r="C20" t="s">
        <v>106</v>
      </c>
      <c r="D20" t="s">
        <v>22</v>
      </c>
      <c r="E20" t="s">
        <v>118</v>
      </c>
      <c r="F20" s="59">
        <v>760</v>
      </c>
      <c r="G20" t="s">
        <v>1092</v>
      </c>
      <c r="H20" t="s">
        <v>1093</v>
      </c>
    </row>
    <row r="21" spans="1:8" x14ac:dyDescent="0.25">
      <c r="A21" s="9">
        <v>45458</v>
      </c>
      <c r="B21" t="s">
        <v>1094</v>
      </c>
      <c r="C21" t="s">
        <v>361</v>
      </c>
      <c r="D21" t="s">
        <v>22</v>
      </c>
      <c r="E21" t="s">
        <v>118</v>
      </c>
      <c r="F21" s="59">
        <v>1737</v>
      </c>
      <c r="G21" t="s">
        <v>1097</v>
      </c>
      <c r="H21" t="s">
        <v>236</v>
      </c>
    </row>
    <row r="22" spans="1:8" x14ac:dyDescent="0.25">
      <c r="A22" s="9">
        <v>45460</v>
      </c>
      <c r="B22" t="s">
        <v>1099</v>
      </c>
      <c r="C22" t="s">
        <v>106</v>
      </c>
      <c r="D22" t="s">
        <v>22</v>
      </c>
      <c r="E22" t="s">
        <v>118</v>
      </c>
      <c r="F22" s="59">
        <v>1050</v>
      </c>
      <c r="G22" t="s">
        <v>323</v>
      </c>
      <c r="H22" t="s">
        <v>1107</v>
      </c>
    </row>
    <row r="23" spans="1:8" x14ac:dyDescent="0.25">
      <c r="A23" s="9">
        <v>45461</v>
      </c>
      <c r="B23" t="s">
        <v>1103</v>
      </c>
      <c r="C23" t="s">
        <v>361</v>
      </c>
      <c r="D23" t="s">
        <v>22</v>
      </c>
      <c r="E23" t="s">
        <v>119</v>
      </c>
      <c r="F23" s="59">
        <v>2711.3</v>
      </c>
      <c r="G23" t="s">
        <v>1106</v>
      </c>
      <c r="H23" t="s">
        <v>216</v>
      </c>
    </row>
    <row r="24" spans="1:8" x14ac:dyDescent="0.25">
      <c r="A24" s="9">
        <v>45462</v>
      </c>
      <c r="B24" t="s">
        <v>1110</v>
      </c>
      <c r="C24" t="s">
        <v>106</v>
      </c>
      <c r="D24" t="s">
        <v>22</v>
      </c>
      <c r="E24" t="s">
        <v>119</v>
      </c>
      <c r="F24" s="59">
        <v>1695.39</v>
      </c>
      <c r="G24" t="s">
        <v>1113</v>
      </c>
      <c r="H24" t="s">
        <v>236</v>
      </c>
    </row>
    <row r="25" spans="1:8" x14ac:dyDescent="0.25">
      <c r="A25" s="9">
        <v>45462</v>
      </c>
      <c r="B25" t="s">
        <v>1114</v>
      </c>
      <c r="C25" t="s">
        <v>106</v>
      </c>
      <c r="D25" t="s">
        <v>22</v>
      </c>
      <c r="E25" t="s">
        <v>195</v>
      </c>
      <c r="F25" s="59">
        <v>1145</v>
      </c>
      <c r="G25" t="s">
        <v>911</v>
      </c>
      <c r="H25" t="s">
        <v>236</v>
      </c>
    </row>
    <row r="26" spans="1:8" x14ac:dyDescent="0.25">
      <c r="A26" s="9">
        <v>45457</v>
      </c>
      <c r="B26" t="s">
        <v>481</v>
      </c>
      <c r="C26" t="s">
        <v>106</v>
      </c>
      <c r="D26" t="s">
        <v>22</v>
      </c>
      <c r="E26" t="s">
        <v>118</v>
      </c>
      <c r="F26" s="59">
        <v>2032.5</v>
      </c>
      <c r="G26" t="s">
        <v>1122</v>
      </c>
      <c r="H26" t="s">
        <v>236</v>
      </c>
    </row>
    <row r="27" spans="1:8" x14ac:dyDescent="0.25">
      <c r="A27" s="9">
        <v>45457</v>
      </c>
      <c r="B27" t="s">
        <v>1123</v>
      </c>
      <c r="C27" t="s">
        <v>106</v>
      </c>
      <c r="D27" t="s">
        <v>22</v>
      </c>
      <c r="E27" t="s">
        <v>118</v>
      </c>
      <c r="F27" s="59">
        <v>4811.59</v>
      </c>
      <c r="G27" t="s">
        <v>1125</v>
      </c>
      <c r="H27" t="s">
        <v>236</v>
      </c>
    </row>
    <row r="28" spans="1:8" x14ac:dyDescent="0.25">
      <c r="A28" s="9">
        <v>45457</v>
      </c>
      <c r="B28" t="s">
        <v>1126</v>
      </c>
      <c r="C28" t="s">
        <v>106</v>
      </c>
      <c r="D28" t="s">
        <v>22</v>
      </c>
      <c r="E28" t="s">
        <v>119</v>
      </c>
      <c r="F28" s="59">
        <v>1108.4000000000001</v>
      </c>
      <c r="G28" t="s">
        <v>402</v>
      </c>
      <c r="H28" t="s">
        <v>1142</v>
      </c>
    </row>
    <row r="29" spans="1:8" x14ac:dyDescent="0.25">
      <c r="A29" s="9">
        <v>45457</v>
      </c>
      <c r="B29" t="s">
        <v>1129</v>
      </c>
      <c r="C29" t="s">
        <v>106</v>
      </c>
      <c r="D29" t="s">
        <v>22</v>
      </c>
      <c r="E29" t="s">
        <v>118</v>
      </c>
      <c r="F29" s="59">
        <v>2387</v>
      </c>
      <c r="G29" t="s">
        <v>1130</v>
      </c>
      <c r="H29" t="s">
        <v>236</v>
      </c>
    </row>
    <row r="30" spans="1:8" x14ac:dyDescent="0.25">
      <c r="A30" s="9">
        <v>45463</v>
      </c>
      <c r="B30" t="s">
        <v>1131</v>
      </c>
      <c r="C30" t="s">
        <v>361</v>
      </c>
      <c r="D30" t="s">
        <v>22</v>
      </c>
      <c r="E30" t="s">
        <v>195</v>
      </c>
      <c r="F30" s="59">
        <v>2873.75</v>
      </c>
      <c r="G30" t="s">
        <v>1134</v>
      </c>
      <c r="H30" t="s">
        <v>1143</v>
      </c>
    </row>
    <row r="31" spans="1:8" x14ac:dyDescent="0.25">
      <c r="A31" s="9">
        <v>45460</v>
      </c>
      <c r="B31" t="s">
        <v>1138</v>
      </c>
      <c r="C31" t="s">
        <v>361</v>
      </c>
      <c r="D31" t="s">
        <v>22</v>
      </c>
      <c r="E31" t="s">
        <v>118</v>
      </c>
      <c r="F31" s="59">
        <v>4547.88</v>
      </c>
      <c r="G31" t="s">
        <v>1141</v>
      </c>
      <c r="H31" t="s">
        <v>245</v>
      </c>
    </row>
    <row r="32" spans="1:8" x14ac:dyDescent="0.25">
      <c r="A32" s="9">
        <v>45464</v>
      </c>
      <c r="B32" t="s">
        <v>1145</v>
      </c>
      <c r="C32" t="s">
        <v>106</v>
      </c>
      <c r="D32" t="s">
        <v>22</v>
      </c>
      <c r="E32" t="s">
        <v>195</v>
      </c>
      <c r="F32" s="59">
        <v>1904</v>
      </c>
      <c r="G32" t="s">
        <v>1148</v>
      </c>
      <c r="H32" t="s">
        <v>1165</v>
      </c>
    </row>
    <row r="33" spans="1:8" x14ac:dyDescent="0.25">
      <c r="A33" s="9">
        <v>45464</v>
      </c>
      <c r="B33" t="s">
        <v>1149</v>
      </c>
      <c r="C33" t="s">
        <v>362</v>
      </c>
      <c r="D33" t="s">
        <v>24</v>
      </c>
      <c r="E33" t="s">
        <v>195</v>
      </c>
      <c r="F33" s="59">
        <v>4109.88</v>
      </c>
      <c r="G33" t="s">
        <v>1152</v>
      </c>
      <c r="H33" t="s">
        <v>1153</v>
      </c>
    </row>
    <row r="34" spans="1:8" x14ac:dyDescent="0.25">
      <c r="A34" s="9">
        <v>45465</v>
      </c>
      <c r="B34" t="s">
        <v>1154</v>
      </c>
      <c r="C34" t="s">
        <v>362</v>
      </c>
      <c r="D34" t="s">
        <v>22</v>
      </c>
      <c r="E34" t="s">
        <v>118</v>
      </c>
      <c r="F34" s="59">
        <v>1478</v>
      </c>
      <c r="G34" t="s">
        <v>1157</v>
      </c>
      <c r="H34" t="s">
        <v>1164</v>
      </c>
    </row>
    <row r="35" spans="1:8" x14ac:dyDescent="0.25">
      <c r="A35" s="9">
        <v>45467</v>
      </c>
      <c r="B35" t="s">
        <v>1159</v>
      </c>
      <c r="C35" t="s">
        <v>106</v>
      </c>
      <c r="D35" t="s">
        <v>22</v>
      </c>
      <c r="E35" t="s">
        <v>118</v>
      </c>
      <c r="F35" s="59">
        <v>5644.32</v>
      </c>
      <c r="G35" t="s">
        <v>1162</v>
      </c>
      <c r="H35" t="s">
        <v>1163</v>
      </c>
    </row>
    <row r="36" spans="1:8" x14ac:dyDescent="0.25">
      <c r="A36" s="9">
        <v>45464</v>
      </c>
      <c r="B36" t="s">
        <v>1168</v>
      </c>
      <c r="C36" t="s">
        <v>106</v>
      </c>
      <c r="D36" t="s">
        <v>22</v>
      </c>
      <c r="E36" t="s">
        <v>195</v>
      </c>
      <c r="F36" s="59">
        <v>4281.92</v>
      </c>
      <c r="G36" t="s">
        <v>1171</v>
      </c>
      <c r="H36" t="s">
        <v>1172</v>
      </c>
    </row>
    <row r="37" spans="1:8" x14ac:dyDescent="0.25">
      <c r="A37" s="9">
        <v>45468</v>
      </c>
      <c r="B37" t="s">
        <v>1002</v>
      </c>
      <c r="C37" t="s">
        <v>106</v>
      </c>
      <c r="D37" t="s">
        <v>22</v>
      </c>
      <c r="E37" t="s">
        <v>118</v>
      </c>
      <c r="F37" s="59">
        <v>830</v>
      </c>
      <c r="G37" t="s">
        <v>1173</v>
      </c>
      <c r="H37" t="s">
        <v>216</v>
      </c>
    </row>
    <row r="38" spans="1:8" x14ac:dyDescent="0.25">
      <c r="A38" s="9">
        <v>45469</v>
      </c>
      <c r="B38" t="s">
        <v>426</v>
      </c>
      <c r="C38" t="s">
        <v>106</v>
      </c>
      <c r="D38" t="s">
        <v>22</v>
      </c>
      <c r="E38" t="s">
        <v>118</v>
      </c>
      <c r="F38" s="59">
        <v>1386</v>
      </c>
      <c r="G38" t="s">
        <v>1177</v>
      </c>
      <c r="H38" t="s">
        <v>1178</v>
      </c>
    </row>
    <row r="39" spans="1:8" x14ac:dyDescent="0.25">
      <c r="A39" s="9">
        <v>45469</v>
      </c>
      <c r="B39" t="s">
        <v>1179</v>
      </c>
      <c r="C39" t="s">
        <v>106</v>
      </c>
      <c r="D39" t="s">
        <v>22</v>
      </c>
      <c r="E39" t="s">
        <v>195</v>
      </c>
      <c r="F39" s="59">
        <v>1594</v>
      </c>
      <c r="G39" t="s">
        <v>1182</v>
      </c>
      <c r="H39" t="s">
        <v>236</v>
      </c>
    </row>
    <row r="40" spans="1:8" x14ac:dyDescent="0.25">
      <c r="A40" s="9">
        <v>45469</v>
      </c>
      <c r="B40" t="s">
        <v>1183</v>
      </c>
      <c r="C40" t="s">
        <v>106</v>
      </c>
      <c r="D40" t="s">
        <v>22</v>
      </c>
      <c r="E40" t="s">
        <v>118</v>
      </c>
      <c r="F40" s="59">
        <v>1512</v>
      </c>
      <c r="G40" t="s">
        <v>1186</v>
      </c>
      <c r="H40" t="s">
        <v>1193</v>
      </c>
    </row>
    <row r="41" spans="1:8" x14ac:dyDescent="0.25">
      <c r="A41" s="9">
        <v>45470</v>
      </c>
      <c r="B41" t="s">
        <v>1189</v>
      </c>
      <c r="C41" t="s">
        <v>361</v>
      </c>
      <c r="D41" t="s">
        <v>22</v>
      </c>
      <c r="E41" t="s">
        <v>195</v>
      </c>
      <c r="F41" s="59">
        <v>3106</v>
      </c>
      <c r="G41" t="s">
        <v>1192</v>
      </c>
      <c r="H41" t="s">
        <v>1206</v>
      </c>
    </row>
    <row r="42" spans="1:8" x14ac:dyDescent="0.25">
      <c r="A42" s="9">
        <v>45470</v>
      </c>
      <c r="B42" t="s">
        <v>1110</v>
      </c>
      <c r="C42" t="s">
        <v>106</v>
      </c>
      <c r="D42" t="s">
        <v>22</v>
      </c>
      <c r="E42" t="s">
        <v>118</v>
      </c>
      <c r="F42" s="59">
        <v>1325</v>
      </c>
      <c r="G42" t="s">
        <v>1195</v>
      </c>
      <c r="H42" t="s">
        <v>1207</v>
      </c>
    </row>
    <row r="43" spans="1:8" x14ac:dyDescent="0.25">
      <c r="A43" s="9">
        <v>45464</v>
      </c>
      <c r="B43" t="s">
        <v>1203</v>
      </c>
      <c r="C43" t="s">
        <v>106</v>
      </c>
      <c r="D43" t="s">
        <v>22</v>
      </c>
      <c r="E43" t="s">
        <v>195</v>
      </c>
      <c r="F43" s="59">
        <v>1744.39581081081</v>
      </c>
      <c r="G43" t="s">
        <v>284</v>
      </c>
      <c r="H43" t="s">
        <v>1038</v>
      </c>
    </row>
    <row r="48" spans="1:8" ht="15.75" thickBot="1" x14ac:dyDescent="0.3">
      <c r="A48" s="97" t="s">
        <v>8</v>
      </c>
      <c r="B48" s="97"/>
      <c r="C48" s="97"/>
      <c r="D48" s="97"/>
      <c r="E48" s="97"/>
      <c r="F48" s="97"/>
      <c r="G48" s="7"/>
    </row>
    <row r="49" spans="1:10" x14ac:dyDescent="0.25">
      <c r="A49" s="8" t="s">
        <v>9</v>
      </c>
      <c r="B49" s="9"/>
      <c r="C49" s="10">
        <f>SUM(F2:F43)</f>
        <v>110810.4958108108</v>
      </c>
      <c r="D49" s="11"/>
      <c r="E49" s="12" t="s">
        <v>10</v>
      </c>
      <c r="F49" s="13"/>
      <c r="G49" s="7"/>
      <c r="H49" s="14" t="s">
        <v>11</v>
      </c>
      <c r="I49" s="15">
        <v>13</v>
      </c>
      <c r="J49" s="16"/>
    </row>
    <row r="50" spans="1:10" x14ac:dyDescent="0.25">
      <c r="A50" s="8"/>
      <c r="B50" s="9"/>
      <c r="C50" s="10"/>
      <c r="D50" s="11"/>
      <c r="E50" s="17" t="s">
        <v>12</v>
      </c>
      <c r="F50" s="18">
        <v>110810.4958108108</v>
      </c>
      <c r="G50" s="7"/>
      <c r="H50" s="17" t="s">
        <v>13</v>
      </c>
      <c r="I50" s="19">
        <v>6</v>
      </c>
      <c r="J50" s="20">
        <f>I50/I$49</f>
        <v>0.46153846153846156</v>
      </c>
    </row>
    <row r="51" spans="1:10" ht="15.75" thickBot="1" x14ac:dyDescent="0.3">
      <c r="A51" s="8" t="s">
        <v>14</v>
      </c>
      <c r="B51" s="9"/>
      <c r="C51" s="21">
        <v>25</v>
      </c>
      <c r="D51" s="11"/>
      <c r="E51" s="22" t="s">
        <v>15</v>
      </c>
      <c r="F51" s="23">
        <f>C49/C51</f>
        <v>4432.4198324324316</v>
      </c>
      <c r="G51" s="7"/>
      <c r="H51" s="17" t="s">
        <v>16</v>
      </c>
      <c r="I51" s="19">
        <v>7</v>
      </c>
      <c r="J51" s="20">
        <f>I51/I$49</f>
        <v>0.53846153846153844</v>
      </c>
    </row>
    <row r="52" spans="1:10" ht="15.75" thickBot="1" x14ac:dyDescent="0.3">
      <c r="A52" s="8" t="s">
        <v>17</v>
      </c>
      <c r="B52" s="9"/>
      <c r="C52">
        <v>42</v>
      </c>
      <c r="D52" s="11"/>
      <c r="E52" s="11"/>
      <c r="F52" s="24"/>
      <c r="G52" s="7"/>
      <c r="H52" s="22" t="s">
        <v>18</v>
      </c>
      <c r="I52" s="25">
        <v>0</v>
      </c>
      <c r="J52" s="26">
        <f>I52/I$49</f>
        <v>0</v>
      </c>
    </row>
    <row r="53" spans="1:10" x14ac:dyDescent="0.25">
      <c r="A53" s="8"/>
      <c r="B53" s="9"/>
      <c r="D53" s="11" t="s">
        <v>19</v>
      </c>
      <c r="E53" s="12" t="s">
        <v>20</v>
      </c>
      <c r="F53" s="13"/>
      <c r="G53" s="7"/>
    </row>
    <row r="54" spans="1:10" ht="15.75" thickBot="1" x14ac:dyDescent="0.3">
      <c r="A54" s="8" t="s">
        <v>21</v>
      </c>
      <c r="B54" s="9"/>
      <c r="C54">
        <v>39</v>
      </c>
      <c r="D54" s="11" t="s">
        <v>19</v>
      </c>
      <c r="E54" s="17" t="s">
        <v>22</v>
      </c>
      <c r="F54" s="20">
        <f>C54/C$52</f>
        <v>0.9285714285714286</v>
      </c>
      <c r="G54" s="7"/>
    </row>
    <row r="55" spans="1:10" ht="15.75" thickBot="1" x14ac:dyDescent="0.3">
      <c r="A55" s="8" t="s">
        <v>23</v>
      </c>
      <c r="B55" s="9"/>
      <c r="C55">
        <v>3</v>
      </c>
      <c r="D55" s="11"/>
      <c r="E55" s="22" t="s">
        <v>24</v>
      </c>
      <c r="F55" s="26">
        <f>C55/C$52</f>
        <v>7.1428571428571425E-2</v>
      </c>
      <c r="G55" s="7"/>
      <c r="H55" s="14" t="s">
        <v>25</v>
      </c>
      <c r="I55" s="15">
        <v>24</v>
      </c>
      <c r="J55" s="16"/>
    </row>
    <row r="56" spans="1:10" ht="15.75" thickBot="1" x14ac:dyDescent="0.3">
      <c r="A56" s="8"/>
      <c r="B56" s="9"/>
      <c r="D56" s="11"/>
      <c r="E56" s="11"/>
      <c r="F56" s="24"/>
      <c r="G56" s="7"/>
      <c r="H56" s="27" t="s">
        <v>26</v>
      </c>
      <c r="I56" s="30">
        <v>9</v>
      </c>
      <c r="J56" s="20">
        <f>I56/I$55</f>
        <v>0.375</v>
      </c>
    </row>
    <row r="57" spans="1:10" x14ac:dyDescent="0.25">
      <c r="A57" s="8" t="s">
        <v>27</v>
      </c>
      <c r="B57" s="9"/>
      <c r="D57" s="11"/>
      <c r="E57" s="12" t="s">
        <v>28</v>
      </c>
      <c r="F57" s="13"/>
      <c r="G57" s="7"/>
      <c r="H57" s="27" t="s">
        <v>29</v>
      </c>
      <c r="I57" s="30">
        <v>13</v>
      </c>
      <c r="J57" s="20">
        <f>I57/I$55</f>
        <v>0.54166666666666663</v>
      </c>
    </row>
    <row r="58" spans="1:10" ht="15.75" thickBot="1" x14ac:dyDescent="0.3">
      <c r="A58" s="8" t="s">
        <v>30</v>
      </c>
      <c r="B58" s="9"/>
      <c r="C58">
        <v>4</v>
      </c>
      <c r="D58" s="11"/>
      <c r="E58" s="28" t="s">
        <v>30</v>
      </c>
      <c r="F58" s="20">
        <f>C58/C$67</f>
        <v>4.3956043956043959E-2</v>
      </c>
      <c r="G58" s="7"/>
      <c r="H58" s="29" t="s">
        <v>31</v>
      </c>
      <c r="I58" s="25">
        <v>2</v>
      </c>
      <c r="J58" s="26">
        <f>I58/I$55</f>
        <v>8.3333333333333329E-2</v>
      </c>
    </row>
    <row r="59" spans="1:10" ht="15.75" thickBot="1" x14ac:dyDescent="0.3">
      <c r="A59" s="8" t="s">
        <v>11</v>
      </c>
      <c r="B59" s="9"/>
      <c r="C59">
        <v>13</v>
      </c>
      <c r="D59" s="11"/>
      <c r="E59" s="28" t="s">
        <v>11</v>
      </c>
      <c r="F59" s="20">
        <f t="shared" ref="F59:F66" si="0">C59/C$67</f>
        <v>0.14285714285714285</v>
      </c>
      <c r="G59" s="7"/>
    </row>
    <row r="60" spans="1:10" x14ac:dyDescent="0.25">
      <c r="A60" s="8" t="s">
        <v>32</v>
      </c>
      <c r="B60" s="9"/>
      <c r="C60">
        <v>24</v>
      </c>
      <c r="D60" s="11"/>
      <c r="E60" s="28" t="s">
        <v>32</v>
      </c>
      <c r="F60" s="20">
        <f t="shared" si="0"/>
        <v>0.26373626373626374</v>
      </c>
      <c r="G60" s="11" t="s">
        <v>19</v>
      </c>
      <c r="H60" s="14" t="s">
        <v>33</v>
      </c>
      <c r="I60" s="15">
        <v>1</v>
      </c>
      <c r="J60" s="13">
        <f t="shared" ref="J60:J71" si="1">I60/I$55</f>
        <v>4.1666666666666664E-2</v>
      </c>
    </row>
    <row r="61" spans="1:10" x14ac:dyDescent="0.25">
      <c r="A61" s="8" t="s">
        <v>34</v>
      </c>
      <c r="B61" s="9"/>
      <c r="C61">
        <v>1</v>
      </c>
      <c r="D61" s="11"/>
      <c r="E61" s="28" t="s">
        <v>34</v>
      </c>
      <c r="F61" s="20">
        <f t="shared" si="0"/>
        <v>1.098901098901099E-2</v>
      </c>
      <c r="G61" s="7"/>
      <c r="H61" s="27" t="s">
        <v>35</v>
      </c>
      <c r="I61" s="30">
        <v>1</v>
      </c>
      <c r="J61" s="20">
        <f t="shared" si="1"/>
        <v>4.1666666666666664E-2</v>
      </c>
    </row>
    <row r="62" spans="1:10" x14ac:dyDescent="0.25">
      <c r="A62" s="8" t="s">
        <v>36</v>
      </c>
      <c r="B62" s="9"/>
      <c r="C62">
        <v>9</v>
      </c>
      <c r="D62" s="11"/>
      <c r="E62" s="28" t="s">
        <v>36</v>
      </c>
      <c r="F62" s="20">
        <f t="shared" si="0"/>
        <v>9.8901098901098897E-2</v>
      </c>
      <c r="G62" s="7"/>
      <c r="H62" s="27" t="s">
        <v>37</v>
      </c>
      <c r="I62" s="30">
        <v>4</v>
      </c>
      <c r="J62" s="20">
        <f t="shared" si="1"/>
        <v>0.16666666666666666</v>
      </c>
    </row>
    <row r="63" spans="1:10" x14ac:dyDescent="0.25">
      <c r="A63" s="8" t="s">
        <v>38</v>
      </c>
      <c r="B63" s="9"/>
      <c r="C63">
        <v>1</v>
      </c>
      <c r="D63" s="11"/>
      <c r="E63" s="28" t="s">
        <v>38</v>
      </c>
      <c r="F63" s="20">
        <f t="shared" si="0"/>
        <v>1.098901098901099E-2</v>
      </c>
      <c r="G63" s="7"/>
      <c r="H63" s="27" t="s">
        <v>39</v>
      </c>
      <c r="I63" s="30">
        <v>0</v>
      </c>
      <c r="J63" s="20">
        <f t="shared" si="1"/>
        <v>0</v>
      </c>
    </row>
    <row r="64" spans="1:10" x14ac:dyDescent="0.25">
      <c r="A64" s="8" t="s">
        <v>40</v>
      </c>
      <c r="B64" s="9"/>
      <c r="C64">
        <v>13</v>
      </c>
      <c r="D64" s="11"/>
      <c r="E64" s="28" t="s">
        <v>40</v>
      </c>
      <c r="F64" s="20">
        <f t="shared" si="0"/>
        <v>0.14285714285714285</v>
      </c>
      <c r="G64" s="7"/>
      <c r="H64" s="27" t="s">
        <v>41</v>
      </c>
      <c r="I64" s="30">
        <v>3</v>
      </c>
      <c r="J64" s="20">
        <f t="shared" si="1"/>
        <v>0.125</v>
      </c>
    </row>
    <row r="65" spans="1:10" x14ac:dyDescent="0.25">
      <c r="A65" s="8" t="s">
        <v>42</v>
      </c>
      <c r="B65" s="9"/>
      <c r="C65">
        <v>2</v>
      </c>
      <c r="D65" s="11"/>
      <c r="E65" s="28" t="s">
        <v>42</v>
      </c>
      <c r="F65" s="20">
        <f t="shared" si="0"/>
        <v>2.197802197802198E-2</v>
      </c>
      <c r="G65" s="7"/>
      <c r="H65" s="27" t="s">
        <v>43</v>
      </c>
      <c r="I65" s="30">
        <v>9</v>
      </c>
      <c r="J65" s="20">
        <f t="shared" si="1"/>
        <v>0.375</v>
      </c>
    </row>
    <row r="66" spans="1:10" ht="15.75" thickBot="1" x14ac:dyDescent="0.3">
      <c r="A66" s="8" t="s">
        <v>44</v>
      </c>
      <c r="B66" s="9"/>
      <c r="C66">
        <v>24</v>
      </c>
      <c r="D66" s="11"/>
      <c r="E66" s="31" t="s">
        <v>44</v>
      </c>
      <c r="F66" s="26">
        <f t="shared" si="0"/>
        <v>0.26373626373626374</v>
      </c>
      <c r="G66" s="11" t="s">
        <v>19</v>
      </c>
      <c r="H66" s="32" t="s">
        <v>45</v>
      </c>
      <c r="I66" s="30">
        <v>1</v>
      </c>
      <c r="J66" s="20">
        <f t="shared" si="1"/>
        <v>4.1666666666666664E-2</v>
      </c>
    </row>
    <row r="67" spans="1:10" ht="15.75" thickBot="1" x14ac:dyDescent="0.3">
      <c r="A67" s="8" t="s">
        <v>46</v>
      </c>
      <c r="B67" s="9"/>
      <c r="C67">
        <f>SUM(C58:C66)</f>
        <v>91</v>
      </c>
      <c r="D67" s="11"/>
      <c r="E67" s="8"/>
      <c r="F67" s="24"/>
      <c r="G67" s="7"/>
      <c r="H67" s="32" t="s">
        <v>47</v>
      </c>
      <c r="I67" s="30">
        <v>2</v>
      </c>
      <c r="J67" s="20">
        <f t="shared" si="1"/>
        <v>8.3333333333333329E-2</v>
      </c>
    </row>
    <row r="68" spans="1:10" x14ac:dyDescent="0.25">
      <c r="A68" s="8"/>
      <c r="B68" s="9"/>
      <c r="D68" s="11"/>
      <c r="E68" s="33" t="s">
        <v>48</v>
      </c>
      <c r="F68" s="13"/>
      <c r="G68" s="7"/>
      <c r="H68" s="32" t="s">
        <v>49</v>
      </c>
      <c r="I68" s="30">
        <v>1</v>
      </c>
      <c r="J68" s="20">
        <f t="shared" si="1"/>
        <v>4.1666666666666664E-2</v>
      </c>
    </row>
    <row r="69" spans="1:10" x14ac:dyDescent="0.25">
      <c r="A69" s="8" t="s">
        <v>50</v>
      </c>
      <c r="B69" s="9"/>
      <c r="D69" s="11"/>
      <c r="E69" s="28" t="s">
        <v>51</v>
      </c>
      <c r="F69" s="20">
        <f>C70/C$80</f>
        <v>0.375</v>
      </c>
      <c r="G69" s="7"/>
      <c r="H69" s="27" t="s">
        <v>52</v>
      </c>
      <c r="I69" s="30">
        <v>2</v>
      </c>
      <c r="J69" s="20">
        <f t="shared" si="1"/>
        <v>8.3333333333333329E-2</v>
      </c>
    </row>
    <row r="70" spans="1:10" x14ac:dyDescent="0.25">
      <c r="A70" s="8" t="s">
        <v>51</v>
      </c>
      <c r="B70" s="9"/>
      <c r="C70">
        <v>36</v>
      </c>
      <c r="D70" s="11"/>
      <c r="E70" s="28" t="s">
        <v>53</v>
      </c>
      <c r="F70" s="20">
        <f t="shared" ref="F70:F78" si="2">C71/C$80</f>
        <v>0.23958333333333334</v>
      </c>
      <c r="G70" s="7"/>
      <c r="H70" s="32" t="s">
        <v>54</v>
      </c>
      <c r="I70" s="30">
        <v>0</v>
      </c>
      <c r="J70" s="20">
        <f t="shared" si="1"/>
        <v>0</v>
      </c>
    </row>
    <row r="71" spans="1:10" ht="15.75" thickBot="1" x14ac:dyDescent="0.3">
      <c r="A71" s="8" t="s">
        <v>53</v>
      </c>
      <c r="B71" s="9"/>
      <c r="C71">
        <v>23</v>
      </c>
      <c r="D71" s="11"/>
      <c r="E71" s="28" t="s">
        <v>55</v>
      </c>
      <c r="F71" s="20">
        <f t="shared" si="2"/>
        <v>0.10416666666666667</v>
      </c>
      <c r="G71" s="7"/>
      <c r="H71" s="34" t="s">
        <v>56</v>
      </c>
      <c r="I71" s="25">
        <v>0</v>
      </c>
      <c r="J71" s="26">
        <f t="shared" si="1"/>
        <v>0</v>
      </c>
    </row>
    <row r="72" spans="1:10" x14ac:dyDescent="0.25">
      <c r="A72" s="8" t="s">
        <v>55</v>
      </c>
      <c r="B72" s="9"/>
      <c r="C72">
        <v>10</v>
      </c>
      <c r="D72" s="11"/>
      <c r="E72" s="28" t="s">
        <v>57</v>
      </c>
      <c r="F72" s="20">
        <f t="shared" si="2"/>
        <v>8.3333333333333329E-2</v>
      </c>
      <c r="G72" s="7"/>
    </row>
    <row r="73" spans="1:10" ht="15.75" thickBot="1" x14ac:dyDescent="0.3">
      <c r="A73" s="8" t="s">
        <v>57</v>
      </c>
      <c r="B73" s="9"/>
      <c r="C73">
        <v>8</v>
      </c>
      <c r="D73" s="11"/>
      <c r="E73" s="28" t="s">
        <v>58</v>
      </c>
      <c r="F73" s="20">
        <f t="shared" si="2"/>
        <v>9.375E-2</v>
      </c>
      <c r="G73" s="11" t="s">
        <v>19</v>
      </c>
    </row>
    <row r="74" spans="1:10" x14ac:dyDescent="0.25">
      <c r="A74" s="8" t="s">
        <v>58</v>
      </c>
      <c r="B74" s="9"/>
      <c r="C74">
        <v>9</v>
      </c>
      <c r="D74" s="11"/>
      <c r="E74" s="28" t="s">
        <v>59</v>
      </c>
      <c r="F74" s="20">
        <f t="shared" si="2"/>
        <v>5.2083333333333336E-2</v>
      </c>
      <c r="G74" s="7"/>
      <c r="H74" s="14" t="s">
        <v>36</v>
      </c>
      <c r="I74" s="15">
        <v>9</v>
      </c>
      <c r="J74" s="16"/>
    </row>
    <row r="75" spans="1:10" x14ac:dyDescent="0.25">
      <c r="A75" s="8" t="s">
        <v>59</v>
      </c>
      <c r="B75" s="9"/>
      <c r="C75">
        <v>5</v>
      </c>
      <c r="D75" s="11"/>
      <c r="E75" s="28" t="s">
        <v>60</v>
      </c>
      <c r="F75" s="20">
        <f t="shared" si="2"/>
        <v>0</v>
      </c>
      <c r="G75" s="7"/>
      <c r="H75" s="27" t="s">
        <v>61</v>
      </c>
      <c r="I75" s="19">
        <v>2</v>
      </c>
      <c r="J75" s="20">
        <f>I75/I$74</f>
        <v>0.22222222222222221</v>
      </c>
    </row>
    <row r="76" spans="1:10" ht="15.75" thickBot="1" x14ac:dyDescent="0.3">
      <c r="A76" s="8" t="s">
        <v>60</v>
      </c>
      <c r="B76" s="9"/>
      <c r="C76">
        <v>0</v>
      </c>
      <c r="D76" s="11"/>
      <c r="E76" s="28" t="s">
        <v>62</v>
      </c>
      <c r="F76" s="20">
        <f t="shared" si="2"/>
        <v>0</v>
      </c>
      <c r="G76" s="7"/>
      <c r="H76" s="29" t="s">
        <v>63</v>
      </c>
      <c r="I76" s="25">
        <v>7</v>
      </c>
      <c r="J76" s="26">
        <f>I76/I$74</f>
        <v>0.77777777777777779</v>
      </c>
    </row>
    <row r="77" spans="1:10" x14ac:dyDescent="0.25">
      <c r="A77" s="8" t="s">
        <v>62</v>
      </c>
      <c r="B77" s="9"/>
      <c r="C77">
        <v>0</v>
      </c>
      <c r="D77" s="11"/>
      <c r="E77" s="28" t="s">
        <v>64</v>
      </c>
      <c r="F77" s="20">
        <f t="shared" si="2"/>
        <v>0</v>
      </c>
      <c r="G77" s="7"/>
    </row>
    <row r="78" spans="1:10" ht="15.75" thickBot="1" x14ac:dyDescent="0.3">
      <c r="A78" s="8" t="s">
        <v>64</v>
      </c>
      <c r="B78" s="9"/>
      <c r="C78">
        <v>0</v>
      </c>
      <c r="D78" s="11"/>
      <c r="E78" s="31" t="s">
        <v>65</v>
      </c>
      <c r="F78" s="26">
        <f t="shared" si="2"/>
        <v>5.2083333333333336E-2</v>
      </c>
      <c r="G78" s="7"/>
    </row>
    <row r="79" spans="1:10" ht="15.75" thickBot="1" x14ac:dyDescent="0.3">
      <c r="A79" s="8" t="s">
        <v>65</v>
      </c>
      <c r="B79" s="9"/>
      <c r="C79">
        <v>5</v>
      </c>
      <c r="D79" s="11"/>
      <c r="E79" s="8"/>
      <c r="F79" s="24"/>
      <c r="G79" s="7"/>
      <c r="H79" s="14" t="s">
        <v>66</v>
      </c>
      <c r="I79" s="15">
        <v>1</v>
      </c>
      <c r="J79" s="16"/>
    </row>
    <row r="80" spans="1:10" x14ac:dyDescent="0.25">
      <c r="A80" s="8" t="s">
        <v>67</v>
      </c>
      <c r="B80" s="9"/>
      <c r="C80">
        <f>SUM(C70:C79)</f>
        <v>96</v>
      </c>
      <c r="D80" s="11"/>
      <c r="E80" s="33" t="s">
        <v>68</v>
      </c>
      <c r="F80" s="13"/>
      <c r="G80" s="7"/>
      <c r="H80" s="27" t="s">
        <v>69</v>
      </c>
      <c r="I80" s="30">
        <v>0</v>
      </c>
      <c r="J80" s="20">
        <f t="shared" ref="J80:J85" si="3">I80/I$79</f>
        <v>0</v>
      </c>
    </row>
    <row r="81" spans="1:10" x14ac:dyDescent="0.25">
      <c r="A81" s="8"/>
      <c r="B81" s="9"/>
      <c r="D81" s="11"/>
      <c r="E81" s="35" t="s">
        <v>70</v>
      </c>
      <c r="F81" s="20">
        <f>C82/C$52</f>
        <v>0.61904761904761907</v>
      </c>
      <c r="G81" s="7"/>
      <c r="H81" s="27" t="s">
        <v>71</v>
      </c>
      <c r="I81" s="30">
        <v>1</v>
      </c>
      <c r="J81" s="20">
        <f t="shared" si="3"/>
        <v>1</v>
      </c>
    </row>
    <row r="82" spans="1:10" x14ac:dyDescent="0.25">
      <c r="A82" s="8" t="s">
        <v>72</v>
      </c>
      <c r="B82" s="9"/>
      <c r="C82">
        <v>26</v>
      </c>
      <c r="D82" s="11"/>
      <c r="E82" s="35" t="s">
        <v>73</v>
      </c>
      <c r="F82" s="20">
        <f>C83/C$52</f>
        <v>4.7619047619047616E-2</v>
      </c>
      <c r="G82" s="7"/>
      <c r="H82" s="27" t="s">
        <v>74</v>
      </c>
      <c r="I82" s="30">
        <v>0</v>
      </c>
      <c r="J82" s="20">
        <f t="shared" si="3"/>
        <v>0</v>
      </c>
    </row>
    <row r="83" spans="1:10" ht="15.75" thickBot="1" x14ac:dyDescent="0.3">
      <c r="A83" s="8" t="s">
        <v>75</v>
      </c>
      <c r="B83" s="9"/>
      <c r="C83">
        <v>2</v>
      </c>
      <c r="D83" s="11"/>
      <c r="E83" s="36" t="s">
        <v>76</v>
      </c>
      <c r="F83" s="26">
        <f>C84/C$52</f>
        <v>0.33333333333333331</v>
      </c>
      <c r="G83" s="7"/>
      <c r="H83" s="27" t="s">
        <v>77</v>
      </c>
      <c r="I83" s="30">
        <v>0</v>
      </c>
      <c r="J83" s="20">
        <f t="shared" si="3"/>
        <v>0</v>
      </c>
    </row>
    <row r="84" spans="1:10" ht="15.75" thickBot="1" x14ac:dyDescent="0.3">
      <c r="A84" s="8" t="s">
        <v>78</v>
      </c>
      <c r="B84" s="9"/>
      <c r="C84">
        <v>14</v>
      </c>
      <c r="D84" s="11"/>
      <c r="E84" s="37"/>
      <c r="F84" s="24"/>
      <c r="G84" s="11" t="s">
        <v>19</v>
      </c>
      <c r="H84" s="27" t="s">
        <v>79</v>
      </c>
      <c r="I84" s="30">
        <v>0</v>
      </c>
      <c r="J84" s="20">
        <f t="shared" si="3"/>
        <v>0</v>
      </c>
    </row>
    <row r="85" spans="1:10" ht="15.75" thickBot="1" x14ac:dyDescent="0.3">
      <c r="A85" s="8"/>
      <c r="B85" s="9"/>
      <c r="D85" s="11"/>
      <c r="E85" s="38" t="s">
        <v>20</v>
      </c>
      <c r="F85" s="13"/>
      <c r="G85" s="7"/>
      <c r="H85" s="29" t="s">
        <v>80</v>
      </c>
      <c r="I85" s="25">
        <v>0</v>
      </c>
      <c r="J85" s="26">
        <f t="shared" si="3"/>
        <v>0</v>
      </c>
    </row>
    <row r="86" spans="1:10" x14ac:dyDescent="0.25">
      <c r="A86" s="8" t="s">
        <v>20</v>
      </c>
      <c r="B86" s="9"/>
      <c r="D86" s="11"/>
      <c r="E86" s="28" t="s">
        <v>81</v>
      </c>
      <c r="F86" s="20">
        <f>C87/C$52</f>
        <v>0.5</v>
      </c>
      <c r="G86" s="7"/>
    </row>
    <row r="87" spans="1:10" ht="15.75" thickBot="1" x14ac:dyDescent="0.3">
      <c r="A87" s="8" t="s">
        <v>82</v>
      </c>
      <c r="B87" s="9"/>
      <c r="C87">
        <v>21</v>
      </c>
      <c r="D87" s="11"/>
      <c r="E87" s="31" t="s">
        <v>83</v>
      </c>
      <c r="F87" s="26">
        <f>C88/C$52</f>
        <v>0.5</v>
      </c>
      <c r="G87" s="7"/>
    </row>
    <row r="88" spans="1:10" ht="15.75" thickBot="1" x14ac:dyDescent="0.3">
      <c r="A88" s="8" t="s">
        <v>83</v>
      </c>
      <c r="B88" s="9"/>
      <c r="C88">
        <v>21</v>
      </c>
      <c r="D88" s="11"/>
      <c r="E88" s="39"/>
      <c r="F88" s="40"/>
      <c r="G88" s="7"/>
      <c r="H88" s="14" t="s">
        <v>40</v>
      </c>
      <c r="I88" s="15">
        <v>13</v>
      </c>
      <c r="J88" s="16"/>
    </row>
    <row r="89" spans="1:10" x14ac:dyDescent="0.25">
      <c r="A89" s="8"/>
      <c r="B89" s="9"/>
      <c r="D89" s="11"/>
      <c r="E89" s="14" t="s">
        <v>84</v>
      </c>
      <c r="F89" s="13"/>
      <c r="G89" s="7"/>
      <c r="H89" s="27" t="s">
        <v>85</v>
      </c>
      <c r="I89" s="30">
        <v>0</v>
      </c>
      <c r="J89" s="20">
        <f>I89/I$88</f>
        <v>0</v>
      </c>
    </row>
    <row r="90" spans="1:10" x14ac:dyDescent="0.25">
      <c r="A90" t="s">
        <v>84</v>
      </c>
      <c r="D90" s="11"/>
      <c r="E90" s="27" t="s">
        <v>86</v>
      </c>
      <c r="F90" s="20">
        <f>C91/C$88</f>
        <v>0.80952380952380953</v>
      </c>
      <c r="G90" s="7"/>
      <c r="H90" s="27" t="s">
        <v>87</v>
      </c>
      <c r="I90" s="19">
        <v>1</v>
      </c>
      <c r="J90" s="20">
        <f>I90/I$88</f>
        <v>7.6923076923076927E-2</v>
      </c>
    </row>
    <row r="91" spans="1:10" ht="15.75" thickBot="1" x14ac:dyDescent="0.3">
      <c r="A91" t="s">
        <v>86</v>
      </c>
      <c r="C91">
        <v>17</v>
      </c>
      <c r="D91" s="11"/>
      <c r="E91" s="29" t="s">
        <v>88</v>
      </c>
      <c r="F91" s="26">
        <f>C92/C$88</f>
        <v>0.19047619047619047</v>
      </c>
      <c r="G91" s="7"/>
      <c r="H91" s="27" t="s">
        <v>89</v>
      </c>
      <c r="I91" s="30">
        <v>6</v>
      </c>
      <c r="J91" s="20">
        <f>I91/I$88</f>
        <v>0.46153846153846156</v>
      </c>
    </row>
    <row r="92" spans="1:10" ht="15.75" thickBot="1" x14ac:dyDescent="0.3">
      <c r="A92" t="s">
        <v>88</v>
      </c>
      <c r="C92">
        <v>4</v>
      </c>
      <c r="D92" s="11"/>
      <c r="E92" s="39"/>
      <c r="F92" s="40"/>
      <c r="G92" s="7"/>
      <c r="H92" s="27" t="s">
        <v>90</v>
      </c>
      <c r="I92" s="30">
        <v>4</v>
      </c>
      <c r="J92" s="20">
        <f>I92/I$88</f>
        <v>0.30769230769230771</v>
      </c>
    </row>
    <row r="93" spans="1:10" ht="15.75" thickBot="1" x14ac:dyDescent="0.3">
      <c r="A93" s="8"/>
      <c r="B93" s="9"/>
      <c r="D93" s="11"/>
      <c r="E93" s="33" t="s">
        <v>91</v>
      </c>
      <c r="F93" s="13"/>
      <c r="G93" s="7"/>
      <c r="H93" s="29" t="s">
        <v>92</v>
      </c>
      <c r="I93" s="25">
        <v>2</v>
      </c>
      <c r="J93" s="26">
        <f>I93/I$88</f>
        <v>0.15384615384615385</v>
      </c>
    </row>
    <row r="94" spans="1:10" x14ac:dyDescent="0.25">
      <c r="A94" s="8" t="s">
        <v>93</v>
      </c>
      <c r="B94" s="9"/>
      <c r="D94" s="11"/>
      <c r="E94" s="28" t="s">
        <v>94</v>
      </c>
      <c r="F94" s="20">
        <f t="shared" ref="F94:F99" si="4">C95/C$52</f>
        <v>0.40476190476190477</v>
      </c>
      <c r="G94" s="7"/>
    </row>
    <row r="95" spans="1:10" ht="15.75" thickBot="1" x14ac:dyDescent="0.3">
      <c r="A95" s="8" t="s">
        <v>94</v>
      </c>
      <c r="B95" s="9"/>
      <c r="C95">
        <v>17</v>
      </c>
      <c r="D95" s="11"/>
      <c r="E95" s="17" t="s">
        <v>95</v>
      </c>
      <c r="F95" s="20">
        <f t="shared" si="4"/>
        <v>9.5238095238095233E-2</v>
      </c>
      <c r="G95" s="7"/>
    </row>
    <row r="96" spans="1:10" x14ac:dyDescent="0.25">
      <c r="A96" s="8" t="s">
        <v>95</v>
      </c>
      <c r="B96" s="9"/>
      <c r="C96">
        <v>4</v>
      </c>
      <c r="D96" s="11"/>
      <c r="E96" s="17" t="s">
        <v>96</v>
      </c>
      <c r="F96" s="20">
        <f t="shared" si="4"/>
        <v>0</v>
      </c>
      <c r="G96" s="7"/>
      <c r="H96" s="14" t="s">
        <v>44</v>
      </c>
      <c r="I96" s="15">
        <v>24</v>
      </c>
      <c r="J96" s="16"/>
    </row>
    <row r="97" spans="1:10" x14ac:dyDescent="0.25">
      <c r="A97" s="8" t="s">
        <v>96</v>
      </c>
      <c r="B97" s="9"/>
      <c r="C97">
        <v>0</v>
      </c>
      <c r="D97" s="11"/>
      <c r="E97" s="17" t="s">
        <v>97</v>
      </c>
      <c r="F97" s="20">
        <f t="shared" si="4"/>
        <v>0</v>
      </c>
      <c r="G97" s="7"/>
      <c r="H97" s="27" t="s">
        <v>98</v>
      </c>
      <c r="I97" s="19">
        <v>6</v>
      </c>
      <c r="J97" s="20">
        <f>I97/I$96</f>
        <v>0.25</v>
      </c>
    </row>
    <row r="98" spans="1:10" x14ac:dyDescent="0.25">
      <c r="A98" s="8" t="s">
        <v>97</v>
      </c>
      <c r="B98" s="9"/>
      <c r="C98">
        <v>0</v>
      </c>
      <c r="D98" s="11"/>
      <c r="E98" s="17" t="s">
        <v>99</v>
      </c>
      <c r="F98" s="20">
        <f t="shared" si="4"/>
        <v>0.5</v>
      </c>
      <c r="G98" s="7"/>
      <c r="H98" s="27" t="s">
        <v>100</v>
      </c>
      <c r="I98" s="19">
        <v>0</v>
      </c>
      <c r="J98" s="20">
        <f t="shared" ref="J98:J106" si="5">I98/I$96</f>
        <v>0</v>
      </c>
    </row>
    <row r="99" spans="1:10" ht="15.75" thickBot="1" x14ac:dyDescent="0.3">
      <c r="A99" s="8" t="s">
        <v>99</v>
      </c>
      <c r="B99" s="9"/>
      <c r="C99">
        <v>21</v>
      </c>
      <c r="D99" s="11"/>
      <c r="E99" s="22" t="s">
        <v>44</v>
      </c>
      <c r="F99" s="26">
        <f t="shared" si="4"/>
        <v>0</v>
      </c>
      <c r="G99" s="7"/>
      <c r="H99" s="27" t="s">
        <v>101</v>
      </c>
      <c r="I99" s="19">
        <v>0</v>
      </c>
      <c r="J99" s="20">
        <f t="shared" si="5"/>
        <v>0</v>
      </c>
    </row>
    <row r="100" spans="1:10" ht="15.75" thickBot="1" x14ac:dyDescent="0.3">
      <c r="A100" s="8" t="s">
        <v>44</v>
      </c>
      <c r="B100" s="9"/>
      <c r="C100">
        <v>0</v>
      </c>
      <c r="D100" s="11"/>
      <c r="E100" s="11"/>
      <c r="F100" s="24"/>
      <c r="G100" s="7"/>
      <c r="H100" s="27" t="s">
        <v>102</v>
      </c>
      <c r="I100" s="30">
        <v>0</v>
      </c>
      <c r="J100" s="20">
        <f t="shared" si="5"/>
        <v>0</v>
      </c>
    </row>
    <row r="101" spans="1:10" x14ac:dyDescent="0.25">
      <c r="A101" s="8"/>
      <c r="B101" s="9"/>
      <c r="D101" s="11"/>
      <c r="E101" s="12" t="s">
        <v>103</v>
      </c>
      <c r="F101" s="13"/>
      <c r="G101" s="7"/>
      <c r="H101" s="27" t="s">
        <v>104</v>
      </c>
      <c r="I101" s="30">
        <v>7</v>
      </c>
      <c r="J101" s="20">
        <f t="shared" si="5"/>
        <v>0.29166666666666669</v>
      </c>
    </row>
    <row r="102" spans="1:10" x14ac:dyDescent="0.25">
      <c r="A102" s="8" t="s">
        <v>105</v>
      </c>
      <c r="B102" s="9"/>
      <c r="D102" s="11"/>
      <c r="E102" s="17" t="s">
        <v>106</v>
      </c>
      <c r="F102" s="20">
        <f>C103/C$52</f>
        <v>0.69047619047619047</v>
      </c>
      <c r="G102" s="7"/>
      <c r="H102" s="41" t="s">
        <v>107</v>
      </c>
      <c r="I102" s="30">
        <v>1</v>
      </c>
      <c r="J102" s="20">
        <f t="shared" si="5"/>
        <v>4.1666666666666664E-2</v>
      </c>
    </row>
    <row r="103" spans="1:10" x14ac:dyDescent="0.25">
      <c r="A103" s="8" t="s">
        <v>106</v>
      </c>
      <c r="B103" s="9"/>
      <c r="C103">
        <v>29</v>
      </c>
      <c r="D103" s="11"/>
      <c r="E103" s="17" t="s">
        <v>108</v>
      </c>
      <c r="F103" s="20">
        <f>C104/C$52</f>
        <v>0.16666666666666666</v>
      </c>
      <c r="G103" s="7"/>
      <c r="H103" s="41" t="s">
        <v>109</v>
      </c>
      <c r="I103" s="30">
        <v>0</v>
      </c>
      <c r="J103" s="20">
        <f t="shared" si="5"/>
        <v>0</v>
      </c>
    </row>
    <row r="104" spans="1:10" x14ac:dyDescent="0.25">
      <c r="A104" s="8" t="s">
        <v>108</v>
      </c>
      <c r="B104" s="9"/>
      <c r="C104">
        <v>7</v>
      </c>
      <c r="D104" s="11"/>
      <c r="E104" s="17" t="s">
        <v>110</v>
      </c>
      <c r="F104" s="20">
        <f>C105/C$52</f>
        <v>9.5238095238095233E-2</v>
      </c>
      <c r="G104" s="7"/>
      <c r="H104" s="41" t="s">
        <v>111</v>
      </c>
      <c r="I104" s="30">
        <v>4</v>
      </c>
      <c r="J104" s="20">
        <f t="shared" si="5"/>
        <v>0.16666666666666666</v>
      </c>
    </row>
    <row r="105" spans="1:10" x14ac:dyDescent="0.25">
      <c r="A105" s="8" t="s">
        <v>110</v>
      </c>
      <c r="B105" s="9"/>
      <c r="C105">
        <v>4</v>
      </c>
      <c r="D105" s="11"/>
      <c r="E105" s="17" t="s">
        <v>112</v>
      </c>
      <c r="F105" s="20">
        <f>C106/C$52</f>
        <v>2.3809523809523808E-2</v>
      </c>
      <c r="G105" s="7"/>
      <c r="H105" s="41" t="s">
        <v>113</v>
      </c>
      <c r="I105" s="30">
        <v>0</v>
      </c>
      <c r="J105" s="20">
        <f t="shared" si="5"/>
        <v>0</v>
      </c>
    </row>
    <row r="106" spans="1:10" ht="15.75" thickBot="1" x14ac:dyDescent="0.3">
      <c r="A106" s="8" t="s">
        <v>112</v>
      </c>
      <c r="B106" s="9"/>
      <c r="C106">
        <v>1</v>
      </c>
      <c r="E106" s="22" t="s">
        <v>114</v>
      </c>
      <c r="F106" s="26">
        <f>C107/C$52</f>
        <v>2.3809523809523808E-2</v>
      </c>
      <c r="H106" s="42" t="s">
        <v>115</v>
      </c>
      <c r="I106" s="25">
        <v>5</v>
      </c>
      <c r="J106" s="26">
        <f t="shared" si="5"/>
        <v>0.20833333333333334</v>
      </c>
    </row>
    <row r="107" spans="1:10" x14ac:dyDescent="0.25">
      <c r="A107" s="8" t="s">
        <v>114</v>
      </c>
      <c r="B107" s="9"/>
      <c r="C107">
        <v>1</v>
      </c>
      <c r="E107" s="11"/>
      <c r="F107" s="24"/>
    </row>
    <row r="108" spans="1:10" x14ac:dyDescent="0.25">
      <c r="A108" s="8" t="s">
        <v>116</v>
      </c>
      <c r="B108" s="9"/>
      <c r="C108">
        <v>0</v>
      </c>
      <c r="E108" s="11"/>
      <c r="F108" s="24"/>
    </row>
    <row r="109" spans="1:10" x14ac:dyDescent="0.25">
      <c r="A109" s="8"/>
      <c r="B109" s="9"/>
      <c r="E109" s="11"/>
      <c r="F109" s="24"/>
    </row>
    <row r="110" spans="1:10" ht="15.75" thickBot="1" x14ac:dyDescent="0.3"/>
    <row r="111" spans="1:10" x14ac:dyDescent="0.25">
      <c r="A111" s="43" t="s">
        <v>117</v>
      </c>
      <c r="B111" s="87">
        <f>SUM(B112:B114)</f>
        <v>110810.4958108108</v>
      </c>
    </row>
    <row r="112" spans="1:10" x14ac:dyDescent="0.25">
      <c r="A112" s="44" t="s">
        <v>94</v>
      </c>
      <c r="B112" s="45">
        <f>SUM(F2,F5:F6,F9,F11,F13,F17:F19,F25,F30,F32:F33,F36,F39,F41,F43,)</f>
        <v>53979.515810810808</v>
      </c>
    </row>
    <row r="113" spans="1:2" x14ac:dyDescent="0.25">
      <c r="A113" s="44" t="s">
        <v>118</v>
      </c>
      <c r="B113" s="45">
        <f>SUM(F3:F4,F8,F10,F12,F14:F16,F20:F22,F26:F27,F29,F31,F34:F35,F37:F38,F40,F42,,)</f>
        <v>49337.89</v>
      </c>
    </row>
    <row r="114" spans="1:2" x14ac:dyDescent="0.25">
      <c r="A114" s="44" t="s">
        <v>119</v>
      </c>
      <c r="B114" s="45">
        <f>SUM(F7,F23:F24,F28,)</f>
        <v>7493.09</v>
      </c>
    </row>
    <row r="115" spans="1:2" x14ac:dyDescent="0.25">
      <c r="A115" s="44" t="s">
        <v>44</v>
      </c>
      <c r="B115" s="46">
        <v>0</v>
      </c>
    </row>
    <row r="116" spans="1:2" ht="15.75" thickBot="1" x14ac:dyDescent="0.3">
      <c r="A116" s="47"/>
      <c r="B116" s="48"/>
    </row>
  </sheetData>
  <mergeCells count="1">
    <mergeCell ref="A48:F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opLeftCell="A46" workbookViewId="0">
      <selection activeCell="B114" sqref="B114"/>
    </sheetView>
  </sheetViews>
  <sheetFormatPr baseColWidth="10" defaultRowHeight="15" x14ac:dyDescent="0.25"/>
  <cols>
    <col min="1" max="1" width="11.5703125" customWidth="1"/>
    <col min="2" max="2" width="33.5703125" customWidth="1"/>
    <col min="3" max="3" width="12.7109375" customWidth="1"/>
    <col min="4" max="4" width="5.28515625" customWidth="1"/>
    <col min="5" max="5" width="8.28515625" customWidth="1"/>
    <col min="6" max="6" width="12.5703125" customWidth="1"/>
    <col min="7" max="7" width="39.7109375" customWidth="1"/>
  </cols>
  <sheetData>
    <row r="1" spans="1:11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11" x14ac:dyDescent="0.25">
      <c r="A2" s="9">
        <v>45478</v>
      </c>
      <c r="B2" t="s">
        <v>1208</v>
      </c>
      <c r="C2" t="s">
        <v>114</v>
      </c>
      <c r="D2" t="s">
        <v>22</v>
      </c>
      <c r="E2" t="s">
        <v>195</v>
      </c>
      <c r="F2" s="59">
        <v>1575</v>
      </c>
      <c r="G2" t="s">
        <v>1211</v>
      </c>
      <c r="H2" t="s">
        <v>791</v>
      </c>
    </row>
    <row r="3" spans="1:11" x14ac:dyDescent="0.25">
      <c r="A3" s="9">
        <v>45478</v>
      </c>
      <c r="B3" t="s">
        <v>1212</v>
      </c>
      <c r="C3" t="s">
        <v>106</v>
      </c>
      <c r="D3" t="s">
        <v>24</v>
      </c>
      <c r="E3" t="s">
        <v>118</v>
      </c>
      <c r="F3" s="59">
        <v>8944.64</v>
      </c>
      <c r="G3" t="s">
        <v>444</v>
      </c>
      <c r="H3" t="s">
        <v>1221</v>
      </c>
    </row>
    <row r="4" spans="1:11" x14ac:dyDescent="0.25">
      <c r="A4" s="9">
        <v>45479</v>
      </c>
      <c r="B4" t="s">
        <v>1215</v>
      </c>
      <c r="C4" t="s">
        <v>106</v>
      </c>
      <c r="D4" t="s">
        <v>22</v>
      </c>
      <c r="E4" t="s">
        <v>118</v>
      </c>
      <c r="F4" s="59">
        <v>3968.31</v>
      </c>
      <c r="G4" t="s">
        <v>1602</v>
      </c>
      <c r="H4" t="s">
        <v>236</v>
      </c>
    </row>
    <row r="5" spans="1:11" x14ac:dyDescent="0.25">
      <c r="A5" s="9">
        <v>45481</v>
      </c>
      <c r="B5" t="s">
        <v>873</v>
      </c>
      <c r="C5" t="s">
        <v>106</v>
      </c>
      <c r="D5" t="s">
        <v>22</v>
      </c>
      <c r="E5" t="s">
        <v>118</v>
      </c>
      <c r="F5" s="59">
        <v>1228</v>
      </c>
      <c r="G5" t="s">
        <v>1220</v>
      </c>
      <c r="H5" t="s">
        <v>791</v>
      </c>
    </row>
    <row r="6" spans="1:11" x14ac:dyDescent="0.25">
      <c r="A6" s="9">
        <v>45481</v>
      </c>
      <c r="B6" t="s">
        <v>1222</v>
      </c>
      <c r="C6" t="s">
        <v>361</v>
      </c>
      <c r="D6" t="s">
        <v>22</v>
      </c>
      <c r="E6" t="s">
        <v>118</v>
      </c>
      <c r="F6" s="59">
        <v>1931</v>
      </c>
      <c r="G6" t="s">
        <v>1225</v>
      </c>
      <c r="H6" t="s">
        <v>1226</v>
      </c>
    </row>
    <row r="7" spans="1:11" x14ac:dyDescent="0.25">
      <c r="A7" s="9">
        <v>45481</v>
      </c>
      <c r="B7" t="s">
        <v>1227</v>
      </c>
      <c r="C7" t="s">
        <v>361</v>
      </c>
      <c r="D7" t="s">
        <v>22</v>
      </c>
      <c r="E7" t="s">
        <v>118</v>
      </c>
      <c r="F7" s="59">
        <v>1533</v>
      </c>
      <c r="G7" t="s">
        <v>1230</v>
      </c>
      <c r="H7" t="s">
        <v>236</v>
      </c>
    </row>
    <row r="8" spans="1:11" x14ac:dyDescent="0.25">
      <c r="A8" s="9">
        <v>45482</v>
      </c>
      <c r="B8" t="s">
        <v>1236</v>
      </c>
      <c r="C8" t="s">
        <v>362</v>
      </c>
      <c r="D8" t="s">
        <v>22</v>
      </c>
      <c r="E8" t="s">
        <v>118</v>
      </c>
      <c r="F8" s="59">
        <v>987.9</v>
      </c>
      <c r="G8" t="s">
        <v>1239</v>
      </c>
      <c r="H8" t="s">
        <v>1039</v>
      </c>
    </row>
    <row r="9" spans="1:11" x14ac:dyDescent="0.25">
      <c r="A9" s="9">
        <v>45483</v>
      </c>
      <c r="B9" t="s">
        <v>1240</v>
      </c>
      <c r="C9" t="s">
        <v>106</v>
      </c>
      <c r="D9" t="s">
        <v>22</v>
      </c>
      <c r="E9" t="s">
        <v>195</v>
      </c>
      <c r="F9" s="59">
        <v>1557</v>
      </c>
      <c r="G9" t="s">
        <v>1243</v>
      </c>
      <c r="H9" t="s">
        <v>1259</v>
      </c>
    </row>
    <row r="10" spans="1:11" x14ac:dyDescent="0.25">
      <c r="A10" s="9">
        <v>45483</v>
      </c>
      <c r="B10" t="s">
        <v>1244</v>
      </c>
      <c r="C10" t="s">
        <v>106</v>
      </c>
      <c r="D10" t="s">
        <v>22</v>
      </c>
      <c r="E10" t="s">
        <v>118</v>
      </c>
      <c r="F10" s="59">
        <v>2414</v>
      </c>
      <c r="G10" t="s">
        <v>1603</v>
      </c>
      <c r="H10" t="s">
        <v>1260</v>
      </c>
      <c r="K10">
        <v>4</v>
      </c>
    </row>
    <row r="11" spans="1:11" x14ac:dyDescent="0.25">
      <c r="A11" s="9">
        <v>45484</v>
      </c>
      <c r="B11" t="s">
        <v>1248</v>
      </c>
      <c r="C11" t="s">
        <v>362</v>
      </c>
      <c r="D11" t="s">
        <v>22</v>
      </c>
      <c r="E11" t="s">
        <v>118</v>
      </c>
      <c r="F11" s="59">
        <v>1384</v>
      </c>
      <c r="G11" t="s">
        <v>1251</v>
      </c>
      <c r="H11" t="s">
        <v>236</v>
      </c>
    </row>
    <row r="12" spans="1:11" x14ac:dyDescent="0.25">
      <c r="A12" s="9">
        <v>45485</v>
      </c>
      <c r="B12" t="s">
        <v>1255</v>
      </c>
      <c r="C12" t="s">
        <v>106</v>
      </c>
      <c r="D12" t="s">
        <v>22</v>
      </c>
      <c r="E12" t="s">
        <v>119</v>
      </c>
      <c r="F12" s="59">
        <v>1320</v>
      </c>
      <c r="G12" t="s">
        <v>1258</v>
      </c>
      <c r="H12" t="s">
        <v>245</v>
      </c>
    </row>
    <row r="13" spans="1:11" x14ac:dyDescent="0.25">
      <c r="A13" s="9">
        <v>45485</v>
      </c>
      <c r="B13" t="s">
        <v>1261</v>
      </c>
      <c r="C13" t="s">
        <v>106</v>
      </c>
      <c r="D13" t="s">
        <v>22</v>
      </c>
      <c r="E13" t="s">
        <v>119</v>
      </c>
      <c r="F13" s="59">
        <v>1574</v>
      </c>
      <c r="G13" t="s">
        <v>1264</v>
      </c>
      <c r="H13" t="s">
        <v>837</v>
      </c>
    </row>
    <row r="14" spans="1:11" x14ac:dyDescent="0.25">
      <c r="A14" s="9">
        <v>45486</v>
      </c>
      <c r="B14" t="s">
        <v>1265</v>
      </c>
      <c r="C14" t="s">
        <v>106</v>
      </c>
      <c r="D14" t="s">
        <v>22</v>
      </c>
      <c r="E14" t="s">
        <v>118</v>
      </c>
      <c r="F14" s="59">
        <v>1774</v>
      </c>
      <c r="G14" t="s">
        <v>1268</v>
      </c>
      <c r="H14" t="s">
        <v>1269</v>
      </c>
    </row>
    <row r="15" spans="1:11" x14ac:dyDescent="0.25">
      <c r="A15" s="9">
        <v>45488</v>
      </c>
      <c r="B15" t="s">
        <v>1159</v>
      </c>
      <c r="C15" t="s">
        <v>106</v>
      </c>
      <c r="D15" t="s">
        <v>22</v>
      </c>
      <c r="E15" t="s">
        <v>118</v>
      </c>
      <c r="F15" s="59">
        <v>2464</v>
      </c>
      <c r="G15" t="s">
        <v>1271</v>
      </c>
      <c r="H15" t="s">
        <v>1272</v>
      </c>
    </row>
    <row r="16" spans="1:11" x14ac:dyDescent="0.25">
      <c r="A16" s="9">
        <v>45489</v>
      </c>
      <c r="B16" t="s">
        <v>1274</v>
      </c>
      <c r="C16" t="s">
        <v>106</v>
      </c>
      <c r="D16" t="s">
        <v>22</v>
      </c>
      <c r="E16" t="s">
        <v>195</v>
      </c>
      <c r="F16" s="59">
        <v>1428</v>
      </c>
      <c r="G16" t="s">
        <v>1277</v>
      </c>
      <c r="H16" t="s">
        <v>392</v>
      </c>
    </row>
    <row r="17" spans="1:8" x14ac:dyDescent="0.25">
      <c r="A17" s="9">
        <v>45490</v>
      </c>
      <c r="B17" t="s">
        <v>941</v>
      </c>
      <c r="C17" t="s">
        <v>106</v>
      </c>
      <c r="D17" t="s">
        <v>22</v>
      </c>
      <c r="E17" t="s">
        <v>118</v>
      </c>
      <c r="F17" s="59">
        <v>3310.6</v>
      </c>
      <c r="G17" t="s">
        <v>1281</v>
      </c>
      <c r="H17" t="s">
        <v>216</v>
      </c>
    </row>
    <row r="18" spans="1:8" x14ac:dyDescent="0.25">
      <c r="A18" s="9">
        <v>45490</v>
      </c>
      <c r="B18" t="s">
        <v>1282</v>
      </c>
      <c r="C18" t="s">
        <v>106</v>
      </c>
      <c r="D18" t="s">
        <v>22</v>
      </c>
      <c r="E18" t="s">
        <v>118</v>
      </c>
      <c r="F18" s="59">
        <v>2408.25</v>
      </c>
      <c r="G18" t="s">
        <v>1285</v>
      </c>
      <c r="H18" t="s">
        <v>1298</v>
      </c>
    </row>
    <row r="19" spans="1:8" x14ac:dyDescent="0.25">
      <c r="A19" s="9">
        <v>45490</v>
      </c>
      <c r="B19" t="s">
        <v>1286</v>
      </c>
      <c r="C19" t="s">
        <v>361</v>
      </c>
      <c r="D19" t="s">
        <v>22</v>
      </c>
      <c r="E19" t="s">
        <v>195</v>
      </c>
      <c r="F19" s="59">
        <v>1328</v>
      </c>
      <c r="G19" t="s">
        <v>1289</v>
      </c>
      <c r="H19" t="s">
        <v>1290</v>
      </c>
    </row>
    <row r="20" spans="1:8" x14ac:dyDescent="0.25">
      <c r="A20" s="9">
        <v>45491</v>
      </c>
      <c r="B20" t="s">
        <v>1293</v>
      </c>
      <c r="C20" t="s">
        <v>800</v>
      </c>
      <c r="D20" t="s">
        <v>22</v>
      </c>
      <c r="E20" t="s">
        <v>119</v>
      </c>
      <c r="F20" s="59">
        <v>2356</v>
      </c>
      <c r="G20" t="s">
        <v>1296</v>
      </c>
      <c r="H20" t="s">
        <v>1297</v>
      </c>
    </row>
    <row r="21" spans="1:8" x14ac:dyDescent="0.25">
      <c r="A21" s="9">
        <v>45491</v>
      </c>
      <c r="B21" t="s">
        <v>349</v>
      </c>
      <c r="C21" t="s">
        <v>106</v>
      </c>
      <c r="D21" t="s">
        <v>22</v>
      </c>
      <c r="E21" t="s">
        <v>118</v>
      </c>
      <c r="F21" s="59">
        <v>3250</v>
      </c>
      <c r="G21" t="s">
        <v>1300</v>
      </c>
      <c r="H21" t="s">
        <v>216</v>
      </c>
    </row>
    <row r="22" spans="1:8" x14ac:dyDescent="0.25">
      <c r="A22" s="9">
        <v>45492</v>
      </c>
      <c r="B22" t="s">
        <v>1304</v>
      </c>
      <c r="C22" t="s">
        <v>106</v>
      </c>
      <c r="D22" t="s">
        <v>22</v>
      </c>
      <c r="E22" t="s">
        <v>118</v>
      </c>
      <c r="F22" s="59">
        <v>1367</v>
      </c>
      <c r="G22" t="s">
        <v>1307</v>
      </c>
      <c r="H22" t="s">
        <v>1308</v>
      </c>
    </row>
    <row r="23" spans="1:8" x14ac:dyDescent="0.25">
      <c r="A23" s="9">
        <v>45493</v>
      </c>
      <c r="B23" t="s">
        <v>1309</v>
      </c>
      <c r="C23" t="s">
        <v>106</v>
      </c>
      <c r="D23" t="s">
        <v>22</v>
      </c>
      <c r="E23" t="s">
        <v>195</v>
      </c>
      <c r="F23" s="59">
        <v>2639</v>
      </c>
      <c r="G23" t="s">
        <v>1312</v>
      </c>
      <c r="H23" t="s">
        <v>236</v>
      </c>
    </row>
    <row r="24" spans="1:8" x14ac:dyDescent="0.25">
      <c r="A24" s="9">
        <v>45495</v>
      </c>
      <c r="B24" t="s">
        <v>1313</v>
      </c>
      <c r="C24" t="s">
        <v>106</v>
      </c>
      <c r="D24" t="s">
        <v>22</v>
      </c>
      <c r="E24" t="s">
        <v>118</v>
      </c>
      <c r="F24" s="59">
        <v>1623</v>
      </c>
      <c r="G24" t="s">
        <v>1316</v>
      </c>
      <c r="H24" t="s">
        <v>245</v>
      </c>
    </row>
    <row r="25" spans="1:8" x14ac:dyDescent="0.25">
      <c r="A25" s="9">
        <v>45482</v>
      </c>
      <c r="B25" t="s">
        <v>1322</v>
      </c>
      <c r="C25" t="s">
        <v>800</v>
      </c>
      <c r="D25" t="s">
        <v>22</v>
      </c>
      <c r="E25" t="s">
        <v>118</v>
      </c>
      <c r="F25" s="59">
        <v>2286</v>
      </c>
      <c r="G25" t="s">
        <v>251</v>
      </c>
      <c r="H25" t="s">
        <v>1325</v>
      </c>
    </row>
    <row r="26" spans="1:8" x14ac:dyDescent="0.25">
      <c r="A26" s="9">
        <v>45489</v>
      </c>
      <c r="B26" t="s">
        <v>1326</v>
      </c>
      <c r="C26" t="s">
        <v>106</v>
      </c>
      <c r="D26" t="s">
        <v>22</v>
      </c>
      <c r="E26" t="s">
        <v>118</v>
      </c>
      <c r="F26" s="59">
        <v>2630.5</v>
      </c>
      <c r="G26" t="s">
        <v>1329</v>
      </c>
      <c r="H26" t="s">
        <v>1330</v>
      </c>
    </row>
    <row r="27" spans="1:8" x14ac:dyDescent="0.25">
      <c r="A27" s="9">
        <v>45496</v>
      </c>
      <c r="B27" t="s">
        <v>1331</v>
      </c>
      <c r="C27" t="s">
        <v>106</v>
      </c>
      <c r="D27" t="s">
        <v>22</v>
      </c>
      <c r="E27" t="s">
        <v>195</v>
      </c>
      <c r="F27" s="59">
        <v>1552</v>
      </c>
      <c r="G27" t="s">
        <v>1334</v>
      </c>
      <c r="H27" t="s">
        <v>760</v>
      </c>
    </row>
    <row r="28" spans="1:8" x14ac:dyDescent="0.25">
      <c r="A28" s="9">
        <v>45496</v>
      </c>
      <c r="B28" t="s">
        <v>1335</v>
      </c>
      <c r="C28" t="s">
        <v>361</v>
      </c>
      <c r="D28" t="s">
        <v>22</v>
      </c>
      <c r="E28" t="s">
        <v>195</v>
      </c>
      <c r="F28" s="59">
        <v>1483</v>
      </c>
      <c r="G28" t="s">
        <v>1338</v>
      </c>
      <c r="H28" t="s">
        <v>1339</v>
      </c>
    </row>
    <row r="29" spans="1:8" x14ac:dyDescent="0.25">
      <c r="A29" s="9">
        <v>45497</v>
      </c>
      <c r="B29" t="s">
        <v>1340</v>
      </c>
      <c r="C29" t="s">
        <v>800</v>
      </c>
      <c r="D29" t="s">
        <v>22</v>
      </c>
      <c r="E29" t="s">
        <v>119</v>
      </c>
      <c r="F29" s="59">
        <v>2865</v>
      </c>
      <c r="G29" t="s">
        <v>1343</v>
      </c>
      <c r="H29" t="s">
        <v>1344</v>
      </c>
    </row>
    <row r="30" spans="1:8" x14ac:dyDescent="0.25">
      <c r="A30" s="9">
        <v>45498</v>
      </c>
      <c r="B30" t="s">
        <v>434</v>
      </c>
      <c r="C30" t="s">
        <v>362</v>
      </c>
      <c r="D30" t="s">
        <v>22</v>
      </c>
      <c r="E30" t="s">
        <v>195</v>
      </c>
      <c r="F30" s="59">
        <v>1830</v>
      </c>
      <c r="G30" t="s">
        <v>1349</v>
      </c>
      <c r="H30" t="s">
        <v>1259</v>
      </c>
    </row>
    <row r="31" spans="1:8" x14ac:dyDescent="0.25">
      <c r="A31" s="9">
        <v>45498</v>
      </c>
      <c r="B31" t="s">
        <v>1350</v>
      </c>
      <c r="C31" t="s">
        <v>106</v>
      </c>
      <c r="D31" t="s">
        <v>22</v>
      </c>
      <c r="E31" t="s">
        <v>195</v>
      </c>
      <c r="F31" s="59">
        <v>1453</v>
      </c>
      <c r="G31" t="s">
        <v>1353</v>
      </c>
      <c r="H31" t="s">
        <v>1354</v>
      </c>
    </row>
    <row r="32" spans="1:8" x14ac:dyDescent="0.25">
      <c r="A32" s="9">
        <v>45486</v>
      </c>
      <c r="B32" t="s">
        <v>1357</v>
      </c>
      <c r="C32" t="s">
        <v>106</v>
      </c>
      <c r="D32" t="s">
        <v>22</v>
      </c>
      <c r="E32" t="s">
        <v>195</v>
      </c>
      <c r="F32" s="59">
        <v>691.2</v>
      </c>
      <c r="G32" t="s">
        <v>1359</v>
      </c>
      <c r="H32" t="s">
        <v>1360</v>
      </c>
    </row>
    <row r="33" spans="1:8" x14ac:dyDescent="0.25">
      <c r="A33" s="9">
        <v>45500</v>
      </c>
      <c r="B33" t="s">
        <v>1361</v>
      </c>
      <c r="C33" t="s">
        <v>106</v>
      </c>
      <c r="D33" t="s">
        <v>24</v>
      </c>
      <c r="E33" t="s">
        <v>118</v>
      </c>
      <c r="F33" s="59">
        <v>1032.4000000000001</v>
      </c>
      <c r="G33" t="s">
        <v>1364</v>
      </c>
      <c r="H33" t="s">
        <v>1365</v>
      </c>
    </row>
    <row r="34" spans="1:8" x14ac:dyDescent="0.25">
      <c r="A34" s="9">
        <v>45502</v>
      </c>
      <c r="B34" t="s">
        <v>1367</v>
      </c>
      <c r="C34" t="s">
        <v>106</v>
      </c>
      <c r="D34" t="s">
        <v>22</v>
      </c>
      <c r="E34" t="s">
        <v>118</v>
      </c>
      <c r="F34" s="59">
        <v>1533</v>
      </c>
      <c r="G34" t="s">
        <v>1230</v>
      </c>
      <c r="H34" t="s">
        <v>1370</v>
      </c>
    </row>
    <row r="35" spans="1:8" x14ac:dyDescent="0.25">
      <c r="A35" s="9">
        <v>45488</v>
      </c>
      <c r="B35" t="s">
        <v>1376</v>
      </c>
      <c r="C35" t="s">
        <v>361</v>
      </c>
      <c r="D35" t="s">
        <v>22</v>
      </c>
      <c r="E35" t="s">
        <v>195</v>
      </c>
      <c r="F35" s="59">
        <v>1490.5</v>
      </c>
      <c r="G35" t="s">
        <v>1379</v>
      </c>
      <c r="H35" t="s">
        <v>837</v>
      </c>
    </row>
    <row r="36" spans="1:8" x14ac:dyDescent="0.25">
      <c r="A36" s="9">
        <v>45495</v>
      </c>
      <c r="B36" t="s">
        <v>1380</v>
      </c>
      <c r="C36" t="s">
        <v>106</v>
      </c>
      <c r="D36" t="s">
        <v>22</v>
      </c>
      <c r="E36" t="s">
        <v>118</v>
      </c>
      <c r="F36" s="59">
        <v>1095.2</v>
      </c>
      <c r="G36" t="s">
        <v>1383</v>
      </c>
      <c r="H36" t="s">
        <v>265</v>
      </c>
    </row>
    <row r="37" spans="1:8" x14ac:dyDescent="0.25">
      <c r="A37" s="9">
        <v>45497</v>
      </c>
      <c r="B37" t="s">
        <v>1129</v>
      </c>
      <c r="C37" t="s">
        <v>106</v>
      </c>
      <c r="D37" t="s">
        <v>22</v>
      </c>
      <c r="E37" t="s">
        <v>118</v>
      </c>
      <c r="F37" s="59">
        <v>2540</v>
      </c>
      <c r="G37" t="s">
        <v>1076</v>
      </c>
      <c r="H37" t="s">
        <v>1389</v>
      </c>
    </row>
    <row r="38" spans="1:8" x14ac:dyDescent="0.25">
      <c r="A38" s="9">
        <v>45504</v>
      </c>
      <c r="B38" t="s">
        <v>349</v>
      </c>
      <c r="C38" t="s">
        <v>106</v>
      </c>
      <c r="D38" t="s">
        <v>22</v>
      </c>
      <c r="E38" t="s">
        <v>118</v>
      </c>
      <c r="F38" s="59">
        <v>1722</v>
      </c>
      <c r="G38" t="s">
        <v>1384</v>
      </c>
      <c r="H38" t="s">
        <v>236</v>
      </c>
    </row>
    <row r="39" spans="1:8" x14ac:dyDescent="0.25">
      <c r="A39" s="9">
        <v>45504</v>
      </c>
      <c r="B39" t="s">
        <v>1385</v>
      </c>
      <c r="C39" t="s">
        <v>106</v>
      </c>
      <c r="D39" t="s">
        <v>22</v>
      </c>
      <c r="E39" t="s">
        <v>195</v>
      </c>
      <c r="F39" s="59">
        <v>3552.05</v>
      </c>
      <c r="G39" t="s">
        <v>1388</v>
      </c>
      <c r="H39" t="s">
        <v>1425</v>
      </c>
    </row>
    <row r="40" spans="1:8" x14ac:dyDescent="0.25">
      <c r="A40" s="9">
        <v>45479</v>
      </c>
      <c r="B40" t="s">
        <v>1396</v>
      </c>
      <c r="C40" t="s">
        <v>106</v>
      </c>
      <c r="D40" t="s">
        <v>22</v>
      </c>
      <c r="E40" t="s">
        <v>118</v>
      </c>
      <c r="F40" s="59">
        <v>2528.9699999999998</v>
      </c>
      <c r="G40" t="s">
        <v>1397</v>
      </c>
      <c r="H40" t="s">
        <v>1398</v>
      </c>
    </row>
    <row r="41" spans="1:8" x14ac:dyDescent="0.25">
      <c r="A41" s="9">
        <v>45492</v>
      </c>
      <c r="B41" t="s">
        <v>1399</v>
      </c>
      <c r="C41" t="s">
        <v>106</v>
      </c>
      <c r="D41" t="s">
        <v>22</v>
      </c>
      <c r="E41" t="s">
        <v>195</v>
      </c>
      <c r="F41" s="59">
        <v>2020.76</v>
      </c>
      <c r="G41" t="s">
        <v>1402</v>
      </c>
      <c r="H41" t="s">
        <v>236</v>
      </c>
    </row>
    <row r="42" spans="1:8" x14ac:dyDescent="0.25">
      <c r="A42" s="9">
        <v>45493</v>
      </c>
      <c r="B42" t="s">
        <v>1413</v>
      </c>
      <c r="C42" t="s">
        <v>106</v>
      </c>
      <c r="D42" t="s">
        <v>22</v>
      </c>
      <c r="E42" t="s">
        <v>195</v>
      </c>
      <c r="F42" s="59">
        <v>5074</v>
      </c>
      <c r="G42" t="s">
        <v>1424</v>
      </c>
      <c r="H42" t="s">
        <v>236</v>
      </c>
    </row>
    <row r="43" spans="1:8" x14ac:dyDescent="0.25">
      <c r="A43" s="9">
        <v>45502</v>
      </c>
      <c r="B43" t="s">
        <v>1429</v>
      </c>
      <c r="C43" t="s">
        <v>361</v>
      </c>
      <c r="D43" t="s">
        <v>22</v>
      </c>
      <c r="E43" t="s">
        <v>195</v>
      </c>
      <c r="F43" s="59">
        <v>1260</v>
      </c>
      <c r="G43" t="s">
        <v>1440</v>
      </c>
      <c r="H43" t="s">
        <v>1433</v>
      </c>
    </row>
    <row r="44" spans="1:8" x14ac:dyDescent="0.25">
      <c r="A44" s="9">
        <v>45504</v>
      </c>
      <c r="B44" t="s">
        <v>1442</v>
      </c>
      <c r="C44" t="s">
        <v>106</v>
      </c>
      <c r="D44" t="s">
        <v>22</v>
      </c>
      <c r="E44" t="s">
        <v>119</v>
      </c>
      <c r="F44" s="59">
        <v>1318</v>
      </c>
      <c r="G44" t="s">
        <v>1239</v>
      </c>
      <c r="H44" t="s">
        <v>1446</v>
      </c>
    </row>
    <row r="45" spans="1:8" x14ac:dyDescent="0.25">
      <c r="A45" s="9">
        <v>45503</v>
      </c>
      <c r="B45" t="s">
        <v>1464</v>
      </c>
      <c r="C45" t="s">
        <v>106</v>
      </c>
      <c r="D45" t="s">
        <v>22</v>
      </c>
      <c r="E45" t="s">
        <v>195</v>
      </c>
      <c r="F45" s="59">
        <v>6419</v>
      </c>
      <c r="G45" t="s">
        <v>1465</v>
      </c>
      <c r="H45" t="s">
        <v>1457</v>
      </c>
    </row>
    <row r="46" spans="1:8" x14ac:dyDescent="0.25">
      <c r="A46" s="9">
        <v>45488</v>
      </c>
      <c r="B46" t="s">
        <v>1532</v>
      </c>
      <c r="C46" t="s">
        <v>106</v>
      </c>
      <c r="D46" t="s">
        <v>22</v>
      </c>
      <c r="E46" t="s">
        <v>195</v>
      </c>
      <c r="F46" s="59">
        <v>3381</v>
      </c>
      <c r="G46" t="s">
        <v>1535</v>
      </c>
      <c r="H46" t="s">
        <v>236</v>
      </c>
    </row>
    <row r="47" spans="1:8" x14ac:dyDescent="0.25">
      <c r="A47" s="9">
        <v>45498</v>
      </c>
      <c r="B47" t="s">
        <v>1589</v>
      </c>
      <c r="C47" t="s">
        <v>106</v>
      </c>
      <c r="D47" t="s">
        <v>24</v>
      </c>
      <c r="E47" t="s">
        <v>118</v>
      </c>
      <c r="F47" s="59">
        <v>1309.5</v>
      </c>
      <c r="G47" t="s">
        <v>1601</v>
      </c>
      <c r="H47" t="s">
        <v>228</v>
      </c>
    </row>
    <row r="50" spans="1:10" ht="15.75" thickBot="1" x14ac:dyDescent="0.3">
      <c r="A50" s="97" t="s">
        <v>8</v>
      </c>
      <c r="B50" s="97"/>
      <c r="C50" s="97"/>
      <c r="D50" s="97"/>
      <c r="E50" s="97"/>
      <c r="F50" s="97"/>
      <c r="G50" s="7"/>
    </row>
    <row r="51" spans="1:10" x14ac:dyDescent="0.25">
      <c r="A51" s="8" t="s">
        <v>9</v>
      </c>
      <c r="B51" s="9"/>
      <c r="C51" s="10">
        <f>SUM(F2:F48)</f>
        <v>103431.77999999998</v>
      </c>
      <c r="D51" s="11"/>
      <c r="E51" s="12" t="s">
        <v>10</v>
      </c>
      <c r="F51" s="13"/>
      <c r="G51" s="7"/>
      <c r="H51" s="14" t="s">
        <v>11</v>
      </c>
      <c r="I51" s="15">
        <v>20</v>
      </c>
      <c r="J51" s="16"/>
    </row>
    <row r="52" spans="1:10" x14ac:dyDescent="0.25">
      <c r="A52" s="8"/>
      <c r="B52" s="9"/>
      <c r="C52" s="10"/>
      <c r="D52" s="11"/>
      <c r="E52" s="17" t="s">
        <v>12</v>
      </c>
      <c r="F52" s="18">
        <v>103431.77999999998</v>
      </c>
      <c r="G52" s="7"/>
      <c r="H52" s="17" t="s">
        <v>13</v>
      </c>
      <c r="I52" s="19">
        <v>6</v>
      </c>
      <c r="J52" s="20">
        <f>I52/I$51</f>
        <v>0.3</v>
      </c>
    </row>
    <row r="53" spans="1:10" ht="15.75" thickBot="1" x14ac:dyDescent="0.3">
      <c r="A53" s="8" t="s">
        <v>14</v>
      </c>
      <c r="B53" s="9"/>
      <c r="C53" s="21">
        <v>27</v>
      </c>
      <c r="D53" s="11"/>
      <c r="E53" s="22" t="s">
        <v>15</v>
      </c>
      <c r="F53" s="23">
        <f>C51/C53</f>
        <v>3830.8066666666659</v>
      </c>
      <c r="G53" s="7"/>
      <c r="H53" s="17" t="s">
        <v>16</v>
      </c>
      <c r="I53" s="19">
        <v>14</v>
      </c>
      <c r="J53" s="20">
        <f>I53/I$51</f>
        <v>0.7</v>
      </c>
    </row>
    <row r="54" spans="1:10" ht="15.75" thickBot="1" x14ac:dyDescent="0.3">
      <c r="A54" s="8" t="s">
        <v>17</v>
      </c>
      <c r="B54" s="9"/>
      <c r="C54">
        <v>46</v>
      </c>
      <c r="D54" s="11"/>
      <c r="E54" s="11"/>
      <c r="F54" s="24"/>
      <c r="G54" s="7"/>
      <c r="H54" s="22" t="s">
        <v>18</v>
      </c>
      <c r="I54" s="25">
        <v>0</v>
      </c>
      <c r="J54" s="26">
        <f>I54/I$51</f>
        <v>0</v>
      </c>
    </row>
    <row r="55" spans="1:10" x14ac:dyDescent="0.25">
      <c r="A55" s="8"/>
      <c r="B55" s="9"/>
      <c r="D55" s="11" t="s">
        <v>19</v>
      </c>
      <c r="E55" s="12" t="s">
        <v>20</v>
      </c>
      <c r="F55" s="13"/>
      <c r="G55" s="7"/>
    </row>
    <row r="56" spans="1:10" ht="15.75" thickBot="1" x14ac:dyDescent="0.3">
      <c r="A56" s="8" t="s">
        <v>21</v>
      </c>
      <c r="B56" s="9"/>
      <c r="C56">
        <v>43</v>
      </c>
      <c r="D56" s="11" t="s">
        <v>19</v>
      </c>
      <c r="E56" s="17" t="s">
        <v>22</v>
      </c>
      <c r="F56" s="20">
        <f>C56/C$54</f>
        <v>0.93478260869565222</v>
      </c>
      <c r="G56" s="7"/>
    </row>
    <row r="57" spans="1:10" ht="15.75" thickBot="1" x14ac:dyDescent="0.3">
      <c r="A57" s="8" t="s">
        <v>23</v>
      </c>
      <c r="B57" s="9"/>
      <c r="C57">
        <v>3</v>
      </c>
      <c r="D57" s="11"/>
      <c r="E57" s="22" t="s">
        <v>24</v>
      </c>
      <c r="F57" s="26">
        <f>C57/C$54</f>
        <v>6.5217391304347824E-2</v>
      </c>
      <c r="G57" s="7"/>
      <c r="H57" s="14" t="s">
        <v>25</v>
      </c>
      <c r="I57" s="15">
        <v>30</v>
      </c>
      <c r="J57" s="16"/>
    </row>
    <row r="58" spans="1:10" ht="15.75" thickBot="1" x14ac:dyDescent="0.3">
      <c r="A58" s="8"/>
      <c r="B58" s="9"/>
      <c r="D58" s="11"/>
      <c r="E58" s="11"/>
      <c r="F58" s="24"/>
      <c r="G58" s="7"/>
      <c r="H58" s="27" t="s">
        <v>26</v>
      </c>
      <c r="I58" s="30">
        <v>16</v>
      </c>
      <c r="J58" s="20">
        <f>I58/I$57</f>
        <v>0.53333333333333333</v>
      </c>
    </row>
    <row r="59" spans="1:10" x14ac:dyDescent="0.25">
      <c r="A59" s="8" t="s">
        <v>27</v>
      </c>
      <c r="B59" s="9"/>
      <c r="D59" s="11"/>
      <c r="E59" s="12" t="s">
        <v>28</v>
      </c>
      <c r="F59" s="13"/>
      <c r="G59" s="7"/>
      <c r="H59" s="27" t="s">
        <v>29</v>
      </c>
      <c r="I59" s="30">
        <v>9</v>
      </c>
      <c r="J59" s="20">
        <f>I59/I$57</f>
        <v>0.3</v>
      </c>
    </row>
    <row r="60" spans="1:10" ht="15.75" thickBot="1" x14ac:dyDescent="0.3">
      <c r="A60" s="8" t="s">
        <v>30</v>
      </c>
      <c r="B60" s="9"/>
      <c r="C60">
        <v>1</v>
      </c>
      <c r="D60" s="11"/>
      <c r="E60" s="28" t="s">
        <v>30</v>
      </c>
      <c r="F60" s="20">
        <f>C60/C$69</f>
        <v>1.0309278350515464E-2</v>
      </c>
      <c r="G60" s="7"/>
      <c r="H60" s="29" t="s">
        <v>31</v>
      </c>
      <c r="I60" s="25">
        <v>5</v>
      </c>
      <c r="J60" s="26">
        <f>I60/I$57</f>
        <v>0.16666666666666666</v>
      </c>
    </row>
    <row r="61" spans="1:10" ht="15.75" thickBot="1" x14ac:dyDescent="0.3">
      <c r="A61" s="8" t="s">
        <v>11</v>
      </c>
      <c r="B61" s="9"/>
      <c r="C61">
        <v>20</v>
      </c>
      <c r="D61" s="11"/>
      <c r="E61" s="28" t="s">
        <v>11</v>
      </c>
      <c r="F61" s="20">
        <f t="shared" ref="F61:F68" si="0">C61/C$69</f>
        <v>0.20618556701030927</v>
      </c>
      <c r="G61" s="7"/>
    </row>
    <row r="62" spans="1:10" x14ac:dyDescent="0.25">
      <c r="A62" s="8" t="s">
        <v>32</v>
      </c>
      <c r="B62" s="9"/>
      <c r="C62">
        <v>30</v>
      </c>
      <c r="D62" s="11"/>
      <c r="E62" s="28" t="s">
        <v>32</v>
      </c>
      <c r="F62" s="20">
        <f t="shared" si="0"/>
        <v>0.30927835051546393</v>
      </c>
      <c r="G62" s="11" t="s">
        <v>19</v>
      </c>
      <c r="H62" s="14" t="s">
        <v>33</v>
      </c>
      <c r="I62" s="15">
        <v>5</v>
      </c>
      <c r="J62" s="13">
        <f t="shared" ref="J62:J73" si="1">I62/I$57</f>
        <v>0.16666666666666666</v>
      </c>
    </row>
    <row r="63" spans="1:10" x14ac:dyDescent="0.25">
      <c r="A63" s="8" t="s">
        <v>34</v>
      </c>
      <c r="B63" s="9"/>
      <c r="C63">
        <v>0</v>
      </c>
      <c r="D63" s="11"/>
      <c r="E63" s="28" t="s">
        <v>34</v>
      </c>
      <c r="F63" s="20">
        <f t="shared" si="0"/>
        <v>0</v>
      </c>
      <c r="G63" s="7"/>
      <c r="H63" s="27" t="s">
        <v>35</v>
      </c>
      <c r="I63" s="30">
        <v>5</v>
      </c>
      <c r="J63" s="20">
        <f t="shared" si="1"/>
        <v>0.16666666666666666</v>
      </c>
    </row>
    <row r="64" spans="1:10" x14ac:dyDescent="0.25">
      <c r="A64" s="8" t="s">
        <v>36</v>
      </c>
      <c r="B64" s="9"/>
      <c r="C64">
        <v>11</v>
      </c>
      <c r="D64" s="11"/>
      <c r="E64" s="28" t="s">
        <v>36</v>
      </c>
      <c r="F64" s="20">
        <f t="shared" si="0"/>
        <v>0.1134020618556701</v>
      </c>
      <c r="G64" s="7"/>
      <c r="H64" s="27" t="s">
        <v>37</v>
      </c>
      <c r="I64" s="30">
        <v>1</v>
      </c>
      <c r="J64" s="20">
        <f t="shared" si="1"/>
        <v>3.3333333333333333E-2</v>
      </c>
    </row>
    <row r="65" spans="1:10" x14ac:dyDescent="0.25">
      <c r="A65" s="8" t="s">
        <v>38</v>
      </c>
      <c r="B65" s="9"/>
      <c r="C65">
        <v>3</v>
      </c>
      <c r="D65" s="11"/>
      <c r="E65" s="28" t="s">
        <v>38</v>
      </c>
      <c r="F65" s="20">
        <f t="shared" si="0"/>
        <v>3.0927835051546393E-2</v>
      </c>
      <c r="G65" s="7"/>
      <c r="H65" s="27" t="s">
        <v>39</v>
      </c>
      <c r="I65" s="30">
        <v>2</v>
      </c>
      <c r="J65" s="20">
        <f t="shared" si="1"/>
        <v>6.6666666666666666E-2</v>
      </c>
    </row>
    <row r="66" spans="1:10" x14ac:dyDescent="0.25">
      <c r="A66" s="8" t="s">
        <v>40</v>
      </c>
      <c r="B66" s="9"/>
      <c r="C66">
        <v>13</v>
      </c>
      <c r="D66" s="11"/>
      <c r="E66" s="28" t="s">
        <v>40</v>
      </c>
      <c r="F66" s="20">
        <f t="shared" si="0"/>
        <v>0.13402061855670103</v>
      </c>
      <c r="G66" s="7"/>
      <c r="H66" s="27" t="s">
        <v>41</v>
      </c>
      <c r="I66" s="30">
        <v>4</v>
      </c>
      <c r="J66" s="20">
        <f t="shared" si="1"/>
        <v>0.13333333333333333</v>
      </c>
    </row>
    <row r="67" spans="1:10" x14ac:dyDescent="0.25">
      <c r="A67" s="8" t="s">
        <v>42</v>
      </c>
      <c r="B67" s="9"/>
      <c r="C67">
        <v>2</v>
      </c>
      <c r="D67" s="11"/>
      <c r="E67" s="28" t="s">
        <v>42</v>
      </c>
      <c r="F67" s="20">
        <f t="shared" si="0"/>
        <v>2.0618556701030927E-2</v>
      </c>
      <c r="G67" s="7"/>
      <c r="H67" s="27" t="s">
        <v>43</v>
      </c>
      <c r="I67" s="30">
        <v>11</v>
      </c>
      <c r="J67" s="20">
        <f t="shared" si="1"/>
        <v>0.36666666666666664</v>
      </c>
    </row>
    <row r="68" spans="1:10" ht="15.75" thickBot="1" x14ac:dyDescent="0.3">
      <c r="A68" s="8" t="s">
        <v>44</v>
      </c>
      <c r="B68" s="9"/>
      <c r="C68">
        <v>17</v>
      </c>
      <c r="D68" s="11"/>
      <c r="E68" s="31" t="s">
        <v>44</v>
      </c>
      <c r="F68" s="26">
        <f t="shared" si="0"/>
        <v>0.17525773195876287</v>
      </c>
      <c r="G68" s="11" t="s">
        <v>19</v>
      </c>
      <c r="H68" s="32" t="s">
        <v>45</v>
      </c>
      <c r="I68" s="30">
        <v>1</v>
      </c>
      <c r="J68" s="20">
        <f t="shared" si="1"/>
        <v>3.3333333333333333E-2</v>
      </c>
    </row>
    <row r="69" spans="1:10" ht="15.75" thickBot="1" x14ac:dyDescent="0.3">
      <c r="A69" s="8" t="s">
        <v>46</v>
      </c>
      <c r="B69" s="9"/>
      <c r="C69">
        <f>SUM(C60:C68)</f>
        <v>97</v>
      </c>
      <c r="D69" s="11"/>
      <c r="E69" s="8"/>
      <c r="F69" s="24"/>
      <c r="G69" s="7"/>
      <c r="H69" s="32" t="s">
        <v>47</v>
      </c>
      <c r="I69" s="30">
        <v>0</v>
      </c>
      <c r="J69" s="20">
        <f t="shared" si="1"/>
        <v>0</v>
      </c>
    </row>
    <row r="70" spans="1:10" x14ac:dyDescent="0.25">
      <c r="A70" s="8"/>
      <c r="B70" s="9"/>
      <c r="D70" s="11"/>
      <c r="E70" s="33" t="s">
        <v>48</v>
      </c>
      <c r="F70" s="13"/>
      <c r="G70" s="7"/>
      <c r="H70" s="32" t="s">
        <v>49</v>
      </c>
      <c r="I70" s="30">
        <v>1</v>
      </c>
      <c r="J70" s="20">
        <f t="shared" si="1"/>
        <v>3.3333333333333333E-2</v>
      </c>
    </row>
    <row r="71" spans="1:10" x14ac:dyDescent="0.25">
      <c r="A71" s="8" t="s">
        <v>50</v>
      </c>
      <c r="B71" s="9"/>
      <c r="D71" s="11"/>
      <c r="E71" s="28" t="s">
        <v>51</v>
      </c>
      <c r="F71" s="20">
        <f>C72/C$82</f>
        <v>0.37614678899082571</v>
      </c>
      <c r="G71" s="7"/>
      <c r="H71" s="27" t="s">
        <v>52</v>
      </c>
      <c r="I71" s="30">
        <v>0</v>
      </c>
      <c r="J71" s="20">
        <f t="shared" si="1"/>
        <v>0</v>
      </c>
    </row>
    <row r="72" spans="1:10" x14ac:dyDescent="0.25">
      <c r="A72" s="8" t="s">
        <v>51</v>
      </c>
      <c r="B72" s="9"/>
      <c r="C72">
        <v>41</v>
      </c>
      <c r="D72" s="11"/>
      <c r="E72" s="28" t="s">
        <v>53</v>
      </c>
      <c r="F72" s="20">
        <f t="shared" ref="F72:F80" si="2">C73/C$82</f>
        <v>0.24770642201834864</v>
      </c>
      <c r="G72" s="7"/>
      <c r="H72" s="32" t="s">
        <v>54</v>
      </c>
      <c r="I72" s="30">
        <v>0</v>
      </c>
      <c r="J72" s="20">
        <f t="shared" si="1"/>
        <v>0</v>
      </c>
    </row>
    <row r="73" spans="1:10" ht="15.75" thickBot="1" x14ac:dyDescent="0.3">
      <c r="A73" s="8" t="s">
        <v>53</v>
      </c>
      <c r="B73" s="9"/>
      <c r="C73">
        <v>27</v>
      </c>
      <c r="D73" s="11"/>
      <c r="E73" s="28" t="s">
        <v>55</v>
      </c>
      <c r="F73" s="20">
        <f t="shared" si="2"/>
        <v>2.7522935779816515E-2</v>
      </c>
      <c r="G73" s="7"/>
      <c r="H73" s="34" t="s">
        <v>56</v>
      </c>
      <c r="I73" s="25">
        <v>0</v>
      </c>
      <c r="J73" s="26">
        <f t="shared" si="1"/>
        <v>0</v>
      </c>
    </row>
    <row r="74" spans="1:10" x14ac:dyDescent="0.25">
      <c r="A74" s="8" t="s">
        <v>55</v>
      </c>
      <c r="B74" s="9"/>
      <c r="C74">
        <v>3</v>
      </c>
      <c r="D74" s="11"/>
      <c r="E74" s="28" t="s">
        <v>57</v>
      </c>
      <c r="F74" s="20">
        <f t="shared" si="2"/>
        <v>0.10091743119266056</v>
      </c>
      <c r="G74" s="7"/>
    </row>
    <row r="75" spans="1:10" ht="15.75" thickBot="1" x14ac:dyDescent="0.3">
      <c r="A75" s="8" t="s">
        <v>57</v>
      </c>
      <c r="B75" s="9"/>
      <c r="C75">
        <v>11</v>
      </c>
      <c r="D75" s="11"/>
      <c r="E75" s="28" t="s">
        <v>58</v>
      </c>
      <c r="F75" s="20">
        <f t="shared" si="2"/>
        <v>0.11926605504587157</v>
      </c>
      <c r="G75" s="11" t="s">
        <v>19</v>
      </c>
    </row>
    <row r="76" spans="1:10" x14ac:dyDescent="0.25">
      <c r="A76" s="8" t="s">
        <v>58</v>
      </c>
      <c r="B76" s="9"/>
      <c r="C76">
        <v>13</v>
      </c>
      <c r="D76" s="11"/>
      <c r="E76" s="28" t="s">
        <v>59</v>
      </c>
      <c r="F76" s="20">
        <f t="shared" si="2"/>
        <v>0</v>
      </c>
      <c r="G76" s="7"/>
      <c r="H76" s="14" t="s">
        <v>36</v>
      </c>
      <c r="I76" s="15">
        <v>11</v>
      </c>
      <c r="J76" s="16"/>
    </row>
    <row r="77" spans="1:10" x14ac:dyDescent="0.25">
      <c r="A77" s="8" t="s">
        <v>59</v>
      </c>
      <c r="B77" s="9"/>
      <c r="C77">
        <v>0</v>
      </c>
      <c r="D77" s="11"/>
      <c r="E77" s="28" t="s">
        <v>60</v>
      </c>
      <c r="F77" s="20">
        <f t="shared" si="2"/>
        <v>0</v>
      </c>
      <c r="G77" s="7"/>
      <c r="H77" s="27" t="s">
        <v>61</v>
      </c>
      <c r="I77" s="19">
        <v>5</v>
      </c>
      <c r="J77" s="20">
        <f>I77/I$76</f>
        <v>0.45454545454545453</v>
      </c>
    </row>
    <row r="78" spans="1:10" ht="15.75" thickBot="1" x14ac:dyDescent="0.3">
      <c r="A78" s="8" t="s">
        <v>60</v>
      </c>
      <c r="B78" s="9"/>
      <c r="C78">
        <v>0</v>
      </c>
      <c r="D78" s="11"/>
      <c r="E78" s="28" t="s">
        <v>62</v>
      </c>
      <c r="F78" s="20">
        <f t="shared" si="2"/>
        <v>9.1743119266055051E-3</v>
      </c>
      <c r="G78" s="7"/>
      <c r="H78" s="29" t="s">
        <v>63</v>
      </c>
      <c r="I78" s="25">
        <v>6</v>
      </c>
      <c r="J78" s="26">
        <f>I78/I$76</f>
        <v>0.54545454545454541</v>
      </c>
    </row>
    <row r="79" spans="1:10" x14ac:dyDescent="0.25">
      <c r="A79" s="8" t="s">
        <v>62</v>
      </c>
      <c r="B79" s="9"/>
      <c r="C79">
        <v>1</v>
      </c>
      <c r="D79" s="11"/>
      <c r="E79" s="28" t="s">
        <v>64</v>
      </c>
      <c r="F79" s="20">
        <f t="shared" si="2"/>
        <v>9.1743119266055051E-3</v>
      </c>
      <c r="G79" s="7"/>
    </row>
    <row r="80" spans="1:10" ht="15.75" thickBot="1" x14ac:dyDescent="0.3">
      <c r="A80" s="8" t="s">
        <v>64</v>
      </c>
      <c r="B80" s="9"/>
      <c r="C80">
        <v>1</v>
      </c>
      <c r="D80" s="11"/>
      <c r="E80" s="31" t="s">
        <v>65</v>
      </c>
      <c r="F80" s="26">
        <f t="shared" si="2"/>
        <v>0.11009174311926606</v>
      </c>
      <c r="G80" s="7"/>
    </row>
    <row r="81" spans="1:10" ht="15.75" thickBot="1" x14ac:dyDescent="0.3">
      <c r="A81" s="8" t="s">
        <v>65</v>
      </c>
      <c r="B81" s="9"/>
      <c r="C81">
        <v>12</v>
      </c>
      <c r="D81" s="11"/>
      <c r="E81" s="8"/>
      <c r="F81" s="24"/>
      <c r="G81" s="7"/>
      <c r="H81" s="14" t="s">
        <v>66</v>
      </c>
      <c r="I81" s="15">
        <v>2</v>
      </c>
      <c r="J81" s="16"/>
    </row>
    <row r="82" spans="1:10" x14ac:dyDescent="0.25">
      <c r="A82" s="8" t="s">
        <v>67</v>
      </c>
      <c r="B82" s="9"/>
      <c r="C82">
        <f>SUM(C72:C81)</f>
        <v>109</v>
      </c>
      <c r="D82" s="11"/>
      <c r="E82" s="33" t="s">
        <v>68</v>
      </c>
      <c r="F82" s="13"/>
      <c r="G82" s="7"/>
      <c r="H82" s="27" t="s">
        <v>69</v>
      </c>
      <c r="I82" s="30">
        <v>1</v>
      </c>
      <c r="J82" s="20">
        <f t="shared" ref="J82:J87" si="3">I82/I$81</f>
        <v>0.5</v>
      </c>
    </row>
    <row r="83" spans="1:10" x14ac:dyDescent="0.25">
      <c r="A83" s="8"/>
      <c r="B83" s="9"/>
      <c r="D83" s="11"/>
      <c r="E83" s="35" t="s">
        <v>70</v>
      </c>
      <c r="F83" s="20">
        <f>C84/C$54</f>
        <v>0.67391304347826086</v>
      </c>
      <c r="G83" s="7"/>
      <c r="H83" s="27" t="s">
        <v>71</v>
      </c>
      <c r="I83" s="30">
        <v>1</v>
      </c>
      <c r="J83" s="20">
        <f t="shared" si="3"/>
        <v>0.5</v>
      </c>
    </row>
    <row r="84" spans="1:10" x14ac:dyDescent="0.25">
      <c r="A84" s="8" t="s">
        <v>72</v>
      </c>
      <c r="B84" s="9"/>
      <c r="C84">
        <v>31</v>
      </c>
      <c r="D84" s="11"/>
      <c r="E84" s="35" t="s">
        <v>73</v>
      </c>
      <c r="F84" s="20">
        <f>C85/C$54</f>
        <v>4.3478260869565216E-2</v>
      </c>
      <c r="G84" s="7"/>
      <c r="H84" s="27" t="s">
        <v>74</v>
      </c>
      <c r="I84" s="30">
        <v>0</v>
      </c>
      <c r="J84" s="20">
        <f t="shared" si="3"/>
        <v>0</v>
      </c>
    </row>
    <row r="85" spans="1:10" ht="15.75" thickBot="1" x14ac:dyDescent="0.3">
      <c r="A85" s="8" t="s">
        <v>75</v>
      </c>
      <c r="B85" s="9"/>
      <c r="C85">
        <v>2</v>
      </c>
      <c r="D85" s="11"/>
      <c r="E85" s="36" t="s">
        <v>76</v>
      </c>
      <c r="F85" s="26">
        <f>C86/C$54</f>
        <v>0.28260869565217389</v>
      </c>
      <c r="G85" s="7"/>
      <c r="H85" s="27" t="s">
        <v>77</v>
      </c>
      <c r="I85" s="30">
        <v>0</v>
      </c>
      <c r="J85" s="20">
        <f t="shared" si="3"/>
        <v>0</v>
      </c>
    </row>
    <row r="86" spans="1:10" ht="15.75" thickBot="1" x14ac:dyDescent="0.3">
      <c r="A86" s="8" t="s">
        <v>78</v>
      </c>
      <c r="B86" s="9"/>
      <c r="C86">
        <v>13</v>
      </c>
      <c r="D86" s="11"/>
      <c r="E86" s="37"/>
      <c r="F86" s="24"/>
      <c r="G86" s="11" t="s">
        <v>19</v>
      </c>
      <c r="H86" s="27" t="s">
        <v>79</v>
      </c>
      <c r="I86" s="30">
        <v>0</v>
      </c>
      <c r="J86" s="20">
        <f t="shared" si="3"/>
        <v>0</v>
      </c>
    </row>
    <row r="87" spans="1:10" ht="15.75" thickBot="1" x14ac:dyDescent="0.3">
      <c r="A87" s="8"/>
      <c r="B87" s="9"/>
      <c r="D87" s="11"/>
      <c r="E87" s="38" t="s">
        <v>20</v>
      </c>
      <c r="F87" s="13"/>
      <c r="G87" s="7"/>
      <c r="H87" s="29" t="s">
        <v>80</v>
      </c>
      <c r="I87" s="25">
        <v>0</v>
      </c>
      <c r="J87" s="26">
        <f t="shared" si="3"/>
        <v>0</v>
      </c>
    </row>
    <row r="88" spans="1:10" x14ac:dyDescent="0.25">
      <c r="A88" s="8" t="s">
        <v>20</v>
      </c>
      <c r="B88" s="9"/>
      <c r="D88" s="11"/>
      <c r="E88" s="28" t="s">
        <v>81</v>
      </c>
      <c r="F88" s="20">
        <f>C89/C$54</f>
        <v>0.47826086956521741</v>
      </c>
      <c r="G88" s="7"/>
    </row>
    <row r="89" spans="1:10" ht="15.75" thickBot="1" x14ac:dyDescent="0.3">
      <c r="A89" s="8" t="s">
        <v>82</v>
      </c>
      <c r="B89" s="9"/>
      <c r="C89">
        <v>22</v>
      </c>
      <c r="D89" s="11"/>
      <c r="E89" s="31" t="s">
        <v>83</v>
      </c>
      <c r="F89" s="26">
        <f>C90/C$54</f>
        <v>0.52173913043478259</v>
      </c>
      <c r="G89" s="7"/>
    </row>
    <row r="90" spans="1:10" ht="15.75" thickBot="1" x14ac:dyDescent="0.3">
      <c r="A90" s="8" t="s">
        <v>83</v>
      </c>
      <c r="B90" s="9"/>
      <c r="C90">
        <v>24</v>
      </c>
      <c r="D90" s="11"/>
      <c r="E90" s="39"/>
      <c r="F90" s="40"/>
      <c r="G90" s="7"/>
      <c r="H90" s="14" t="s">
        <v>40</v>
      </c>
      <c r="I90" s="15">
        <v>13</v>
      </c>
      <c r="J90" s="16"/>
    </row>
    <row r="91" spans="1:10" x14ac:dyDescent="0.25">
      <c r="A91" s="8"/>
      <c r="B91" s="9"/>
      <c r="D91" s="11"/>
      <c r="E91" s="14" t="s">
        <v>84</v>
      </c>
      <c r="F91" s="13"/>
      <c r="G91" s="7"/>
      <c r="H91" s="27" t="s">
        <v>85</v>
      </c>
      <c r="I91" s="30">
        <v>0</v>
      </c>
      <c r="J91" s="20">
        <f>I91/I$90</f>
        <v>0</v>
      </c>
    </row>
    <row r="92" spans="1:10" x14ac:dyDescent="0.25">
      <c r="A92" t="s">
        <v>84</v>
      </c>
      <c r="D92" s="11"/>
      <c r="E92" s="27" t="s">
        <v>86</v>
      </c>
      <c r="F92" s="20">
        <f>C93/C$90</f>
        <v>0.95833333333333337</v>
      </c>
      <c r="G92" s="7"/>
      <c r="H92" s="27" t="s">
        <v>87</v>
      </c>
      <c r="I92" s="19">
        <v>3</v>
      </c>
      <c r="J92" s="20">
        <f>I92/I$90</f>
        <v>0.23076923076923078</v>
      </c>
    </row>
    <row r="93" spans="1:10" ht="15.75" thickBot="1" x14ac:dyDescent="0.3">
      <c r="A93" t="s">
        <v>86</v>
      </c>
      <c r="C93">
        <v>23</v>
      </c>
      <c r="D93" s="11"/>
      <c r="E93" s="29" t="s">
        <v>88</v>
      </c>
      <c r="F93" s="26">
        <f>C94/C$90</f>
        <v>4.1666666666666664E-2</v>
      </c>
      <c r="G93" s="7"/>
      <c r="H93" s="27" t="s">
        <v>89</v>
      </c>
      <c r="I93" s="30">
        <v>3</v>
      </c>
      <c r="J93" s="20">
        <f>I93/I$90</f>
        <v>0.23076923076923078</v>
      </c>
    </row>
    <row r="94" spans="1:10" ht="15.75" thickBot="1" x14ac:dyDescent="0.3">
      <c r="A94" t="s">
        <v>88</v>
      </c>
      <c r="C94">
        <v>1</v>
      </c>
      <c r="D94" s="11"/>
      <c r="E94" s="39"/>
      <c r="F94" s="40"/>
      <c r="G94" s="7"/>
      <c r="H94" s="27" t="s">
        <v>90</v>
      </c>
      <c r="I94" s="30">
        <v>0</v>
      </c>
      <c r="J94" s="20">
        <f>I94/I$90</f>
        <v>0</v>
      </c>
    </row>
    <row r="95" spans="1:10" ht="15.75" thickBot="1" x14ac:dyDescent="0.3">
      <c r="A95" s="8"/>
      <c r="B95" s="9"/>
      <c r="D95" s="11"/>
      <c r="E95" s="33" t="s">
        <v>91</v>
      </c>
      <c r="F95" s="13"/>
      <c r="G95" s="7"/>
      <c r="H95" s="29" t="s">
        <v>92</v>
      </c>
      <c r="I95" s="25">
        <v>7</v>
      </c>
      <c r="J95" s="26">
        <f>I95/I$90</f>
        <v>0.53846153846153844</v>
      </c>
    </row>
    <row r="96" spans="1:10" x14ac:dyDescent="0.25">
      <c r="A96" s="8" t="s">
        <v>93</v>
      </c>
      <c r="B96" s="9"/>
      <c r="D96" s="11"/>
      <c r="E96" s="28" t="s">
        <v>94</v>
      </c>
      <c r="F96" s="20">
        <f t="shared" ref="F96:F101" si="4">C97/C$54</f>
        <v>0.36956521739130432</v>
      </c>
      <c r="G96" s="7"/>
    </row>
    <row r="97" spans="1:10" ht="15.75" thickBot="1" x14ac:dyDescent="0.3">
      <c r="A97" s="8" t="s">
        <v>94</v>
      </c>
      <c r="B97" s="9"/>
      <c r="C97">
        <v>17</v>
      </c>
      <c r="D97" s="11"/>
      <c r="E97" s="17" t="s">
        <v>95</v>
      </c>
      <c r="F97" s="20">
        <f t="shared" si="4"/>
        <v>0.10869565217391304</v>
      </c>
      <c r="G97" s="7"/>
    </row>
    <row r="98" spans="1:10" x14ac:dyDescent="0.25">
      <c r="A98" s="8" t="s">
        <v>95</v>
      </c>
      <c r="B98" s="9"/>
      <c r="C98">
        <v>5</v>
      </c>
      <c r="D98" s="11"/>
      <c r="E98" s="17" t="s">
        <v>96</v>
      </c>
      <c r="F98" s="20">
        <f t="shared" si="4"/>
        <v>0</v>
      </c>
      <c r="G98" s="7"/>
      <c r="H98" s="14" t="s">
        <v>44</v>
      </c>
      <c r="I98" s="15">
        <v>17</v>
      </c>
      <c r="J98" s="16"/>
    </row>
    <row r="99" spans="1:10" x14ac:dyDescent="0.25">
      <c r="A99" s="8" t="s">
        <v>96</v>
      </c>
      <c r="B99" s="9"/>
      <c r="C99">
        <v>0</v>
      </c>
      <c r="D99" s="11"/>
      <c r="E99" s="17" t="s">
        <v>97</v>
      </c>
      <c r="F99" s="20">
        <f t="shared" si="4"/>
        <v>0</v>
      </c>
      <c r="G99" s="7"/>
      <c r="H99" s="27" t="s">
        <v>98</v>
      </c>
      <c r="I99" s="30">
        <v>2</v>
      </c>
      <c r="J99" s="20">
        <f>I99/I$98</f>
        <v>0.11764705882352941</v>
      </c>
    </row>
    <row r="100" spans="1:10" x14ac:dyDescent="0.25">
      <c r="A100" s="8" t="s">
        <v>97</v>
      </c>
      <c r="B100" s="9"/>
      <c r="C100">
        <v>0</v>
      </c>
      <c r="D100" s="11"/>
      <c r="E100" s="17" t="s">
        <v>99</v>
      </c>
      <c r="F100" s="20">
        <f t="shared" si="4"/>
        <v>0</v>
      </c>
      <c r="G100" s="7"/>
      <c r="H100" s="27" t="s">
        <v>100</v>
      </c>
      <c r="I100" s="30">
        <v>3</v>
      </c>
      <c r="J100" s="20">
        <f t="shared" ref="J100:J108" si="5">I100/I$98</f>
        <v>0.17647058823529413</v>
      </c>
    </row>
    <row r="101" spans="1:10" ht="15.75" thickBot="1" x14ac:dyDescent="0.3">
      <c r="A101" s="8" t="s">
        <v>99</v>
      </c>
      <c r="B101" s="9"/>
      <c r="C101">
        <v>0</v>
      </c>
      <c r="D101" s="11"/>
      <c r="E101" s="22" t="s">
        <v>44</v>
      </c>
      <c r="F101" s="26">
        <f t="shared" si="4"/>
        <v>0</v>
      </c>
      <c r="G101" s="7"/>
      <c r="H101" s="27" t="s">
        <v>101</v>
      </c>
      <c r="I101" s="30">
        <v>0</v>
      </c>
      <c r="J101" s="20">
        <f t="shared" si="5"/>
        <v>0</v>
      </c>
    </row>
    <row r="102" spans="1:10" ht="15.75" thickBot="1" x14ac:dyDescent="0.3">
      <c r="A102" s="8" t="s">
        <v>44</v>
      </c>
      <c r="B102" s="9"/>
      <c r="C102">
        <v>0</v>
      </c>
      <c r="D102" s="11"/>
      <c r="E102" s="11"/>
      <c r="F102" s="24"/>
      <c r="G102" s="7"/>
      <c r="H102" s="27" t="s">
        <v>102</v>
      </c>
      <c r="I102" s="30">
        <v>0</v>
      </c>
      <c r="J102" s="20">
        <f t="shared" si="5"/>
        <v>0</v>
      </c>
    </row>
    <row r="103" spans="1:10" x14ac:dyDescent="0.25">
      <c r="A103" s="8"/>
      <c r="B103" s="9"/>
      <c r="D103" s="11"/>
      <c r="E103" s="12" t="s">
        <v>103</v>
      </c>
      <c r="F103" s="13"/>
      <c r="G103" s="7"/>
      <c r="H103" s="27" t="s">
        <v>104</v>
      </c>
      <c r="I103" s="30">
        <v>6</v>
      </c>
      <c r="J103" s="20">
        <f t="shared" si="5"/>
        <v>0.35294117647058826</v>
      </c>
    </row>
    <row r="104" spans="1:10" x14ac:dyDescent="0.25">
      <c r="A104" s="8" t="s">
        <v>105</v>
      </c>
      <c r="B104" s="9"/>
      <c r="D104" s="11"/>
      <c r="E104" s="17" t="s">
        <v>106</v>
      </c>
      <c r="F104" s="20">
        <f>C105/C$54</f>
        <v>0.71739130434782605</v>
      </c>
      <c r="G104" s="7"/>
      <c r="H104" s="41" t="s">
        <v>107</v>
      </c>
      <c r="I104" s="30">
        <v>2</v>
      </c>
      <c r="J104" s="20">
        <f t="shared" si="5"/>
        <v>0.11764705882352941</v>
      </c>
    </row>
    <row r="105" spans="1:10" x14ac:dyDescent="0.25">
      <c r="A105" s="8" t="s">
        <v>106</v>
      </c>
      <c r="B105" s="9"/>
      <c r="C105">
        <v>33</v>
      </c>
      <c r="D105" s="11"/>
      <c r="E105" s="17" t="s">
        <v>108</v>
      </c>
      <c r="F105" s="20">
        <f>C106/C$54</f>
        <v>0.13043478260869565</v>
      </c>
      <c r="G105" s="7"/>
      <c r="H105" s="41" t="s">
        <v>109</v>
      </c>
      <c r="I105" s="30">
        <v>3</v>
      </c>
      <c r="J105" s="20">
        <f t="shared" si="5"/>
        <v>0.17647058823529413</v>
      </c>
    </row>
    <row r="106" spans="1:10" x14ac:dyDescent="0.25">
      <c r="A106" s="8" t="s">
        <v>108</v>
      </c>
      <c r="B106" s="9"/>
      <c r="C106">
        <v>6</v>
      </c>
      <c r="D106" s="11"/>
      <c r="E106" s="17" t="s">
        <v>110</v>
      </c>
      <c r="F106" s="20">
        <f>C107/C$54</f>
        <v>6.5217391304347824E-2</v>
      </c>
      <c r="G106" s="7"/>
      <c r="H106" s="41" t="s">
        <v>111</v>
      </c>
      <c r="I106" s="30">
        <v>1</v>
      </c>
      <c r="J106" s="20">
        <f t="shared" si="5"/>
        <v>5.8823529411764705E-2</v>
      </c>
    </row>
    <row r="107" spans="1:10" x14ac:dyDescent="0.25">
      <c r="A107" s="8" t="s">
        <v>110</v>
      </c>
      <c r="B107" s="9"/>
      <c r="C107">
        <v>3</v>
      </c>
      <c r="D107" s="11"/>
      <c r="E107" s="17" t="s">
        <v>112</v>
      </c>
      <c r="F107" s="20">
        <f>C108/C$54</f>
        <v>6.5217391304347824E-2</v>
      </c>
      <c r="G107" s="7"/>
      <c r="H107" s="41" t="s">
        <v>113</v>
      </c>
      <c r="I107" s="30">
        <v>0</v>
      </c>
      <c r="J107" s="20">
        <f t="shared" si="5"/>
        <v>0</v>
      </c>
    </row>
    <row r="108" spans="1:10" ht="15.75" thickBot="1" x14ac:dyDescent="0.3">
      <c r="A108" s="8" t="s">
        <v>112</v>
      </c>
      <c r="B108" s="9"/>
      <c r="C108">
        <v>3</v>
      </c>
      <c r="E108" s="22" t="s">
        <v>114</v>
      </c>
      <c r="F108" s="26">
        <f>C109/C$54</f>
        <v>2.1739130434782608E-2</v>
      </c>
      <c r="H108" s="42" t="s">
        <v>115</v>
      </c>
      <c r="I108" s="25">
        <v>0</v>
      </c>
      <c r="J108" s="26">
        <f t="shared" si="5"/>
        <v>0</v>
      </c>
    </row>
    <row r="109" spans="1:10" x14ac:dyDescent="0.25">
      <c r="A109" s="8" t="s">
        <v>114</v>
      </c>
      <c r="B109" s="9"/>
      <c r="C109">
        <v>1</v>
      </c>
      <c r="E109" s="11"/>
      <c r="F109" s="24"/>
    </row>
    <row r="110" spans="1:10" x14ac:dyDescent="0.25">
      <c r="A110" s="8" t="s">
        <v>116</v>
      </c>
      <c r="B110" s="9"/>
      <c r="C110">
        <v>0</v>
      </c>
      <c r="E110" s="11"/>
      <c r="F110" s="24"/>
    </row>
    <row r="111" spans="1:10" x14ac:dyDescent="0.25">
      <c r="A111" s="8"/>
      <c r="B111" s="9"/>
      <c r="E111" s="11"/>
      <c r="F111" s="24"/>
    </row>
    <row r="112" spans="1:10" ht="15.75" thickBot="1" x14ac:dyDescent="0.3"/>
    <row r="113" spans="1:2" x14ac:dyDescent="0.25">
      <c r="A113" s="43" t="s">
        <v>117</v>
      </c>
      <c r="B113" s="87">
        <f>SUM(B114:B117)</f>
        <v>103431.78</v>
      </c>
    </row>
    <row r="114" spans="1:2" x14ac:dyDescent="0.25">
      <c r="A114" s="44" t="s">
        <v>94</v>
      </c>
      <c r="B114" s="45">
        <f>SUM(F2,F9,F16,F19,F23,F27:F28,F30:F32,F35,F39,F41:F43,F45:F46,,)</f>
        <v>38733.509999999995</v>
      </c>
    </row>
    <row r="115" spans="1:2" x14ac:dyDescent="0.25">
      <c r="A115" s="44" t="s">
        <v>118</v>
      </c>
      <c r="B115" s="45">
        <f>SUM(F3:F8,F10:F11,F14:F15,F17:F18,F21:F22,F24:F26,F33:F34,F36:F38,F40,F47)</f>
        <v>55265.27</v>
      </c>
    </row>
    <row r="116" spans="1:2" x14ac:dyDescent="0.25">
      <c r="A116" s="44" t="s">
        <v>119</v>
      </c>
      <c r="B116" s="45">
        <f>SUM(F12:F13,F20,F29,F44,)</f>
        <v>9433</v>
      </c>
    </row>
    <row r="117" spans="1:2" x14ac:dyDescent="0.25">
      <c r="A117" s="44" t="s">
        <v>44</v>
      </c>
      <c r="B117" s="46">
        <v>0</v>
      </c>
    </row>
    <row r="118" spans="1:2" ht="15.75" thickBot="1" x14ac:dyDescent="0.3">
      <c r="A118" s="47"/>
      <c r="B118" s="48"/>
    </row>
  </sheetData>
  <mergeCells count="1">
    <mergeCell ref="A50:F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27" workbookViewId="0">
      <selection activeCell="F48" sqref="F48"/>
    </sheetView>
  </sheetViews>
  <sheetFormatPr baseColWidth="10" defaultRowHeight="15" x14ac:dyDescent="0.25"/>
  <cols>
    <col min="1" max="1" width="10.42578125" customWidth="1"/>
    <col min="2" max="2" width="30.28515625" customWidth="1"/>
    <col min="3" max="3" width="13" customWidth="1"/>
    <col min="4" max="4" width="5.7109375" customWidth="1"/>
    <col min="5" max="5" width="7.85546875" customWidth="1"/>
    <col min="7" max="7" width="39.285156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45505</v>
      </c>
      <c r="B2" t="s">
        <v>1417</v>
      </c>
      <c r="C2" t="s">
        <v>106</v>
      </c>
      <c r="D2" t="s">
        <v>22</v>
      </c>
      <c r="E2" t="s">
        <v>195</v>
      </c>
      <c r="F2" s="59">
        <v>1575</v>
      </c>
      <c r="G2" t="s">
        <v>1405</v>
      </c>
      <c r="H2" t="s">
        <v>1418</v>
      </c>
    </row>
    <row r="3" spans="1:8" x14ac:dyDescent="0.25">
      <c r="A3" s="9">
        <v>45506</v>
      </c>
      <c r="B3" t="s">
        <v>1406</v>
      </c>
      <c r="C3" t="s">
        <v>800</v>
      </c>
      <c r="D3" t="s">
        <v>22</v>
      </c>
      <c r="E3" t="s">
        <v>118</v>
      </c>
      <c r="F3" s="59">
        <v>1233</v>
      </c>
      <c r="G3" t="s">
        <v>1409</v>
      </c>
      <c r="H3" t="s">
        <v>245</v>
      </c>
    </row>
    <row r="4" spans="1:8" x14ac:dyDescent="0.25">
      <c r="A4" s="9">
        <v>45507</v>
      </c>
      <c r="B4" t="s">
        <v>978</v>
      </c>
      <c r="C4" t="s">
        <v>106</v>
      </c>
      <c r="D4" t="s">
        <v>22</v>
      </c>
      <c r="E4" t="s">
        <v>118</v>
      </c>
      <c r="F4" s="59">
        <v>2641</v>
      </c>
      <c r="G4" t="s">
        <v>1410</v>
      </c>
      <c r="H4" t="s">
        <v>1419</v>
      </c>
    </row>
    <row r="5" spans="1:8" x14ac:dyDescent="0.25">
      <c r="A5" s="9">
        <v>45509</v>
      </c>
      <c r="B5" t="s">
        <v>1420</v>
      </c>
      <c r="C5" t="s">
        <v>361</v>
      </c>
      <c r="D5" t="s">
        <v>22</v>
      </c>
      <c r="E5" s="59" t="s">
        <v>195</v>
      </c>
      <c r="F5" s="59">
        <v>2330</v>
      </c>
      <c r="G5" t="s">
        <v>1423</v>
      </c>
      <c r="H5" t="s">
        <v>236</v>
      </c>
    </row>
    <row r="6" spans="1:8" x14ac:dyDescent="0.25">
      <c r="A6" s="9">
        <v>45510</v>
      </c>
      <c r="B6" t="s">
        <v>605</v>
      </c>
      <c r="C6" t="s">
        <v>361</v>
      </c>
      <c r="D6" t="s">
        <v>22</v>
      </c>
      <c r="E6" t="s">
        <v>118</v>
      </c>
      <c r="F6" s="59">
        <v>984</v>
      </c>
      <c r="G6" t="s">
        <v>1434</v>
      </c>
      <c r="H6" t="s">
        <v>1435</v>
      </c>
    </row>
    <row r="7" spans="1:8" x14ac:dyDescent="0.25">
      <c r="A7" s="9">
        <v>45511</v>
      </c>
      <c r="B7" t="s">
        <v>1436</v>
      </c>
      <c r="C7" t="s">
        <v>361</v>
      </c>
      <c r="D7" t="s">
        <v>22</v>
      </c>
      <c r="E7" t="s">
        <v>195</v>
      </c>
      <c r="F7" s="59">
        <v>1038</v>
      </c>
      <c r="G7" t="s">
        <v>1439</v>
      </c>
      <c r="H7" t="s">
        <v>1308</v>
      </c>
    </row>
    <row r="8" spans="1:8" x14ac:dyDescent="0.25">
      <c r="A8" s="9">
        <v>45514</v>
      </c>
      <c r="B8" t="s">
        <v>1448</v>
      </c>
      <c r="C8" t="s">
        <v>116</v>
      </c>
      <c r="D8" t="s">
        <v>22</v>
      </c>
      <c r="E8" t="s">
        <v>195</v>
      </c>
      <c r="F8" s="59">
        <v>2540</v>
      </c>
      <c r="G8" t="s">
        <v>1451</v>
      </c>
      <c r="H8" t="s">
        <v>245</v>
      </c>
    </row>
    <row r="9" spans="1:8" x14ac:dyDescent="0.25">
      <c r="A9" s="9">
        <v>45507</v>
      </c>
      <c r="B9" t="s">
        <v>1459</v>
      </c>
      <c r="C9" t="s">
        <v>361</v>
      </c>
      <c r="D9" t="s">
        <v>22</v>
      </c>
      <c r="E9" t="s">
        <v>195</v>
      </c>
      <c r="F9" s="59">
        <v>1700</v>
      </c>
      <c r="G9" t="s">
        <v>1462</v>
      </c>
      <c r="H9" t="s">
        <v>1463</v>
      </c>
    </row>
    <row r="10" spans="1:8" x14ac:dyDescent="0.25">
      <c r="A10" s="9">
        <v>45511</v>
      </c>
      <c r="B10" t="s">
        <v>1467</v>
      </c>
      <c r="C10" t="s">
        <v>106</v>
      </c>
      <c r="D10" t="s">
        <v>22</v>
      </c>
      <c r="E10" t="s">
        <v>195</v>
      </c>
      <c r="F10" s="59">
        <v>2454.1</v>
      </c>
      <c r="G10" t="s">
        <v>1470</v>
      </c>
      <c r="H10" t="s">
        <v>216</v>
      </c>
    </row>
    <row r="11" spans="1:8" x14ac:dyDescent="0.25">
      <c r="A11" s="9">
        <v>45513</v>
      </c>
      <c r="B11" t="s">
        <v>1474</v>
      </c>
      <c r="C11" t="s">
        <v>106</v>
      </c>
      <c r="D11" t="s">
        <v>22</v>
      </c>
      <c r="E11" t="s">
        <v>118</v>
      </c>
      <c r="F11" s="59">
        <v>1406</v>
      </c>
      <c r="G11" t="s">
        <v>1477</v>
      </c>
      <c r="H11" t="s">
        <v>1507</v>
      </c>
    </row>
    <row r="12" spans="1:8" x14ac:dyDescent="0.25">
      <c r="A12" s="9">
        <v>45517</v>
      </c>
      <c r="B12" t="s">
        <v>1478</v>
      </c>
      <c r="C12" t="s">
        <v>106</v>
      </c>
      <c r="D12" t="s">
        <v>22</v>
      </c>
      <c r="E12" t="s">
        <v>195</v>
      </c>
      <c r="F12" s="59">
        <v>2566</v>
      </c>
      <c r="G12" t="s">
        <v>273</v>
      </c>
      <c r="H12" t="s">
        <v>1481</v>
      </c>
    </row>
    <row r="13" spans="1:8" x14ac:dyDescent="0.25">
      <c r="A13" s="9">
        <v>45517</v>
      </c>
      <c r="B13" t="s">
        <v>1482</v>
      </c>
      <c r="C13" t="s">
        <v>106</v>
      </c>
      <c r="D13" t="s">
        <v>22</v>
      </c>
      <c r="E13" t="s">
        <v>118</v>
      </c>
      <c r="F13" s="59">
        <v>1038</v>
      </c>
      <c r="G13" t="s">
        <v>585</v>
      </c>
      <c r="H13" t="s">
        <v>1496</v>
      </c>
    </row>
    <row r="14" spans="1:8" x14ac:dyDescent="0.25">
      <c r="A14" s="9">
        <v>45518</v>
      </c>
      <c r="B14" t="s">
        <v>1487</v>
      </c>
      <c r="C14" t="s">
        <v>106</v>
      </c>
      <c r="D14" t="s">
        <v>22</v>
      </c>
      <c r="E14" t="s">
        <v>118</v>
      </c>
      <c r="F14" s="59">
        <v>2356</v>
      </c>
      <c r="G14" t="s">
        <v>1490</v>
      </c>
      <c r="H14" t="s">
        <v>1508</v>
      </c>
    </row>
    <row r="15" spans="1:8" x14ac:dyDescent="0.25">
      <c r="A15" s="9">
        <v>45518</v>
      </c>
      <c r="B15" t="s">
        <v>1491</v>
      </c>
      <c r="C15" t="s">
        <v>106</v>
      </c>
      <c r="D15" t="s">
        <v>22</v>
      </c>
      <c r="E15" t="s">
        <v>195</v>
      </c>
      <c r="F15" s="59">
        <v>2074</v>
      </c>
      <c r="G15" t="s">
        <v>1494</v>
      </c>
      <c r="H15" t="s">
        <v>1495</v>
      </c>
    </row>
    <row r="16" spans="1:8" x14ac:dyDescent="0.25">
      <c r="A16" s="9">
        <v>45520</v>
      </c>
      <c r="B16" t="s">
        <v>1499</v>
      </c>
      <c r="C16" t="s">
        <v>106</v>
      </c>
      <c r="D16" t="s">
        <v>22</v>
      </c>
      <c r="E16" t="s">
        <v>195</v>
      </c>
      <c r="F16" s="59">
        <v>6404.36</v>
      </c>
      <c r="G16" t="s">
        <v>1502</v>
      </c>
      <c r="H16" t="s">
        <v>1091</v>
      </c>
    </row>
    <row r="17" spans="1:8" x14ac:dyDescent="0.25">
      <c r="A17" s="9">
        <v>45521</v>
      </c>
      <c r="B17" t="s">
        <v>1503</v>
      </c>
      <c r="C17" t="s">
        <v>106</v>
      </c>
      <c r="D17" t="s">
        <v>22</v>
      </c>
      <c r="E17" t="s">
        <v>195</v>
      </c>
      <c r="F17" s="59">
        <v>4404</v>
      </c>
      <c r="G17" t="s">
        <v>1506</v>
      </c>
      <c r="H17" t="s">
        <v>1509</v>
      </c>
    </row>
    <row r="18" spans="1:8" x14ac:dyDescent="0.25">
      <c r="A18" s="9">
        <v>45523</v>
      </c>
      <c r="B18" t="s">
        <v>1513</v>
      </c>
      <c r="C18" t="s">
        <v>361</v>
      </c>
      <c r="D18" t="s">
        <v>22</v>
      </c>
      <c r="E18" t="s">
        <v>195</v>
      </c>
      <c r="F18" s="59">
        <v>1490</v>
      </c>
      <c r="G18" t="s">
        <v>1515</v>
      </c>
      <c r="H18" t="s">
        <v>1523</v>
      </c>
    </row>
    <row r="19" spans="1:8" x14ac:dyDescent="0.25">
      <c r="A19" s="9">
        <v>45523</v>
      </c>
      <c r="B19" t="s">
        <v>1516</v>
      </c>
      <c r="C19" t="s">
        <v>106</v>
      </c>
      <c r="D19" t="s">
        <v>22</v>
      </c>
      <c r="E19" t="s">
        <v>195</v>
      </c>
      <c r="F19" s="59">
        <v>1266</v>
      </c>
      <c r="G19" t="s">
        <v>1519</v>
      </c>
      <c r="H19" t="s">
        <v>1520</v>
      </c>
    </row>
    <row r="20" spans="1:8" x14ac:dyDescent="0.25">
      <c r="A20" s="9">
        <v>45516</v>
      </c>
      <c r="B20" t="s">
        <v>1464</v>
      </c>
      <c r="C20" t="s">
        <v>106</v>
      </c>
      <c r="D20" t="s">
        <v>22</v>
      </c>
      <c r="E20" t="s">
        <v>118</v>
      </c>
      <c r="F20" s="59">
        <v>5093.8999999999996</v>
      </c>
      <c r="G20" t="s">
        <v>1456</v>
      </c>
      <c r="H20" t="s">
        <v>1552</v>
      </c>
    </row>
    <row r="21" spans="1:8" x14ac:dyDescent="0.25">
      <c r="A21" s="9">
        <v>45519</v>
      </c>
      <c r="B21" t="s">
        <v>1528</v>
      </c>
      <c r="C21" t="s">
        <v>800</v>
      </c>
      <c r="D21" t="s">
        <v>22</v>
      </c>
      <c r="E21" t="s">
        <v>119</v>
      </c>
      <c r="F21" s="59">
        <v>2046.52</v>
      </c>
      <c r="G21" t="s">
        <v>1531</v>
      </c>
      <c r="H21" t="s">
        <v>236</v>
      </c>
    </row>
    <row r="22" spans="1:8" x14ac:dyDescent="0.25">
      <c r="A22" s="9">
        <v>45524</v>
      </c>
      <c r="B22" t="s">
        <v>1536</v>
      </c>
      <c r="C22" t="s">
        <v>106</v>
      </c>
      <c r="D22" t="s">
        <v>24</v>
      </c>
      <c r="E22" t="s">
        <v>195</v>
      </c>
      <c r="F22" s="59">
        <v>3782.92</v>
      </c>
      <c r="G22" t="s">
        <v>1539</v>
      </c>
      <c r="H22" t="s">
        <v>1553</v>
      </c>
    </row>
    <row r="23" spans="1:8" x14ac:dyDescent="0.25">
      <c r="A23" s="9">
        <v>45524</v>
      </c>
      <c r="B23" t="s">
        <v>1540</v>
      </c>
      <c r="C23" t="s">
        <v>106</v>
      </c>
      <c r="D23" t="s">
        <v>22</v>
      </c>
      <c r="E23" t="s">
        <v>118</v>
      </c>
      <c r="F23" s="59">
        <v>992</v>
      </c>
      <c r="G23" t="s">
        <v>1543</v>
      </c>
      <c r="H23" t="s">
        <v>236</v>
      </c>
    </row>
    <row r="24" spans="1:8" x14ac:dyDescent="0.25">
      <c r="A24" s="9">
        <v>45520</v>
      </c>
      <c r="B24" t="s">
        <v>1549</v>
      </c>
      <c r="C24" t="s">
        <v>106</v>
      </c>
      <c r="D24" t="s">
        <v>22</v>
      </c>
      <c r="E24" t="s">
        <v>118</v>
      </c>
      <c r="F24" s="59">
        <v>1407</v>
      </c>
      <c r="G24" t="s">
        <v>1239</v>
      </c>
      <c r="H24" t="s">
        <v>236</v>
      </c>
    </row>
    <row r="25" spans="1:8" x14ac:dyDescent="0.25">
      <c r="A25" s="9">
        <v>45527</v>
      </c>
      <c r="B25" t="s">
        <v>485</v>
      </c>
      <c r="C25" t="s">
        <v>106</v>
      </c>
      <c r="D25" t="s">
        <v>24</v>
      </c>
      <c r="E25" t="s">
        <v>118</v>
      </c>
      <c r="F25" s="59">
        <v>3659.84</v>
      </c>
      <c r="G25" t="s">
        <v>841</v>
      </c>
      <c r="H25" t="s">
        <v>1575</v>
      </c>
    </row>
    <row r="26" spans="1:8" x14ac:dyDescent="0.25">
      <c r="A26" s="9">
        <v>45527</v>
      </c>
      <c r="B26" t="s">
        <v>1554</v>
      </c>
      <c r="C26" t="s">
        <v>361</v>
      </c>
      <c r="D26" t="s">
        <v>24</v>
      </c>
      <c r="E26" t="s">
        <v>118</v>
      </c>
      <c r="F26" s="59">
        <v>1262.08</v>
      </c>
      <c r="G26" t="s">
        <v>1556</v>
      </c>
      <c r="H26" t="s">
        <v>448</v>
      </c>
    </row>
    <row r="27" spans="1:8" x14ac:dyDescent="0.25">
      <c r="A27" s="9">
        <v>45528</v>
      </c>
      <c r="B27" t="s">
        <v>941</v>
      </c>
      <c r="C27" t="s">
        <v>106</v>
      </c>
      <c r="D27" t="s">
        <v>24</v>
      </c>
      <c r="E27" t="s">
        <v>118</v>
      </c>
      <c r="F27" s="59">
        <v>2741.08</v>
      </c>
      <c r="G27" t="s">
        <v>1557</v>
      </c>
      <c r="H27" t="s">
        <v>1576</v>
      </c>
    </row>
    <row r="28" spans="1:8" x14ac:dyDescent="0.25">
      <c r="A28" s="9">
        <v>45527</v>
      </c>
      <c r="B28" t="s">
        <v>1558</v>
      </c>
      <c r="C28" t="s">
        <v>106</v>
      </c>
      <c r="D28" t="s">
        <v>22</v>
      </c>
      <c r="E28" t="s">
        <v>1561</v>
      </c>
      <c r="F28" s="59">
        <v>4008</v>
      </c>
      <c r="G28" t="s">
        <v>1562</v>
      </c>
      <c r="H28" t="s">
        <v>1563</v>
      </c>
    </row>
    <row r="29" spans="1:8" x14ac:dyDescent="0.25">
      <c r="A29" s="9">
        <v>45525</v>
      </c>
      <c r="B29" t="s">
        <v>1565</v>
      </c>
      <c r="C29" t="s">
        <v>800</v>
      </c>
      <c r="D29" t="s">
        <v>22</v>
      </c>
      <c r="E29" t="s">
        <v>118</v>
      </c>
      <c r="F29" s="59">
        <v>1563.16</v>
      </c>
      <c r="G29" t="s">
        <v>628</v>
      </c>
      <c r="H29" t="s">
        <v>1457</v>
      </c>
    </row>
    <row r="30" spans="1:8" x14ac:dyDescent="0.25">
      <c r="A30" s="9">
        <v>45520</v>
      </c>
      <c r="B30" t="s">
        <v>1571</v>
      </c>
      <c r="C30" t="s">
        <v>361</v>
      </c>
      <c r="D30" t="s">
        <v>22</v>
      </c>
      <c r="E30" t="s">
        <v>195</v>
      </c>
      <c r="F30" s="59">
        <v>1706.25</v>
      </c>
      <c r="G30" t="s">
        <v>1574</v>
      </c>
      <c r="H30" t="s">
        <v>265</v>
      </c>
    </row>
    <row r="31" spans="1:8" x14ac:dyDescent="0.25">
      <c r="A31" s="9">
        <v>45525</v>
      </c>
      <c r="B31" t="s">
        <v>1577</v>
      </c>
      <c r="C31" t="s">
        <v>106</v>
      </c>
      <c r="D31" t="s">
        <v>22</v>
      </c>
      <c r="E31" t="s">
        <v>118</v>
      </c>
      <c r="F31" s="59">
        <v>2280.64</v>
      </c>
      <c r="G31" t="s">
        <v>1580</v>
      </c>
      <c r="H31" t="s">
        <v>527</v>
      </c>
    </row>
    <row r="32" spans="1:8" x14ac:dyDescent="0.25">
      <c r="A32" s="9">
        <v>45532</v>
      </c>
      <c r="B32" t="s">
        <v>1582</v>
      </c>
      <c r="C32" t="s">
        <v>364</v>
      </c>
      <c r="D32" t="s">
        <v>22</v>
      </c>
      <c r="E32" t="s">
        <v>118</v>
      </c>
      <c r="F32" s="59">
        <v>2251</v>
      </c>
      <c r="G32" t="s">
        <v>1585</v>
      </c>
      <c r="H32" t="s">
        <v>296</v>
      </c>
    </row>
    <row r="33" spans="1:10" x14ac:dyDescent="0.25">
      <c r="A33" s="9">
        <v>45534</v>
      </c>
      <c r="B33" t="s">
        <v>1592</v>
      </c>
      <c r="C33" t="s">
        <v>106</v>
      </c>
      <c r="D33" t="s">
        <v>22</v>
      </c>
      <c r="E33" t="s">
        <v>118</v>
      </c>
      <c r="F33" s="59">
        <v>1907</v>
      </c>
      <c r="G33" t="s">
        <v>1595</v>
      </c>
      <c r="H33" t="s">
        <v>216</v>
      </c>
    </row>
    <row r="34" spans="1:10" x14ac:dyDescent="0.25">
      <c r="A34" s="9">
        <v>45535</v>
      </c>
      <c r="B34" t="s">
        <v>1596</v>
      </c>
      <c r="C34" t="s">
        <v>361</v>
      </c>
      <c r="D34" t="s">
        <v>22</v>
      </c>
      <c r="E34" t="s">
        <v>195</v>
      </c>
      <c r="F34" s="59">
        <v>1012</v>
      </c>
      <c r="G34" t="s">
        <v>1599</v>
      </c>
      <c r="H34" t="s">
        <v>1600</v>
      </c>
    </row>
    <row r="35" spans="1:10" x14ac:dyDescent="0.25">
      <c r="A35" s="9">
        <v>45530</v>
      </c>
      <c r="B35" t="s">
        <v>1618</v>
      </c>
      <c r="C35" t="s">
        <v>800</v>
      </c>
      <c r="D35" t="s">
        <v>22</v>
      </c>
      <c r="E35" t="s">
        <v>195</v>
      </c>
      <c r="F35" s="59">
        <v>2571</v>
      </c>
      <c r="G35" t="s">
        <v>1621</v>
      </c>
      <c r="H35" t="s">
        <v>236</v>
      </c>
    </row>
    <row r="36" spans="1:10" x14ac:dyDescent="0.25">
      <c r="A36" s="9">
        <v>45526</v>
      </c>
      <c r="B36" t="s">
        <v>1464</v>
      </c>
      <c r="C36" t="s">
        <v>106</v>
      </c>
      <c r="D36" t="s">
        <v>22</v>
      </c>
      <c r="E36" t="s">
        <v>118</v>
      </c>
      <c r="F36" s="59">
        <v>4574.25</v>
      </c>
      <c r="G36" t="s">
        <v>531</v>
      </c>
      <c r="H36" t="s">
        <v>1640</v>
      </c>
    </row>
    <row r="41" spans="1:10" x14ac:dyDescent="0.25">
      <c r="B41" t="s">
        <v>19</v>
      </c>
    </row>
    <row r="45" spans="1:10" ht="15.75" thickBot="1" x14ac:dyDescent="0.3">
      <c r="A45" s="97" t="s">
        <v>8</v>
      </c>
      <c r="B45" s="97"/>
      <c r="C45" s="97"/>
      <c r="D45" s="97"/>
      <c r="E45" s="97"/>
      <c r="F45" s="97"/>
      <c r="G45" s="7"/>
    </row>
    <row r="46" spans="1:10" x14ac:dyDescent="0.25">
      <c r="A46" s="8" t="s">
        <v>9</v>
      </c>
      <c r="B46" s="9"/>
      <c r="C46" s="10">
        <f>SUM(F2:F43)</f>
        <v>82358.100000000006</v>
      </c>
      <c r="D46" s="11"/>
      <c r="E46" s="12" t="s">
        <v>10</v>
      </c>
      <c r="F46" s="13"/>
      <c r="G46" s="7"/>
      <c r="H46" s="14" t="s">
        <v>11</v>
      </c>
      <c r="I46" s="15">
        <v>17</v>
      </c>
      <c r="J46" s="16"/>
    </row>
    <row r="47" spans="1:10" x14ac:dyDescent="0.25">
      <c r="A47" s="8"/>
      <c r="B47" s="9"/>
      <c r="C47" s="10"/>
      <c r="D47" s="11"/>
      <c r="E47" s="17" t="s">
        <v>12</v>
      </c>
      <c r="F47" s="18">
        <v>82358.100000000006</v>
      </c>
      <c r="G47" s="7"/>
      <c r="H47" s="17" t="s">
        <v>13</v>
      </c>
      <c r="I47" s="19">
        <v>6</v>
      </c>
      <c r="J47" s="20">
        <f>I47/I$46</f>
        <v>0.35294117647058826</v>
      </c>
    </row>
    <row r="48" spans="1:10" ht="15.75" thickBot="1" x14ac:dyDescent="0.3">
      <c r="A48" s="8" t="s">
        <v>14</v>
      </c>
      <c r="B48" s="9"/>
      <c r="C48" s="21">
        <v>27</v>
      </c>
      <c r="D48" s="11"/>
      <c r="E48" s="22" t="s">
        <v>15</v>
      </c>
      <c r="F48" s="23">
        <f>C46/C48</f>
        <v>3050.3</v>
      </c>
      <c r="G48" s="7"/>
      <c r="H48" s="17" t="s">
        <v>16</v>
      </c>
      <c r="I48" s="19">
        <v>11</v>
      </c>
      <c r="J48" s="20">
        <f>I48/I$46</f>
        <v>0.6470588235294118</v>
      </c>
    </row>
    <row r="49" spans="1:10" ht="15.75" thickBot="1" x14ac:dyDescent="0.3">
      <c r="A49" s="8" t="s">
        <v>17</v>
      </c>
      <c r="B49" s="9"/>
      <c r="C49">
        <v>35</v>
      </c>
      <c r="D49" s="11"/>
      <c r="E49" s="11"/>
      <c r="F49" s="24"/>
      <c r="G49" s="7"/>
      <c r="H49" s="22" t="s">
        <v>18</v>
      </c>
      <c r="I49" s="25">
        <v>0</v>
      </c>
      <c r="J49" s="26">
        <f>I49/I$46</f>
        <v>0</v>
      </c>
    </row>
    <row r="50" spans="1:10" x14ac:dyDescent="0.25">
      <c r="A50" s="8"/>
      <c r="B50" s="9"/>
      <c r="D50" s="11" t="s">
        <v>19</v>
      </c>
      <c r="E50" s="12" t="s">
        <v>20</v>
      </c>
      <c r="F50" s="13"/>
      <c r="G50" s="7"/>
    </row>
    <row r="51" spans="1:10" ht="15.75" thickBot="1" x14ac:dyDescent="0.3">
      <c r="A51" s="8" t="s">
        <v>21</v>
      </c>
      <c r="B51" s="9"/>
      <c r="C51">
        <v>32</v>
      </c>
      <c r="D51" s="11" t="s">
        <v>19</v>
      </c>
      <c r="E51" s="17" t="s">
        <v>22</v>
      </c>
      <c r="F51" s="20">
        <f>C51/C$49</f>
        <v>0.91428571428571426</v>
      </c>
      <c r="G51" s="7"/>
    </row>
    <row r="52" spans="1:10" ht="15.75" thickBot="1" x14ac:dyDescent="0.3">
      <c r="A52" s="8" t="s">
        <v>23</v>
      </c>
      <c r="B52" s="9"/>
      <c r="C52">
        <v>3</v>
      </c>
      <c r="D52" s="11"/>
      <c r="E52" s="22" t="s">
        <v>24</v>
      </c>
      <c r="F52" s="26">
        <f>C52/C$49</f>
        <v>8.5714285714285715E-2</v>
      </c>
      <c r="G52" s="7"/>
      <c r="H52" s="14" t="s">
        <v>25</v>
      </c>
      <c r="I52" s="15">
        <v>28</v>
      </c>
      <c r="J52" s="16"/>
    </row>
    <row r="53" spans="1:10" ht="15.75" thickBot="1" x14ac:dyDescent="0.3">
      <c r="A53" s="8"/>
      <c r="B53" s="9"/>
      <c r="D53" s="11"/>
      <c r="E53" s="11"/>
      <c r="F53" s="24"/>
      <c r="G53" s="7"/>
      <c r="H53" s="27" t="s">
        <v>26</v>
      </c>
      <c r="I53" s="30">
        <v>13</v>
      </c>
      <c r="J53" s="20">
        <f>I53/I$52</f>
        <v>0.4642857142857143</v>
      </c>
    </row>
    <row r="54" spans="1:10" x14ac:dyDescent="0.25">
      <c r="A54" s="8" t="s">
        <v>27</v>
      </c>
      <c r="B54" s="9"/>
      <c r="D54" s="11"/>
      <c r="E54" s="12" t="s">
        <v>28</v>
      </c>
      <c r="F54" s="13"/>
      <c r="G54" s="7"/>
      <c r="H54" s="27" t="s">
        <v>29</v>
      </c>
      <c r="I54" s="30">
        <v>11</v>
      </c>
      <c r="J54" s="20">
        <f>I54/I$52</f>
        <v>0.39285714285714285</v>
      </c>
    </row>
    <row r="55" spans="1:10" ht="15.75" thickBot="1" x14ac:dyDescent="0.3">
      <c r="A55" s="8" t="s">
        <v>30</v>
      </c>
      <c r="B55" s="9"/>
      <c r="C55">
        <v>2</v>
      </c>
      <c r="D55" s="11"/>
      <c r="E55" s="28" t="s">
        <v>30</v>
      </c>
      <c r="F55" s="20">
        <f>C55/C$64</f>
        <v>2.6315789473684209E-2</v>
      </c>
      <c r="G55" s="7"/>
      <c r="H55" s="29" t="s">
        <v>31</v>
      </c>
      <c r="I55" s="25">
        <v>4</v>
      </c>
      <c r="J55" s="26">
        <f>I55/I$52</f>
        <v>0.14285714285714285</v>
      </c>
    </row>
    <row r="56" spans="1:10" ht="15.75" thickBot="1" x14ac:dyDescent="0.3">
      <c r="A56" s="8" t="s">
        <v>11</v>
      </c>
      <c r="B56" s="9"/>
      <c r="C56">
        <v>17</v>
      </c>
      <c r="D56" s="11"/>
      <c r="E56" s="28" t="s">
        <v>11</v>
      </c>
      <c r="F56" s="20">
        <f t="shared" ref="F56:F63" si="0">C56/C$64</f>
        <v>0.22368421052631579</v>
      </c>
      <c r="G56" s="7"/>
    </row>
    <row r="57" spans="1:10" x14ac:dyDescent="0.25">
      <c r="A57" s="8" t="s">
        <v>32</v>
      </c>
      <c r="B57" s="9"/>
      <c r="C57">
        <v>28</v>
      </c>
      <c r="D57" s="11"/>
      <c r="E57" s="28" t="s">
        <v>32</v>
      </c>
      <c r="F57" s="20">
        <f t="shared" si="0"/>
        <v>0.36842105263157893</v>
      </c>
      <c r="G57" s="11" t="s">
        <v>19</v>
      </c>
      <c r="H57" s="14" t="s">
        <v>33</v>
      </c>
      <c r="I57" s="15">
        <v>3</v>
      </c>
      <c r="J57" s="13">
        <f t="shared" ref="J57:J68" si="1">I57/I$52</f>
        <v>0.10714285714285714</v>
      </c>
    </row>
    <row r="58" spans="1:10" x14ac:dyDescent="0.25">
      <c r="A58" s="8" t="s">
        <v>34</v>
      </c>
      <c r="B58" s="9"/>
      <c r="C58">
        <v>0</v>
      </c>
      <c r="D58" s="11"/>
      <c r="E58" s="28" t="s">
        <v>34</v>
      </c>
      <c r="F58" s="20">
        <f t="shared" si="0"/>
        <v>0</v>
      </c>
      <c r="G58" s="7"/>
      <c r="H58" s="27" t="s">
        <v>35</v>
      </c>
      <c r="I58" s="30">
        <v>4</v>
      </c>
      <c r="J58" s="20">
        <f t="shared" si="1"/>
        <v>0.14285714285714285</v>
      </c>
    </row>
    <row r="59" spans="1:10" x14ac:dyDescent="0.25">
      <c r="A59" s="8" t="s">
        <v>36</v>
      </c>
      <c r="B59" s="9"/>
      <c r="C59">
        <v>9</v>
      </c>
      <c r="D59" s="11"/>
      <c r="E59" s="28" t="s">
        <v>36</v>
      </c>
      <c r="F59" s="20">
        <f t="shared" si="0"/>
        <v>0.11842105263157894</v>
      </c>
      <c r="G59" s="7"/>
      <c r="H59" s="27" t="s">
        <v>37</v>
      </c>
      <c r="I59" s="30">
        <v>1</v>
      </c>
      <c r="J59" s="20">
        <f t="shared" si="1"/>
        <v>3.5714285714285712E-2</v>
      </c>
    </row>
    <row r="60" spans="1:10" x14ac:dyDescent="0.25">
      <c r="A60" s="8" t="s">
        <v>38</v>
      </c>
      <c r="B60" s="9"/>
      <c r="C60">
        <v>1</v>
      </c>
      <c r="D60" s="11"/>
      <c r="E60" s="28" t="s">
        <v>38</v>
      </c>
      <c r="F60" s="20">
        <f t="shared" si="0"/>
        <v>1.3157894736842105E-2</v>
      </c>
      <c r="G60" s="7"/>
      <c r="H60" s="27" t="s">
        <v>39</v>
      </c>
      <c r="I60" s="30">
        <v>5</v>
      </c>
      <c r="J60" s="20">
        <f t="shared" si="1"/>
        <v>0.17857142857142858</v>
      </c>
    </row>
    <row r="61" spans="1:10" x14ac:dyDescent="0.25">
      <c r="A61" s="8" t="s">
        <v>40</v>
      </c>
      <c r="B61" s="9"/>
      <c r="C61">
        <v>6</v>
      </c>
      <c r="D61" s="11"/>
      <c r="E61" s="28" t="s">
        <v>40</v>
      </c>
      <c r="F61" s="20">
        <f t="shared" si="0"/>
        <v>7.8947368421052627E-2</v>
      </c>
      <c r="G61" s="7"/>
      <c r="H61" s="27" t="s">
        <v>41</v>
      </c>
      <c r="I61" s="30">
        <v>6</v>
      </c>
      <c r="J61" s="20">
        <f t="shared" si="1"/>
        <v>0.21428571428571427</v>
      </c>
    </row>
    <row r="62" spans="1:10" x14ac:dyDescent="0.25">
      <c r="A62" s="8" t="s">
        <v>42</v>
      </c>
      <c r="B62" s="9"/>
      <c r="C62">
        <v>0</v>
      </c>
      <c r="D62" s="11"/>
      <c r="E62" s="28" t="s">
        <v>42</v>
      </c>
      <c r="F62" s="20">
        <f t="shared" si="0"/>
        <v>0</v>
      </c>
      <c r="G62" s="7"/>
      <c r="H62" s="27" t="s">
        <v>43</v>
      </c>
      <c r="I62" s="30">
        <v>7</v>
      </c>
      <c r="J62" s="20">
        <f t="shared" si="1"/>
        <v>0.25</v>
      </c>
    </row>
    <row r="63" spans="1:10" ht="15.75" thickBot="1" x14ac:dyDescent="0.3">
      <c r="A63" s="8" t="s">
        <v>44</v>
      </c>
      <c r="B63" s="9"/>
      <c r="C63">
        <v>13</v>
      </c>
      <c r="D63" s="11"/>
      <c r="E63" s="31" t="s">
        <v>44</v>
      </c>
      <c r="F63" s="26">
        <f t="shared" si="0"/>
        <v>0.17105263157894737</v>
      </c>
      <c r="G63" s="11" t="s">
        <v>19</v>
      </c>
      <c r="H63" s="32" t="s">
        <v>45</v>
      </c>
      <c r="I63" s="30">
        <v>1</v>
      </c>
      <c r="J63" s="20">
        <f t="shared" si="1"/>
        <v>3.5714285714285712E-2</v>
      </c>
    </row>
    <row r="64" spans="1:10" ht="15.75" thickBot="1" x14ac:dyDescent="0.3">
      <c r="A64" s="8" t="s">
        <v>46</v>
      </c>
      <c r="B64" s="9"/>
      <c r="C64">
        <f>SUM(C55:C63)</f>
        <v>76</v>
      </c>
      <c r="D64" s="11"/>
      <c r="E64" s="8"/>
      <c r="F64" s="24"/>
      <c r="G64" s="7"/>
      <c r="H64" s="32" t="s">
        <v>47</v>
      </c>
      <c r="I64" s="30">
        <v>1</v>
      </c>
      <c r="J64" s="20">
        <f t="shared" si="1"/>
        <v>3.5714285714285712E-2</v>
      </c>
    </row>
    <row r="65" spans="1:10" x14ac:dyDescent="0.25">
      <c r="A65" s="8"/>
      <c r="B65" s="9"/>
      <c r="D65" s="11"/>
      <c r="E65" s="33" t="s">
        <v>48</v>
      </c>
      <c r="F65" s="13"/>
      <c r="G65" s="7"/>
      <c r="H65" s="32" t="s">
        <v>49</v>
      </c>
      <c r="I65" s="30">
        <v>0</v>
      </c>
      <c r="J65" s="20">
        <f t="shared" si="1"/>
        <v>0</v>
      </c>
    </row>
    <row r="66" spans="1:10" x14ac:dyDescent="0.25">
      <c r="A66" s="8" t="s">
        <v>50</v>
      </c>
      <c r="B66" s="9"/>
      <c r="D66" s="11"/>
      <c r="E66" s="28" t="s">
        <v>51</v>
      </c>
      <c r="F66" s="20">
        <f>C67/C$77</f>
        <v>0.32558139534883723</v>
      </c>
      <c r="G66" s="7"/>
      <c r="H66" s="27" t="s">
        <v>52</v>
      </c>
      <c r="I66" s="30">
        <v>0</v>
      </c>
      <c r="J66" s="20">
        <f t="shared" si="1"/>
        <v>0</v>
      </c>
    </row>
    <row r="67" spans="1:10" x14ac:dyDescent="0.25">
      <c r="A67" s="8" t="s">
        <v>51</v>
      </c>
      <c r="B67" s="9"/>
      <c r="C67">
        <v>28</v>
      </c>
      <c r="D67" s="11"/>
      <c r="E67" s="28" t="s">
        <v>53</v>
      </c>
      <c r="F67" s="20">
        <f t="shared" ref="F67:F75" si="2">C68/C$77</f>
        <v>0.30232558139534882</v>
      </c>
      <c r="G67" s="7"/>
      <c r="H67" s="32" t="s">
        <v>54</v>
      </c>
      <c r="I67" s="30">
        <v>0</v>
      </c>
      <c r="J67" s="20">
        <f t="shared" si="1"/>
        <v>0</v>
      </c>
    </row>
    <row r="68" spans="1:10" ht="15.75" thickBot="1" x14ac:dyDescent="0.3">
      <c r="A68" s="8" t="s">
        <v>53</v>
      </c>
      <c r="B68" s="9"/>
      <c r="C68">
        <v>26</v>
      </c>
      <c r="D68" s="11"/>
      <c r="E68" s="28" t="s">
        <v>55</v>
      </c>
      <c r="F68" s="20">
        <f t="shared" si="2"/>
        <v>0.19767441860465115</v>
      </c>
      <c r="G68" s="7"/>
      <c r="H68" s="34" t="s">
        <v>56</v>
      </c>
      <c r="I68" s="25">
        <v>0</v>
      </c>
      <c r="J68" s="26">
        <f t="shared" si="1"/>
        <v>0</v>
      </c>
    </row>
    <row r="69" spans="1:10" x14ac:dyDescent="0.25">
      <c r="A69" s="8" t="s">
        <v>55</v>
      </c>
      <c r="B69" s="9"/>
      <c r="C69">
        <v>17</v>
      </c>
      <c r="D69" s="11"/>
      <c r="E69" s="28" t="s">
        <v>57</v>
      </c>
      <c r="F69" s="20">
        <f t="shared" si="2"/>
        <v>5.8139534883720929E-2</v>
      </c>
      <c r="G69" s="7"/>
    </row>
    <row r="70" spans="1:10" ht="15.75" thickBot="1" x14ac:dyDescent="0.3">
      <c r="A70" s="8" t="s">
        <v>57</v>
      </c>
      <c r="B70" s="9"/>
      <c r="C70">
        <v>5</v>
      </c>
      <c r="D70" s="11"/>
      <c r="E70" s="28" t="s">
        <v>58</v>
      </c>
      <c r="F70" s="20">
        <f t="shared" si="2"/>
        <v>1.1627906976744186E-2</v>
      </c>
      <c r="G70" s="11" t="s">
        <v>19</v>
      </c>
    </row>
    <row r="71" spans="1:10" x14ac:dyDescent="0.25">
      <c r="A71" s="8" t="s">
        <v>58</v>
      </c>
      <c r="B71" s="9"/>
      <c r="C71">
        <v>1</v>
      </c>
      <c r="D71" s="11"/>
      <c r="E71" s="28" t="s">
        <v>59</v>
      </c>
      <c r="F71" s="20">
        <f t="shared" si="2"/>
        <v>0</v>
      </c>
      <c r="G71" s="7"/>
      <c r="H71" s="14" t="s">
        <v>36</v>
      </c>
      <c r="I71" s="15">
        <v>9</v>
      </c>
      <c r="J71" s="16"/>
    </row>
    <row r="72" spans="1:10" x14ac:dyDescent="0.25">
      <c r="A72" s="8" t="s">
        <v>59</v>
      </c>
      <c r="B72" s="9"/>
      <c r="C72">
        <v>0</v>
      </c>
      <c r="D72" s="11"/>
      <c r="E72" s="28" t="s">
        <v>60</v>
      </c>
      <c r="F72" s="20">
        <f t="shared" si="2"/>
        <v>0</v>
      </c>
      <c r="G72" s="7"/>
      <c r="H72" s="27" t="s">
        <v>61</v>
      </c>
      <c r="I72" s="30">
        <v>2</v>
      </c>
      <c r="J72" s="20">
        <f>I72/I$71</f>
        <v>0.22222222222222221</v>
      </c>
    </row>
    <row r="73" spans="1:10" ht="15.75" thickBot="1" x14ac:dyDescent="0.3">
      <c r="A73" s="8" t="s">
        <v>60</v>
      </c>
      <c r="B73" s="9"/>
      <c r="C73">
        <v>0</v>
      </c>
      <c r="D73" s="11"/>
      <c r="E73" s="28" t="s">
        <v>62</v>
      </c>
      <c r="F73" s="20">
        <f t="shared" si="2"/>
        <v>0</v>
      </c>
      <c r="G73" s="7"/>
      <c r="H73" s="29" t="s">
        <v>63</v>
      </c>
      <c r="I73" s="25">
        <v>7</v>
      </c>
      <c r="J73" s="26">
        <f>I73/I$71</f>
        <v>0.77777777777777779</v>
      </c>
    </row>
    <row r="74" spans="1:10" x14ac:dyDescent="0.25">
      <c r="A74" s="8" t="s">
        <v>62</v>
      </c>
      <c r="B74" s="9"/>
      <c r="C74">
        <v>0</v>
      </c>
      <c r="D74" s="11"/>
      <c r="E74" s="28" t="s">
        <v>64</v>
      </c>
      <c r="F74" s="20">
        <f t="shared" si="2"/>
        <v>0</v>
      </c>
      <c r="G74" s="7"/>
    </row>
    <row r="75" spans="1:10" ht="15.75" thickBot="1" x14ac:dyDescent="0.3">
      <c r="A75" s="8" t="s">
        <v>64</v>
      </c>
      <c r="B75" s="9"/>
      <c r="C75">
        <v>0</v>
      </c>
      <c r="D75" s="11"/>
      <c r="E75" s="31" t="s">
        <v>65</v>
      </c>
      <c r="F75" s="26">
        <f t="shared" si="2"/>
        <v>0.10465116279069768</v>
      </c>
      <c r="G75" s="7"/>
    </row>
    <row r="76" spans="1:10" ht="15.75" thickBot="1" x14ac:dyDescent="0.3">
      <c r="A76" s="8" t="s">
        <v>65</v>
      </c>
      <c r="B76" s="9"/>
      <c r="C76">
        <v>9</v>
      </c>
      <c r="D76" s="11"/>
      <c r="E76" s="8"/>
      <c r="F76" s="24"/>
      <c r="G76" s="7"/>
      <c r="H76" s="14" t="s">
        <v>66</v>
      </c>
      <c r="I76" s="15">
        <v>1</v>
      </c>
      <c r="J76" s="16"/>
    </row>
    <row r="77" spans="1:10" x14ac:dyDescent="0.25">
      <c r="A77" s="8" t="s">
        <v>67</v>
      </c>
      <c r="B77" s="9"/>
      <c r="C77">
        <f>SUM(C67:C76)</f>
        <v>86</v>
      </c>
      <c r="D77" s="11"/>
      <c r="E77" s="33" t="s">
        <v>68</v>
      </c>
      <c r="F77" s="13"/>
      <c r="G77" s="7"/>
      <c r="H77" s="27" t="s">
        <v>69</v>
      </c>
      <c r="I77" s="30">
        <v>0</v>
      </c>
      <c r="J77" s="20">
        <f t="shared" ref="J77:J82" si="3">I77/I$76</f>
        <v>0</v>
      </c>
    </row>
    <row r="78" spans="1:10" x14ac:dyDescent="0.25">
      <c r="A78" s="8"/>
      <c r="B78" s="9"/>
      <c r="D78" s="11"/>
      <c r="E78" s="35" t="s">
        <v>70</v>
      </c>
      <c r="F78" s="20">
        <f>C79/C$49</f>
        <v>0.7142857142857143</v>
      </c>
      <c r="G78" s="7"/>
      <c r="H78" s="27" t="s">
        <v>71</v>
      </c>
      <c r="I78" s="30">
        <v>0</v>
      </c>
      <c r="J78" s="20">
        <f t="shared" si="3"/>
        <v>0</v>
      </c>
    </row>
    <row r="79" spans="1:10" x14ac:dyDescent="0.25">
      <c r="A79" s="8" t="s">
        <v>72</v>
      </c>
      <c r="B79" s="9"/>
      <c r="C79">
        <v>25</v>
      </c>
      <c r="D79" s="11"/>
      <c r="E79" s="35" t="s">
        <v>73</v>
      </c>
      <c r="F79" s="20">
        <f>C80/C$49</f>
        <v>5.7142857142857141E-2</v>
      </c>
      <c r="G79" s="7"/>
      <c r="H79" s="27" t="s">
        <v>74</v>
      </c>
      <c r="I79" s="30">
        <v>1</v>
      </c>
      <c r="J79" s="20">
        <f t="shared" si="3"/>
        <v>1</v>
      </c>
    </row>
    <row r="80" spans="1:10" ht="15.75" thickBot="1" x14ac:dyDescent="0.3">
      <c r="A80" s="8" t="s">
        <v>75</v>
      </c>
      <c r="B80" s="9"/>
      <c r="C80">
        <v>2</v>
      </c>
      <c r="D80" s="11"/>
      <c r="E80" s="36" t="s">
        <v>76</v>
      </c>
      <c r="F80" s="26">
        <f>C81/C$49</f>
        <v>0.22857142857142856</v>
      </c>
      <c r="G80" s="7"/>
      <c r="H80" s="27" t="s">
        <v>77</v>
      </c>
      <c r="I80" s="30">
        <v>0</v>
      </c>
      <c r="J80" s="20">
        <f t="shared" si="3"/>
        <v>0</v>
      </c>
    </row>
    <row r="81" spans="1:10" ht="15.75" thickBot="1" x14ac:dyDescent="0.3">
      <c r="A81" s="8" t="s">
        <v>78</v>
      </c>
      <c r="B81" s="9"/>
      <c r="C81">
        <v>8</v>
      </c>
      <c r="D81" s="11"/>
      <c r="E81" s="37"/>
      <c r="F81" s="24"/>
      <c r="G81" s="11" t="s">
        <v>19</v>
      </c>
      <c r="H81" s="27" t="s">
        <v>79</v>
      </c>
      <c r="I81" s="30">
        <v>0</v>
      </c>
      <c r="J81" s="20">
        <f t="shared" si="3"/>
        <v>0</v>
      </c>
    </row>
    <row r="82" spans="1:10" ht="15.75" thickBot="1" x14ac:dyDescent="0.3">
      <c r="A82" s="8"/>
      <c r="B82" s="9"/>
      <c r="D82" s="11"/>
      <c r="E82" s="38" t="s">
        <v>20</v>
      </c>
      <c r="F82" s="13"/>
      <c r="G82" s="7"/>
      <c r="H82" s="29" t="s">
        <v>80</v>
      </c>
      <c r="I82" s="25">
        <v>0</v>
      </c>
      <c r="J82" s="26">
        <f t="shared" si="3"/>
        <v>0</v>
      </c>
    </row>
    <row r="83" spans="1:10" x14ac:dyDescent="0.25">
      <c r="A83" s="8" t="s">
        <v>20</v>
      </c>
      <c r="B83" s="9"/>
      <c r="D83" s="11"/>
      <c r="E83" s="28" t="s">
        <v>81</v>
      </c>
      <c r="F83" s="20">
        <f>C84/C$49</f>
        <v>0.51428571428571423</v>
      </c>
      <c r="G83" s="7"/>
    </row>
    <row r="84" spans="1:10" ht="15.75" thickBot="1" x14ac:dyDescent="0.3">
      <c r="A84" s="8" t="s">
        <v>82</v>
      </c>
      <c r="B84" s="9"/>
      <c r="C84">
        <v>18</v>
      </c>
      <c r="D84" s="11"/>
      <c r="E84" s="31" t="s">
        <v>83</v>
      </c>
      <c r="F84" s="26">
        <f>C85/C$49</f>
        <v>0.48571428571428571</v>
      </c>
      <c r="G84" s="7"/>
    </row>
    <row r="85" spans="1:10" ht="15.75" thickBot="1" x14ac:dyDescent="0.3">
      <c r="A85" s="8" t="s">
        <v>83</v>
      </c>
      <c r="B85" s="9"/>
      <c r="C85">
        <v>17</v>
      </c>
      <c r="D85" s="11"/>
      <c r="E85" s="39"/>
      <c r="F85" s="40"/>
      <c r="G85" s="7"/>
      <c r="H85" s="14" t="s">
        <v>40</v>
      </c>
      <c r="I85" s="15">
        <v>6</v>
      </c>
      <c r="J85" s="16"/>
    </row>
    <row r="86" spans="1:10" x14ac:dyDescent="0.25">
      <c r="A86" s="8"/>
      <c r="B86" s="9"/>
      <c r="D86" s="11"/>
      <c r="E86" s="14" t="s">
        <v>84</v>
      </c>
      <c r="F86" s="13"/>
      <c r="G86" s="7"/>
      <c r="H86" s="27" t="s">
        <v>85</v>
      </c>
      <c r="I86" s="30">
        <v>0</v>
      </c>
      <c r="J86" s="20">
        <f>I86/I$85</f>
        <v>0</v>
      </c>
    </row>
    <row r="87" spans="1:10" x14ac:dyDescent="0.25">
      <c r="A87" t="s">
        <v>84</v>
      </c>
      <c r="D87" s="11"/>
      <c r="E87" s="27" t="s">
        <v>86</v>
      </c>
      <c r="F87" s="20">
        <f>C88/C$85</f>
        <v>0.70588235294117652</v>
      </c>
      <c r="G87" s="7"/>
      <c r="H87" s="27" t="s">
        <v>87</v>
      </c>
      <c r="I87" s="19">
        <v>1</v>
      </c>
      <c r="J87" s="20">
        <f>I87/I$85</f>
        <v>0.16666666666666666</v>
      </c>
    </row>
    <row r="88" spans="1:10" ht="15.75" thickBot="1" x14ac:dyDescent="0.3">
      <c r="A88" t="s">
        <v>86</v>
      </c>
      <c r="C88">
        <v>12</v>
      </c>
      <c r="D88" s="11"/>
      <c r="E88" s="29" t="s">
        <v>88</v>
      </c>
      <c r="F88" s="26">
        <f>C89/C$85</f>
        <v>0.29411764705882354</v>
      </c>
      <c r="G88" s="7"/>
      <c r="H88" s="27" t="s">
        <v>89</v>
      </c>
      <c r="I88" s="30">
        <v>3</v>
      </c>
      <c r="J88" s="20">
        <f>I88/I$85</f>
        <v>0.5</v>
      </c>
    </row>
    <row r="89" spans="1:10" ht="15.75" thickBot="1" x14ac:dyDescent="0.3">
      <c r="A89" t="s">
        <v>88</v>
      </c>
      <c r="C89">
        <v>5</v>
      </c>
      <c r="D89" s="11"/>
      <c r="E89" s="39"/>
      <c r="F89" s="40"/>
      <c r="G89" s="7"/>
      <c r="H89" s="27" t="s">
        <v>90</v>
      </c>
      <c r="I89" s="30">
        <v>0</v>
      </c>
      <c r="J89" s="20">
        <f>I89/I$85</f>
        <v>0</v>
      </c>
    </row>
    <row r="90" spans="1:10" ht="15.75" thickBot="1" x14ac:dyDescent="0.3">
      <c r="A90" s="8"/>
      <c r="B90" s="9"/>
      <c r="D90" s="11"/>
      <c r="E90" s="33" t="s">
        <v>91</v>
      </c>
      <c r="F90" s="13"/>
      <c r="G90" s="7"/>
      <c r="H90" s="29" t="s">
        <v>92</v>
      </c>
      <c r="I90" s="25">
        <v>2</v>
      </c>
      <c r="J90" s="26">
        <f>I90/I$85</f>
        <v>0.33333333333333331</v>
      </c>
    </row>
    <row r="91" spans="1:10" x14ac:dyDescent="0.25">
      <c r="A91" s="8" t="s">
        <v>93</v>
      </c>
      <c r="B91" s="9"/>
      <c r="D91" s="11"/>
      <c r="E91" s="28" t="s">
        <v>94</v>
      </c>
      <c r="F91" s="20">
        <f t="shared" ref="F91:F96" si="4">C92/C$49</f>
        <v>0.45714285714285713</v>
      </c>
      <c r="G91" s="7"/>
    </row>
    <row r="92" spans="1:10" ht="15.75" thickBot="1" x14ac:dyDescent="0.3">
      <c r="A92" s="8" t="s">
        <v>94</v>
      </c>
      <c r="B92" s="9"/>
      <c r="C92">
        <v>16</v>
      </c>
      <c r="D92" s="11"/>
      <c r="E92" s="17" t="s">
        <v>95</v>
      </c>
      <c r="F92" s="20">
        <f t="shared" si="4"/>
        <v>2.8571428571428571E-2</v>
      </c>
      <c r="G92" s="7"/>
    </row>
    <row r="93" spans="1:10" x14ac:dyDescent="0.25">
      <c r="A93" s="8" t="s">
        <v>95</v>
      </c>
      <c r="B93" s="9"/>
      <c r="C93">
        <v>1</v>
      </c>
      <c r="D93" s="11"/>
      <c r="E93" s="17" t="s">
        <v>96</v>
      </c>
      <c r="F93" s="20">
        <f t="shared" si="4"/>
        <v>0</v>
      </c>
      <c r="G93" s="7"/>
      <c r="H93" s="14" t="s">
        <v>44</v>
      </c>
      <c r="I93" s="15">
        <v>13</v>
      </c>
      <c r="J93" s="16"/>
    </row>
    <row r="94" spans="1:10" x14ac:dyDescent="0.25">
      <c r="A94" s="8" t="s">
        <v>96</v>
      </c>
      <c r="B94" s="9"/>
      <c r="C94">
        <v>0</v>
      </c>
      <c r="D94" s="11"/>
      <c r="E94" s="17" t="s">
        <v>97</v>
      </c>
      <c r="F94" s="20">
        <f t="shared" si="4"/>
        <v>0</v>
      </c>
      <c r="G94" s="7"/>
      <c r="H94" s="27" t="s">
        <v>98</v>
      </c>
      <c r="I94" s="30">
        <v>3</v>
      </c>
      <c r="J94" s="20">
        <f>I94/I$93</f>
        <v>0.23076923076923078</v>
      </c>
    </row>
    <row r="95" spans="1:10" x14ac:dyDescent="0.25">
      <c r="A95" s="8" t="s">
        <v>97</v>
      </c>
      <c r="B95" s="9"/>
      <c r="C95">
        <v>0</v>
      </c>
      <c r="D95" s="11"/>
      <c r="E95" s="17" t="s">
        <v>99</v>
      </c>
      <c r="F95" s="20">
        <f t="shared" si="4"/>
        <v>0.48571428571428571</v>
      </c>
      <c r="G95" s="7"/>
      <c r="H95" s="27" t="s">
        <v>100</v>
      </c>
      <c r="I95" s="30">
        <v>0</v>
      </c>
      <c r="J95" s="20">
        <f t="shared" ref="J95:J103" si="5">I95/I$93</f>
        <v>0</v>
      </c>
    </row>
    <row r="96" spans="1:10" ht="15.75" thickBot="1" x14ac:dyDescent="0.3">
      <c r="A96" s="8" t="s">
        <v>99</v>
      </c>
      <c r="B96" s="9"/>
      <c r="C96">
        <v>17</v>
      </c>
      <c r="D96" s="11"/>
      <c r="E96" s="22" t="s">
        <v>44</v>
      </c>
      <c r="F96" s="26">
        <f t="shared" si="4"/>
        <v>2.8571428571428571E-2</v>
      </c>
      <c r="G96" s="7"/>
      <c r="H96" s="27" t="s">
        <v>101</v>
      </c>
      <c r="I96" s="30">
        <v>0</v>
      </c>
      <c r="J96" s="20">
        <f t="shared" si="5"/>
        <v>0</v>
      </c>
    </row>
    <row r="97" spans="1:10" ht="15.75" thickBot="1" x14ac:dyDescent="0.3">
      <c r="A97" s="8" t="s">
        <v>44</v>
      </c>
      <c r="B97" s="9"/>
      <c r="C97">
        <v>1</v>
      </c>
      <c r="D97" s="11"/>
      <c r="E97" s="11"/>
      <c r="F97" s="24"/>
      <c r="G97" s="7"/>
      <c r="H97" s="27" t="s">
        <v>102</v>
      </c>
      <c r="I97" s="30">
        <v>0</v>
      </c>
      <c r="J97" s="20">
        <f t="shared" si="5"/>
        <v>0</v>
      </c>
    </row>
    <row r="98" spans="1:10" x14ac:dyDescent="0.25">
      <c r="A98" s="8"/>
      <c r="B98" s="9"/>
      <c r="D98" s="11"/>
      <c r="E98" s="12" t="s">
        <v>103</v>
      </c>
      <c r="F98" s="13"/>
      <c r="G98" s="7"/>
      <c r="H98" s="27" t="s">
        <v>104</v>
      </c>
      <c r="I98" s="19">
        <v>7</v>
      </c>
      <c r="J98" s="20">
        <f t="shared" si="5"/>
        <v>0.53846153846153844</v>
      </c>
    </row>
    <row r="99" spans="1:10" x14ac:dyDescent="0.25">
      <c r="A99" s="8" t="s">
        <v>105</v>
      </c>
      <c r="B99" s="9"/>
      <c r="D99" s="11"/>
      <c r="E99" s="17" t="s">
        <v>106</v>
      </c>
      <c r="F99" s="20">
        <f>C100/C$49</f>
        <v>0.6</v>
      </c>
      <c r="G99" s="7"/>
      <c r="H99" s="41" t="s">
        <v>107</v>
      </c>
      <c r="I99" s="30">
        <v>1</v>
      </c>
      <c r="J99" s="20">
        <f t="shared" si="5"/>
        <v>7.6923076923076927E-2</v>
      </c>
    </row>
    <row r="100" spans="1:10" x14ac:dyDescent="0.25">
      <c r="A100" s="8" t="s">
        <v>106</v>
      </c>
      <c r="B100" s="9"/>
      <c r="C100">
        <v>21</v>
      </c>
      <c r="D100" s="11"/>
      <c r="E100" s="17" t="s">
        <v>108</v>
      </c>
      <c r="F100" s="20">
        <f>C101/C$49</f>
        <v>0.22857142857142856</v>
      </c>
      <c r="G100" s="7"/>
      <c r="H100" s="41" t="s">
        <v>109</v>
      </c>
      <c r="I100" s="30">
        <v>2</v>
      </c>
      <c r="J100" s="20">
        <f t="shared" si="5"/>
        <v>0.15384615384615385</v>
      </c>
    </row>
    <row r="101" spans="1:10" x14ac:dyDescent="0.25">
      <c r="A101" s="8" t="s">
        <v>108</v>
      </c>
      <c r="B101" s="9"/>
      <c r="C101">
        <v>8</v>
      </c>
      <c r="D101" s="11"/>
      <c r="E101" s="17" t="s">
        <v>110</v>
      </c>
      <c r="F101" s="20">
        <f>C102/C$49</f>
        <v>0</v>
      </c>
      <c r="G101" s="7"/>
      <c r="H101" s="41" t="s">
        <v>111</v>
      </c>
      <c r="I101" s="30">
        <v>0</v>
      </c>
      <c r="J101" s="20">
        <f t="shared" si="5"/>
        <v>0</v>
      </c>
    </row>
    <row r="102" spans="1:10" x14ac:dyDescent="0.25">
      <c r="A102" s="8" t="s">
        <v>110</v>
      </c>
      <c r="B102" s="9"/>
      <c r="C102">
        <v>0</v>
      </c>
      <c r="D102" s="11"/>
      <c r="E102" s="17" t="s">
        <v>112</v>
      </c>
      <c r="F102" s="20">
        <f>C103/C$49</f>
        <v>0.11428571428571428</v>
      </c>
      <c r="G102" s="7"/>
      <c r="H102" s="41" t="s">
        <v>113</v>
      </c>
      <c r="I102" s="30">
        <v>0</v>
      </c>
      <c r="J102" s="20">
        <f t="shared" si="5"/>
        <v>0</v>
      </c>
    </row>
    <row r="103" spans="1:10" ht="15.75" thickBot="1" x14ac:dyDescent="0.3">
      <c r="A103" s="8" t="s">
        <v>112</v>
      </c>
      <c r="B103" s="9"/>
      <c r="C103">
        <v>4</v>
      </c>
      <c r="E103" s="22" t="s">
        <v>114</v>
      </c>
      <c r="F103" s="26">
        <f>C104/C$49</f>
        <v>0</v>
      </c>
      <c r="H103" s="42" t="s">
        <v>115</v>
      </c>
      <c r="I103" s="25">
        <v>0</v>
      </c>
      <c r="J103" s="26">
        <f t="shared" si="5"/>
        <v>0</v>
      </c>
    </row>
    <row r="104" spans="1:10" x14ac:dyDescent="0.25">
      <c r="A104" s="8" t="s">
        <v>114</v>
      </c>
      <c r="B104" s="9"/>
      <c r="C104">
        <v>0</v>
      </c>
      <c r="E104" s="11"/>
      <c r="F104" s="24"/>
    </row>
    <row r="105" spans="1:10" x14ac:dyDescent="0.25">
      <c r="A105" s="8" t="s">
        <v>116</v>
      </c>
      <c r="B105" s="9"/>
      <c r="C105">
        <v>1</v>
      </c>
      <c r="E105" s="11"/>
      <c r="F105" s="24"/>
    </row>
    <row r="106" spans="1:10" x14ac:dyDescent="0.25">
      <c r="A106" s="8"/>
      <c r="B106" s="9"/>
      <c r="E106" s="11"/>
      <c r="F106" s="24"/>
    </row>
    <row r="107" spans="1:10" ht="15.75" thickBot="1" x14ac:dyDescent="0.3"/>
    <row r="108" spans="1:10" x14ac:dyDescent="0.25">
      <c r="A108" s="43" t="s">
        <v>117</v>
      </c>
      <c r="B108" s="87">
        <f>SUM(B109:B112)</f>
        <v>82358.099999999991</v>
      </c>
    </row>
    <row r="109" spans="1:10" x14ac:dyDescent="0.25">
      <c r="A109" s="44" t="s">
        <v>94</v>
      </c>
      <c r="B109" s="45">
        <f>SUM(F2,F5,F7:F10,F12,F15:F19,F22,F30,F34:F35,,)</f>
        <v>38913.629999999997</v>
      </c>
    </row>
    <row r="110" spans="1:10" x14ac:dyDescent="0.25">
      <c r="A110" s="44" t="s">
        <v>118</v>
      </c>
      <c r="B110" s="45">
        <f>SUM(F3:F4,F6,F11,F13:F14,F20,F23:F27,F29,F31:F33,F36,)</f>
        <v>37389.949999999997</v>
      </c>
    </row>
    <row r="111" spans="1:10" x14ac:dyDescent="0.25">
      <c r="A111" s="44" t="s">
        <v>119</v>
      </c>
      <c r="B111" s="45">
        <v>2046.52</v>
      </c>
    </row>
    <row r="112" spans="1:10" x14ac:dyDescent="0.25">
      <c r="A112" s="44" t="s">
        <v>44</v>
      </c>
      <c r="B112" s="46">
        <v>4008</v>
      </c>
    </row>
    <row r="113" spans="1:2" ht="15.75" thickBot="1" x14ac:dyDescent="0.3">
      <c r="A113" s="47"/>
      <c r="B113" s="48"/>
    </row>
  </sheetData>
  <mergeCells count="1">
    <mergeCell ref="A45:F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88" workbookViewId="0">
      <selection activeCell="B111" sqref="B111"/>
    </sheetView>
  </sheetViews>
  <sheetFormatPr baseColWidth="10" defaultRowHeight="15" x14ac:dyDescent="0.25"/>
  <cols>
    <col min="1" max="1" width="10.7109375" customWidth="1"/>
    <col min="2" max="2" width="32.28515625" customWidth="1"/>
    <col min="3" max="3" width="13.140625" customWidth="1"/>
    <col min="4" max="4" width="4.7109375" customWidth="1"/>
    <col min="5" max="5" width="6.85546875" customWidth="1"/>
    <col min="6" max="6" width="13.7109375" customWidth="1"/>
    <col min="7" max="7" width="41.855468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45538</v>
      </c>
      <c r="B2" t="s">
        <v>1605</v>
      </c>
      <c r="C2" t="s">
        <v>106</v>
      </c>
      <c r="D2" t="s">
        <v>1913</v>
      </c>
      <c r="E2" t="s">
        <v>195</v>
      </c>
      <c r="F2" s="59">
        <v>1137</v>
      </c>
      <c r="G2" t="s">
        <v>1608</v>
      </c>
      <c r="H2" t="s">
        <v>1622</v>
      </c>
    </row>
    <row r="3" spans="1:8" x14ac:dyDescent="0.25">
      <c r="A3" s="9">
        <v>45539</v>
      </c>
      <c r="B3" t="s">
        <v>1610</v>
      </c>
      <c r="C3" t="s">
        <v>106</v>
      </c>
      <c r="D3" t="s">
        <v>1913</v>
      </c>
      <c r="E3" t="s">
        <v>195</v>
      </c>
      <c r="F3" s="59">
        <v>3150</v>
      </c>
      <c r="G3" t="s">
        <v>1613</v>
      </c>
      <c r="H3" t="s">
        <v>1623</v>
      </c>
    </row>
    <row r="4" spans="1:8" x14ac:dyDescent="0.25">
      <c r="A4" s="9">
        <v>45540</v>
      </c>
      <c r="B4" t="s">
        <v>1624</v>
      </c>
      <c r="C4" t="s">
        <v>106</v>
      </c>
      <c r="D4" t="s">
        <v>1913</v>
      </c>
      <c r="E4" t="s">
        <v>195</v>
      </c>
      <c r="F4" s="59">
        <v>1438</v>
      </c>
      <c r="G4" t="s">
        <v>1627</v>
      </c>
      <c r="H4" t="s">
        <v>791</v>
      </c>
    </row>
    <row r="5" spans="1:8" x14ac:dyDescent="0.25">
      <c r="A5" s="9">
        <v>45540</v>
      </c>
      <c r="B5" t="s">
        <v>1628</v>
      </c>
      <c r="C5" t="s">
        <v>106</v>
      </c>
      <c r="D5" t="s">
        <v>1913</v>
      </c>
      <c r="E5" t="s">
        <v>195</v>
      </c>
      <c r="F5" s="59">
        <v>1418</v>
      </c>
      <c r="G5" t="s">
        <v>1631</v>
      </c>
      <c r="H5" t="s">
        <v>1575</v>
      </c>
    </row>
    <row r="6" spans="1:8" x14ac:dyDescent="0.25">
      <c r="A6" s="9">
        <v>45540</v>
      </c>
      <c r="B6" t="s">
        <v>1632</v>
      </c>
      <c r="C6" t="s">
        <v>106</v>
      </c>
      <c r="D6" t="s">
        <v>1913</v>
      </c>
      <c r="E6" t="s">
        <v>195</v>
      </c>
      <c r="F6" s="59">
        <v>1442</v>
      </c>
      <c r="G6" t="s">
        <v>1635</v>
      </c>
      <c r="H6" t="s">
        <v>1641</v>
      </c>
    </row>
    <row r="7" spans="1:8" x14ac:dyDescent="0.25">
      <c r="A7" s="9">
        <v>45541</v>
      </c>
      <c r="B7" t="s">
        <v>1642</v>
      </c>
      <c r="C7" t="s">
        <v>106</v>
      </c>
      <c r="D7" t="s">
        <v>1913</v>
      </c>
      <c r="E7" t="s">
        <v>118</v>
      </c>
      <c r="F7" s="59">
        <v>4319.1000000000004</v>
      </c>
      <c r="G7" t="s">
        <v>1645</v>
      </c>
      <c r="H7" t="s">
        <v>236</v>
      </c>
    </row>
    <row r="8" spans="1:8" x14ac:dyDescent="0.25">
      <c r="A8" s="9">
        <v>45541</v>
      </c>
      <c r="B8" t="s">
        <v>1646</v>
      </c>
      <c r="C8" t="s">
        <v>800</v>
      </c>
      <c r="D8" t="s">
        <v>1913</v>
      </c>
      <c r="E8" t="s">
        <v>195</v>
      </c>
      <c r="F8" s="59">
        <v>1718</v>
      </c>
      <c r="G8" t="s">
        <v>1649</v>
      </c>
      <c r="H8" t="s">
        <v>1259</v>
      </c>
    </row>
    <row r="9" spans="1:8" x14ac:dyDescent="0.25">
      <c r="A9" s="9">
        <v>45542</v>
      </c>
      <c r="B9" t="s">
        <v>1650</v>
      </c>
      <c r="C9" t="s">
        <v>361</v>
      </c>
      <c r="D9" t="s">
        <v>24</v>
      </c>
      <c r="E9" t="s">
        <v>118</v>
      </c>
      <c r="F9" s="59">
        <v>1108.96</v>
      </c>
      <c r="G9" t="s">
        <v>1651</v>
      </c>
      <c r="H9" t="s">
        <v>1652</v>
      </c>
    </row>
    <row r="10" spans="1:8" x14ac:dyDescent="0.25">
      <c r="A10" s="9">
        <v>45545</v>
      </c>
      <c r="B10" t="s">
        <v>1655</v>
      </c>
      <c r="C10" t="s">
        <v>106</v>
      </c>
      <c r="D10" t="s">
        <v>1913</v>
      </c>
      <c r="E10" t="s">
        <v>118</v>
      </c>
      <c r="F10" s="59">
        <v>1533</v>
      </c>
      <c r="G10" t="s">
        <v>1230</v>
      </c>
      <c r="H10" t="s">
        <v>678</v>
      </c>
    </row>
    <row r="11" spans="1:8" x14ac:dyDescent="0.25">
      <c r="A11" s="9">
        <v>45545</v>
      </c>
      <c r="B11" t="s">
        <v>1658</v>
      </c>
      <c r="C11" t="s">
        <v>361</v>
      </c>
      <c r="D11" t="s">
        <v>1913</v>
      </c>
      <c r="E11" t="s">
        <v>118</v>
      </c>
      <c r="F11" s="59">
        <v>3597.5</v>
      </c>
      <c r="G11" t="s">
        <v>1661</v>
      </c>
      <c r="H11" t="s">
        <v>1668</v>
      </c>
    </row>
    <row r="12" spans="1:8" x14ac:dyDescent="0.25">
      <c r="A12" s="9">
        <v>45546</v>
      </c>
      <c r="B12" t="s">
        <v>1664</v>
      </c>
      <c r="C12" t="s">
        <v>106</v>
      </c>
      <c r="D12" t="s">
        <v>1913</v>
      </c>
      <c r="E12" t="s">
        <v>195</v>
      </c>
      <c r="F12" s="59">
        <v>1925</v>
      </c>
      <c r="G12" t="s">
        <v>1667</v>
      </c>
      <c r="H12" t="s">
        <v>1684</v>
      </c>
    </row>
    <row r="13" spans="1:8" x14ac:dyDescent="0.25">
      <c r="A13" s="9">
        <v>45546</v>
      </c>
      <c r="B13" t="s">
        <v>1669</v>
      </c>
      <c r="C13" t="s">
        <v>106</v>
      </c>
      <c r="D13" t="s">
        <v>1913</v>
      </c>
      <c r="E13" t="s">
        <v>118</v>
      </c>
      <c r="F13" s="59">
        <v>1754</v>
      </c>
      <c r="G13" t="s">
        <v>1672</v>
      </c>
      <c r="H13" t="s">
        <v>1685</v>
      </c>
    </row>
    <row r="14" spans="1:8" x14ac:dyDescent="0.25">
      <c r="A14" s="9">
        <v>45538</v>
      </c>
      <c r="B14" t="s">
        <v>1679</v>
      </c>
      <c r="C14" t="s">
        <v>106</v>
      </c>
      <c r="D14" t="s">
        <v>1913</v>
      </c>
      <c r="E14" t="s">
        <v>768</v>
      </c>
      <c r="F14" s="59">
        <v>1244</v>
      </c>
      <c r="G14" t="s">
        <v>1682</v>
      </c>
      <c r="H14" t="s">
        <v>1683</v>
      </c>
    </row>
    <row r="15" spans="1:8" x14ac:dyDescent="0.25">
      <c r="A15" s="9">
        <v>45544</v>
      </c>
      <c r="B15" t="s">
        <v>1686</v>
      </c>
      <c r="C15" t="s">
        <v>361</v>
      </c>
      <c r="D15" t="s">
        <v>1913</v>
      </c>
      <c r="E15" t="s">
        <v>118</v>
      </c>
      <c r="F15" s="59">
        <v>3298.4</v>
      </c>
      <c r="G15" t="s">
        <v>1706</v>
      </c>
      <c r="H15" t="s">
        <v>1689</v>
      </c>
    </row>
    <row r="16" spans="1:8" x14ac:dyDescent="0.25">
      <c r="A16" s="9">
        <v>45547</v>
      </c>
      <c r="B16" t="s">
        <v>1691</v>
      </c>
      <c r="C16" t="s">
        <v>106</v>
      </c>
      <c r="D16" t="s">
        <v>1913</v>
      </c>
      <c r="E16" t="s">
        <v>119</v>
      </c>
      <c r="F16" s="59">
        <v>986.1</v>
      </c>
      <c r="G16" t="s">
        <v>585</v>
      </c>
      <c r="H16" t="s">
        <v>1693</v>
      </c>
    </row>
    <row r="17" spans="1:8" x14ac:dyDescent="0.25">
      <c r="A17" s="9">
        <v>45547</v>
      </c>
      <c r="B17" t="s">
        <v>1694</v>
      </c>
      <c r="C17" t="s">
        <v>106</v>
      </c>
      <c r="D17" t="s">
        <v>1913</v>
      </c>
      <c r="E17" t="s">
        <v>928</v>
      </c>
      <c r="F17" s="59">
        <v>2757.8</v>
      </c>
      <c r="G17" t="s">
        <v>1697</v>
      </c>
      <c r="H17" t="s">
        <v>1708</v>
      </c>
    </row>
    <row r="18" spans="1:8" x14ac:dyDescent="0.25">
      <c r="A18" s="9">
        <v>45548</v>
      </c>
      <c r="B18" t="s">
        <v>1698</v>
      </c>
      <c r="C18" t="s">
        <v>361</v>
      </c>
      <c r="D18" t="s">
        <v>1913</v>
      </c>
      <c r="E18" t="s">
        <v>118</v>
      </c>
      <c r="F18" s="59">
        <v>2650</v>
      </c>
      <c r="G18" t="s">
        <v>1701</v>
      </c>
      <c r="H18" t="s">
        <v>1702</v>
      </c>
    </row>
    <row r="19" spans="1:8" x14ac:dyDescent="0.25">
      <c r="A19" s="9">
        <v>45549</v>
      </c>
      <c r="B19" t="s">
        <v>1703</v>
      </c>
      <c r="C19" t="s">
        <v>361</v>
      </c>
      <c r="D19" t="s">
        <v>1913</v>
      </c>
      <c r="E19" t="s">
        <v>195</v>
      </c>
      <c r="F19" s="59">
        <v>1240</v>
      </c>
      <c r="G19" t="s">
        <v>880</v>
      </c>
      <c r="H19" t="s">
        <v>1709</v>
      </c>
    </row>
    <row r="20" spans="1:8" x14ac:dyDescent="0.25">
      <c r="A20" s="9">
        <v>45553</v>
      </c>
      <c r="B20" t="s">
        <v>1293</v>
      </c>
      <c r="C20" t="s">
        <v>800</v>
      </c>
      <c r="D20" t="s">
        <v>1913</v>
      </c>
      <c r="E20" t="s">
        <v>118</v>
      </c>
      <c r="F20" s="59">
        <v>1558</v>
      </c>
      <c r="G20" t="s">
        <v>492</v>
      </c>
      <c r="H20" t="s">
        <v>502</v>
      </c>
    </row>
    <row r="21" spans="1:8" x14ac:dyDescent="0.25">
      <c r="A21" s="9">
        <v>45553</v>
      </c>
      <c r="B21" t="s">
        <v>1711</v>
      </c>
      <c r="C21" t="s">
        <v>361</v>
      </c>
      <c r="D21" t="s">
        <v>24</v>
      </c>
      <c r="E21" t="s">
        <v>195</v>
      </c>
      <c r="F21" s="59">
        <v>14725</v>
      </c>
      <c r="G21" t="s">
        <v>1714</v>
      </c>
      <c r="H21" t="s">
        <v>1731</v>
      </c>
    </row>
    <row r="22" spans="1:8" x14ac:dyDescent="0.25">
      <c r="A22" s="9">
        <v>45554</v>
      </c>
      <c r="B22" t="s">
        <v>1717</v>
      </c>
      <c r="C22" t="s">
        <v>106</v>
      </c>
      <c r="D22" t="s">
        <v>1913</v>
      </c>
      <c r="E22" t="s">
        <v>118</v>
      </c>
      <c r="F22" s="59">
        <v>1354</v>
      </c>
      <c r="G22" t="s">
        <v>1720</v>
      </c>
      <c r="H22" t="s">
        <v>236</v>
      </c>
    </row>
    <row r="23" spans="1:8" x14ac:dyDescent="0.25">
      <c r="A23" s="9">
        <v>45554</v>
      </c>
      <c r="B23" t="s">
        <v>1721</v>
      </c>
      <c r="C23" t="s">
        <v>106</v>
      </c>
      <c r="D23" t="s">
        <v>24</v>
      </c>
      <c r="E23" t="s">
        <v>118</v>
      </c>
      <c r="F23" s="59">
        <v>6124.8</v>
      </c>
      <c r="G23" t="s">
        <v>1724</v>
      </c>
      <c r="H23" t="s">
        <v>1259</v>
      </c>
    </row>
    <row r="24" spans="1:8" x14ac:dyDescent="0.25">
      <c r="A24" s="9">
        <v>45555</v>
      </c>
      <c r="B24" t="s">
        <v>1728</v>
      </c>
      <c r="C24" t="s">
        <v>106</v>
      </c>
      <c r="D24" t="s">
        <v>1913</v>
      </c>
      <c r="E24" t="s">
        <v>195</v>
      </c>
      <c r="F24" s="59">
        <v>1266</v>
      </c>
      <c r="G24" t="s">
        <v>1057</v>
      </c>
      <c r="H24" t="s">
        <v>1708</v>
      </c>
    </row>
    <row r="25" spans="1:8" x14ac:dyDescent="0.25">
      <c r="A25" s="9">
        <v>45555</v>
      </c>
      <c r="B25" t="s">
        <v>1732</v>
      </c>
      <c r="C25" t="s">
        <v>362</v>
      </c>
      <c r="D25" t="s">
        <v>24</v>
      </c>
      <c r="E25" t="s">
        <v>195</v>
      </c>
      <c r="F25" s="59">
        <v>24856.48</v>
      </c>
      <c r="G25" t="s">
        <v>323</v>
      </c>
      <c r="H25" t="s">
        <v>1739</v>
      </c>
    </row>
    <row r="26" spans="1:8" x14ac:dyDescent="0.25">
      <c r="A26" s="9">
        <v>45545</v>
      </c>
      <c r="B26" t="s">
        <v>1735</v>
      </c>
      <c r="C26" t="s">
        <v>106</v>
      </c>
      <c r="D26" t="s">
        <v>1913</v>
      </c>
      <c r="E26" t="s">
        <v>195</v>
      </c>
      <c r="F26" s="59">
        <v>1915.92</v>
      </c>
      <c r="G26" t="s">
        <v>1738</v>
      </c>
      <c r="H26" t="s">
        <v>236</v>
      </c>
    </row>
    <row r="27" spans="1:8" x14ac:dyDescent="0.25">
      <c r="A27" s="9">
        <v>45559</v>
      </c>
      <c r="B27" t="s">
        <v>1741</v>
      </c>
      <c r="C27" t="s">
        <v>361</v>
      </c>
      <c r="D27" t="s">
        <v>1913</v>
      </c>
      <c r="E27" t="s">
        <v>195</v>
      </c>
      <c r="F27" s="59">
        <v>2484</v>
      </c>
      <c r="G27" t="s">
        <v>1744</v>
      </c>
      <c r="H27" t="s">
        <v>236</v>
      </c>
    </row>
    <row r="28" spans="1:8" x14ac:dyDescent="0.25">
      <c r="A28" s="9">
        <v>45560</v>
      </c>
      <c r="B28" t="s">
        <v>1746</v>
      </c>
      <c r="C28" t="s">
        <v>361</v>
      </c>
      <c r="D28" t="s">
        <v>1913</v>
      </c>
      <c r="E28" t="s">
        <v>118</v>
      </c>
      <c r="F28" s="59">
        <v>1984</v>
      </c>
      <c r="G28" t="s">
        <v>1749</v>
      </c>
      <c r="H28" t="s">
        <v>1757</v>
      </c>
    </row>
    <row r="29" spans="1:8" x14ac:dyDescent="0.25">
      <c r="A29" s="9">
        <v>45558</v>
      </c>
      <c r="B29" t="s">
        <v>1753</v>
      </c>
      <c r="C29" t="s">
        <v>800</v>
      </c>
      <c r="D29" t="s">
        <v>1913</v>
      </c>
      <c r="E29" t="s">
        <v>118</v>
      </c>
      <c r="F29" s="59">
        <v>1540.16</v>
      </c>
      <c r="G29" t="s">
        <v>1756</v>
      </c>
      <c r="H29" t="s">
        <v>1914</v>
      </c>
    </row>
    <row r="30" spans="1:8" x14ac:dyDescent="0.25">
      <c r="A30" s="9">
        <v>45561</v>
      </c>
      <c r="B30" t="s">
        <v>1758</v>
      </c>
      <c r="C30" t="s">
        <v>106</v>
      </c>
      <c r="D30" t="s">
        <v>1913</v>
      </c>
      <c r="E30" t="s">
        <v>195</v>
      </c>
      <c r="F30" s="59">
        <v>2617.25</v>
      </c>
      <c r="G30" t="s">
        <v>1761</v>
      </c>
      <c r="H30" t="s">
        <v>1762</v>
      </c>
    </row>
    <row r="31" spans="1:8" x14ac:dyDescent="0.25">
      <c r="A31" s="9">
        <v>45561</v>
      </c>
      <c r="B31" t="s">
        <v>1077</v>
      </c>
      <c r="C31" t="s">
        <v>362</v>
      </c>
      <c r="D31" t="s">
        <v>1913</v>
      </c>
      <c r="E31" t="s">
        <v>118</v>
      </c>
      <c r="F31" s="59">
        <v>2027</v>
      </c>
      <c r="G31" t="s">
        <v>1763</v>
      </c>
      <c r="H31" t="s">
        <v>1259</v>
      </c>
    </row>
    <row r="32" spans="1:8" x14ac:dyDescent="0.25">
      <c r="A32" s="9">
        <v>45562</v>
      </c>
      <c r="B32" t="s">
        <v>1768</v>
      </c>
      <c r="C32" t="s">
        <v>106</v>
      </c>
      <c r="D32" t="s">
        <v>1913</v>
      </c>
      <c r="E32" t="s">
        <v>118</v>
      </c>
      <c r="F32" s="59">
        <v>2191</v>
      </c>
      <c r="G32" t="s">
        <v>1915</v>
      </c>
      <c r="H32" t="s">
        <v>791</v>
      </c>
    </row>
    <row r="33" spans="1:10" x14ac:dyDescent="0.25">
      <c r="A33" s="9">
        <v>45562</v>
      </c>
      <c r="B33" t="s">
        <v>1773</v>
      </c>
      <c r="C33" t="s">
        <v>106</v>
      </c>
      <c r="D33" t="s">
        <v>1913</v>
      </c>
      <c r="E33" t="s">
        <v>119</v>
      </c>
      <c r="F33" s="59">
        <v>1244</v>
      </c>
      <c r="G33" t="s">
        <v>1916</v>
      </c>
      <c r="H33" t="s">
        <v>236</v>
      </c>
    </row>
    <row r="34" spans="1:10" x14ac:dyDescent="0.25">
      <c r="A34" s="9">
        <v>45562</v>
      </c>
      <c r="B34" t="s">
        <v>1777</v>
      </c>
      <c r="C34" t="s">
        <v>106</v>
      </c>
      <c r="D34" t="s">
        <v>1913</v>
      </c>
      <c r="E34" t="s">
        <v>195</v>
      </c>
      <c r="F34" s="59">
        <v>4463.68</v>
      </c>
      <c r="G34" t="s">
        <v>1780</v>
      </c>
      <c r="H34" t="s">
        <v>245</v>
      </c>
    </row>
    <row r="35" spans="1:10" x14ac:dyDescent="0.25">
      <c r="A35" s="9">
        <v>45563</v>
      </c>
      <c r="B35" t="s">
        <v>1781</v>
      </c>
      <c r="C35" t="s">
        <v>106</v>
      </c>
      <c r="D35" t="s">
        <v>24</v>
      </c>
      <c r="E35" t="s">
        <v>195</v>
      </c>
      <c r="F35" s="59">
        <v>4366.9799999999996</v>
      </c>
      <c r="G35" t="s">
        <v>1784</v>
      </c>
      <c r="H35" t="s">
        <v>1785</v>
      </c>
    </row>
    <row r="36" spans="1:10" x14ac:dyDescent="0.25">
      <c r="A36" s="9">
        <v>45559</v>
      </c>
      <c r="B36" t="s">
        <v>1099</v>
      </c>
      <c r="C36" t="s">
        <v>106</v>
      </c>
      <c r="D36" t="s">
        <v>1913</v>
      </c>
      <c r="E36" t="s">
        <v>118</v>
      </c>
      <c r="F36" s="59">
        <v>1848</v>
      </c>
      <c r="G36" t="s">
        <v>1789</v>
      </c>
      <c r="H36" t="s">
        <v>1790</v>
      </c>
    </row>
    <row r="37" spans="1:10" x14ac:dyDescent="0.25">
      <c r="A37" s="9">
        <v>45563</v>
      </c>
      <c r="B37" t="s">
        <v>1781</v>
      </c>
      <c r="C37" t="s">
        <v>106</v>
      </c>
      <c r="D37" t="s">
        <v>24</v>
      </c>
      <c r="E37" t="s">
        <v>118</v>
      </c>
      <c r="F37" s="59">
        <v>298.75</v>
      </c>
      <c r="G37" t="s">
        <v>1791</v>
      </c>
      <c r="H37" t="s">
        <v>1091</v>
      </c>
    </row>
    <row r="38" spans="1:10" x14ac:dyDescent="0.25">
      <c r="A38" s="9">
        <v>45565</v>
      </c>
      <c r="B38" t="s">
        <v>1792</v>
      </c>
      <c r="C38" t="s">
        <v>106</v>
      </c>
      <c r="D38" t="s">
        <v>1913</v>
      </c>
      <c r="E38" t="s">
        <v>928</v>
      </c>
      <c r="F38" s="59">
        <v>3397.2</v>
      </c>
      <c r="G38" t="s">
        <v>1801</v>
      </c>
      <c r="H38" t="s">
        <v>1800</v>
      </c>
    </row>
    <row r="39" spans="1:10" x14ac:dyDescent="0.25">
      <c r="A39" s="9">
        <v>45553</v>
      </c>
      <c r="B39" t="s">
        <v>1796</v>
      </c>
      <c r="C39" t="s">
        <v>106</v>
      </c>
      <c r="D39" t="s">
        <v>1913</v>
      </c>
      <c r="E39" t="s">
        <v>118</v>
      </c>
      <c r="F39" s="59">
        <v>949.3</v>
      </c>
      <c r="G39" t="s">
        <v>1799</v>
      </c>
      <c r="H39" t="s">
        <v>1709</v>
      </c>
    </row>
    <row r="40" spans="1:10" x14ac:dyDescent="0.25">
      <c r="A40" s="9">
        <v>45554</v>
      </c>
      <c r="B40" t="s">
        <v>1811</v>
      </c>
      <c r="C40" t="s">
        <v>106</v>
      </c>
      <c r="D40" t="s">
        <v>1913</v>
      </c>
      <c r="E40" t="s">
        <v>118</v>
      </c>
      <c r="F40" s="59">
        <v>5504</v>
      </c>
      <c r="G40" t="s">
        <v>1814</v>
      </c>
      <c r="H40" t="s">
        <v>236</v>
      </c>
    </row>
    <row r="41" spans="1:10" x14ac:dyDescent="0.25">
      <c r="A41" s="9">
        <v>45562</v>
      </c>
      <c r="B41" t="s">
        <v>481</v>
      </c>
      <c r="C41" t="s">
        <v>106</v>
      </c>
      <c r="D41" t="s">
        <v>1913</v>
      </c>
      <c r="E41" t="s">
        <v>118</v>
      </c>
      <c r="F41" s="59">
        <v>2999.5</v>
      </c>
      <c r="G41" t="s">
        <v>531</v>
      </c>
      <c r="H41" t="s">
        <v>1259</v>
      </c>
    </row>
    <row r="42" spans="1:10" x14ac:dyDescent="0.25">
      <c r="A42" s="9">
        <v>45558</v>
      </c>
      <c r="B42" t="s">
        <v>1859</v>
      </c>
      <c r="C42" t="s">
        <v>800</v>
      </c>
      <c r="D42" t="s">
        <v>1913</v>
      </c>
      <c r="E42" t="s">
        <v>118</v>
      </c>
      <c r="F42" s="59">
        <v>1229</v>
      </c>
      <c r="G42" t="s">
        <v>1823</v>
      </c>
      <c r="H42" t="s">
        <v>1862</v>
      </c>
    </row>
    <row r="43" spans="1:10" x14ac:dyDescent="0.25">
      <c r="A43" s="9">
        <v>45565</v>
      </c>
      <c r="B43" t="s">
        <v>1873</v>
      </c>
      <c r="C43" t="s">
        <v>106</v>
      </c>
      <c r="D43" t="s">
        <v>1913</v>
      </c>
      <c r="E43" t="s">
        <v>928</v>
      </c>
      <c r="F43" s="59">
        <v>3564.13</v>
      </c>
      <c r="G43" t="s">
        <v>1601</v>
      </c>
      <c r="H43" t="s">
        <v>1877</v>
      </c>
    </row>
    <row r="47" spans="1:10" ht="15.75" thickBot="1" x14ac:dyDescent="0.3">
      <c r="A47" s="97" t="s">
        <v>8</v>
      </c>
      <c r="B47" s="97"/>
      <c r="C47" s="97"/>
      <c r="D47" s="97"/>
      <c r="E47" s="97"/>
      <c r="F47" s="97"/>
      <c r="G47" s="7"/>
    </row>
    <row r="48" spans="1:10" x14ac:dyDescent="0.25">
      <c r="A48" s="8" t="s">
        <v>9</v>
      </c>
      <c r="B48" s="9"/>
      <c r="C48" s="10">
        <f>SUM(F2:F46)</f>
        <v>131225.00999999998</v>
      </c>
      <c r="D48" s="11"/>
      <c r="E48" s="12" t="s">
        <v>10</v>
      </c>
      <c r="F48" s="13"/>
      <c r="G48" s="7"/>
      <c r="H48" s="14" t="s">
        <v>11</v>
      </c>
      <c r="I48" s="15">
        <v>24</v>
      </c>
      <c r="J48" s="16"/>
    </row>
    <row r="49" spans="1:10" x14ac:dyDescent="0.25">
      <c r="A49" s="8"/>
      <c r="B49" s="9"/>
      <c r="C49" s="10"/>
      <c r="D49" s="11"/>
      <c r="E49" s="17" t="s">
        <v>12</v>
      </c>
      <c r="F49" s="18">
        <v>131225.00999999998</v>
      </c>
      <c r="G49" s="7"/>
      <c r="H49" s="17" t="s">
        <v>13</v>
      </c>
      <c r="I49" s="19">
        <v>3</v>
      </c>
      <c r="J49" s="20">
        <f>I49/I$48</f>
        <v>0.125</v>
      </c>
    </row>
    <row r="50" spans="1:10" ht="15.75" thickBot="1" x14ac:dyDescent="0.3">
      <c r="A50" s="8" t="s">
        <v>14</v>
      </c>
      <c r="B50" s="9"/>
      <c r="C50" s="21">
        <v>24</v>
      </c>
      <c r="D50" s="11"/>
      <c r="E50" s="22" t="s">
        <v>15</v>
      </c>
      <c r="F50" s="23">
        <f>C48/C50</f>
        <v>5467.7087499999989</v>
      </c>
      <c r="G50" s="7"/>
      <c r="H50" s="17" t="s">
        <v>16</v>
      </c>
      <c r="I50" s="19">
        <v>21</v>
      </c>
      <c r="J50" s="20">
        <f>I50/I$48</f>
        <v>0.875</v>
      </c>
    </row>
    <row r="51" spans="1:10" ht="15.75" thickBot="1" x14ac:dyDescent="0.3">
      <c r="A51" s="8" t="s">
        <v>17</v>
      </c>
      <c r="B51" s="9"/>
      <c r="C51">
        <v>42</v>
      </c>
      <c r="D51" s="11"/>
      <c r="E51" s="11"/>
      <c r="F51" s="24"/>
      <c r="G51" s="7"/>
      <c r="H51" s="22" t="s">
        <v>18</v>
      </c>
      <c r="I51" s="25">
        <v>0</v>
      </c>
      <c r="J51" s="26">
        <f>I51/I$48</f>
        <v>0</v>
      </c>
    </row>
    <row r="52" spans="1:10" x14ac:dyDescent="0.25">
      <c r="A52" s="8"/>
      <c r="B52" s="9"/>
      <c r="D52" s="11" t="s">
        <v>19</v>
      </c>
      <c r="E52" s="12" t="s">
        <v>20</v>
      </c>
      <c r="F52" s="13"/>
      <c r="G52" s="7"/>
    </row>
    <row r="53" spans="1:10" ht="15.75" thickBot="1" x14ac:dyDescent="0.3">
      <c r="A53" s="8" t="s">
        <v>21</v>
      </c>
      <c r="B53" s="9"/>
      <c r="C53">
        <v>36</v>
      </c>
      <c r="D53" s="11" t="s">
        <v>19</v>
      </c>
      <c r="E53" s="17" t="s">
        <v>22</v>
      </c>
      <c r="F53" s="20">
        <f>C53/C$51</f>
        <v>0.8571428571428571</v>
      </c>
      <c r="G53" s="7"/>
    </row>
    <row r="54" spans="1:10" ht="15.75" thickBot="1" x14ac:dyDescent="0.3">
      <c r="A54" s="8" t="s">
        <v>23</v>
      </c>
      <c r="B54" s="9"/>
      <c r="C54">
        <v>6</v>
      </c>
      <c r="D54" s="11"/>
      <c r="E54" s="22" t="s">
        <v>24</v>
      </c>
      <c r="F54" s="26">
        <f>C54/C$51</f>
        <v>0.14285714285714285</v>
      </c>
      <c r="G54" s="7"/>
      <c r="H54" s="14" t="s">
        <v>25</v>
      </c>
      <c r="I54" s="15">
        <v>27</v>
      </c>
      <c r="J54" s="16"/>
    </row>
    <row r="55" spans="1:10" ht="15.75" thickBot="1" x14ac:dyDescent="0.3">
      <c r="A55" s="8"/>
      <c r="B55" s="9"/>
      <c r="D55" s="11"/>
      <c r="E55" s="11"/>
      <c r="F55" s="24"/>
      <c r="G55" s="7"/>
      <c r="H55" s="27" t="s">
        <v>26</v>
      </c>
      <c r="I55" s="30">
        <v>11</v>
      </c>
      <c r="J55" s="20">
        <f>I55/I$54</f>
        <v>0.40740740740740738</v>
      </c>
    </row>
    <row r="56" spans="1:10" x14ac:dyDescent="0.25">
      <c r="A56" s="8" t="s">
        <v>27</v>
      </c>
      <c r="B56" s="9"/>
      <c r="D56" s="11"/>
      <c r="E56" s="12" t="s">
        <v>28</v>
      </c>
      <c r="F56" s="13"/>
      <c r="G56" s="7"/>
      <c r="H56" s="27" t="s">
        <v>29</v>
      </c>
      <c r="I56" s="30">
        <v>11</v>
      </c>
      <c r="J56" s="20">
        <f>I56/I$54</f>
        <v>0.40740740740740738</v>
      </c>
    </row>
    <row r="57" spans="1:10" ht="15.75" thickBot="1" x14ac:dyDescent="0.3">
      <c r="A57" s="8" t="s">
        <v>30</v>
      </c>
      <c r="B57" s="9"/>
      <c r="C57">
        <v>2</v>
      </c>
      <c r="D57" s="11"/>
      <c r="E57" s="28" t="s">
        <v>30</v>
      </c>
      <c r="F57" s="20">
        <f>C57/C$66</f>
        <v>1.7094017094017096E-2</v>
      </c>
      <c r="G57" s="7"/>
      <c r="H57" s="29" t="s">
        <v>31</v>
      </c>
      <c r="I57" s="25">
        <v>5</v>
      </c>
      <c r="J57" s="26">
        <f>I57/I$54</f>
        <v>0.18518518518518517</v>
      </c>
    </row>
    <row r="58" spans="1:10" ht="15.75" thickBot="1" x14ac:dyDescent="0.3">
      <c r="A58" s="8" t="s">
        <v>11</v>
      </c>
      <c r="B58" s="9"/>
      <c r="C58">
        <v>24</v>
      </c>
      <c r="D58" s="11"/>
      <c r="E58" s="28" t="s">
        <v>11</v>
      </c>
      <c r="F58" s="20">
        <f t="shared" ref="F58:F65" si="0">C58/C$66</f>
        <v>0.20512820512820512</v>
      </c>
      <c r="G58" s="7"/>
    </row>
    <row r="59" spans="1:10" x14ac:dyDescent="0.25">
      <c r="A59" s="8" t="s">
        <v>32</v>
      </c>
      <c r="B59" s="9"/>
      <c r="C59">
        <v>27</v>
      </c>
      <c r="D59" s="11"/>
      <c r="E59" s="28" t="s">
        <v>32</v>
      </c>
      <c r="F59" s="20">
        <f t="shared" si="0"/>
        <v>0.23076923076923078</v>
      </c>
      <c r="G59" s="11" t="s">
        <v>19</v>
      </c>
      <c r="H59" s="14" t="s">
        <v>33</v>
      </c>
      <c r="I59" s="15">
        <v>2</v>
      </c>
      <c r="J59" s="13">
        <f t="shared" ref="J59:J70" si="1">I59/I$54</f>
        <v>7.407407407407407E-2</v>
      </c>
    </row>
    <row r="60" spans="1:10" x14ac:dyDescent="0.25">
      <c r="A60" s="8" t="s">
        <v>34</v>
      </c>
      <c r="B60" s="9"/>
      <c r="C60">
        <v>2</v>
      </c>
      <c r="D60" s="11"/>
      <c r="E60" s="28" t="s">
        <v>34</v>
      </c>
      <c r="F60" s="20">
        <f t="shared" si="0"/>
        <v>1.7094017094017096E-2</v>
      </c>
      <c r="G60" s="7"/>
      <c r="H60" s="27" t="s">
        <v>35</v>
      </c>
      <c r="I60" s="30">
        <v>5</v>
      </c>
      <c r="J60" s="20">
        <f t="shared" si="1"/>
        <v>0.18518518518518517</v>
      </c>
    </row>
    <row r="61" spans="1:10" x14ac:dyDescent="0.25">
      <c r="A61" s="8" t="s">
        <v>36</v>
      </c>
      <c r="B61" s="9"/>
      <c r="C61">
        <v>10</v>
      </c>
      <c r="D61" s="11"/>
      <c r="E61" s="28" t="s">
        <v>36</v>
      </c>
      <c r="F61" s="20">
        <f t="shared" si="0"/>
        <v>8.5470085470085472E-2</v>
      </c>
      <c r="G61" s="7"/>
      <c r="H61" s="27" t="s">
        <v>37</v>
      </c>
      <c r="I61" s="30">
        <v>6</v>
      </c>
      <c r="J61" s="20">
        <f t="shared" si="1"/>
        <v>0.22222222222222221</v>
      </c>
    </row>
    <row r="62" spans="1:10" x14ac:dyDescent="0.25">
      <c r="A62" s="8" t="s">
        <v>38</v>
      </c>
      <c r="B62" s="9"/>
      <c r="C62">
        <v>1</v>
      </c>
      <c r="D62" s="11"/>
      <c r="E62" s="28" t="s">
        <v>38</v>
      </c>
      <c r="F62" s="20">
        <f t="shared" si="0"/>
        <v>8.5470085470085479E-3</v>
      </c>
      <c r="G62" s="7"/>
      <c r="H62" s="27" t="s">
        <v>39</v>
      </c>
      <c r="I62" s="30">
        <v>1</v>
      </c>
      <c r="J62" s="20">
        <f t="shared" si="1"/>
        <v>3.7037037037037035E-2</v>
      </c>
    </row>
    <row r="63" spans="1:10" x14ac:dyDescent="0.25">
      <c r="A63" s="8" t="s">
        <v>40</v>
      </c>
      <c r="B63" s="9"/>
      <c r="C63">
        <v>13</v>
      </c>
      <c r="D63" s="11"/>
      <c r="E63" s="28" t="s">
        <v>40</v>
      </c>
      <c r="F63" s="20">
        <f t="shared" si="0"/>
        <v>0.1111111111111111</v>
      </c>
      <c r="G63" s="7"/>
      <c r="H63" s="27" t="s">
        <v>41</v>
      </c>
      <c r="I63" s="30">
        <v>5</v>
      </c>
      <c r="J63" s="20">
        <f t="shared" si="1"/>
        <v>0.18518518518518517</v>
      </c>
    </row>
    <row r="64" spans="1:10" x14ac:dyDescent="0.25">
      <c r="A64" s="8" t="s">
        <v>42</v>
      </c>
      <c r="B64" s="9"/>
      <c r="C64">
        <v>0</v>
      </c>
      <c r="D64" s="11"/>
      <c r="E64" s="28" t="s">
        <v>42</v>
      </c>
      <c r="F64" s="20">
        <f t="shared" si="0"/>
        <v>0</v>
      </c>
      <c r="G64" s="7"/>
      <c r="H64" s="27" t="s">
        <v>43</v>
      </c>
      <c r="I64" s="30">
        <v>4</v>
      </c>
      <c r="J64" s="20">
        <f t="shared" si="1"/>
        <v>0.14814814814814814</v>
      </c>
    </row>
    <row r="65" spans="1:10" ht="15.75" thickBot="1" x14ac:dyDescent="0.3">
      <c r="A65" s="8" t="s">
        <v>44</v>
      </c>
      <c r="B65" s="9"/>
      <c r="C65">
        <v>38</v>
      </c>
      <c r="D65" s="11"/>
      <c r="E65" s="31" t="s">
        <v>44</v>
      </c>
      <c r="F65" s="26">
        <f t="shared" si="0"/>
        <v>0.3247863247863248</v>
      </c>
      <c r="G65" s="11" t="s">
        <v>19</v>
      </c>
      <c r="H65" s="32" t="s">
        <v>45</v>
      </c>
      <c r="I65" s="30">
        <v>2</v>
      </c>
      <c r="J65" s="20">
        <f t="shared" si="1"/>
        <v>7.407407407407407E-2</v>
      </c>
    </row>
    <row r="66" spans="1:10" ht="15.75" thickBot="1" x14ac:dyDescent="0.3">
      <c r="A66" s="8" t="s">
        <v>46</v>
      </c>
      <c r="B66" s="9"/>
      <c r="C66">
        <f>SUM(C57:C65)</f>
        <v>117</v>
      </c>
      <c r="D66" s="11"/>
      <c r="E66" s="8"/>
      <c r="F66" s="24"/>
      <c r="G66" s="7"/>
      <c r="H66" s="32" t="s">
        <v>47</v>
      </c>
      <c r="I66" s="30">
        <v>1</v>
      </c>
      <c r="J66" s="20">
        <f t="shared" si="1"/>
        <v>3.7037037037037035E-2</v>
      </c>
    </row>
    <row r="67" spans="1:10" x14ac:dyDescent="0.25">
      <c r="A67" s="8"/>
      <c r="B67" s="9"/>
      <c r="D67" s="11"/>
      <c r="E67" s="33" t="s">
        <v>48</v>
      </c>
      <c r="F67" s="13"/>
      <c r="G67" s="7"/>
      <c r="H67" s="32" t="s">
        <v>49</v>
      </c>
      <c r="I67" s="30">
        <v>0</v>
      </c>
      <c r="J67" s="20">
        <f t="shared" si="1"/>
        <v>0</v>
      </c>
    </row>
    <row r="68" spans="1:10" x14ac:dyDescent="0.25">
      <c r="A68" s="8" t="s">
        <v>50</v>
      </c>
      <c r="B68" s="9"/>
      <c r="D68" s="11"/>
      <c r="E68" s="28" t="s">
        <v>51</v>
      </c>
      <c r="F68" s="20">
        <f>C69/C$79</f>
        <v>0.37398373983739835</v>
      </c>
      <c r="G68" s="7"/>
      <c r="H68" s="27" t="s">
        <v>52</v>
      </c>
      <c r="I68" s="30">
        <v>0</v>
      </c>
      <c r="J68" s="20">
        <f t="shared" si="1"/>
        <v>0</v>
      </c>
    </row>
    <row r="69" spans="1:10" x14ac:dyDescent="0.25">
      <c r="A69" s="8" t="s">
        <v>51</v>
      </c>
      <c r="B69" s="9"/>
      <c r="C69">
        <v>46</v>
      </c>
      <c r="D69" s="11"/>
      <c r="E69" s="28" t="s">
        <v>53</v>
      </c>
      <c r="F69" s="20">
        <f t="shared" ref="F69:F77" si="2">C70/C$79</f>
        <v>0.17886178861788618</v>
      </c>
      <c r="G69" s="7"/>
      <c r="H69" s="32" t="s">
        <v>54</v>
      </c>
      <c r="I69" s="30">
        <v>0</v>
      </c>
      <c r="J69" s="20">
        <f t="shared" si="1"/>
        <v>0</v>
      </c>
    </row>
    <row r="70" spans="1:10" ht="15.75" thickBot="1" x14ac:dyDescent="0.3">
      <c r="A70" s="8" t="s">
        <v>53</v>
      </c>
      <c r="B70" s="9"/>
      <c r="C70">
        <v>22</v>
      </c>
      <c r="D70" s="11"/>
      <c r="E70" s="28" t="s">
        <v>55</v>
      </c>
      <c r="F70" s="20">
        <f t="shared" si="2"/>
        <v>0.12195121951219512</v>
      </c>
      <c r="G70" s="7"/>
      <c r="H70" s="34" t="s">
        <v>56</v>
      </c>
      <c r="I70" s="25">
        <v>0</v>
      </c>
      <c r="J70" s="26">
        <f t="shared" si="1"/>
        <v>0</v>
      </c>
    </row>
    <row r="71" spans="1:10" x14ac:dyDescent="0.25">
      <c r="A71" s="8" t="s">
        <v>55</v>
      </c>
      <c r="B71" s="9"/>
      <c r="C71">
        <v>15</v>
      </c>
      <c r="D71" s="11"/>
      <c r="E71" s="28" t="s">
        <v>57</v>
      </c>
      <c r="F71" s="20">
        <f t="shared" si="2"/>
        <v>0.23577235772357724</v>
      </c>
      <c r="G71" s="7"/>
    </row>
    <row r="72" spans="1:10" ht="15.75" thickBot="1" x14ac:dyDescent="0.3">
      <c r="A72" s="8" t="s">
        <v>57</v>
      </c>
      <c r="B72" s="9"/>
      <c r="C72">
        <v>29</v>
      </c>
      <c r="D72" s="11"/>
      <c r="E72" s="28" t="s">
        <v>58</v>
      </c>
      <c r="F72" s="20">
        <f t="shared" si="2"/>
        <v>1.6260162601626018E-2</v>
      </c>
      <c r="G72" s="11" t="s">
        <v>19</v>
      </c>
    </row>
    <row r="73" spans="1:10" x14ac:dyDescent="0.25">
      <c r="A73" s="8" t="s">
        <v>58</v>
      </c>
      <c r="B73" s="9"/>
      <c r="C73">
        <v>2</v>
      </c>
      <c r="D73" s="11"/>
      <c r="E73" s="28" t="s">
        <v>59</v>
      </c>
      <c r="F73" s="20">
        <f t="shared" si="2"/>
        <v>0</v>
      </c>
      <c r="G73" s="7"/>
      <c r="H73" s="14" t="s">
        <v>36</v>
      </c>
      <c r="I73" s="15">
        <v>10</v>
      </c>
      <c r="J73" s="16"/>
    </row>
    <row r="74" spans="1:10" x14ac:dyDescent="0.25">
      <c r="A74" s="8" t="s">
        <v>59</v>
      </c>
      <c r="B74" s="9"/>
      <c r="C74">
        <v>0</v>
      </c>
      <c r="D74" s="11"/>
      <c r="E74" s="28" t="s">
        <v>60</v>
      </c>
      <c r="F74" s="20">
        <f t="shared" si="2"/>
        <v>0</v>
      </c>
      <c r="G74" s="7"/>
      <c r="H74" s="27" t="s">
        <v>61</v>
      </c>
      <c r="I74" s="30">
        <v>0</v>
      </c>
      <c r="J74" s="20">
        <f>I74/I$73</f>
        <v>0</v>
      </c>
    </row>
    <row r="75" spans="1:10" ht="15.75" thickBot="1" x14ac:dyDescent="0.3">
      <c r="A75" s="8" t="s">
        <v>60</v>
      </c>
      <c r="B75" s="9"/>
      <c r="C75">
        <v>0</v>
      </c>
      <c r="D75" s="11"/>
      <c r="E75" s="28" t="s">
        <v>62</v>
      </c>
      <c r="F75" s="20">
        <f t="shared" si="2"/>
        <v>0</v>
      </c>
      <c r="G75" s="7"/>
      <c r="H75" s="29" t="s">
        <v>63</v>
      </c>
      <c r="I75" s="25">
        <v>10</v>
      </c>
      <c r="J75" s="26">
        <f>I75/I$73</f>
        <v>1</v>
      </c>
    </row>
    <row r="76" spans="1:10" x14ac:dyDescent="0.25">
      <c r="A76" s="8" t="s">
        <v>62</v>
      </c>
      <c r="B76" s="9"/>
      <c r="C76">
        <v>0</v>
      </c>
      <c r="D76" s="11"/>
      <c r="E76" s="28" t="s">
        <v>64</v>
      </c>
      <c r="F76" s="20">
        <f t="shared" si="2"/>
        <v>1.6260162601626018E-2</v>
      </c>
      <c r="G76" s="7"/>
    </row>
    <row r="77" spans="1:10" ht="15.75" thickBot="1" x14ac:dyDescent="0.3">
      <c r="A77" s="8" t="s">
        <v>64</v>
      </c>
      <c r="B77" s="9"/>
      <c r="C77">
        <v>2</v>
      </c>
      <c r="D77" s="11"/>
      <c r="E77" s="31" t="s">
        <v>65</v>
      </c>
      <c r="F77" s="26">
        <f t="shared" si="2"/>
        <v>5.6910569105691054E-2</v>
      </c>
      <c r="G77" s="7"/>
    </row>
    <row r="78" spans="1:10" ht="15.75" thickBot="1" x14ac:dyDescent="0.3">
      <c r="A78" s="8" t="s">
        <v>65</v>
      </c>
      <c r="B78" s="9"/>
      <c r="C78">
        <v>7</v>
      </c>
      <c r="D78" s="11"/>
      <c r="E78" s="8"/>
      <c r="F78" s="24"/>
      <c r="G78" s="7"/>
      <c r="H78" s="14" t="s">
        <v>66</v>
      </c>
      <c r="I78" s="15">
        <v>1</v>
      </c>
      <c r="J78" s="16"/>
    </row>
    <row r="79" spans="1:10" x14ac:dyDescent="0.25">
      <c r="A79" s="8" t="s">
        <v>67</v>
      </c>
      <c r="B79" s="9"/>
      <c r="C79">
        <f>SUM(C69:C78)</f>
        <v>123</v>
      </c>
      <c r="D79" s="11"/>
      <c r="E79" s="33" t="s">
        <v>68</v>
      </c>
      <c r="F79" s="13"/>
      <c r="G79" s="7"/>
      <c r="H79" s="27" t="s">
        <v>69</v>
      </c>
      <c r="I79" s="30">
        <v>1</v>
      </c>
      <c r="J79" s="20">
        <f t="shared" ref="J79:J84" si="3">I79/I$78</f>
        <v>1</v>
      </c>
    </row>
    <row r="80" spans="1:10" x14ac:dyDescent="0.25">
      <c r="A80" s="8"/>
      <c r="B80" s="9"/>
      <c r="D80" s="11"/>
      <c r="E80" s="35" t="s">
        <v>70</v>
      </c>
      <c r="F80" s="20">
        <f>C81/C$51</f>
        <v>0.69047619047619047</v>
      </c>
      <c r="G80" s="7"/>
      <c r="H80" s="27" t="s">
        <v>71</v>
      </c>
      <c r="I80" s="30">
        <v>0</v>
      </c>
      <c r="J80" s="20">
        <f t="shared" si="3"/>
        <v>0</v>
      </c>
    </row>
    <row r="81" spans="1:10" x14ac:dyDescent="0.25">
      <c r="A81" s="8" t="s">
        <v>72</v>
      </c>
      <c r="B81" s="9"/>
      <c r="C81">
        <v>29</v>
      </c>
      <c r="D81" s="11"/>
      <c r="E81" s="35" t="s">
        <v>73</v>
      </c>
      <c r="F81" s="20">
        <f>C82/C$51</f>
        <v>2.3809523809523808E-2</v>
      </c>
      <c r="G81" s="7"/>
      <c r="H81" s="27" t="s">
        <v>74</v>
      </c>
      <c r="I81" s="30">
        <v>0</v>
      </c>
      <c r="J81" s="20">
        <f t="shared" si="3"/>
        <v>0</v>
      </c>
    </row>
    <row r="82" spans="1:10" ht="15.75" thickBot="1" x14ac:dyDescent="0.3">
      <c r="A82" s="8" t="s">
        <v>75</v>
      </c>
      <c r="B82" s="9"/>
      <c r="C82">
        <v>1</v>
      </c>
      <c r="D82" s="11"/>
      <c r="E82" s="36" t="s">
        <v>76</v>
      </c>
      <c r="F82" s="26">
        <f>C83/C$51</f>
        <v>0.2857142857142857</v>
      </c>
      <c r="G82" s="7"/>
      <c r="H82" s="27" t="s">
        <v>77</v>
      </c>
      <c r="I82" s="30">
        <v>0</v>
      </c>
      <c r="J82" s="20">
        <f t="shared" si="3"/>
        <v>0</v>
      </c>
    </row>
    <row r="83" spans="1:10" ht="15.75" thickBot="1" x14ac:dyDescent="0.3">
      <c r="A83" s="8" t="s">
        <v>78</v>
      </c>
      <c r="B83" s="9"/>
      <c r="C83">
        <v>12</v>
      </c>
      <c r="D83" s="11"/>
      <c r="E83" s="37"/>
      <c r="F83" s="24"/>
      <c r="G83" s="11" t="s">
        <v>19</v>
      </c>
      <c r="H83" s="27" t="s">
        <v>79</v>
      </c>
      <c r="I83" s="30">
        <v>0</v>
      </c>
      <c r="J83" s="20">
        <f t="shared" si="3"/>
        <v>0</v>
      </c>
    </row>
    <row r="84" spans="1:10" ht="15.75" thickBot="1" x14ac:dyDescent="0.3">
      <c r="A84" s="8"/>
      <c r="B84" s="9"/>
      <c r="D84" s="11"/>
      <c r="E84" s="38" t="s">
        <v>20</v>
      </c>
      <c r="F84" s="13"/>
      <c r="G84" s="7"/>
      <c r="H84" s="29" t="s">
        <v>80</v>
      </c>
      <c r="I84" s="25">
        <v>0</v>
      </c>
      <c r="J84" s="26">
        <f t="shared" si="3"/>
        <v>0</v>
      </c>
    </row>
    <row r="85" spans="1:10" x14ac:dyDescent="0.25">
      <c r="A85" s="8" t="s">
        <v>20</v>
      </c>
      <c r="B85" s="9"/>
      <c r="D85" s="11"/>
      <c r="E85" s="28" t="s">
        <v>81</v>
      </c>
      <c r="F85" s="20">
        <f>C86/C$51</f>
        <v>0.52380952380952384</v>
      </c>
      <c r="G85" s="7"/>
    </row>
    <row r="86" spans="1:10" ht="15.75" thickBot="1" x14ac:dyDescent="0.3">
      <c r="A86" s="8" t="s">
        <v>82</v>
      </c>
      <c r="B86" s="9"/>
      <c r="C86">
        <v>22</v>
      </c>
      <c r="D86" s="11"/>
      <c r="E86" s="31" t="s">
        <v>83</v>
      </c>
      <c r="F86" s="26">
        <f>C87/C$51</f>
        <v>0.47619047619047616</v>
      </c>
      <c r="G86" s="7"/>
    </row>
    <row r="87" spans="1:10" ht="15.75" thickBot="1" x14ac:dyDescent="0.3">
      <c r="A87" s="8" t="s">
        <v>83</v>
      </c>
      <c r="B87" s="9"/>
      <c r="C87">
        <v>20</v>
      </c>
      <c r="D87" s="11"/>
      <c r="E87" s="39"/>
      <c r="F87" s="40"/>
      <c r="G87" s="7"/>
      <c r="H87" s="14" t="s">
        <v>40</v>
      </c>
      <c r="I87" s="15">
        <v>13</v>
      </c>
      <c r="J87" s="16"/>
    </row>
    <row r="88" spans="1:10" x14ac:dyDescent="0.25">
      <c r="A88" s="8"/>
      <c r="B88" s="9"/>
      <c r="D88" s="11"/>
      <c r="E88" s="14" t="s">
        <v>84</v>
      </c>
      <c r="F88" s="13"/>
      <c r="G88" s="7"/>
      <c r="H88" s="27" t="s">
        <v>85</v>
      </c>
      <c r="I88" s="30">
        <v>1</v>
      </c>
      <c r="J88" s="20">
        <f>I88/I$87</f>
        <v>7.6923076923076927E-2</v>
      </c>
    </row>
    <row r="89" spans="1:10" x14ac:dyDescent="0.25">
      <c r="A89" t="s">
        <v>84</v>
      </c>
      <c r="D89" s="11"/>
      <c r="E89" s="27" t="s">
        <v>86</v>
      </c>
      <c r="F89" s="20">
        <f>C90/C$87</f>
        <v>0.7</v>
      </c>
      <c r="G89" s="7"/>
      <c r="H89" s="27" t="s">
        <v>87</v>
      </c>
      <c r="I89" s="30">
        <v>0</v>
      </c>
      <c r="J89" s="20">
        <f>I89/I$87</f>
        <v>0</v>
      </c>
    </row>
    <row r="90" spans="1:10" ht="15.75" thickBot="1" x14ac:dyDescent="0.3">
      <c r="A90" t="s">
        <v>86</v>
      </c>
      <c r="C90">
        <v>14</v>
      </c>
      <c r="D90" s="11"/>
      <c r="E90" s="29" t="s">
        <v>88</v>
      </c>
      <c r="F90" s="26">
        <f>C91/C$87</f>
        <v>0.3</v>
      </c>
      <c r="G90" s="7"/>
      <c r="H90" s="27" t="s">
        <v>89</v>
      </c>
      <c r="I90" s="19">
        <v>3</v>
      </c>
      <c r="J90" s="20">
        <f>I90/I$87</f>
        <v>0.23076923076923078</v>
      </c>
    </row>
    <row r="91" spans="1:10" ht="15.75" thickBot="1" x14ac:dyDescent="0.3">
      <c r="A91" t="s">
        <v>88</v>
      </c>
      <c r="C91">
        <v>6</v>
      </c>
      <c r="D91" s="11"/>
      <c r="E91" s="39"/>
      <c r="F91" s="40"/>
      <c r="G91" s="7"/>
      <c r="H91" s="27" t="s">
        <v>90</v>
      </c>
      <c r="I91" s="30">
        <v>3</v>
      </c>
      <c r="J91" s="20">
        <f>I91/I$87</f>
        <v>0.23076923076923078</v>
      </c>
    </row>
    <row r="92" spans="1:10" ht="15.75" thickBot="1" x14ac:dyDescent="0.3">
      <c r="A92" s="8"/>
      <c r="B92" s="9"/>
      <c r="D92" s="11"/>
      <c r="E92" s="33" t="s">
        <v>91</v>
      </c>
      <c r="F92" s="13"/>
      <c r="G92" s="7"/>
      <c r="H92" s="29" t="s">
        <v>92</v>
      </c>
      <c r="I92" s="25">
        <v>6</v>
      </c>
      <c r="J92" s="26">
        <f>I92/I$87</f>
        <v>0.46153846153846156</v>
      </c>
    </row>
    <row r="93" spans="1:10" x14ac:dyDescent="0.25">
      <c r="A93" s="8" t="s">
        <v>93</v>
      </c>
      <c r="B93" s="9"/>
      <c r="D93" s="11"/>
      <c r="E93" s="28" t="s">
        <v>94</v>
      </c>
      <c r="F93" s="20">
        <f t="shared" ref="F93:F98" si="4">C94/C$51</f>
        <v>0.35714285714285715</v>
      </c>
      <c r="G93" s="7"/>
    </row>
    <row r="94" spans="1:10" ht="15.75" thickBot="1" x14ac:dyDescent="0.3">
      <c r="A94" s="8" t="s">
        <v>94</v>
      </c>
      <c r="B94" s="9"/>
      <c r="C94">
        <v>15</v>
      </c>
      <c r="D94" s="11"/>
      <c r="E94" s="17" t="s">
        <v>95</v>
      </c>
      <c r="F94" s="20">
        <f t="shared" si="4"/>
        <v>7.1428571428571425E-2</v>
      </c>
      <c r="G94" s="7"/>
    </row>
    <row r="95" spans="1:10" x14ac:dyDescent="0.25">
      <c r="A95" s="8" t="s">
        <v>95</v>
      </c>
      <c r="B95" s="9"/>
      <c r="C95">
        <v>3</v>
      </c>
      <c r="D95" s="11"/>
      <c r="E95" s="17" t="s">
        <v>96</v>
      </c>
      <c r="F95" s="20">
        <f t="shared" si="4"/>
        <v>0</v>
      </c>
      <c r="G95" s="7"/>
      <c r="H95" s="14" t="s">
        <v>44</v>
      </c>
      <c r="I95" s="15">
        <v>38</v>
      </c>
      <c r="J95" s="16"/>
    </row>
    <row r="96" spans="1:10" x14ac:dyDescent="0.25">
      <c r="A96" s="8" t="s">
        <v>96</v>
      </c>
      <c r="B96" s="9"/>
      <c r="C96">
        <v>0</v>
      </c>
      <c r="D96" s="11"/>
      <c r="E96" s="17" t="s">
        <v>97</v>
      </c>
      <c r="F96" s="20">
        <f t="shared" si="4"/>
        <v>7.1428571428571425E-2</v>
      </c>
      <c r="G96" s="7"/>
      <c r="H96" s="27" t="s">
        <v>98</v>
      </c>
      <c r="I96" s="19">
        <v>3</v>
      </c>
      <c r="J96" s="20">
        <f>I96/I$95</f>
        <v>7.8947368421052627E-2</v>
      </c>
    </row>
    <row r="97" spans="1:10" x14ac:dyDescent="0.25">
      <c r="A97" s="8" t="s">
        <v>97</v>
      </c>
      <c r="B97" s="9"/>
      <c r="C97">
        <v>3</v>
      </c>
      <c r="D97" s="11"/>
      <c r="E97" s="17" t="s">
        <v>99</v>
      </c>
      <c r="F97" s="20">
        <f t="shared" si="4"/>
        <v>0.47619047619047616</v>
      </c>
      <c r="G97" s="7"/>
      <c r="H97" s="27" t="s">
        <v>100</v>
      </c>
      <c r="I97" s="30">
        <v>1</v>
      </c>
      <c r="J97" s="20">
        <f t="shared" ref="J97:J105" si="5">I97/I$95</f>
        <v>2.6315789473684209E-2</v>
      </c>
    </row>
    <row r="98" spans="1:10" ht="15.75" thickBot="1" x14ac:dyDescent="0.3">
      <c r="A98" s="8" t="s">
        <v>99</v>
      </c>
      <c r="B98" s="9"/>
      <c r="C98">
        <v>20</v>
      </c>
      <c r="D98" s="11"/>
      <c r="E98" s="22" t="s">
        <v>44</v>
      </c>
      <c r="F98" s="26">
        <f t="shared" si="4"/>
        <v>2.3809523809523808E-2</v>
      </c>
      <c r="G98" s="7"/>
      <c r="H98" s="27" t="s">
        <v>101</v>
      </c>
      <c r="I98" s="30">
        <v>0</v>
      </c>
      <c r="J98" s="20">
        <f t="shared" si="5"/>
        <v>0</v>
      </c>
    </row>
    <row r="99" spans="1:10" ht="15.75" thickBot="1" x14ac:dyDescent="0.3">
      <c r="A99" s="8" t="s">
        <v>44</v>
      </c>
      <c r="B99" s="9"/>
      <c r="C99">
        <v>1</v>
      </c>
      <c r="D99" s="11"/>
      <c r="E99" s="11"/>
      <c r="F99" s="24"/>
      <c r="G99" s="7"/>
      <c r="H99" s="27" t="s">
        <v>102</v>
      </c>
      <c r="I99" s="30">
        <v>1</v>
      </c>
      <c r="J99" s="20">
        <f t="shared" si="5"/>
        <v>2.6315789473684209E-2</v>
      </c>
    </row>
    <row r="100" spans="1:10" x14ac:dyDescent="0.25">
      <c r="A100" s="8"/>
      <c r="B100" s="9"/>
      <c r="D100" s="11"/>
      <c r="E100" s="12" t="s">
        <v>103</v>
      </c>
      <c r="F100" s="13"/>
      <c r="G100" s="7"/>
      <c r="H100" s="27" t="s">
        <v>104</v>
      </c>
      <c r="I100" s="30">
        <v>6</v>
      </c>
      <c r="J100" s="20">
        <f t="shared" si="5"/>
        <v>0.15789473684210525</v>
      </c>
    </row>
    <row r="101" spans="1:10" x14ac:dyDescent="0.25">
      <c r="A101" s="8" t="s">
        <v>105</v>
      </c>
      <c r="B101" s="9"/>
      <c r="D101" s="11"/>
      <c r="E101" s="17" t="s">
        <v>106</v>
      </c>
      <c r="F101" s="20">
        <f>C102/C$51</f>
        <v>0.66666666666666663</v>
      </c>
      <c r="G101" s="7"/>
      <c r="H101" s="41" t="s">
        <v>107</v>
      </c>
      <c r="I101" s="30">
        <v>0</v>
      </c>
      <c r="J101" s="20">
        <f t="shared" si="5"/>
        <v>0</v>
      </c>
    </row>
    <row r="102" spans="1:10" x14ac:dyDescent="0.25">
      <c r="A102" s="8" t="s">
        <v>106</v>
      </c>
      <c r="B102" s="9"/>
      <c r="C102">
        <v>28</v>
      </c>
      <c r="D102" s="11"/>
      <c r="E102" s="17" t="s">
        <v>108</v>
      </c>
      <c r="F102" s="20">
        <f>C103/C$51</f>
        <v>0.19047619047619047</v>
      </c>
      <c r="G102" s="7"/>
      <c r="H102" s="41" t="s">
        <v>109</v>
      </c>
      <c r="I102" s="30">
        <v>0</v>
      </c>
      <c r="J102" s="20">
        <f t="shared" si="5"/>
        <v>0</v>
      </c>
    </row>
    <row r="103" spans="1:10" x14ac:dyDescent="0.25">
      <c r="A103" s="8" t="s">
        <v>108</v>
      </c>
      <c r="B103" s="9"/>
      <c r="C103">
        <v>8</v>
      </c>
      <c r="D103" s="11"/>
      <c r="E103" s="17" t="s">
        <v>110</v>
      </c>
      <c r="F103" s="20">
        <f>C104/C$51</f>
        <v>4.7619047619047616E-2</v>
      </c>
      <c r="G103" s="7"/>
      <c r="H103" s="41" t="s">
        <v>111</v>
      </c>
      <c r="I103" s="30">
        <v>26</v>
      </c>
      <c r="J103" s="20">
        <f t="shared" si="5"/>
        <v>0.68421052631578949</v>
      </c>
    </row>
    <row r="104" spans="1:10" x14ac:dyDescent="0.25">
      <c r="A104" s="8" t="s">
        <v>110</v>
      </c>
      <c r="B104" s="9"/>
      <c r="C104">
        <v>2</v>
      </c>
      <c r="D104" s="11"/>
      <c r="E104" s="17" t="s">
        <v>112</v>
      </c>
      <c r="F104" s="20">
        <f>C105/C$51</f>
        <v>9.5238095238095233E-2</v>
      </c>
      <c r="G104" s="7"/>
      <c r="H104" s="41" t="s">
        <v>113</v>
      </c>
      <c r="I104" s="30">
        <v>0</v>
      </c>
      <c r="J104" s="20">
        <f t="shared" si="5"/>
        <v>0</v>
      </c>
    </row>
    <row r="105" spans="1:10" ht="15.75" thickBot="1" x14ac:dyDescent="0.3">
      <c r="A105" s="8" t="s">
        <v>112</v>
      </c>
      <c r="B105" s="9"/>
      <c r="C105">
        <v>4</v>
      </c>
      <c r="E105" s="22" t="s">
        <v>114</v>
      </c>
      <c r="F105" s="26">
        <f>C106/C$51</f>
        <v>0</v>
      </c>
      <c r="H105" s="42" t="s">
        <v>115</v>
      </c>
      <c r="I105" s="25">
        <v>0</v>
      </c>
      <c r="J105" s="26">
        <f t="shared" si="5"/>
        <v>0</v>
      </c>
    </row>
    <row r="106" spans="1:10" x14ac:dyDescent="0.25">
      <c r="A106" s="8" t="s">
        <v>114</v>
      </c>
      <c r="B106" s="9"/>
      <c r="C106">
        <v>0</v>
      </c>
      <c r="E106" s="11"/>
      <c r="F106" s="24"/>
    </row>
    <row r="107" spans="1:10" x14ac:dyDescent="0.25">
      <c r="A107" s="8" t="s">
        <v>116</v>
      </c>
      <c r="B107" s="9"/>
      <c r="C107">
        <v>0</v>
      </c>
      <c r="E107" s="11"/>
      <c r="F107" s="24"/>
    </row>
    <row r="108" spans="1:10" x14ac:dyDescent="0.25">
      <c r="A108" s="8"/>
      <c r="B108" s="9"/>
      <c r="E108" s="11"/>
      <c r="F108" s="24"/>
    </row>
    <row r="109" spans="1:10" ht="15.75" thickBot="1" x14ac:dyDescent="0.3"/>
    <row r="110" spans="1:10" x14ac:dyDescent="0.25">
      <c r="A110" s="43" t="s">
        <v>117</v>
      </c>
      <c r="B110" s="87">
        <f>SUM(B111:B114)</f>
        <v>131225.00999999998</v>
      </c>
    </row>
    <row r="111" spans="1:10" x14ac:dyDescent="0.25">
      <c r="A111" s="44" t="s">
        <v>94</v>
      </c>
      <c r="B111" s="45">
        <f>SUM(F2:F6,F8,F12,F19,F21,F24:F27,F30,F34:F35,)</f>
        <v>70163.309999999983</v>
      </c>
    </row>
    <row r="112" spans="1:10" x14ac:dyDescent="0.25">
      <c r="A112" s="44" t="s">
        <v>118</v>
      </c>
      <c r="B112" s="45">
        <f>SUM(F7,F9:F11,F13,F15,F18,F20,F22:F23,F28:F29,F31:F32,F36:F37,F39:F42)</f>
        <v>47868.47</v>
      </c>
    </row>
    <row r="113" spans="1:2" x14ac:dyDescent="0.25">
      <c r="A113" s="44" t="s">
        <v>119</v>
      </c>
      <c r="B113" s="45">
        <f>SUM(F16:F17,F33,F38,F43)</f>
        <v>11949.23</v>
      </c>
    </row>
    <row r="114" spans="1:2" x14ac:dyDescent="0.25">
      <c r="A114" s="44" t="s">
        <v>44</v>
      </c>
      <c r="B114" s="46">
        <v>1244</v>
      </c>
    </row>
    <row r="115" spans="1:2" ht="15.75" thickBot="1" x14ac:dyDescent="0.3">
      <c r="A115" s="47"/>
      <c r="B115" s="48"/>
    </row>
  </sheetData>
  <mergeCells count="1">
    <mergeCell ref="A47:F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51" workbookViewId="0">
      <selection activeCell="C47" sqref="C47"/>
    </sheetView>
  </sheetViews>
  <sheetFormatPr baseColWidth="10" defaultRowHeight="15" x14ac:dyDescent="0.25"/>
  <cols>
    <col min="1" max="1" width="10.5703125" customWidth="1"/>
    <col min="2" max="2" width="32.85546875" customWidth="1"/>
    <col min="3" max="3" width="12" customWidth="1"/>
    <col min="4" max="4" width="5.140625" customWidth="1"/>
    <col min="5" max="5" width="6.85546875" customWidth="1"/>
    <col min="7" max="7" width="45.425781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45568</v>
      </c>
      <c r="B2" t="s">
        <v>1803</v>
      </c>
      <c r="C2" t="s">
        <v>106</v>
      </c>
      <c r="D2" t="s">
        <v>22</v>
      </c>
      <c r="E2" t="s">
        <v>118</v>
      </c>
      <c r="F2" s="59">
        <v>1307</v>
      </c>
      <c r="G2" t="s">
        <v>1806</v>
      </c>
      <c r="H2" t="s">
        <v>1563</v>
      </c>
    </row>
    <row r="3" spans="1:8" x14ac:dyDescent="0.25">
      <c r="A3" s="9">
        <v>45567</v>
      </c>
      <c r="B3" t="s">
        <v>1816</v>
      </c>
      <c r="C3" t="s">
        <v>106</v>
      </c>
      <c r="D3" t="s">
        <v>22</v>
      </c>
      <c r="E3" t="s">
        <v>118</v>
      </c>
      <c r="F3" s="59">
        <v>4467</v>
      </c>
      <c r="G3" t="s">
        <v>1819</v>
      </c>
      <c r="H3" t="s">
        <v>502</v>
      </c>
    </row>
    <row r="4" spans="1:8" x14ac:dyDescent="0.25">
      <c r="A4" s="9">
        <v>45570</v>
      </c>
      <c r="B4" t="s">
        <v>1820</v>
      </c>
      <c r="C4" t="s">
        <v>106</v>
      </c>
      <c r="D4" t="s">
        <v>22</v>
      </c>
      <c r="E4" t="s">
        <v>195</v>
      </c>
      <c r="F4" s="59">
        <v>1202</v>
      </c>
      <c r="G4" t="s">
        <v>1823</v>
      </c>
      <c r="H4" t="s">
        <v>1832</v>
      </c>
    </row>
    <row r="5" spans="1:8" x14ac:dyDescent="0.25">
      <c r="A5" s="9">
        <v>45572</v>
      </c>
      <c r="B5" t="s">
        <v>1827</v>
      </c>
      <c r="C5" t="s">
        <v>106</v>
      </c>
      <c r="D5" t="s">
        <v>22</v>
      </c>
      <c r="E5" t="s">
        <v>195</v>
      </c>
      <c r="F5" s="59">
        <v>1668</v>
      </c>
      <c r="G5" t="s">
        <v>1830</v>
      </c>
      <c r="H5" t="s">
        <v>1842</v>
      </c>
    </row>
    <row r="6" spans="1:8" x14ac:dyDescent="0.25">
      <c r="A6" s="9">
        <v>45573</v>
      </c>
      <c r="B6" t="s">
        <v>1833</v>
      </c>
      <c r="C6" t="s">
        <v>106</v>
      </c>
      <c r="D6" t="s">
        <v>22</v>
      </c>
      <c r="E6" t="s">
        <v>118</v>
      </c>
      <c r="F6" s="59">
        <v>2793</v>
      </c>
      <c r="G6" t="s">
        <v>1835</v>
      </c>
      <c r="H6" t="s">
        <v>617</v>
      </c>
    </row>
    <row r="7" spans="1:8" x14ac:dyDescent="0.25">
      <c r="A7" s="9">
        <v>45573</v>
      </c>
      <c r="B7" t="s">
        <v>882</v>
      </c>
      <c r="C7" t="s">
        <v>361</v>
      </c>
      <c r="D7" t="s">
        <v>22</v>
      </c>
      <c r="E7" t="s">
        <v>118</v>
      </c>
      <c r="F7" s="59">
        <v>2344</v>
      </c>
      <c r="G7" t="s">
        <v>1837</v>
      </c>
      <c r="H7" t="s">
        <v>236</v>
      </c>
    </row>
    <row r="8" spans="1:8" x14ac:dyDescent="0.25">
      <c r="A8" s="9">
        <v>45574</v>
      </c>
      <c r="B8" t="s">
        <v>1839</v>
      </c>
      <c r="C8" t="s">
        <v>361</v>
      </c>
      <c r="D8" t="s">
        <v>22</v>
      </c>
      <c r="E8" t="s">
        <v>195</v>
      </c>
      <c r="F8" s="59">
        <v>1038</v>
      </c>
      <c r="G8" t="s">
        <v>585</v>
      </c>
      <c r="H8" t="s">
        <v>216</v>
      </c>
    </row>
    <row r="9" spans="1:8" x14ac:dyDescent="0.25">
      <c r="A9" s="9">
        <v>45569</v>
      </c>
      <c r="B9" t="s">
        <v>1846</v>
      </c>
      <c r="C9" t="s">
        <v>361</v>
      </c>
      <c r="D9" t="s">
        <v>22</v>
      </c>
      <c r="E9" t="s">
        <v>119</v>
      </c>
      <c r="F9" s="59">
        <v>1462.5</v>
      </c>
      <c r="G9" t="s">
        <v>1849</v>
      </c>
      <c r="H9" t="s">
        <v>245</v>
      </c>
    </row>
    <row r="10" spans="1:8" x14ac:dyDescent="0.25">
      <c r="A10" s="9">
        <v>45575</v>
      </c>
      <c r="B10" t="s">
        <v>1850</v>
      </c>
      <c r="C10" t="s">
        <v>361</v>
      </c>
      <c r="D10" t="s">
        <v>22</v>
      </c>
      <c r="E10" t="s">
        <v>118</v>
      </c>
      <c r="F10" s="59">
        <v>1733</v>
      </c>
      <c r="G10" t="s">
        <v>1853</v>
      </c>
      <c r="H10" t="s">
        <v>574</v>
      </c>
    </row>
    <row r="11" spans="1:8" x14ac:dyDescent="0.25">
      <c r="A11" s="9">
        <v>45575</v>
      </c>
      <c r="B11" t="s">
        <v>485</v>
      </c>
      <c r="C11" t="s">
        <v>106</v>
      </c>
      <c r="D11" t="s">
        <v>24</v>
      </c>
      <c r="E11" t="s">
        <v>118</v>
      </c>
      <c r="F11" s="59">
        <v>2318.14</v>
      </c>
      <c r="G11" t="s">
        <v>1854</v>
      </c>
      <c r="H11" t="s">
        <v>245</v>
      </c>
    </row>
    <row r="12" spans="1:8" x14ac:dyDescent="0.25">
      <c r="A12" s="9">
        <v>45576</v>
      </c>
      <c r="B12" t="s">
        <v>1863</v>
      </c>
      <c r="C12" t="s">
        <v>106</v>
      </c>
      <c r="D12" t="s">
        <v>22</v>
      </c>
      <c r="E12" t="s">
        <v>118</v>
      </c>
      <c r="F12" s="59">
        <v>1735</v>
      </c>
      <c r="G12" t="s">
        <v>1866</v>
      </c>
      <c r="H12" t="s">
        <v>1871</v>
      </c>
    </row>
    <row r="13" spans="1:8" x14ac:dyDescent="0.25">
      <c r="A13" s="9">
        <v>45576</v>
      </c>
      <c r="B13" t="s">
        <v>978</v>
      </c>
      <c r="C13" t="s">
        <v>106</v>
      </c>
      <c r="D13" t="s">
        <v>22</v>
      </c>
      <c r="E13" t="s">
        <v>118</v>
      </c>
      <c r="F13" s="59">
        <v>2641</v>
      </c>
      <c r="G13" t="s">
        <v>1410</v>
      </c>
      <c r="H13" t="s">
        <v>1876</v>
      </c>
    </row>
    <row r="14" spans="1:8" x14ac:dyDescent="0.25">
      <c r="A14" s="9">
        <v>45577</v>
      </c>
      <c r="B14" t="s">
        <v>1867</v>
      </c>
      <c r="C14" t="s">
        <v>106</v>
      </c>
      <c r="D14" t="s">
        <v>22</v>
      </c>
      <c r="E14" t="s">
        <v>195</v>
      </c>
      <c r="F14" s="59">
        <v>1414</v>
      </c>
      <c r="G14" t="s">
        <v>1870</v>
      </c>
      <c r="H14" t="s">
        <v>791</v>
      </c>
    </row>
    <row r="15" spans="1:8" x14ac:dyDescent="0.25">
      <c r="A15" s="9">
        <v>45566</v>
      </c>
      <c r="B15" t="s">
        <v>1879</v>
      </c>
      <c r="C15" t="s">
        <v>106</v>
      </c>
      <c r="D15" t="s">
        <v>22</v>
      </c>
      <c r="E15" t="s">
        <v>118</v>
      </c>
      <c r="F15" s="59">
        <v>4000</v>
      </c>
      <c r="G15" t="s">
        <v>1882</v>
      </c>
      <c r="H15" t="s">
        <v>236</v>
      </c>
    </row>
    <row r="16" spans="1:8" x14ac:dyDescent="0.25">
      <c r="A16" s="9">
        <v>45579</v>
      </c>
      <c r="B16" t="s">
        <v>1884</v>
      </c>
      <c r="C16" t="s">
        <v>361</v>
      </c>
      <c r="D16" t="s">
        <v>22</v>
      </c>
      <c r="E16" t="s">
        <v>195</v>
      </c>
      <c r="F16" s="59">
        <v>1012</v>
      </c>
      <c r="G16" t="s">
        <v>1887</v>
      </c>
      <c r="H16" t="s">
        <v>1910</v>
      </c>
    </row>
    <row r="17" spans="1:8" x14ac:dyDescent="0.25">
      <c r="A17" s="9">
        <v>45580</v>
      </c>
      <c r="B17" t="s">
        <v>1889</v>
      </c>
      <c r="C17" s="11" t="s">
        <v>800</v>
      </c>
      <c r="D17" t="s">
        <v>22</v>
      </c>
      <c r="E17" s="11" t="s">
        <v>118</v>
      </c>
      <c r="F17" s="59">
        <v>1055</v>
      </c>
      <c r="G17" s="11" t="s">
        <v>818</v>
      </c>
      <c r="H17" s="11" t="s">
        <v>236</v>
      </c>
    </row>
    <row r="18" spans="1:8" x14ac:dyDescent="0.25">
      <c r="A18" s="9">
        <v>45581</v>
      </c>
      <c r="B18" t="s">
        <v>1892</v>
      </c>
      <c r="C18" s="11" t="s">
        <v>361</v>
      </c>
      <c r="D18" t="s">
        <v>22</v>
      </c>
      <c r="E18" s="11" t="s">
        <v>195</v>
      </c>
      <c r="F18" s="59">
        <v>1744</v>
      </c>
      <c r="G18" s="11" t="s">
        <v>1895</v>
      </c>
      <c r="H18" s="11" t="s">
        <v>1896</v>
      </c>
    </row>
    <row r="19" spans="1:8" x14ac:dyDescent="0.25">
      <c r="A19" s="9">
        <v>45582</v>
      </c>
      <c r="B19" t="s">
        <v>1898</v>
      </c>
      <c r="C19" s="11" t="s">
        <v>106</v>
      </c>
      <c r="D19" t="s">
        <v>22</v>
      </c>
      <c r="E19" s="11" t="s">
        <v>118</v>
      </c>
      <c r="F19" s="59">
        <v>2709.4</v>
      </c>
      <c r="G19" s="11" t="s">
        <v>1900</v>
      </c>
      <c r="H19" s="11" t="s">
        <v>236</v>
      </c>
    </row>
    <row r="20" spans="1:8" x14ac:dyDescent="0.25">
      <c r="A20" s="9">
        <v>45582</v>
      </c>
      <c r="B20" t="s">
        <v>1902</v>
      </c>
      <c r="C20" s="11" t="s">
        <v>106</v>
      </c>
      <c r="D20" t="s">
        <v>22</v>
      </c>
      <c r="E20" s="11" t="s">
        <v>119</v>
      </c>
      <c r="F20" s="59">
        <v>978</v>
      </c>
      <c r="G20" s="11" t="s">
        <v>352</v>
      </c>
      <c r="H20" s="11" t="s">
        <v>344</v>
      </c>
    </row>
    <row r="21" spans="1:8" x14ac:dyDescent="0.25">
      <c r="A21" s="9">
        <v>45584</v>
      </c>
      <c r="B21" t="s">
        <v>1906</v>
      </c>
      <c r="C21" s="11" t="s">
        <v>800</v>
      </c>
      <c r="D21" t="s">
        <v>22</v>
      </c>
      <c r="E21" s="11" t="s">
        <v>119</v>
      </c>
      <c r="F21" s="59">
        <v>1547.52</v>
      </c>
      <c r="G21" s="11" t="s">
        <v>1909</v>
      </c>
      <c r="H21" s="11" t="s">
        <v>265</v>
      </c>
    </row>
    <row r="22" spans="1:8" x14ac:dyDescent="0.25">
      <c r="A22" s="9">
        <v>45584</v>
      </c>
      <c r="B22" t="s">
        <v>515</v>
      </c>
      <c r="C22" s="11" t="s">
        <v>106</v>
      </c>
      <c r="D22" t="s">
        <v>22</v>
      </c>
      <c r="E22" s="11" t="s">
        <v>118</v>
      </c>
      <c r="F22" s="59">
        <v>2782.56</v>
      </c>
      <c r="G22" s="11" t="s">
        <v>1912</v>
      </c>
      <c r="H22" s="11" t="s">
        <v>1917</v>
      </c>
    </row>
    <row r="23" spans="1:8" x14ac:dyDescent="0.25">
      <c r="A23" s="9">
        <v>45586</v>
      </c>
      <c r="B23" t="s">
        <v>1919</v>
      </c>
      <c r="C23" s="11" t="s">
        <v>106</v>
      </c>
      <c r="D23" t="s">
        <v>22</v>
      </c>
      <c r="E23" s="11" t="s">
        <v>195</v>
      </c>
      <c r="F23" s="59">
        <v>1577</v>
      </c>
      <c r="G23" s="11" t="s">
        <v>1922</v>
      </c>
      <c r="H23" s="11" t="s">
        <v>502</v>
      </c>
    </row>
    <row r="24" spans="1:8" x14ac:dyDescent="0.25">
      <c r="A24" s="9">
        <v>45586</v>
      </c>
      <c r="B24" t="s">
        <v>1924</v>
      </c>
      <c r="C24" s="11" t="s">
        <v>361</v>
      </c>
      <c r="D24" t="s">
        <v>22</v>
      </c>
      <c r="E24" s="11" t="s">
        <v>195</v>
      </c>
      <c r="F24" s="59">
        <v>1266</v>
      </c>
      <c r="G24" s="11" t="s">
        <v>1519</v>
      </c>
      <c r="H24" s="11" t="s">
        <v>1927</v>
      </c>
    </row>
    <row r="25" spans="1:8" x14ac:dyDescent="0.25">
      <c r="A25" s="9">
        <v>45581</v>
      </c>
      <c r="B25" t="s">
        <v>1929</v>
      </c>
      <c r="C25" s="11" t="s">
        <v>106</v>
      </c>
      <c r="D25" t="s">
        <v>22</v>
      </c>
      <c r="E25" s="11" t="s">
        <v>118</v>
      </c>
      <c r="F25" s="59">
        <v>7272.28</v>
      </c>
      <c r="G25" s="11" t="s">
        <v>1932</v>
      </c>
      <c r="H25" s="11" t="s">
        <v>1940</v>
      </c>
    </row>
    <row r="26" spans="1:8" x14ac:dyDescent="0.25">
      <c r="A26" s="9">
        <v>45587</v>
      </c>
      <c r="B26" t="s">
        <v>1934</v>
      </c>
      <c r="C26" s="11" t="s">
        <v>106</v>
      </c>
      <c r="D26" t="s">
        <v>22</v>
      </c>
      <c r="E26" s="11" t="s">
        <v>118</v>
      </c>
      <c r="F26" s="59">
        <v>2090</v>
      </c>
      <c r="G26" s="11" t="s">
        <v>1268</v>
      </c>
      <c r="H26" s="11" t="s">
        <v>1941</v>
      </c>
    </row>
    <row r="27" spans="1:8" x14ac:dyDescent="0.25">
      <c r="A27" s="9">
        <v>45588</v>
      </c>
      <c r="B27" t="s">
        <v>882</v>
      </c>
      <c r="C27" s="11" t="s">
        <v>362</v>
      </c>
      <c r="D27" t="s">
        <v>22</v>
      </c>
      <c r="E27" s="11" t="s">
        <v>118</v>
      </c>
      <c r="F27" s="59">
        <v>3697.4</v>
      </c>
      <c r="G27" s="11" t="s">
        <v>1939</v>
      </c>
      <c r="H27" s="11" t="s">
        <v>1950</v>
      </c>
    </row>
    <row r="28" spans="1:8" x14ac:dyDescent="0.25">
      <c r="A28" s="9">
        <v>45588</v>
      </c>
      <c r="B28" t="s">
        <v>1420</v>
      </c>
      <c r="C28" s="11" t="s">
        <v>361</v>
      </c>
      <c r="D28" t="s">
        <v>22</v>
      </c>
      <c r="E28" s="11" t="s">
        <v>118</v>
      </c>
      <c r="F28" s="59">
        <v>1674</v>
      </c>
      <c r="G28" s="11" t="s">
        <v>1943</v>
      </c>
      <c r="H28" s="11" t="s">
        <v>502</v>
      </c>
    </row>
    <row r="29" spans="1:8" x14ac:dyDescent="0.25">
      <c r="A29" s="9">
        <v>45576</v>
      </c>
      <c r="B29" t="s">
        <v>1945</v>
      </c>
      <c r="C29" s="11" t="s">
        <v>106</v>
      </c>
      <c r="D29" t="s">
        <v>22</v>
      </c>
      <c r="E29" s="11" t="s">
        <v>195</v>
      </c>
      <c r="F29" s="59">
        <v>1088</v>
      </c>
      <c r="G29" s="11" t="s">
        <v>1948</v>
      </c>
      <c r="H29" s="11" t="s">
        <v>1949</v>
      </c>
    </row>
    <row r="30" spans="1:8" x14ac:dyDescent="0.25">
      <c r="A30" s="9">
        <v>45589</v>
      </c>
      <c r="B30" t="s">
        <v>1952</v>
      </c>
      <c r="C30" s="11" t="s">
        <v>361</v>
      </c>
      <c r="D30" t="s">
        <v>22</v>
      </c>
      <c r="E30" s="11" t="s">
        <v>195</v>
      </c>
      <c r="F30" s="59">
        <v>966</v>
      </c>
      <c r="G30" s="11" t="s">
        <v>1955</v>
      </c>
      <c r="H30" s="11" t="s">
        <v>1963</v>
      </c>
    </row>
    <row r="31" spans="1:8" x14ac:dyDescent="0.25">
      <c r="A31" s="9">
        <v>45589</v>
      </c>
      <c r="B31" t="s">
        <v>1945</v>
      </c>
      <c r="C31" s="11" t="s">
        <v>106</v>
      </c>
      <c r="D31" t="s">
        <v>22</v>
      </c>
      <c r="E31" s="11" t="s">
        <v>118</v>
      </c>
      <c r="F31" s="59">
        <v>5718.18</v>
      </c>
      <c r="G31" s="11" t="s">
        <v>1957</v>
      </c>
      <c r="H31" s="11" t="s">
        <v>1949</v>
      </c>
    </row>
    <row r="32" spans="1:8" x14ac:dyDescent="0.25">
      <c r="A32" s="9">
        <v>45593</v>
      </c>
      <c r="B32" t="s">
        <v>1959</v>
      </c>
      <c r="C32" s="11" t="s">
        <v>106</v>
      </c>
      <c r="D32" t="s">
        <v>22</v>
      </c>
      <c r="E32" s="11" t="s">
        <v>118</v>
      </c>
      <c r="F32" s="59">
        <v>1565</v>
      </c>
      <c r="G32" s="11" t="s">
        <v>1962</v>
      </c>
      <c r="H32" s="11" t="s">
        <v>236</v>
      </c>
    </row>
    <row r="33" spans="1:10" x14ac:dyDescent="0.25">
      <c r="A33" s="9">
        <v>45593</v>
      </c>
      <c r="B33" t="s">
        <v>1965</v>
      </c>
      <c r="C33" s="11" t="s">
        <v>106</v>
      </c>
      <c r="D33" t="s">
        <v>22</v>
      </c>
      <c r="E33" s="11" t="s">
        <v>1968</v>
      </c>
      <c r="F33" s="59">
        <v>2650.5</v>
      </c>
      <c r="G33" s="11" t="s">
        <v>1969</v>
      </c>
      <c r="H33" s="11" t="s">
        <v>1970</v>
      </c>
    </row>
    <row r="34" spans="1:10" x14ac:dyDescent="0.25">
      <c r="A34" s="9">
        <v>45596</v>
      </c>
      <c r="B34" t="s">
        <v>1972</v>
      </c>
      <c r="C34" s="11" t="s">
        <v>361</v>
      </c>
      <c r="D34" t="s">
        <v>22</v>
      </c>
      <c r="E34" s="11" t="s">
        <v>195</v>
      </c>
      <c r="F34" s="59">
        <v>1545</v>
      </c>
      <c r="G34" s="11" t="s">
        <v>1975</v>
      </c>
      <c r="H34" s="11" t="s">
        <v>1039</v>
      </c>
    </row>
    <row r="35" spans="1:10" x14ac:dyDescent="0.25">
      <c r="A35" s="9">
        <v>45596</v>
      </c>
      <c r="B35" t="s">
        <v>1977</v>
      </c>
      <c r="C35" s="11" t="s">
        <v>362</v>
      </c>
      <c r="D35" t="s">
        <v>22</v>
      </c>
      <c r="E35" s="11" t="s">
        <v>195</v>
      </c>
      <c r="F35" s="59">
        <v>986.1</v>
      </c>
      <c r="G35" s="11" t="s">
        <v>585</v>
      </c>
      <c r="H35" s="11" t="s">
        <v>1950</v>
      </c>
    </row>
    <row r="36" spans="1:10" x14ac:dyDescent="0.25">
      <c r="A36" s="9">
        <v>45586</v>
      </c>
      <c r="B36" t="s">
        <v>1981</v>
      </c>
      <c r="C36" s="11" t="s">
        <v>106</v>
      </c>
      <c r="D36" t="s">
        <v>22</v>
      </c>
      <c r="E36" s="11" t="s">
        <v>118</v>
      </c>
      <c r="F36" s="59">
        <v>3611.48</v>
      </c>
      <c r="G36" s="11" t="s">
        <v>1984</v>
      </c>
      <c r="H36" s="11" t="s">
        <v>392</v>
      </c>
    </row>
    <row r="37" spans="1:10" x14ac:dyDescent="0.25">
      <c r="A37" s="9">
        <v>45581</v>
      </c>
      <c r="B37" t="s">
        <v>1986</v>
      </c>
      <c r="C37" s="11" t="s">
        <v>106</v>
      </c>
      <c r="D37" t="s">
        <v>22</v>
      </c>
      <c r="E37" s="11" t="s">
        <v>195</v>
      </c>
      <c r="F37" s="59">
        <v>2365</v>
      </c>
      <c r="G37" s="11" t="s">
        <v>1989</v>
      </c>
      <c r="H37" s="11" t="s">
        <v>1990</v>
      </c>
    </row>
    <row r="38" spans="1:10" x14ac:dyDescent="0.25">
      <c r="A38" s="9">
        <v>45594</v>
      </c>
      <c r="B38" t="s">
        <v>2003</v>
      </c>
      <c r="C38" s="11" t="s">
        <v>106</v>
      </c>
      <c r="D38" t="s">
        <v>22</v>
      </c>
      <c r="E38" s="11" t="s">
        <v>195</v>
      </c>
      <c r="F38" s="59">
        <v>7622.61</v>
      </c>
      <c r="G38" s="11" t="s">
        <v>2006</v>
      </c>
      <c r="H38" s="11" t="s">
        <v>228</v>
      </c>
    </row>
    <row r="39" spans="1:10" x14ac:dyDescent="0.25">
      <c r="A39" s="9">
        <v>45595</v>
      </c>
      <c r="B39" t="s">
        <v>2023</v>
      </c>
      <c r="C39" s="11" t="s">
        <v>106</v>
      </c>
      <c r="D39" t="s">
        <v>22</v>
      </c>
      <c r="E39" s="11" t="s">
        <v>118</v>
      </c>
      <c r="F39" s="59">
        <v>2939</v>
      </c>
      <c r="G39" s="11" t="s">
        <v>2026</v>
      </c>
      <c r="H39" s="11" t="s">
        <v>1652</v>
      </c>
    </row>
    <row r="40" spans="1:10" x14ac:dyDescent="0.25">
      <c r="A40" s="9">
        <v>45595</v>
      </c>
      <c r="B40" t="s">
        <v>2048</v>
      </c>
      <c r="C40" s="11" t="s">
        <v>106</v>
      </c>
      <c r="D40" t="s">
        <v>22</v>
      </c>
      <c r="E40" s="11" t="s">
        <v>1968</v>
      </c>
      <c r="F40" s="59">
        <v>1170</v>
      </c>
      <c r="G40" s="11" t="s">
        <v>2051</v>
      </c>
      <c r="H40" s="11" t="s">
        <v>1563</v>
      </c>
    </row>
    <row r="41" spans="1:10" x14ac:dyDescent="0.25">
      <c r="A41" s="9">
        <v>45595</v>
      </c>
      <c r="B41" t="s">
        <v>2053</v>
      </c>
      <c r="C41" s="11" t="s">
        <v>362</v>
      </c>
      <c r="D41" t="s">
        <v>22</v>
      </c>
      <c r="E41" s="11" t="s">
        <v>195</v>
      </c>
      <c r="F41" s="59">
        <v>3847.4</v>
      </c>
      <c r="G41" s="11" t="s">
        <v>2056</v>
      </c>
      <c r="H41" s="11" t="s">
        <v>1652</v>
      </c>
    </row>
    <row r="46" spans="1:10" ht="15.75" thickBot="1" x14ac:dyDescent="0.3">
      <c r="A46" s="97" t="s">
        <v>8</v>
      </c>
      <c r="B46" s="97"/>
      <c r="C46" s="97"/>
      <c r="D46" s="97"/>
      <c r="E46" s="97"/>
      <c r="F46" s="97"/>
      <c r="G46" s="7"/>
    </row>
    <row r="47" spans="1:10" x14ac:dyDescent="0.25">
      <c r="A47" s="8" t="s">
        <v>9</v>
      </c>
      <c r="B47" s="9"/>
      <c r="C47" s="10">
        <f>SUM(F2:F44)</f>
        <v>95602.069999999992</v>
      </c>
      <c r="D47" s="11"/>
      <c r="E47" s="12" t="s">
        <v>10</v>
      </c>
      <c r="F47" s="13"/>
      <c r="G47" s="7"/>
      <c r="H47" s="14" t="s">
        <v>11</v>
      </c>
      <c r="I47" s="15">
        <v>15</v>
      </c>
      <c r="J47" s="16"/>
    </row>
    <row r="48" spans="1:10" x14ac:dyDescent="0.25">
      <c r="A48" s="8"/>
      <c r="B48" s="9"/>
      <c r="C48" s="10"/>
      <c r="D48" s="11"/>
      <c r="E48" s="17" t="s">
        <v>12</v>
      </c>
      <c r="F48" s="18">
        <v>95602.069999999992</v>
      </c>
      <c r="G48" s="7"/>
      <c r="H48" s="17" t="s">
        <v>13</v>
      </c>
      <c r="I48" s="19">
        <v>3</v>
      </c>
      <c r="J48" s="20">
        <f>I48/I$47</f>
        <v>0.2</v>
      </c>
    </row>
    <row r="49" spans="1:10" ht="15.75" thickBot="1" x14ac:dyDescent="0.3">
      <c r="A49" s="8" t="s">
        <v>14</v>
      </c>
      <c r="B49" s="9"/>
      <c r="C49" s="21">
        <v>27</v>
      </c>
      <c r="D49" s="11"/>
      <c r="E49" s="22" t="s">
        <v>15</v>
      </c>
      <c r="F49" s="23">
        <f>C47/C49</f>
        <v>3540.8174074074072</v>
      </c>
      <c r="G49" s="7"/>
      <c r="H49" s="17" t="s">
        <v>16</v>
      </c>
      <c r="I49" s="19">
        <v>9</v>
      </c>
      <c r="J49" s="20">
        <f>I49/I$47</f>
        <v>0.6</v>
      </c>
    </row>
    <row r="50" spans="1:10" ht="15.75" thickBot="1" x14ac:dyDescent="0.3">
      <c r="A50" s="8" t="s">
        <v>17</v>
      </c>
      <c r="B50" s="9"/>
      <c r="C50">
        <v>40</v>
      </c>
      <c r="D50" s="11"/>
      <c r="E50" s="11"/>
      <c r="F50" s="24"/>
      <c r="G50" s="7"/>
      <c r="H50" s="22" t="s">
        <v>18</v>
      </c>
      <c r="I50" s="25">
        <v>3</v>
      </c>
      <c r="J50" s="26">
        <f>I50/I$47</f>
        <v>0.2</v>
      </c>
    </row>
    <row r="51" spans="1:10" x14ac:dyDescent="0.25">
      <c r="A51" s="8"/>
      <c r="B51" s="9"/>
      <c r="D51" s="11" t="s">
        <v>19</v>
      </c>
      <c r="E51" s="12" t="s">
        <v>20</v>
      </c>
      <c r="F51" s="13"/>
      <c r="G51" s="7"/>
    </row>
    <row r="52" spans="1:10" ht="15.75" thickBot="1" x14ac:dyDescent="0.3">
      <c r="A52" s="8" t="s">
        <v>21</v>
      </c>
      <c r="B52" s="9"/>
      <c r="C52">
        <v>39</v>
      </c>
      <c r="D52" s="11" t="s">
        <v>19</v>
      </c>
      <c r="E52" s="17" t="s">
        <v>22</v>
      </c>
      <c r="F52" s="20">
        <f>C52/C$50</f>
        <v>0.97499999999999998</v>
      </c>
      <c r="G52" s="7"/>
    </row>
    <row r="53" spans="1:10" ht="15.75" thickBot="1" x14ac:dyDescent="0.3">
      <c r="A53" s="8" t="s">
        <v>23</v>
      </c>
      <c r="B53" s="9"/>
      <c r="C53">
        <v>1</v>
      </c>
      <c r="D53" s="11"/>
      <c r="E53" s="22" t="s">
        <v>24</v>
      </c>
      <c r="F53" s="26">
        <f>C53/C$50</f>
        <v>2.5000000000000001E-2</v>
      </c>
      <c r="G53" s="7"/>
      <c r="H53" s="14" t="s">
        <v>25</v>
      </c>
      <c r="I53" s="15">
        <v>35</v>
      </c>
      <c r="J53" s="16"/>
    </row>
    <row r="54" spans="1:10" ht="15.75" thickBot="1" x14ac:dyDescent="0.3">
      <c r="A54" s="8"/>
      <c r="B54" s="9"/>
      <c r="D54" s="11"/>
      <c r="E54" s="11"/>
      <c r="F54" s="24"/>
      <c r="G54" s="7"/>
      <c r="H54" s="27" t="s">
        <v>26</v>
      </c>
      <c r="I54" s="30">
        <v>18</v>
      </c>
      <c r="J54" s="20">
        <f>I54/I$53</f>
        <v>0.51428571428571423</v>
      </c>
    </row>
    <row r="55" spans="1:10" x14ac:dyDescent="0.25">
      <c r="A55" s="8" t="s">
        <v>27</v>
      </c>
      <c r="B55" s="9"/>
      <c r="D55" s="11"/>
      <c r="E55" s="12" t="s">
        <v>28</v>
      </c>
      <c r="F55" s="13"/>
      <c r="G55" s="7"/>
      <c r="H55" s="27" t="s">
        <v>29</v>
      </c>
      <c r="I55" s="30">
        <v>11</v>
      </c>
      <c r="J55" s="20">
        <f>I55/I$53</f>
        <v>0.31428571428571428</v>
      </c>
    </row>
    <row r="56" spans="1:10" ht="15.75" thickBot="1" x14ac:dyDescent="0.3">
      <c r="A56" s="8" t="s">
        <v>30</v>
      </c>
      <c r="B56" s="9"/>
      <c r="C56">
        <v>1</v>
      </c>
      <c r="D56" s="11"/>
      <c r="E56" s="28" t="s">
        <v>30</v>
      </c>
      <c r="F56" s="20">
        <f>C56/C$65</f>
        <v>1.0526315789473684E-2</v>
      </c>
      <c r="G56" s="7"/>
      <c r="H56" s="29" t="s">
        <v>31</v>
      </c>
      <c r="I56" s="25">
        <v>6</v>
      </c>
      <c r="J56" s="26">
        <f>I56/I$53</f>
        <v>0.17142857142857143</v>
      </c>
    </row>
    <row r="57" spans="1:10" ht="15.75" thickBot="1" x14ac:dyDescent="0.3">
      <c r="A57" s="8" t="s">
        <v>11</v>
      </c>
      <c r="B57" s="9"/>
      <c r="C57">
        <v>15</v>
      </c>
      <c r="D57" s="11"/>
      <c r="E57" s="28" t="s">
        <v>11</v>
      </c>
      <c r="F57" s="20">
        <f t="shared" ref="F57:F64" si="0">C57/C$65</f>
        <v>0.15789473684210525</v>
      </c>
      <c r="G57" s="7"/>
    </row>
    <row r="58" spans="1:10" x14ac:dyDescent="0.25">
      <c r="A58" s="8" t="s">
        <v>32</v>
      </c>
      <c r="B58" s="9"/>
      <c r="C58">
        <v>35</v>
      </c>
      <c r="D58" s="11"/>
      <c r="E58" s="28" t="s">
        <v>32</v>
      </c>
      <c r="F58" s="20">
        <f t="shared" si="0"/>
        <v>0.36842105263157893</v>
      </c>
      <c r="G58" s="11" t="s">
        <v>19</v>
      </c>
      <c r="H58" s="14" t="s">
        <v>33</v>
      </c>
      <c r="I58" s="15">
        <v>2</v>
      </c>
      <c r="J58" s="13">
        <f t="shared" ref="J58:J69" si="1">I58/I$53</f>
        <v>5.7142857142857141E-2</v>
      </c>
    </row>
    <row r="59" spans="1:10" x14ac:dyDescent="0.25">
      <c r="A59" s="8" t="s">
        <v>34</v>
      </c>
      <c r="B59" s="9"/>
      <c r="C59">
        <v>0</v>
      </c>
      <c r="D59" s="11"/>
      <c r="E59" s="28" t="s">
        <v>34</v>
      </c>
      <c r="F59" s="20">
        <f t="shared" si="0"/>
        <v>0</v>
      </c>
      <c r="G59" s="7"/>
      <c r="H59" s="27" t="s">
        <v>35</v>
      </c>
      <c r="I59" s="30">
        <v>4</v>
      </c>
      <c r="J59" s="20">
        <f t="shared" si="1"/>
        <v>0.11428571428571428</v>
      </c>
    </row>
    <row r="60" spans="1:10" x14ac:dyDescent="0.25">
      <c r="A60" s="8" t="s">
        <v>36</v>
      </c>
      <c r="B60" s="9"/>
      <c r="C60">
        <v>12</v>
      </c>
      <c r="D60" s="11"/>
      <c r="E60" s="28" t="s">
        <v>36</v>
      </c>
      <c r="F60" s="20">
        <f t="shared" si="0"/>
        <v>0.12631578947368421</v>
      </c>
      <c r="G60" s="7"/>
      <c r="H60" s="27" t="s">
        <v>37</v>
      </c>
      <c r="I60" s="30">
        <v>2</v>
      </c>
      <c r="J60" s="20">
        <f t="shared" si="1"/>
        <v>5.7142857142857141E-2</v>
      </c>
    </row>
    <row r="61" spans="1:10" x14ac:dyDescent="0.25">
      <c r="A61" s="8" t="s">
        <v>38</v>
      </c>
      <c r="B61" s="9"/>
      <c r="C61">
        <v>1</v>
      </c>
      <c r="D61" s="11"/>
      <c r="E61" s="28" t="s">
        <v>38</v>
      </c>
      <c r="F61" s="20">
        <f t="shared" si="0"/>
        <v>1.0526315789473684E-2</v>
      </c>
      <c r="G61" s="7"/>
      <c r="H61" s="27" t="s">
        <v>39</v>
      </c>
      <c r="I61" s="30">
        <v>3</v>
      </c>
      <c r="J61" s="20">
        <f t="shared" si="1"/>
        <v>8.5714285714285715E-2</v>
      </c>
    </row>
    <row r="62" spans="1:10" x14ac:dyDescent="0.25">
      <c r="A62" s="8" t="s">
        <v>40</v>
      </c>
      <c r="B62" s="9"/>
      <c r="C62">
        <v>7</v>
      </c>
      <c r="D62" s="11"/>
      <c r="E62" s="28" t="s">
        <v>40</v>
      </c>
      <c r="F62" s="20">
        <f t="shared" si="0"/>
        <v>7.3684210526315783E-2</v>
      </c>
      <c r="G62" s="7"/>
      <c r="H62" s="27" t="s">
        <v>41</v>
      </c>
      <c r="I62" s="30">
        <v>8</v>
      </c>
      <c r="J62" s="20">
        <f t="shared" si="1"/>
        <v>0.22857142857142856</v>
      </c>
    </row>
    <row r="63" spans="1:10" x14ac:dyDescent="0.25">
      <c r="A63" s="8" t="s">
        <v>42</v>
      </c>
      <c r="B63" s="9"/>
      <c r="C63">
        <v>2</v>
      </c>
      <c r="D63" s="11"/>
      <c r="E63" s="28" t="s">
        <v>42</v>
      </c>
      <c r="F63" s="20">
        <f t="shared" si="0"/>
        <v>2.1052631578947368E-2</v>
      </c>
      <c r="G63" s="7"/>
      <c r="H63" s="27" t="s">
        <v>43</v>
      </c>
      <c r="I63" s="30">
        <v>12</v>
      </c>
      <c r="J63" s="20">
        <f t="shared" si="1"/>
        <v>0.34285714285714286</v>
      </c>
    </row>
    <row r="64" spans="1:10" ht="15.75" thickBot="1" x14ac:dyDescent="0.3">
      <c r="A64" s="8" t="s">
        <v>44</v>
      </c>
      <c r="B64" s="9"/>
      <c r="C64">
        <v>22</v>
      </c>
      <c r="D64" s="11"/>
      <c r="E64" s="31" t="s">
        <v>44</v>
      </c>
      <c r="F64" s="26">
        <f t="shared" si="0"/>
        <v>0.23157894736842105</v>
      </c>
      <c r="G64" s="11" t="s">
        <v>19</v>
      </c>
      <c r="H64" s="32" t="s">
        <v>45</v>
      </c>
      <c r="I64" s="30">
        <v>0</v>
      </c>
      <c r="J64" s="20">
        <f t="shared" si="1"/>
        <v>0</v>
      </c>
    </row>
    <row r="65" spans="1:10" ht="15.75" thickBot="1" x14ac:dyDescent="0.3">
      <c r="A65" s="8" t="s">
        <v>46</v>
      </c>
      <c r="B65" s="9"/>
      <c r="C65">
        <f>SUM(C56:C64)</f>
        <v>95</v>
      </c>
      <c r="D65" s="11"/>
      <c r="E65" s="8"/>
      <c r="F65" s="24"/>
      <c r="G65" s="7"/>
      <c r="H65" s="32" t="s">
        <v>47</v>
      </c>
      <c r="I65" s="30">
        <v>2</v>
      </c>
      <c r="J65" s="20">
        <f t="shared" si="1"/>
        <v>5.7142857142857141E-2</v>
      </c>
    </row>
    <row r="66" spans="1:10" x14ac:dyDescent="0.25">
      <c r="A66" s="8"/>
      <c r="B66" s="9"/>
      <c r="D66" s="11"/>
      <c r="E66" s="33" t="s">
        <v>48</v>
      </c>
      <c r="F66" s="13"/>
      <c r="G66" s="7"/>
      <c r="H66" s="32" t="s">
        <v>49</v>
      </c>
      <c r="I66" s="30">
        <v>1</v>
      </c>
      <c r="J66" s="20">
        <f t="shared" si="1"/>
        <v>2.8571428571428571E-2</v>
      </c>
    </row>
    <row r="67" spans="1:10" x14ac:dyDescent="0.25">
      <c r="A67" s="8" t="s">
        <v>50</v>
      </c>
      <c r="B67" s="9"/>
      <c r="D67" s="11"/>
      <c r="E67" s="28" t="s">
        <v>51</v>
      </c>
      <c r="F67" s="20">
        <f>C68/C$78</f>
        <v>0.49504950495049505</v>
      </c>
      <c r="G67" s="7"/>
      <c r="H67" s="27" t="s">
        <v>52</v>
      </c>
      <c r="I67" s="30">
        <v>0</v>
      </c>
      <c r="J67" s="20">
        <f t="shared" si="1"/>
        <v>0</v>
      </c>
    </row>
    <row r="68" spans="1:10" x14ac:dyDescent="0.25">
      <c r="A68" s="8" t="s">
        <v>51</v>
      </c>
      <c r="B68" s="9"/>
      <c r="C68">
        <v>50</v>
      </c>
      <c r="D68" s="11"/>
      <c r="E68" s="28" t="s">
        <v>53</v>
      </c>
      <c r="F68" s="20">
        <f t="shared" ref="F68:F76" si="2">C69/C$78</f>
        <v>0.25742574257425743</v>
      </c>
      <c r="G68" s="7"/>
      <c r="H68" s="32" t="s">
        <v>54</v>
      </c>
      <c r="I68" s="30">
        <v>1</v>
      </c>
      <c r="J68" s="20">
        <f t="shared" si="1"/>
        <v>2.8571428571428571E-2</v>
      </c>
    </row>
    <row r="69" spans="1:10" ht="15.75" thickBot="1" x14ac:dyDescent="0.3">
      <c r="A69" s="8" t="s">
        <v>53</v>
      </c>
      <c r="B69" s="9"/>
      <c r="C69">
        <v>26</v>
      </c>
      <c r="D69" s="11"/>
      <c r="E69" s="28" t="s">
        <v>55</v>
      </c>
      <c r="F69" s="20">
        <f t="shared" si="2"/>
        <v>5.9405940594059403E-2</v>
      </c>
      <c r="G69" s="7"/>
      <c r="H69" s="34" t="s">
        <v>56</v>
      </c>
      <c r="I69" s="25">
        <v>0</v>
      </c>
      <c r="J69" s="26">
        <f t="shared" si="1"/>
        <v>0</v>
      </c>
    </row>
    <row r="70" spans="1:10" x14ac:dyDescent="0.25">
      <c r="A70" s="8" t="s">
        <v>55</v>
      </c>
      <c r="B70" s="9"/>
      <c r="C70">
        <v>6</v>
      </c>
      <c r="D70" s="11"/>
      <c r="E70" s="28" t="s">
        <v>57</v>
      </c>
      <c r="F70" s="20">
        <f t="shared" si="2"/>
        <v>3.9603960396039604E-2</v>
      </c>
      <c r="G70" s="7"/>
    </row>
    <row r="71" spans="1:10" ht="15.75" thickBot="1" x14ac:dyDescent="0.3">
      <c r="A71" s="8" t="s">
        <v>57</v>
      </c>
      <c r="B71" s="9"/>
      <c r="C71">
        <v>4</v>
      </c>
      <c r="D71" s="11"/>
      <c r="E71" s="28" t="s">
        <v>58</v>
      </c>
      <c r="F71" s="20">
        <f t="shared" si="2"/>
        <v>6.9306930693069313E-2</v>
      </c>
      <c r="G71" s="11" t="s">
        <v>19</v>
      </c>
    </row>
    <row r="72" spans="1:10" x14ac:dyDescent="0.25">
      <c r="A72" s="8" t="s">
        <v>58</v>
      </c>
      <c r="B72" s="9"/>
      <c r="C72">
        <v>7</v>
      </c>
      <c r="D72" s="11"/>
      <c r="E72" s="28" t="s">
        <v>59</v>
      </c>
      <c r="F72" s="20">
        <f t="shared" si="2"/>
        <v>0</v>
      </c>
      <c r="G72" s="7"/>
      <c r="H72" s="14" t="s">
        <v>36</v>
      </c>
      <c r="I72" s="15">
        <v>12</v>
      </c>
      <c r="J72" s="16"/>
    </row>
    <row r="73" spans="1:10" x14ac:dyDescent="0.25">
      <c r="A73" s="8" t="s">
        <v>59</v>
      </c>
      <c r="B73" s="9"/>
      <c r="C73">
        <v>0</v>
      </c>
      <c r="D73" s="11"/>
      <c r="E73" s="28" t="s">
        <v>60</v>
      </c>
      <c r="F73" s="20">
        <f t="shared" si="2"/>
        <v>0</v>
      </c>
      <c r="G73" s="7"/>
      <c r="H73" s="27" t="s">
        <v>61</v>
      </c>
      <c r="I73" s="30">
        <v>2</v>
      </c>
      <c r="J73" s="20">
        <f>I73/I$72</f>
        <v>0.16666666666666666</v>
      </c>
    </row>
    <row r="74" spans="1:10" ht="15.75" thickBot="1" x14ac:dyDescent="0.3">
      <c r="A74" s="8" t="s">
        <v>60</v>
      </c>
      <c r="B74" s="9"/>
      <c r="C74">
        <v>0</v>
      </c>
      <c r="D74" s="11"/>
      <c r="E74" s="28" t="s">
        <v>62</v>
      </c>
      <c r="F74" s="20">
        <f t="shared" si="2"/>
        <v>0</v>
      </c>
      <c r="G74" s="7"/>
      <c r="H74" s="29" t="s">
        <v>63</v>
      </c>
      <c r="I74" s="25">
        <v>10</v>
      </c>
      <c r="J74" s="26">
        <f>I74/I$72</f>
        <v>0.83333333333333337</v>
      </c>
    </row>
    <row r="75" spans="1:10" x14ac:dyDescent="0.25">
      <c r="A75" s="8" t="s">
        <v>62</v>
      </c>
      <c r="B75" s="9"/>
      <c r="C75">
        <v>0</v>
      </c>
      <c r="D75" s="11"/>
      <c r="E75" s="28" t="s">
        <v>64</v>
      </c>
      <c r="F75" s="20">
        <f t="shared" si="2"/>
        <v>0</v>
      </c>
      <c r="G75" s="7"/>
    </row>
    <row r="76" spans="1:10" ht="15.75" thickBot="1" x14ac:dyDescent="0.3">
      <c r="A76" s="8" t="s">
        <v>64</v>
      </c>
      <c r="B76" s="9"/>
      <c r="C76">
        <v>0</v>
      </c>
      <c r="D76" s="11"/>
      <c r="E76" s="31" t="s">
        <v>65</v>
      </c>
      <c r="F76" s="26">
        <f t="shared" si="2"/>
        <v>7.9207920792079209E-2</v>
      </c>
      <c r="G76" s="7"/>
    </row>
    <row r="77" spans="1:10" ht="15.75" thickBot="1" x14ac:dyDescent="0.3">
      <c r="A77" s="8" t="s">
        <v>65</v>
      </c>
      <c r="B77" s="9"/>
      <c r="C77">
        <v>8</v>
      </c>
      <c r="D77" s="11"/>
      <c r="E77" s="8"/>
      <c r="F77" s="24"/>
      <c r="G77" s="7"/>
      <c r="H77" s="14" t="s">
        <v>66</v>
      </c>
      <c r="I77" s="15">
        <v>1</v>
      </c>
      <c r="J77" s="16"/>
    </row>
    <row r="78" spans="1:10" x14ac:dyDescent="0.25">
      <c r="A78" s="8" t="s">
        <v>67</v>
      </c>
      <c r="B78" s="9"/>
      <c r="C78">
        <f>SUM(C68:C77)</f>
        <v>101</v>
      </c>
      <c r="D78" s="11"/>
      <c r="E78" s="33" t="s">
        <v>68</v>
      </c>
      <c r="F78" s="13"/>
      <c r="G78" s="7"/>
      <c r="H78" s="27" t="s">
        <v>69</v>
      </c>
      <c r="I78" s="30">
        <v>0</v>
      </c>
      <c r="J78" s="20">
        <f t="shared" ref="J78:J83" si="3">I78/I$77</f>
        <v>0</v>
      </c>
    </row>
    <row r="79" spans="1:10" x14ac:dyDescent="0.25">
      <c r="A79" s="8"/>
      <c r="B79" s="9"/>
      <c r="D79" s="11"/>
      <c r="E79" s="35" t="s">
        <v>70</v>
      </c>
      <c r="F79" s="20">
        <f>C80/C$50</f>
        <v>0.82499999999999996</v>
      </c>
      <c r="G79" s="7"/>
      <c r="H79" s="27" t="s">
        <v>71</v>
      </c>
      <c r="I79" s="19">
        <v>0</v>
      </c>
      <c r="J79" s="20">
        <f t="shared" si="3"/>
        <v>0</v>
      </c>
    </row>
    <row r="80" spans="1:10" x14ac:dyDescent="0.25">
      <c r="A80" s="8" t="s">
        <v>72</v>
      </c>
      <c r="B80" s="9"/>
      <c r="C80">
        <v>33</v>
      </c>
      <c r="D80" s="11"/>
      <c r="E80" s="35" t="s">
        <v>73</v>
      </c>
      <c r="F80" s="20">
        <f>C81/C$50</f>
        <v>0</v>
      </c>
      <c r="G80" s="7"/>
      <c r="H80" s="27" t="s">
        <v>74</v>
      </c>
      <c r="I80" s="19">
        <v>1</v>
      </c>
      <c r="J80" s="20">
        <f t="shared" si="3"/>
        <v>1</v>
      </c>
    </row>
    <row r="81" spans="1:10" ht="15.75" thickBot="1" x14ac:dyDescent="0.3">
      <c r="A81" s="8" t="s">
        <v>75</v>
      </c>
      <c r="B81" s="9"/>
      <c r="C81">
        <v>0</v>
      </c>
      <c r="D81" s="11"/>
      <c r="E81" s="36" t="s">
        <v>76</v>
      </c>
      <c r="F81" s="26">
        <f>C82/C$50</f>
        <v>0.17499999999999999</v>
      </c>
      <c r="G81" s="7"/>
      <c r="H81" s="27" t="s">
        <v>77</v>
      </c>
      <c r="I81" s="30">
        <v>0</v>
      </c>
      <c r="J81" s="20">
        <f t="shared" si="3"/>
        <v>0</v>
      </c>
    </row>
    <row r="82" spans="1:10" ht="15.75" thickBot="1" x14ac:dyDescent="0.3">
      <c r="A82" s="8" t="s">
        <v>78</v>
      </c>
      <c r="B82" s="9"/>
      <c r="C82">
        <v>7</v>
      </c>
      <c r="D82" s="11"/>
      <c r="E82" s="37"/>
      <c r="F82" s="24"/>
      <c r="G82" s="11" t="s">
        <v>19</v>
      </c>
      <c r="H82" s="27" t="s">
        <v>79</v>
      </c>
      <c r="I82" s="30">
        <v>0</v>
      </c>
      <c r="J82" s="20">
        <f t="shared" si="3"/>
        <v>0</v>
      </c>
    </row>
    <row r="83" spans="1:10" ht="15.75" thickBot="1" x14ac:dyDescent="0.3">
      <c r="A83" s="8"/>
      <c r="B83" s="9"/>
      <c r="D83" s="11"/>
      <c r="E83" s="38" t="s">
        <v>20</v>
      </c>
      <c r="F83" s="13"/>
      <c r="G83" s="7"/>
      <c r="H83" s="29" t="s">
        <v>80</v>
      </c>
      <c r="I83" s="25">
        <v>0</v>
      </c>
      <c r="J83" s="26">
        <f t="shared" si="3"/>
        <v>0</v>
      </c>
    </row>
    <row r="84" spans="1:10" x14ac:dyDescent="0.25">
      <c r="A84" s="8" t="s">
        <v>20</v>
      </c>
      <c r="B84" s="9"/>
      <c r="D84" s="11"/>
      <c r="E84" s="28" t="s">
        <v>81</v>
      </c>
      <c r="F84" s="20">
        <f>C85/C$50</f>
        <v>0.5</v>
      </c>
      <c r="G84" s="11" t="s">
        <v>19</v>
      </c>
    </row>
    <row r="85" spans="1:10" ht="15.75" thickBot="1" x14ac:dyDescent="0.3">
      <c r="A85" s="8" t="s">
        <v>82</v>
      </c>
      <c r="B85" s="9"/>
      <c r="C85">
        <v>20</v>
      </c>
      <c r="D85" s="11"/>
      <c r="E85" s="31" t="s">
        <v>83</v>
      </c>
      <c r="F85" s="26">
        <f>C86/C$50</f>
        <v>0.5</v>
      </c>
      <c r="G85" s="7"/>
    </row>
    <row r="86" spans="1:10" ht="15.75" thickBot="1" x14ac:dyDescent="0.3">
      <c r="A86" s="8" t="s">
        <v>83</v>
      </c>
      <c r="B86" s="9"/>
      <c r="C86">
        <v>20</v>
      </c>
      <c r="D86" s="11"/>
      <c r="E86" s="39"/>
      <c r="F86" s="40"/>
      <c r="G86" s="7"/>
      <c r="H86" s="14" t="s">
        <v>40</v>
      </c>
      <c r="I86" s="15">
        <v>7</v>
      </c>
      <c r="J86" s="16"/>
    </row>
    <row r="87" spans="1:10" x14ac:dyDescent="0.25">
      <c r="A87" s="8"/>
      <c r="B87" s="9"/>
      <c r="D87" s="11"/>
      <c r="E87" s="14" t="s">
        <v>84</v>
      </c>
      <c r="F87" s="13"/>
      <c r="G87" s="7"/>
      <c r="H87" s="27" t="s">
        <v>85</v>
      </c>
      <c r="I87" s="30">
        <v>0</v>
      </c>
      <c r="J87" s="20">
        <f>I87/I$86</f>
        <v>0</v>
      </c>
    </row>
    <row r="88" spans="1:10" x14ac:dyDescent="0.25">
      <c r="A88" t="s">
        <v>84</v>
      </c>
      <c r="D88" s="11"/>
      <c r="E88" s="27" t="s">
        <v>86</v>
      </c>
      <c r="F88" s="20">
        <f>C89/C$86</f>
        <v>0.7</v>
      </c>
      <c r="G88" s="7"/>
      <c r="H88" s="27" t="s">
        <v>87</v>
      </c>
      <c r="I88" s="19">
        <v>2</v>
      </c>
      <c r="J88" s="20">
        <f>I88/I$86</f>
        <v>0.2857142857142857</v>
      </c>
    </row>
    <row r="89" spans="1:10" ht="15.75" thickBot="1" x14ac:dyDescent="0.3">
      <c r="A89" t="s">
        <v>86</v>
      </c>
      <c r="C89">
        <v>14</v>
      </c>
      <c r="D89" s="11"/>
      <c r="E89" s="29" t="s">
        <v>88</v>
      </c>
      <c r="F89" s="26">
        <f>C90/C$86</f>
        <v>0.3</v>
      </c>
      <c r="G89" s="7"/>
      <c r="H89" s="27" t="s">
        <v>89</v>
      </c>
      <c r="I89" s="30">
        <v>3</v>
      </c>
      <c r="J89" s="20">
        <f>I89/I$86</f>
        <v>0.42857142857142855</v>
      </c>
    </row>
    <row r="90" spans="1:10" ht="15.75" thickBot="1" x14ac:dyDescent="0.3">
      <c r="A90" t="s">
        <v>88</v>
      </c>
      <c r="C90">
        <v>6</v>
      </c>
      <c r="D90" s="11"/>
      <c r="E90" s="39"/>
      <c r="F90" s="40"/>
      <c r="G90" s="7"/>
      <c r="H90" s="27" t="s">
        <v>90</v>
      </c>
      <c r="I90" s="30">
        <v>0</v>
      </c>
      <c r="J90" s="20">
        <f>I90/I$86</f>
        <v>0</v>
      </c>
    </row>
    <row r="91" spans="1:10" ht="15.75" thickBot="1" x14ac:dyDescent="0.3">
      <c r="A91" s="8"/>
      <c r="B91" s="9"/>
      <c r="D91" s="11"/>
      <c r="E91" s="33" t="s">
        <v>91</v>
      </c>
      <c r="F91" s="13"/>
      <c r="G91" s="7"/>
      <c r="H91" s="29" t="s">
        <v>92</v>
      </c>
      <c r="I91" s="25">
        <v>2</v>
      </c>
      <c r="J91" s="26">
        <f>I91/I$86</f>
        <v>0.2857142857142857</v>
      </c>
    </row>
    <row r="92" spans="1:10" x14ac:dyDescent="0.25">
      <c r="A92" s="8" t="s">
        <v>93</v>
      </c>
      <c r="B92" s="9"/>
      <c r="D92" s="11"/>
      <c r="E92" s="28" t="s">
        <v>94</v>
      </c>
      <c r="F92" s="20">
        <f t="shared" ref="F92:F97" si="4">C93/C$50</f>
        <v>0.375</v>
      </c>
      <c r="G92" s="7"/>
    </row>
    <row r="93" spans="1:10" ht="15.75" thickBot="1" x14ac:dyDescent="0.3">
      <c r="A93" s="8" t="s">
        <v>94</v>
      </c>
      <c r="B93" s="9"/>
      <c r="C93">
        <v>15</v>
      </c>
      <c r="D93" s="11"/>
      <c r="E93" s="17" t="s">
        <v>95</v>
      </c>
      <c r="F93" s="20">
        <f t="shared" si="4"/>
        <v>0.125</v>
      </c>
      <c r="G93" s="7"/>
    </row>
    <row r="94" spans="1:10" x14ac:dyDescent="0.25">
      <c r="A94" s="8" t="s">
        <v>95</v>
      </c>
      <c r="B94" s="9"/>
      <c r="C94">
        <v>5</v>
      </c>
      <c r="D94" s="11"/>
      <c r="E94" s="17" t="s">
        <v>96</v>
      </c>
      <c r="F94" s="20">
        <f t="shared" si="4"/>
        <v>0</v>
      </c>
      <c r="G94" s="7"/>
      <c r="H94" s="14" t="s">
        <v>44</v>
      </c>
      <c r="I94" s="15">
        <v>22</v>
      </c>
      <c r="J94" s="16"/>
    </row>
    <row r="95" spans="1:10" x14ac:dyDescent="0.25">
      <c r="A95" s="8" t="s">
        <v>96</v>
      </c>
      <c r="B95" s="9"/>
      <c r="C95">
        <v>0</v>
      </c>
      <c r="D95" s="11"/>
      <c r="E95" s="17" t="s">
        <v>97</v>
      </c>
      <c r="F95" s="20">
        <f t="shared" si="4"/>
        <v>0</v>
      </c>
      <c r="G95" s="7"/>
      <c r="H95" s="27" t="s">
        <v>98</v>
      </c>
      <c r="I95" s="19">
        <v>4</v>
      </c>
      <c r="J95" s="20">
        <f>I95/I$94</f>
        <v>0.18181818181818182</v>
      </c>
    </row>
    <row r="96" spans="1:10" x14ac:dyDescent="0.25">
      <c r="A96" s="8" t="s">
        <v>97</v>
      </c>
      <c r="B96" s="9"/>
      <c r="C96">
        <v>0</v>
      </c>
      <c r="D96" s="11"/>
      <c r="E96" s="17" t="s">
        <v>99</v>
      </c>
      <c r="F96" s="20">
        <f t="shared" si="4"/>
        <v>0.5</v>
      </c>
      <c r="G96" s="7"/>
      <c r="H96" s="27" t="s">
        <v>100</v>
      </c>
      <c r="I96" s="30">
        <v>0</v>
      </c>
      <c r="J96" s="20">
        <f t="shared" ref="J96:J104" si="5">I96/I$94</f>
        <v>0</v>
      </c>
    </row>
    <row r="97" spans="1:10" ht="15.75" thickBot="1" x14ac:dyDescent="0.3">
      <c r="A97" s="8" t="s">
        <v>99</v>
      </c>
      <c r="B97" s="9"/>
      <c r="C97">
        <v>20</v>
      </c>
      <c r="D97" s="11"/>
      <c r="E97" s="22" t="s">
        <v>44</v>
      </c>
      <c r="F97" s="26">
        <f t="shared" si="4"/>
        <v>0</v>
      </c>
      <c r="G97" s="7"/>
      <c r="H97" s="27" t="s">
        <v>101</v>
      </c>
      <c r="I97" s="30">
        <v>0</v>
      </c>
      <c r="J97" s="20">
        <f t="shared" si="5"/>
        <v>0</v>
      </c>
    </row>
    <row r="98" spans="1:10" ht="15.75" thickBot="1" x14ac:dyDescent="0.3">
      <c r="A98" s="8" t="s">
        <v>44</v>
      </c>
      <c r="B98" s="9"/>
      <c r="C98">
        <v>0</v>
      </c>
      <c r="D98" s="11"/>
      <c r="E98" s="11"/>
      <c r="F98" s="24"/>
      <c r="G98" s="7"/>
      <c r="H98" s="27" t="s">
        <v>102</v>
      </c>
      <c r="I98" s="30">
        <v>2</v>
      </c>
      <c r="J98" s="20">
        <f t="shared" si="5"/>
        <v>9.0909090909090912E-2</v>
      </c>
    </row>
    <row r="99" spans="1:10" x14ac:dyDescent="0.25">
      <c r="A99" s="8"/>
      <c r="B99" s="9"/>
      <c r="D99" s="11"/>
      <c r="E99" s="12" t="s">
        <v>103</v>
      </c>
      <c r="F99" s="13"/>
      <c r="G99" s="7"/>
      <c r="H99" s="27" t="s">
        <v>104</v>
      </c>
      <c r="I99" s="30">
        <v>8</v>
      </c>
      <c r="J99" s="20">
        <f t="shared" si="5"/>
        <v>0.36363636363636365</v>
      </c>
    </row>
    <row r="100" spans="1:10" x14ac:dyDescent="0.25">
      <c r="A100" s="8" t="s">
        <v>105</v>
      </c>
      <c r="B100" s="9"/>
      <c r="D100" s="11"/>
      <c r="E100" s="17" t="s">
        <v>106</v>
      </c>
      <c r="F100" s="20">
        <f>C101/C$50</f>
        <v>0.625</v>
      </c>
      <c r="G100" s="7"/>
      <c r="H100" s="41" t="s">
        <v>107</v>
      </c>
      <c r="I100" s="30">
        <v>0</v>
      </c>
      <c r="J100" s="20">
        <f t="shared" si="5"/>
        <v>0</v>
      </c>
    </row>
    <row r="101" spans="1:10" x14ac:dyDescent="0.25">
      <c r="A101" s="8" t="s">
        <v>106</v>
      </c>
      <c r="B101" s="9"/>
      <c r="C101">
        <v>25</v>
      </c>
      <c r="D101" s="11"/>
      <c r="E101" s="17" t="s">
        <v>108</v>
      </c>
      <c r="F101" s="20">
        <f>C102/C$50</f>
        <v>0.25</v>
      </c>
      <c r="G101" s="7"/>
      <c r="H101" s="41" t="s">
        <v>109</v>
      </c>
      <c r="I101" s="30">
        <v>1</v>
      </c>
      <c r="J101" s="20">
        <f t="shared" si="5"/>
        <v>4.5454545454545456E-2</v>
      </c>
    </row>
    <row r="102" spans="1:10" x14ac:dyDescent="0.25">
      <c r="A102" s="8" t="s">
        <v>108</v>
      </c>
      <c r="B102" s="9"/>
      <c r="C102">
        <v>10</v>
      </c>
      <c r="D102" s="11"/>
      <c r="E102" s="17" t="s">
        <v>110</v>
      </c>
      <c r="F102" s="20">
        <f>C103/C$50</f>
        <v>7.4999999999999997E-2</v>
      </c>
      <c r="G102" s="7"/>
      <c r="H102" s="41" t="s">
        <v>111</v>
      </c>
      <c r="I102" s="30">
        <v>5</v>
      </c>
      <c r="J102" s="20">
        <f t="shared" si="5"/>
        <v>0.22727272727272727</v>
      </c>
    </row>
    <row r="103" spans="1:10" x14ac:dyDescent="0.25">
      <c r="A103" s="8" t="s">
        <v>110</v>
      </c>
      <c r="B103" s="9"/>
      <c r="C103">
        <v>3</v>
      </c>
      <c r="D103" s="11"/>
      <c r="E103" s="17" t="s">
        <v>112</v>
      </c>
      <c r="F103" s="20">
        <f>C104/C$50</f>
        <v>0.05</v>
      </c>
      <c r="G103" s="7"/>
      <c r="H103" s="41" t="s">
        <v>113</v>
      </c>
      <c r="I103" s="30">
        <v>0</v>
      </c>
      <c r="J103" s="20">
        <f t="shared" si="5"/>
        <v>0</v>
      </c>
    </row>
    <row r="104" spans="1:10" ht="15.75" thickBot="1" x14ac:dyDescent="0.3">
      <c r="A104" s="8" t="s">
        <v>112</v>
      </c>
      <c r="B104" s="9"/>
      <c r="C104">
        <v>2</v>
      </c>
      <c r="E104" s="22" t="s">
        <v>114</v>
      </c>
      <c r="F104" s="26">
        <f>C105/C$50</f>
        <v>0</v>
      </c>
      <c r="H104" s="42" t="s">
        <v>115</v>
      </c>
      <c r="I104" s="25">
        <v>1</v>
      </c>
      <c r="J104" s="26">
        <f t="shared" si="5"/>
        <v>4.5454545454545456E-2</v>
      </c>
    </row>
    <row r="105" spans="1:10" x14ac:dyDescent="0.25">
      <c r="A105" s="8" t="s">
        <v>114</v>
      </c>
      <c r="B105" s="9"/>
      <c r="C105">
        <v>0</v>
      </c>
      <c r="E105" s="11"/>
      <c r="F105" s="24"/>
    </row>
    <row r="106" spans="1:10" x14ac:dyDescent="0.25">
      <c r="A106" s="8" t="s">
        <v>116</v>
      </c>
      <c r="B106" s="9"/>
      <c r="C106">
        <v>0</v>
      </c>
      <c r="E106" s="11"/>
      <c r="F106" s="24"/>
    </row>
    <row r="107" spans="1:10" x14ac:dyDescent="0.25">
      <c r="A107" s="8"/>
      <c r="B107" s="9"/>
      <c r="E107" s="11"/>
      <c r="F107" s="24"/>
    </row>
    <row r="108" spans="1:10" ht="15.75" thickBot="1" x14ac:dyDescent="0.3"/>
    <row r="109" spans="1:10" x14ac:dyDescent="0.25">
      <c r="A109" s="43" t="s">
        <v>117</v>
      </c>
      <c r="B109" s="87">
        <f>SUM(B110:B113)</f>
        <v>95602.070000000022</v>
      </c>
    </row>
    <row r="110" spans="1:10" x14ac:dyDescent="0.25">
      <c r="A110" s="44" t="s">
        <v>94</v>
      </c>
      <c r="B110" s="45">
        <f>SUM(F4:F5,F8,F14,F16,F18,F23:F24,F29:F30,F34:F35,F37:F38,F41)</f>
        <v>29341.11</v>
      </c>
    </row>
    <row r="111" spans="1:10" x14ac:dyDescent="0.25">
      <c r="A111" s="44" t="s">
        <v>118</v>
      </c>
      <c r="B111" s="45">
        <f>SUM(F2:F3,F6:F7,F10:F13,F15,F17,F19,F22,F25:F28,F31:F32,F36,F39,)</f>
        <v>58452.44000000001</v>
      </c>
    </row>
    <row r="112" spans="1:10" x14ac:dyDescent="0.25">
      <c r="A112" s="44" t="s">
        <v>119</v>
      </c>
      <c r="B112" s="45">
        <f>SUM(F9,F20:F21,)</f>
        <v>3988.02</v>
      </c>
    </row>
    <row r="113" spans="1:2" x14ac:dyDescent="0.25">
      <c r="A113" s="44" t="s">
        <v>44</v>
      </c>
      <c r="B113" s="46">
        <f>SUM(F33,F40,)</f>
        <v>3820.5</v>
      </c>
    </row>
    <row r="114" spans="1:2" ht="15.75" thickBot="1" x14ac:dyDescent="0.3">
      <c r="A114" s="47"/>
      <c r="B114" s="48"/>
    </row>
  </sheetData>
  <mergeCells count="1">
    <mergeCell ref="A46:F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opLeftCell="A84" workbookViewId="0">
      <selection activeCell="B107" sqref="B107"/>
    </sheetView>
  </sheetViews>
  <sheetFormatPr baseColWidth="10" defaultRowHeight="15" x14ac:dyDescent="0.25"/>
  <cols>
    <col min="1" max="1" width="11" customWidth="1"/>
    <col min="2" max="2" width="34.28515625" customWidth="1"/>
    <col min="3" max="3" width="12.85546875" customWidth="1"/>
    <col min="4" max="4" width="5" customWidth="1"/>
    <col min="5" max="5" width="7.42578125" customWidth="1"/>
    <col min="6" max="6" width="12.28515625" customWidth="1"/>
    <col min="7" max="7" width="46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45597</v>
      </c>
      <c r="B2" t="s">
        <v>1992</v>
      </c>
      <c r="C2" s="11" t="s">
        <v>106</v>
      </c>
      <c r="D2" t="s">
        <v>22</v>
      </c>
      <c r="E2" s="11" t="s">
        <v>195</v>
      </c>
      <c r="F2" s="59">
        <v>1738</v>
      </c>
      <c r="G2" s="11" t="s">
        <v>1995</v>
      </c>
      <c r="H2" s="11" t="s">
        <v>502</v>
      </c>
    </row>
    <row r="3" spans="1:8" x14ac:dyDescent="0.25">
      <c r="A3" s="9">
        <v>45597</v>
      </c>
      <c r="B3" t="s">
        <v>1981</v>
      </c>
      <c r="C3" s="11" t="s">
        <v>106</v>
      </c>
      <c r="D3" t="s">
        <v>22</v>
      </c>
      <c r="E3" s="11" t="s">
        <v>118</v>
      </c>
      <c r="F3" s="59">
        <v>1038</v>
      </c>
      <c r="G3" s="11" t="s">
        <v>585</v>
      </c>
      <c r="H3" s="11" t="s">
        <v>392</v>
      </c>
    </row>
    <row r="4" spans="1:8" x14ac:dyDescent="0.25">
      <c r="A4" s="9">
        <v>45597</v>
      </c>
      <c r="B4" t="s">
        <v>1998</v>
      </c>
      <c r="C4" s="11" t="s">
        <v>106</v>
      </c>
      <c r="D4" t="s">
        <v>24</v>
      </c>
      <c r="E4" s="11" t="s">
        <v>928</v>
      </c>
      <c r="F4" s="59">
        <v>1984.7</v>
      </c>
      <c r="G4" s="11" t="s">
        <v>2001</v>
      </c>
      <c r="H4" s="11" t="s">
        <v>245</v>
      </c>
    </row>
    <row r="5" spans="1:8" x14ac:dyDescent="0.25">
      <c r="A5" s="9">
        <v>45601</v>
      </c>
      <c r="B5" t="s">
        <v>2008</v>
      </c>
      <c r="C5" s="11" t="s">
        <v>106</v>
      </c>
      <c r="D5" t="s">
        <v>22</v>
      </c>
      <c r="E5" s="11" t="s">
        <v>195</v>
      </c>
      <c r="F5" s="59">
        <v>2653</v>
      </c>
      <c r="G5" s="11" t="s">
        <v>2011</v>
      </c>
      <c r="H5" s="11" t="s">
        <v>502</v>
      </c>
    </row>
    <row r="6" spans="1:8" x14ac:dyDescent="0.25">
      <c r="A6" s="9">
        <v>45601</v>
      </c>
      <c r="B6" t="s">
        <v>2013</v>
      </c>
      <c r="C6" s="11" t="s">
        <v>106</v>
      </c>
      <c r="D6" t="s">
        <v>22</v>
      </c>
      <c r="E6" s="11" t="s">
        <v>118</v>
      </c>
      <c r="F6" s="59">
        <v>1960</v>
      </c>
      <c r="G6" s="11" t="s">
        <v>2016</v>
      </c>
      <c r="H6" s="11" t="s">
        <v>245</v>
      </c>
    </row>
    <row r="7" spans="1:8" x14ac:dyDescent="0.25">
      <c r="A7" s="9">
        <v>45601</v>
      </c>
      <c r="B7" t="s">
        <v>2018</v>
      </c>
      <c r="C7" s="11" t="s">
        <v>361</v>
      </c>
      <c r="D7" t="s">
        <v>22</v>
      </c>
      <c r="E7" s="11" t="s">
        <v>195</v>
      </c>
      <c r="F7" s="59">
        <v>1442</v>
      </c>
      <c r="G7" s="11" t="s">
        <v>2021</v>
      </c>
      <c r="H7" s="11" t="s">
        <v>236</v>
      </c>
    </row>
    <row r="8" spans="1:8" x14ac:dyDescent="0.25">
      <c r="A8" s="9">
        <v>45603</v>
      </c>
      <c r="B8" t="s">
        <v>2028</v>
      </c>
      <c r="C8" s="11" t="s">
        <v>106</v>
      </c>
      <c r="D8" t="s">
        <v>22</v>
      </c>
      <c r="E8" s="11" t="s">
        <v>118</v>
      </c>
      <c r="F8" s="59">
        <v>2082</v>
      </c>
      <c r="G8" s="11" t="s">
        <v>256</v>
      </c>
      <c r="H8" s="11" t="s">
        <v>2075</v>
      </c>
    </row>
    <row r="9" spans="1:8" x14ac:dyDescent="0.25">
      <c r="A9" s="9">
        <v>45603</v>
      </c>
      <c r="B9" t="s">
        <v>2032</v>
      </c>
      <c r="C9" s="11" t="s">
        <v>361</v>
      </c>
      <c r="D9" t="s">
        <v>22</v>
      </c>
      <c r="E9" s="11" t="s">
        <v>195</v>
      </c>
      <c r="F9" s="59">
        <v>2082</v>
      </c>
      <c r="G9" s="11" t="s">
        <v>256</v>
      </c>
      <c r="H9" s="11" t="s">
        <v>1622</v>
      </c>
    </row>
    <row r="10" spans="1:8" x14ac:dyDescent="0.25">
      <c r="A10" s="9">
        <v>45604</v>
      </c>
      <c r="B10" t="s">
        <v>2036</v>
      </c>
      <c r="C10" s="11" t="s">
        <v>106</v>
      </c>
      <c r="D10" t="s">
        <v>24</v>
      </c>
      <c r="E10" s="11" t="s">
        <v>195</v>
      </c>
      <c r="F10" s="59">
        <v>1378.08</v>
      </c>
      <c r="G10" s="11" t="s">
        <v>2039</v>
      </c>
      <c r="H10" s="11" t="s">
        <v>392</v>
      </c>
    </row>
    <row r="11" spans="1:8" x14ac:dyDescent="0.25">
      <c r="A11" s="9">
        <v>45604</v>
      </c>
      <c r="B11" t="s">
        <v>1781</v>
      </c>
      <c r="C11" s="11" t="s">
        <v>106</v>
      </c>
      <c r="D11" t="s">
        <v>24</v>
      </c>
      <c r="E11" s="11" t="s">
        <v>118</v>
      </c>
      <c r="F11" s="59">
        <v>1003.4</v>
      </c>
      <c r="G11" s="11" t="s">
        <v>2041</v>
      </c>
      <c r="H11" s="11" t="s">
        <v>265</v>
      </c>
    </row>
    <row r="12" spans="1:8" x14ac:dyDescent="0.25">
      <c r="A12" s="9">
        <v>45605</v>
      </c>
      <c r="B12" t="s">
        <v>2043</v>
      </c>
      <c r="C12" s="11" t="s">
        <v>106</v>
      </c>
      <c r="D12" t="s">
        <v>22</v>
      </c>
      <c r="E12" s="11" t="s">
        <v>195</v>
      </c>
      <c r="F12" s="59">
        <v>1530.04</v>
      </c>
      <c r="G12" s="11" t="s">
        <v>2046</v>
      </c>
      <c r="H12" s="11" t="s">
        <v>245</v>
      </c>
    </row>
    <row r="13" spans="1:8" x14ac:dyDescent="0.25">
      <c r="A13" s="9">
        <v>45600</v>
      </c>
      <c r="B13" t="s">
        <v>2058</v>
      </c>
      <c r="C13" s="11" t="s">
        <v>106</v>
      </c>
      <c r="D13" t="s">
        <v>22</v>
      </c>
      <c r="E13" s="11" t="s">
        <v>195</v>
      </c>
      <c r="F13" s="59">
        <v>1392.34</v>
      </c>
      <c r="G13" s="11" t="s">
        <v>2061</v>
      </c>
      <c r="H13" s="11" t="s">
        <v>1418</v>
      </c>
    </row>
    <row r="14" spans="1:8" x14ac:dyDescent="0.25">
      <c r="A14" s="9">
        <v>45601</v>
      </c>
      <c r="B14" t="s">
        <v>2063</v>
      </c>
      <c r="C14" s="11" t="s">
        <v>361</v>
      </c>
      <c r="D14" t="s">
        <v>22</v>
      </c>
      <c r="E14" s="11" t="s">
        <v>195</v>
      </c>
      <c r="F14" s="59">
        <v>1166.4000000000001</v>
      </c>
      <c r="G14" s="11" t="s">
        <v>402</v>
      </c>
      <c r="H14" s="11" t="s">
        <v>245</v>
      </c>
    </row>
    <row r="15" spans="1:8" x14ac:dyDescent="0.25">
      <c r="A15" s="9">
        <v>45607</v>
      </c>
      <c r="B15" t="s">
        <v>498</v>
      </c>
      <c r="C15" s="11" t="s">
        <v>106</v>
      </c>
      <c r="D15" t="s">
        <v>22</v>
      </c>
      <c r="E15" s="11" t="s">
        <v>118</v>
      </c>
      <c r="F15" s="59">
        <v>4753.8</v>
      </c>
      <c r="G15" s="11" t="s">
        <v>2067</v>
      </c>
      <c r="H15" s="11" t="s">
        <v>392</v>
      </c>
    </row>
    <row r="16" spans="1:8" x14ac:dyDescent="0.25">
      <c r="A16" s="9">
        <v>45608</v>
      </c>
      <c r="B16" t="s">
        <v>2053</v>
      </c>
      <c r="C16" s="11" t="s">
        <v>362</v>
      </c>
      <c r="D16" t="s">
        <v>22</v>
      </c>
      <c r="E16" s="11" t="s">
        <v>118</v>
      </c>
      <c r="F16" s="59">
        <v>557</v>
      </c>
      <c r="G16" s="11" t="s">
        <v>2069</v>
      </c>
      <c r="H16" s="11" t="s">
        <v>1652</v>
      </c>
    </row>
    <row r="17" spans="1:8" x14ac:dyDescent="0.25">
      <c r="A17" s="9">
        <v>45608</v>
      </c>
      <c r="B17" t="s">
        <v>2071</v>
      </c>
      <c r="C17" s="11" t="s">
        <v>106</v>
      </c>
      <c r="D17" t="s">
        <v>22</v>
      </c>
      <c r="E17" s="11" t="s">
        <v>118</v>
      </c>
      <c r="F17" s="59">
        <v>984</v>
      </c>
      <c r="G17" s="11" t="s">
        <v>2074</v>
      </c>
      <c r="H17" s="11" t="s">
        <v>236</v>
      </c>
    </row>
    <row r="18" spans="1:8" x14ac:dyDescent="0.25">
      <c r="A18" s="9">
        <v>45609</v>
      </c>
      <c r="B18" t="s">
        <v>2077</v>
      </c>
      <c r="C18" s="11" t="s">
        <v>106</v>
      </c>
      <c r="D18" t="s">
        <v>22</v>
      </c>
      <c r="E18" s="11" t="s">
        <v>195</v>
      </c>
      <c r="F18" s="59">
        <v>1266</v>
      </c>
      <c r="G18" s="11" t="s">
        <v>2080</v>
      </c>
      <c r="H18" s="11" t="s">
        <v>236</v>
      </c>
    </row>
    <row r="19" spans="1:8" x14ac:dyDescent="0.25">
      <c r="A19" s="9">
        <v>45610</v>
      </c>
      <c r="B19" t="s">
        <v>2082</v>
      </c>
      <c r="C19" s="11" t="s">
        <v>361</v>
      </c>
      <c r="D19" t="s">
        <v>22</v>
      </c>
      <c r="E19" s="11" t="s">
        <v>195</v>
      </c>
      <c r="F19" s="59">
        <v>2596</v>
      </c>
      <c r="G19" s="11" t="s">
        <v>2085</v>
      </c>
      <c r="H19" s="11" t="s">
        <v>236</v>
      </c>
    </row>
    <row r="20" spans="1:8" x14ac:dyDescent="0.25">
      <c r="A20" s="9">
        <v>45610</v>
      </c>
      <c r="B20" t="s">
        <v>622</v>
      </c>
      <c r="C20" t="s">
        <v>106</v>
      </c>
      <c r="D20" t="s">
        <v>22</v>
      </c>
      <c r="E20" s="11" t="s">
        <v>118</v>
      </c>
      <c r="F20" s="59">
        <v>4617</v>
      </c>
      <c r="G20" s="11" t="s">
        <v>2088</v>
      </c>
    </row>
    <row r="21" spans="1:8" x14ac:dyDescent="0.25">
      <c r="A21" s="9">
        <v>45611</v>
      </c>
      <c r="B21" t="s">
        <v>2090</v>
      </c>
      <c r="C21" t="s">
        <v>361</v>
      </c>
      <c r="D21" t="s">
        <v>22</v>
      </c>
      <c r="E21" s="11" t="s">
        <v>119</v>
      </c>
      <c r="F21" s="59">
        <v>1594</v>
      </c>
      <c r="G21" s="11" t="s">
        <v>1182</v>
      </c>
      <c r="H21" s="11" t="s">
        <v>216</v>
      </c>
    </row>
    <row r="22" spans="1:8" x14ac:dyDescent="0.25">
      <c r="A22" s="9">
        <v>45612</v>
      </c>
      <c r="B22" t="s">
        <v>2094</v>
      </c>
      <c r="C22" t="s">
        <v>361</v>
      </c>
      <c r="D22" t="s">
        <v>22</v>
      </c>
      <c r="E22" s="11" t="s">
        <v>118</v>
      </c>
      <c r="F22" s="59">
        <v>1488</v>
      </c>
      <c r="G22" s="11" t="s">
        <v>783</v>
      </c>
      <c r="H22" s="11" t="s">
        <v>502</v>
      </c>
    </row>
    <row r="23" spans="1:8" x14ac:dyDescent="0.25">
      <c r="A23" s="9">
        <v>45611</v>
      </c>
      <c r="B23" t="s">
        <v>2098</v>
      </c>
      <c r="C23" t="s">
        <v>106</v>
      </c>
      <c r="D23" t="s">
        <v>22</v>
      </c>
      <c r="E23" s="11" t="s">
        <v>118</v>
      </c>
      <c r="F23" s="59">
        <v>8873</v>
      </c>
      <c r="G23" s="11" t="s">
        <v>2100</v>
      </c>
    </row>
    <row r="24" spans="1:8" x14ac:dyDescent="0.25">
      <c r="A24" s="9">
        <v>45615</v>
      </c>
      <c r="B24" t="s">
        <v>2102</v>
      </c>
      <c r="C24" t="s">
        <v>361</v>
      </c>
      <c r="D24" t="s">
        <v>22</v>
      </c>
      <c r="E24" s="11" t="s">
        <v>118</v>
      </c>
      <c r="F24" s="59">
        <v>4272</v>
      </c>
      <c r="G24" s="11" t="s">
        <v>2105</v>
      </c>
      <c r="H24" s="11" t="s">
        <v>2136</v>
      </c>
    </row>
    <row r="25" spans="1:8" x14ac:dyDescent="0.25">
      <c r="A25" s="9">
        <v>45615</v>
      </c>
      <c r="B25" t="s">
        <v>2107</v>
      </c>
      <c r="C25" t="s">
        <v>361</v>
      </c>
      <c r="D25" t="s">
        <v>22</v>
      </c>
      <c r="E25" s="11" t="s">
        <v>119</v>
      </c>
      <c r="F25" s="59">
        <v>2795</v>
      </c>
      <c r="G25" s="11" t="s">
        <v>2110</v>
      </c>
      <c r="H25" s="11" t="s">
        <v>2137</v>
      </c>
    </row>
    <row r="26" spans="1:8" x14ac:dyDescent="0.25">
      <c r="A26" s="9">
        <v>45602</v>
      </c>
      <c r="B26" t="s">
        <v>1965</v>
      </c>
      <c r="C26" s="11" t="s">
        <v>361</v>
      </c>
      <c r="D26" t="s">
        <v>22</v>
      </c>
      <c r="E26" s="11" t="s">
        <v>118</v>
      </c>
      <c r="F26" s="59">
        <v>2350</v>
      </c>
      <c r="G26" s="11" t="s">
        <v>2112</v>
      </c>
      <c r="H26" s="11" t="s">
        <v>2113</v>
      </c>
    </row>
    <row r="27" spans="1:8" x14ac:dyDescent="0.25">
      <c r="A27" s="9">
        <v>45609</v>
      </c>
      <c r="B27" t="s">
        <v>2115</v>
      </c>
      <c r="C27" s="11" t="s">
        <v>106</v>
      </c>
      <c r="D27" t="s">
        <v>22</v>
      </c>
      <c r="E27" s="11" t="s">
        <v>2118</v>
      </c>
      <c r="F27" s="59">
        <v>1645.24</v>
      </c>
      <c r="G27" s="11" t="s">
        <v>2119</v>
      </c>
      <c r="H27" s="11" t="s">
        <v>2138</v>
      </c>
    </row>
    <row r="28" spans="1:8" x14ac:dyDescent="0.25">
      <c r="A28" s="9">
        <v>45617</v>
      </c>
      <c r="B28" t="s">
        <v>2121</v>
      </c>
      <c r="C28" s="11" t="s">
        <v>2218</v>
      </c>
      <c r="D28" t="s">
        <v>22</v>
      </c>
      <c r="E28" s="11" t="s">
        <v>118</v>
      </c>
      <c r="F28" s="59">
        <v>10890</v>
      </c>
      <c r="G28" s="11" t="s">
        <v>2219</v>
      </c>
      <c r="H28" s="11" t="s">
        <v>2125</v>
      </c>
    </row>
    <row r="29" spans="1:8" x14ac:dyDescent="0.25">
      <c r="A29" s="9">
        <v>45619</v>
      </c>
      <c r="B29" t="s">
        <v>2126</v>
      </c>
      <c r="C29" s="11" t="s">
        <v>362</v>
      </c>
      <c r="D29" t="s">
        <v>22</v>
      </c>
      <c r="E29" s="11" t="s">
        <v>195</v>
      </c>
      <c r="F29" s="59">
        <v>1561.8</v>
      </c>
      <c r="G29" s="11" t="s">
        <v>2129</v>
      </c>
      <c r="H29" s="11" t="s">
        <v>236</v>
      </c>
    </row>
    <row r="30" spans="1:8" x14ac:dyDescent="0.25">
      <c r="A30" s="9">
        <v>45618</v>
      </c>
      <c r="B30" t="s">
        <v>2132</v>
      </c>
      <c r="C30" s="11" t="s">
        <v>361</v>
      </c>
      <c r="D30" t="s">
        <v>22</v>
      </c>
      <c r="E30" s="11" t="s">
        <v>118</v>
      </c>
      <c r="F30" s="59">
        <v>1440.2</v>
      </c>
      <c r="G30" s="11" t="s">
        <v>2135</v>
      </c>
      <c r="H30" s="11" t="s">
        <v>236</v>
      </c>
    </row>
    <row r="31" spans="1:8" x14ac:dyDescent="0.25">
      <c r="A31" s="9">
        <v>45623</v>
      </c>
      <c r="B31" t="s">
        <v>2140</v>
      </c>
      <c r="C31" s="11" t="s">
        <v>106</v>
      </c>
      <c r="D31" t="s">
        <v>22</v>
      </c>
      <c r="E31" s="11" t="s">
        <v>118</v>
      </c>
      <c r="F31" s="59">
        <v>1890</v>
      </c>
      <c r="G31" s="11" t="s">
        <v>323</v>
      </c>
      <c r="H31" s="11" t="s">
        <v>1842</v>
      </c>
    </row>
    <row r="32" spans="1:8" x14ac:dyDescent="0.25">
      <c r="A32" s="9">
        <v>45623</v>
      </c>
      <c r="B32" t="s">
        <v>2144</v>
      </c>
      <c r="C32" s="11" t="s">
        <v>106</v>
      </c>
      <c r="D32" t="s">
        <v>22</v>
      </c>
      <c r="E32" s="11" t="s">
        <v>195</v>
      </c>
      <c r="F32" s="59">
        <v>1038</v>
      </c>
      <c r="G32" s="11" t="s">
        <v>585</v>
      </c>
      <c r="H32" s="11" t="s">
        <v>2147</v>
      </c>
    </row>
    <row r="33" spans="1:10" x14ac:dyDescent="0.25">
      <c r="A33" s="9">
        <v>45624</v>
      </c>
      <c r="B33" t="s">
        <v>2149</v>
      </c>
      <c r="C33" s="11" t="s">
        <v>361</v>
      </c>
      <c r="D33" t="s">
        <v>24</v>
      </c>
      <c r="E33" s="11" t="s">
        <v>118</v>
      </c>
      <c r="F33" s="59">
        <v>7656</v>
      </c>
      <c r="G33" s="11" t="s">
        <v>2152</v>
      </c>
      <c r="H33" s="11" t="s">
        <v>1689</v>
      </c>
    </row>
    <row r="34" spans="1:10" x14ac:dyDescent="0.25">
      <c r="A34" s="9">
        <v>45622</v>
      </c>
      <c r="B34" t="s">
        <v>349</v>
      </c>
      <c r="C34" s="11" t="s">
        <v>106</v>
      </c>
      <c r="D34" t="s">
        <v>22</v>
      </c>
      <c r="E34" s="11" t="s">
        <v>118</v>
      </c>
      <c r="F34" s="59">
        <v>660</v>
      </c>
      <c r="G34" s="11" t="s">
        <v>2155</v>
      </c>
      <c r="H34" s="11" t="s">
        <v>392</v>
      </c>
    </row>
    <row r="35" spans="1:10" x14ac:dyDescent="0.25">
      <c r="A35" s="9">
        <v>45626</v>
      </c>
      <c r="B35" t="s">
        <v>2157</v>
      </c>
      <c r="C35" s="11" t="s">
        <v>106</v>
      </c>
      <c r="D35" t="s">
        <v>22</v>
      </c>
      <c r="E35" s="11" t="s">
        <v>118</v>
      </c>
      <c r="F35" s="59">
        <v>1574</v>
      </c>
      <c r="G35" s="11" t="s">
        <v>2160</v>
      </c>
      <c r="H35" s="11" t="s">
        <v>392</v>
      </c>
    </row>
    <row r="36" spans="1:10" x14ac:dyDescent="0.25">
      <c r="A36" s="9">
        <v>45624</v>
      </c>
      <c r="B36" t="s">
        <v>2164</v>
      </c>
      <c r="C36" s="11" t="s">
        <v>106</v>
      </c>
      <c r="D36" t="s">
        <v>22</v>
      </c>
      <c r="E36" s="11" t="s">
        <v>195</v>
      </c>
      <c r="F36" s="59">
        <v>952</v>
      </c>
      <c r="G36" s="11" t="s">
        <v>2167</v>
      </c>
      <c r="H36" s="11" t="s">
        <v>236</v>
      </c>
    </row>
    <row r="37" spans="1:10" x14ac:dyDescent="0.25">
      <c r="A37" s="9">
        <v>45625</v>
      </c>
      <c r="B37" t="s">
        <v>2176</v>
      </c>
      <c r="C37" s="11" t="s">
        <v>106</v>
      </c>
      <c r="D37" t="s">
        <v>22</v>
      </c>
      <c r="E37" s="11" t="s">
        <v>119</v>
      </c>
      <c r="F37" s="59">
        <v>2278</v>
      </c>
      <c r="G37" s="11" t="s">
        <v>2179</v>
      </c>
      <c r="H37" s="11" t="s">
        <v>2191</v>
      </c>
    </row>
    <row r="38" spans="1:10" x14ac:dyDescent="0.25">
      <c r="A38" s="9">
        <v>45623</v>
      </c>
      <c r="B38" t="s">
        <v>2201</v>
      </c>
      <c r="C38" s="11" t="s">
        <v>106</v>
      </c>
      <c r="D38" t="s">
        <v>24</v>
      </c>
      <c r="E38" s="11" t="s">
        <v>118</v>
      </c>
      <c r="F38" s="59">
        <v>6714.81</v>
      </c>
      <c r="G38" s="11" t="s">
        <v>2204</v>
      </c>
      <c r="H38" s="11" t="s">
        <v>2205</v>
      </c>
    </row>
    <row r="39" spans="1:10" x14ac:dyDescent="0.25">
      <c r="A39" s="9">
        <v>45625</v>
      </c>
      <c r="B39" t="s">
        <v>2207</v>
      </c>
      <c r="C39" s="11" t="s">
        <v>800</v>
      </c>
      <c r="D39" t="s">
        <v>24</v>
      </c>
      <c r="E39" s="11" t="s">
        <v>119</v>
      </c>
      <c r="F39" s="59">
        <v>5540.49</v>
      </c>
      <c r="G39" s="11" t="s">
        <v>2210</v>
      </c>
      <c r="H39" s="11" t="s">
        <v>2211</v>
      </c>
    </row>
    <row r="43" spans="1:10" ht="15.75" thickBot="1" x14ac:dyDescent="0.3">
      <c r="A43" s="97" t="s">
        <v>8</v>
      </c>
      <c r="B43" s="97"/>
      <c r="C43" s="97"/>
      <c r="D43" s="97"/>
      <c r="E43" s="97"/>
      <c r="F43" s="97"/>
      <c r="G43" s="7"/>
    </row>
    <row r="44" spans="1:10" x14ac:dyDescent="0.25">
      <c r="A44" s="8" t="s">
        <v>9</v>
      </c>
      <c r="B44" s="9"/>
      <c r="C44" s="10">
        <f>SUM(F2:F41)</f>
        <v>101436.3</v>
      </c>
      <c r="D44" s="11"/>
      <c r="E44" s="12" t="s">
        <v>10</v>
      </c>
      <c r="F44" s="13"/>
      <c r="G44" s="7"/>
      <c r="H44" s="14" t="s">
        <v>11</v>
      </c>
      <c r="I44" s="15">
        <v>14</v>
      </c>
      <c r="J44" s="16"/>
    </row>
    <row r="45" spans="1:10" x14ac:dyDescent="0.25">
      <c r="A45" s="8"/>
      <c r="B45" s="9"/>
      <c r="C45" s="10"/>
      <c r="D45" s="11"/>
      <c r="E45" s="17" t="s">
        <v>12</v>
      </c>
      <c r="F45" s="18">
        <v>101436.3</v>
      </c>
      <c r="G45" s="7"/>
      <c r="H45" s="17" t="s">
        <v>13</v>
      </c>
      <c r="I45" s="19">
        <v>6</v>
      </c>
      <c r="J45" s="20">
        <f>I45/I$44</f>
        <v>0.42857142857142855</v>
      </c>
    </row>
    <row r="46" spans="1:10" ht="15.75" thickBot="1" x14ac:dyDescent="0.3">
      <c r="A46" s="8" t="s">
        <v>14</v>
      </c>
      <c r="B46" s="9"/>
      <c r="C46" s="21">
        <v>25</v>
      </c>
      <c r="D46" s="11"/>
      <c r="E46" s="22" t="s">
        <v>15</v>
      </c>
      <c r="F46" s="23">
        <f>C44/C46</f>
        <v>4057.4520000000002</v>
      </c>
      <c r="G46" s="7"/>
      <c r="H46" s="17" t="s">
        <v>16</v>
      </c>
      <c r="I46" s="19">
        <v>8</v>
      </c>
      <c r="J46" s="20">
        <f>I46/I$44</f>
        <v>0.5714285714285714</v>
      </c>
    </row>
    <row r="47" spans="1:10" ht="15.75" thickBot="1" x14ac:dyDescent="0.3">
      <c r="A47" s="8" t="s">
        <v>17</v>
      </c>
      <c r="B47" s="9"/>
      <c r="C47">
        <v>38</v>
      </c>
      <c r="D47" s="11"/>
      <c r="E47" s="11"/>
      <c r="F47" s="24"/>
      <c r="G47" s="7"/>
      <c r="H47" s="22" t="s">
        <v>18</v>
      </c>
      <c r="I47" s="25">
        <v>0</v>
      </c>
      <c r="J47" s="26">
        <f>I47/I$44</f>
        <v>0</v>
      </c>
    </row>
    <row r="48" spans="1:10" x14ac:dyDescent="0.25">
      <c r="A48" s="8"/>
      <c r="B48" s="9"/>
      <c r="D48" s="11" t="s">
        <v>19</v>
      </c>
      <c r="E48" s="12" t="s">
        <v>20</v>
      </c>
      <c r="F48" s="13"/>
      <c r="G48" s="7"/>
    </row>
    <row r="49" spans="1:10" ht="15.75" thickBot="1" x14ac:dyDescent="0.3">
      <c r="A49" s="8" t="s">
        <v>21</v>
      </c>
      <c r="B49" s="9"/>
      <c r="C49">
        <v>31</v>
      </c>
      <c r="D49" s="11" t="s">
        <v>19</v>
      </c>
      <c r="E49" s="17" t="s">
        <v>22</v>
      </c>
      <c r="F49" s="20">
        <f>C49/C$47</f>
        <v>0.81578947368421051</v>
      </c>
      <c r="G49" s="7"/>
    </row>
    <row r="50" spans="1:10" ht="15.75" thickBot="1" x14ac:dyDescent="0.3">
      <c r="A50" s="8" t="s">
        <v>23</v>
      </c>
      <c r="B50" s="9"/>
      <c r="C50">
        <v>7</v>
      </c>
      <c r="D50" s="11"/>
      <c r="E50" s="22" t="s">
        <v>24</v>
      </c>
      <c r="F50" s="26">
        <f>C50/C$47</f>
        <v>0.18421052631578946</v>
      </c>
      <c r="G50" s="7"/>
      <c r="H50" s="14" t="s">
        <v>25</v>
      </c>
      <c r="I50" s="15">
        <v>50</v>
      </c>
      <c r="J50" s="16"/>
    </row>
    <row r="51" spans="1:10" ht="15.75" thickBot="1" x14ac:dyDescent="0.3">
      <c r="A51" s="8"/>
      <c r="B51" s="9"/>
      <c r="D51" s="11"/>
      <c r="E51" s="11"/>
      <c r="F51" s="24"/>
      <c r="G51" s="7"/>
      <c r="H51" s="27" t="s">
        <v>26</v>
      </c>
      <c r="I51" s="30">
        <v>27</v>
      </c>
      <c r="J51" s="20">
        <f>I51/I$50</f>
        <v>0.54</v>
      </c>
    </row>
    <row r="52" spans="1:10" x14ac:dyDescent="0.25">
      <c r="A52" s="8" t="s">
        <v>27</v>
      </c>
      <c r="B52" s="9"/>
      <c r="D52" s="11"/>
      <c r="E52" s="12" t="s">
        <v>28</v>
      </c>
      <c r="F52" s="13"/>
      <c r="G52" s="7"/>
      <c r="H52" s="27" t="s">
        <v>29</v>
      </c>
      <c r="I52" s="30">
        <v>10</v>
      </c>
      <c r="J52" s="20">
        <f>I52/I$50</f>
        <v>0.2</v>
      </c>
    </row>
    <row r="53" spans="1:10" ht="15.75" thickBot="1" x14ac:dyDescent="0.3">
      <c r="A53" s="8" t="s">
        <v>30</v>
      </c>
      <c r="B53" s="9"/>
      <c r="C53">
        <v>1</v>
      </c>
      <c r="D53" s="11"/>
      <c r="E53" s="28" t="s">
        <v>30</v>
      </c>
      <c r="F53" s="20">
        <f>C53/C$62</f>
        <v>8.0000000000000002E-3</v>
      </c>
      <c r="G53" s="7"/>
      <c r="H53" s="29" t="s">
        <v>31</v>
      </c>
      <c r="I53" s="25">
        <v>13</v>
      </c>
      <c r="J53" s="26">
        <f>I53/I$50</f>
        <v>0.26</v>
      </c>
    </row>
    <row r="54" spans="1:10" ht="15.75" thickBot="1" x14ac:dyDescent="0.3">
      <c r="A54" s="8" t="s">
        <v>11</v>
      </c>
      <c r="B54" s="9"/>
      <c r="C54">
        <v>14</v>
      </c>
      <c r="D54" s="11"/>
      <c r="E54" s="28" t="s">
        <v>11</v>
      </c>
      <c r="F54" s="20">
        <f t="shared" ref="F54:F61" si="0">C54/C$62</f>
        <v>0.112</v>
      </c>
      <c r="G54" s="7"/>
    </row>
    <row r="55" spans="1:10" x14ac:dyDescent="0.25">
      <c r="A55" s="8" t="s">
        <v>32</v>
      </c>
      <c r="B55" s="9"/>
      <c r="C55">
        <v>50</v>
      </c>
      <c r="D55" s="11"/>
      <c r="E55" s="28" t="s">
        <v>32</v>
      </c>
      <c r="F55" s="20">
        <f t="shared" si="0"/>
        <v>0.4</v>
      </c>
      <c r="G55" s="11" t="s">
        <v>19</v>
      </c>
      <c r="H55" s="14" t="s">
        <v>33</v>
      </c>
      <c r="I55" s="15">
        <v>26</v>
      </c>
      <c r="J55" s="13">
        <f t="shared" ref="J55:J66" si="1">I55/I$50</f>
        <v>0.52</v>
      </c>
    </row>
    <row r="56" spans="1:10" x14ac:dyDescent="0.25">
      <c r="A56" s="8" t="s">
        <v>34</v>
      </c>
      <c r="B56" s="9"/>
      <c r="C56">
        <v>0</v>
      </c>
      <c r="D56" s="11"/>
      <c r="E56" s="28" t="s">
        <v>34</v>
      </c>
      <c r="F56" s="20">
        <f t="shared" si="0"/>
        <v>0</v>
      </c>
      <c r="G56" s="7"/>
      <c r="H56" s="27" t="s">
        <v>35</v>
      </c>
      <c r="I56" s="30">
        <v>2</v>
      </c>
      <c r="J56" s="20">
        <f t="shared" si="1"/>
        <v>0.04</v>
      </c>
    </row>
    <row r="57" spans="1:10" x14ac:dyDescent="0.25">
      <c r="A57" s="8" t="s">
        <v>36</v>
      </c>
      <c r="B57" s="9"/>
      <c r="C57">
        <v>29</v>
      </c>
      <c r="D57" s="11"/>
      <c r="E57" s="28" t="s">
        <v>36</v>
      </c>
      <c r="F57" s="20">
        <f t="shared" si="0"/>
        <v>0.23200000000000001</v>
      </c>
      <c r="G57" s="7"/>
      <c r="H57" s="27" t="s">
        <v>37</v>
      </c>
      <c r="I57" s="30">
        <v>4</v>
      </c>
      <c r="J57" s="20">
        <f t="shared" si="1"/>
        <v>0.08</v>
      </c>
    </row>
    <row r="58" spans="1:10" x14ac:dyDescent="0.25">
      <c r="A58" s="8" t="s">
        <v>38</v>
      </c>
      <c r="B58" s="9"/>
      <c r="C58">
        <v>1</v>
      </c>
      <c r="D58" s="11"/>
      <c r="E58" s="28" t="s">
        <v>38</v>
      </c>
      <c r="F58" s="20">
        <f t="shared" si="0"/>
        <v>8.0000000000000002E-3</v>
      </c>
      <c r="G58" s="7"/>
      <c r="H58" s="27" t="s">
        <v>39</v>
      </c>
      <c r="I58" s="30">
        <v>2</v>
      </c>
      <c r="J58" s="20">
        <f t="shared" si="1"/>
        <v>0.04</v>
      </c>
    </row>
    <row r="59" spans="1:10" x14ac:dyDescent="0.25">
      <c r="A59" s="8" t="s">
        <v>40</v>
      </c>
      <c r="B59" s="9"/>
      <c r="C59">
        <v>19</v>
      </c>
      <c r="D59" s="11"/>
      <c r="E59" s="28" t="s">
        <v>40</v>
      </c>
      <c r="F59" s="20">
        <f t="shared" si="0"/>
        <v>0.152</v>
      </c>
      <c r="G59" s="7"/>
      <c r="H59" s="27" t="s">
        <v>41</v>
      </c>
      <c r="I59" s="30">
        <v>4</v>
      </c>
      <c r="J59" s="20">
        <f t="shared" si="1"/>
        <v>0.08</v>
      </c>
    </row>
    <row r="60" spans="1:10" x14ac:dyDescent="0.25">
      <c r="A60" s="8" t="s">
        <v>42</v>
      </c>
      <c r="B60" s="9"/>
      <c r="C60">
        <v>0</v>
      </c>
      <c r="D60" s="11"/>
      <c r="E60" s="28" t="s">
        <v>42</v>
      </c>
      <c r="F60" s="20">
        <f t="shared" si="0"/>
        <v>0</v>
      </c>
      <c r="G60" s="7"/>
      <c r="H60" s="27" t="s">
        <v>43</v>
      </c>
      <c r="I60" s="30">
        <v>8</v>
      </c>
      <c r="J60" s="20">
        <f t="shared" si="1"/>
        <v>0.16</v>
      </c>
    </row>
    <row r="61" spans="1:10" ht="15.75" thickBot="1" x14ac:dyDescent="0.3">
      <c r="A61" s="8" t="s">
        <v>44</v>
      </c>
      <c r="B61" s="9"/>
      <c r="C61">
        <v>11</v>
      </c>
      <c r="D61" s="11"/>
      <c r="E61" s="31" t="s">
        <v>44</v>
      </c>
      <c r="F61" s="26">
        <f t="shared" si="0"/>
        <v>8.7999999999999995E-2</v>
      </c>
      <c r="G61" s="11" t="s">
        <v>19</v>
      </c>
      <c r="H61" s="32" t="s">
        <v>45</v>
      </c>
      <c r="I61" s="30">
        <v>3</v>
      </c>
      <c r="J61" s="20">
        <f t="shared" si="1"/>
        <v>0.06</v>
      </c>
    </row>
    <row r="62" spans="1:10" ht="15.75" thickBot="1" x14ac:dyDescent="0.3">
      <c r="A62" s="8" t="s">
        <v>46</v>
      </c>
      <c r="B62" s="9"/>
      <c r="C62">
        <f>SUM(C53:C61)</f>
        <v>125</v>
      </c>
      <c r="D62" s="11"/>
      <c r="E62" s="8"/>
      <c r="F62" s="24"/>
      <c r="G62" s="7"/>
      <c r="H62" s="32" t="s">
        <v>47</v>
      </c>
      <c r="I62" s="30">
        <v>1</v>
      </c>
      <c r="J62" s="20">
        <f t="shared" si="1"/>
        <v>0.02</v>
      </c>
    </row>
    <row r="63" spans="1:10" x14ac:dyDescent="0.25">
      <c r="A63" s="8"/>
      <c r="B63" s="9"/>
      <c r="D63" s="11"/>
      <c r="E63" s="33" t="s">
        <v>48</v>
      </c>
      <c r="F63" s="13"/>
      <c r="G63" s="7"/>
      <c r="H63" s="32" t="s">
        <v>49</v>
      </c>
      <c r="I63" s="30">
        <v>0</v>
      </c>
      <c r="J63" s="20">
        <f t="shared" si="1"/>
        <v>0</v>
      </c>
    </row>
    <row r="64" spans="1:10" x14ac:dyDescent="0.25">
      <c r="A64" s="8" t="s">
        <v>50</v>
      </c>
      <c r="B64" s="9"/>
      <c r="D64" s="11"/>
      <c r="E64" s="28" t="s">
        <v>51</v>
      </c>
      <c r="F64" s="20">
        <f>C65/C$75</f>
        <v>0.33064516129032256</v>
      </c>
      <c r="G64" s="7"/>
      <c r="H64" s="27" t="s">
        <v>52</v>
      </c>
      <c r="I64" s="30">
        <v>0</v>
      </c>
      <c r="J64" s="20">
        <f t="shared" si="1"/>
        <v>0</v>
      </c>
    </row>
    <row r="65" spans="1:10" x14ac:dyDescent="0.25">
      <c r="A65" s="8" t="s">
        <v>51</v>
      </c>
      <c r="B65" s="9"/>
      <c r="C65">
        <v>41</v>
      </c>
      <c r="D65" s="11"/>
      <c r="E65" s="28" t="s">
        <v>53</v>
      </c>
      <c r="F65" s="20">
        <f t="shared" ref="F65:F73" si="2">C66/C$75</f>
        <v>0.29838709677419356</v>
      </c>
      <c r="G65" s="7"/>
      <c r="H65" s="32" t="s">
        <v>54</v>
      </c>
      <c r="I65" s="30">
        <v>0</v>
      </c>
      <c r="J65" s="20">
        <f t="shared" si="1"/>
        <v>0</v>
      </c>
    </row>
    <row r="66" spans="1:10" ht="15.75" thickBot="1" x14ac:dyDescent="0.3">
      <c r="A66" s="8" t="s">
        <v>53</v>
      </c>
      <c r="B66" s="9"/>
      <c r="C66">
        <v>37</v>
      </c>
      <c r="D66" s="11"/>
      <c r="E66" s="28" t="s">
        <v>55</v>
      </c>
      <c r="F66" s="20">
        <f t="shared" si="2"/>
        <v>0.23387096774193547</v>
      </c>
      <c r="G66" s="7"/>
      <c r="H66" s="34" t="s">
        <v>56</v>
      </c>
      <c r="I66" s="25">
        <v>0</v>
      </c>
      <c r="J66" s="26">
        <f t="shared" si="1"/>
        <v>0</v>
      </c>
    </row>
    <row r="67" spans="1:10" x14ac:dyDescent="0.25">
      <c r="A67" s="8" t="s">
        <v>55</v>
      </c>
      <c r="B67" s="9"/>
      <c r="C67">
        <v>29</v>
      </c>
      <c r="D67" s="11"/>
      <c r="E67" s="28" t="s">
        <v>57</v>
      </c>
      <c r="F67" s="20">
        <f t="shared" si="2"/>
        <v>5.6451612903225805E-2</v>
      </c>
      <c r="G67" s="7"/>
    </row>
    <row r="68" spans="1:10" ht="15.75" thickBot="1" x14ac:dyDescent="0.3">
      <c r="A68" s="8" t="s">
        <v>57</v>
      </c>
      <c r="B68" s="9"/>
      <c r="C68">
        <v>7</v>
      </c>
      <c r="D68" s="11"/>
      <c r="E68" s="28" t="s">
        <v>58</v>
      </c>
      <c r="F68" s="20">
        <f t="shared" si="2"/>
        <v>5.6451612903225805E-2</v>
      </c>
      <c r="G68" s="11" t="s">
        <v>19</v>
      </c>
    </row>
    <row r="69" spans="1:10" x14ac:dyDescent="0.25">
      <c r="A69" s="8" t="s">
        <v>58</v>
      </c>
      <c r="B69" s="9"/>
      <c r="C69">
        <v>7</v>
      </c>
      <c r="D69" s="11"/>
      <c r="E69" s="28" t="s">
        <v>59</v>
      </c>
      <c r="F69" s="20">
        <f t="shared" si="2"/>
        <v>1.6129032258064516E-2</v>
      </c>
      <c r="G69" s="7"/>
      <c r="H69" s="14" t="s">
        <v>36</v>
      </c>
      <c r="I69" s="15">
        <v>29</v>
      </c>
      <c r="J69" s="16"/>
    </row>
    <row r="70" spans="1:10" x14ac:dyDescent="0.25">
      <c r="A70" s="8" t="s">
        <v>59</v>
      </c>
      <c r="B70" s="9"/>
      <c r="C70">
        <v>2</v>
      </c>
      <c r="D70" s="11"/>
      <c r="E70" s="28" t="s">
        <v>60</v>
      </c>
      <c r="F70" s="20">
        <f t="shared" si="2"/>
        <v>0</v>
      </c>
      <c r="G70" s="7"/>
      <c r="H70" s="27" t="s">
        <v>61</v>
      </c>
      <c r="I70" s="30">
        <v>1</v>
      </c>
      <c r="J70" s="20">
        <f>I70/I$69</f>
        <v>3.4482758620689655E-2</v>
      </c>
    </row>
    <row r="71" spans="1:10" ht="15.75" thickBot="1" x14ac:dyDescent="0.3">
      <c r="A71" s="8" t="s">
        <v>60</v>
      </c>
      <c r="B71" s="9"/>
      <c r="C71">
        <v>0</v>
      </c>
      <c r="D71" s="11"/>
      <c r="E71" s="28" t="s">
        <v>62</v>
      </c>
      <c r="F71" s="20">
        <f t="shared" si="2"/>
        <v>0</v>
      </c>
      <c r="G71" s="7"/>
      <c r="H71" s="29" t="s">
        <v>63</v>
      </c>
      <c r="I71" s="25">
        <v>28</v>
      </c>
      <c r="J71" s="26">
        <f>I71/I$69</f>
        <v>0.96551724137931039</v>
      </c>
    </row>
    <row r="72" spans="1:10" x14ac:dyDescent="0.25">
      <c r="A72" s="8" t="s">
        <v>62</v>
      </c>
      <c r="B72" s="9"/>
      <c r="C72">
        <v>0</v>
      </c>
      <c r="D72" s="11"/>
      <c r="E72" s="28" t="s">
        <v>64</v>
      </c>
      <c r="F72" s="20">
        <f t="shared" si="2"/>
        <v>0</v>
      </c>
      <c r="G72" s="7"/>
    </row>
    <row r="73" spans="1:10" ht="15.75" thickBot="1" x14ac:dyDescent="0.3">
      <c r="A73" s="8" t="s">
        <v>64</v>
      </c>
      <c r="B73" s="9"/>
      <c r="C73">
        <v>0</v>
      </c>
      <c r="D73" s="11"/>
      <c r="E73" s="31" t="s">
        <v>65</v>
      </c>
      <c r="F73" s="26">
        <f t="shared" si="2"/>
        <v>8.0645161290322578E-3</v>
      </c>
      <c r="G73" s="7"/>
    </row>
    <row r="74" spans="1:10" ht="15.75" thickBot="1" x14ac:dyDescent="0.3">
      <c r="A74" s="8" t="s">
        <v>65</v>
      </c>
      <c r="B74" s="9"/>
      <c r="C74">
        <v>1</v>
      </c>
      <c r="D74" s="11"/>
      <c r="E74" s="8"/>
      <c r="F74" s="24"/>
      <c r="G74" s="7"/>
      <c r="H74" s="14" t="s">
        <v>66</v>
      </c>
      <c r="I74" s="15">
        <v>1</v>
      </c>
      <c r="J74" s="16"/>
    </row>
    <row r="75" spans="1:10" x14ac:dyDescent="0.25">
      <c r="A75" s="8" t="s">
        <v>67</v>
      </c>
      <c r="B75" s="9"/>
      <c r="C75">
        <f>SUM(C65:C74)</f>
        <v>124</v>
      </c>
      <c r="D75" s="11"/>
      <c r="E75" s="33" t="s">
        <v>68</v>
      </c>
      <c r="F75" s="13"/>
      <c r="G75" s="7"/>
      <c r="H75" s="27" t="s">
        <v>69</v>
      </c>
      <c r="I75" s="19">
        <v>0</v>
      </c>
      <c r="J75" s="20">
        <f t="shared" ref="J75:J80" si="3">I75/I$74</f>
        <v>0</v>
      </c>
    </row>
    <row r="76" spans="1:10" x14ac:dyDescent="0.25">
      <c r="A76" s="8"/>
      <c r="B76" s="9"/>
      <c r="D76" s="11"/>
      <c r="E76" s="35" t="s">
        <v>70</v>
      </c>
      <c r="F76" s="20">
        <f>C77/C$47</f>
        <v>0.76315789473684215</v>
      </c>
      <c r="G76" s="7"/>
      <c r="H76" s="27" t="s">
        <v>71</v>
      </c>
      <c r="I76" s="19">
        <v>0</v>
      </c>
      <c r="J76" s="20">
        <f t="shared" si="3"/>
        <v>0</v>
      </c>
    </row>
    <row r="77" spans="1:10" x14ac:dyDescent="0.25">
      <c r="A77" s="8" t="s">
        <v>72</v>
      </c>
      <c r="B77" s="9"/>
      <c r="C77">
        <v>29</v>
      </c>
      <c r="D77" s="11"/>
      <c r="E77" s="35" t="s">
        <v>73</v>
      </c>
      <c r="F77" s="20">
        <f>C78/C$47</f>
        <v>0</v>
      </c>
      <c r="G77" s="7"/>
      <c r="H77" s="27" t="s">
        <v>74</v>
      </c>
      <c r="I77" s="19">
        <v>1</v>
      </c>
      <c r="J77" s="20">
        <f t="shared" si="3"/>
        <v>1</v>
      </c>
    </row>
    <row r="78" spans="1:10" ht="15.75" thickBot="1" x14ac:dyDescent="0.3">
      <c r="A78" s="8" t="s">
        <v>75</v>
      </c>
      <c r="B78" s="9"/>
      <c r="C78">
        <v>0</v>
      </c>
      <c r="D78" s="11"/>
      <c r="E78" s="36" t="s">
        <v>76</v>
      </c>
      <c r="F78" s="26">
        <f>C79/C$47</f>
        <v>0.23684210526315788</v>
      </c>
      <c r="G78" s="7"/>
      <c r="H78" s="27" t="s">
        <v>77</v>
      </c>
      <c r="I78" s="30">
        <v>0</v>
      </c>
      <c r="J78" s="20">
        <f t="shared" si="3"/>
        <v>0</v>
      </c>
    </row>
    <row r="79" spans="1:10" ht="15.75" thickBot="1" x14ac:dyDescent="0.3">
      <c r="A79" s="8" t="s">
        <v>78</v>
      </c>
      <c r="B79" s="9"/>
      <c r="C79">
        <v>9</v>
      </c>
      <c r="D79" s="11"/>
      <c r="E79" s="37"/>
      <c r="F79" s="24"/>
      <c r="G79" s="11" t="s">
        <v>19</v>
      </c>
      <c r="H79" s="27" t="s">
        <v>79</v>
      </c>
      <c r="I79" s="30">
        <v>0</v>
      </c>
      <c r="J79" s="20">
        <f t="shared" si="3"/>
        <v>0</v>
      </c>
    </row>
    <row r="80" spans="1:10" ht="15.75" thickBot="1" x14ac:dyDescent="0.3">
      <c r="A80" s="8"/>
      <c r="B80" s="9"/>
      <c r="D80" s="11"/>
      <c r="E80" s="38" t="s">
        <v>20</v>
      </c>
      <c r="F80" s="13"/>
      <c r="G80" s="7"/>
      <c r="H80" s="29" t="s">
        <v>80</v>
      </c>
      <c r="I80" s="25">
        <v>0</v>
      </c>
      <c r="J80" s="26">
        <f t="shared" si="3"/>
        <v>0</v>
      </c>
    </row>
    <row r="81" spans="1:10" x14ac:dyDescent="0.25">
      <c r="A81" s="8" t="s">
        <v>20</v>
      </c>
      <c r="B81" s="9"/>
      <c r="D81" s="11"/>
      <c r="E81" s="28" t="s">
        <v>81</v>
      </c>
      <c r="F81" s="20">
        <f>C82/C$47</f>
        <v>0.5</v>
      </c>
      <c r="G81" s="7"/>
    </row>
    <row r="82" spans="1:10" ht="15.75" thickBot="1" x14ac:dyDescent="0.3">
      <c r="A82" s="8" t="s">
        <v>82</v>
      </c>
      <c r="B82" s="9"/>
      <c r="C82">
        <v>19</v>
      </c>
      <c r="D82" s="11"/>
      <c r="E82" s="31" t="s">
        <v>83</v>
      </c>
      <c r="F82" s="26">
        <f>C83/C$47</f>
        <v>0.5</v>
      </c>
      <c r="G82" s="7"/>
    </row>
    <row r="83" spans="1:10" ht="15.75" thickBot="1" x14ac:dyDescent="0.3">
      <c r="A83" s="8" t="s">
        <v>83</v>
      </c>
      <c r="B83" s="9"/>
      <c r="C83">
        <v>19</v>
      </c>
      <c r="D83" s="11"/>
      <c r="E83" s="39"/>
      <c r="F83" s="40"/>
      <c r="G83" s="7"/>
      <c r="H83" s="14" t="s">
        <v>40</v>
      </c>
      <c r="I83" s="15">
        <v>19</v>
      </c>
      <c r="J83" s="16"/>
    </row>
    <row r="84" spans="1:10" x14ac:dyDescent="0.25">
      <c r="A84" s="8"/>
      <c r="B84" s="9"/>
      <c r="D84" s="11"/>
      <c r="E84" s="14" t="s">
        <v>84</v>
      </c>
      <c r="F84" s="13"/>
      <c r="G84" s="7"/>
      <c r="H84" s="27" t="s">
        <v>85</v>
      </c>
      <c r="I84" s="30">
        <v>0</v>
      </c>
      <c r="J84" s="20">
        <f>I84/I$83</f>
        <v>0</v>
      </c>
    </row>
    <row r="85" spans="1:10" x14ac:dyDescent="0.25">
      <c r="A85" t="s">
        <v>84</v>
      </c>
      <c r="D85" s="11"/>
      <c r="E85" s="27" t="s">
        <v>86</v>
      </c>
      <c r="F85" s="20">
        <f>C86/C$83</f>
        <v>0.73684210526315785</v>
      </c>
      <c r="G85" s="7"/>
      <c r="H85" s="27" t="s">
        <v>87</v>
      </c>
      <c r="I85" s="30">
        <v>15</v>
      </c>
      <c r="J85" s="20">
        <f>I85/I$83</f>
        <v>0.78947368421052633</v>
      </c>
    </row>
    <row r="86" spans="1:10" ht="15.75" thickBot="1" x14ac:dyDescent="0.3">
      <c r="A86" t="s">
        <v>86</v>
      </c>
      <c r="C86">
        <v>14</v>
      </c>
      <c r="D86" s="11"/>
      <c r="E86" s="29" t="s">
        <v>88</v>
      </c>
      <c r="F86" s="26">
        <f>C87/C$83</f>
        <v>0.26315789473684209</v>
      </c>
      <c r="G86" s="7"/>
      <c r="H86" s="27" t="s">
        <v>89</v>
      </c>
      <c r="I86" s="30">
        <v>2</v>
      </c>
      <c r="J86" s="20">
        <f>I86/I$83</f>
        <v>0.10526315789473684</v>
      </c>
    </row>
    <row r="87" spans="1:10" ht="15.75" thickBot="1" x14ac:dyDescent="0.3">
      <c r="A87" t="s">
        <v>88</v>
      </c>
      <c r="C87">
        <v>5</v>
      </c>
      <c r="D87" s="11"/>
      <c r="E87" s="39"/>
      <c r="F87" s="40"/>
      <c r="G87" s="7"/>
      <c r="H87" s="27" t="s">
        <v>90</v>
      </c>
      <c r="I87" s="30">
        <v>1</v>
      </c>
      <c r="J87" s="20">
        <f>I87/I$83</f>
        <v>5.2631578947368418E-2</v>
      </c>
    </row>
    <row r="88" spans="1:10" ht="15.75" thickBot="1" x14ac:dyDescent="0.3">
      <c r="A88" s="8"/>
      <c r="B88" s="9"/>
      <c r="D88" s="11"/>
      <c r="E88" s="33" t="s">
        <v>91</v>
      </c>
      <c r="F88" s="13"/>
      <c r="G88" s="7"/>
      <c r="H88" s="29" t="s">
        <v>92</v>
      </c>
      <c r="I88" s="25">
        <v>1</v>
      </c>
      <c r="J88" s="26">
        <f>I88/I$83</f>
        <v>5.2631578947368418E-2</v>
      </c>
    </row>
    <row r="89" spans="1:10" x14ac:dyDescent="0.25">
      <c r="A89" s="8" t="s">
        <v>93</v>
      </c>
      <c r="B89" s="9"/>
      <c r="D89" s="11"/>
      <c r="E89" s="28" t="s">
        <v>94</v>
      </c>
      <c r="F89" s="20">
        <f t="shared" ref="F89:F94" si="4">C90/C$47</f>
        <v>0.31578947368421051</v>
      </c>
      <c r="G89" s="7"/>
    </row>
    <row r="90" spans="1:10" ht="15.75" thickBot="1" x14ac:dyDescent="0.3">
      <c r="A90" s="8" t="s">
        <v>94</v>
      </c>
      <c r="B90" s="9"/>
      <c r="C90">
        <v>12</v>
      </c>
      <c r="D90" s="11"/>
      <c r="E90" s="17" t="s">
        <v>95</v>
      </c>
      <c r="F90" s="20">
        <f t="shared" si="4"/>
        <v>0.13157894736842105</v>
      </c>
      <c r="G90" s="7"/>
    </row>
    <row r="91" spans="1:10" x14ac:dyDescent="0.25">
      <c r="A91" s="8" t="s">
        <v>95</v>
      </c>
      <c r="B91" s="9"/>
      <c r="C91">
        <v>5</v>
      </c>
      <c r="D91" s="11"/>
      <c r="E91" s="17" t="s">
        <v>96</v>
      </c>
      <c r="F91" s="20">
        <f t="shared" si="4"/>
        <v>0</v>
      </c>
      <c r="G91" s="7"/>
      <c r="H91" s="14" t="s">
        <v>44</v>
      </c>
      <c r="I91" s="15">
        <v>11</v>
      </c>
      <c r="J91" s="16"/>
    </row>
    <row r="92" spans="1:10" x14ac:dyDescent="0.25">
      <c r="A92" s="8" t="s">
        <v>96</v>
      </c>
      <c r="B92" s="9"/>
      <c r="C92">
        <v>0</v>
      </c>
      <c r="D92" s="11"/>
      <c r="E92" s="17" t="s">
        <v>97</v>
      </c>
      <c r="F92" s="20">
        <f t="shared" si="4"/>
        <v>0</v>
      </c>
      <c r="G92" s="7"/>
      <c r="H92" s="27" t="s">
        <v>98</v>
      </c>
      <c r="I92" s="19">
        <v>1</v>
      </c>
      <c r="J92" s="20">
        <f>I92/I$91</f>
        <v>9.0909090909090912E-2</v>
      </c>
    </row>
    <row r="93" spans="1:10" x14ac:dyDescent="0.25">
      <c r="A93" s="8" t="s">
        <v>97</v>
      </c>
      <c r="B93" s="9"/>
      <c r="C93">
        <v>0</v>
      </c>
      <c r="D93" s="11"/>
      <c r="E93" s="17" t="s">
        <v>99</v>
      </c>
      <c r="F93" s="20">
        <f t="shared" si="4"/>
        <v>0.5</v>
      </c>
      <c r="G93" s="7"/>
      <c r="H93" s="27" t="s">
        <v>100</v>
      </c>
      <c r="I93" s="19">
        <v>2</v>
      </c>
      <c r="J93" s="20">
        <f t="shared" ref="J93:J101" si="5">I93/I$91</f>
        <v>0.18181818181818182</v>
      </c>
    </row>
    <row r="94" spans="1:10" ht="15.75" thickBot="1" x14ac:dyDescent="0.3">
      <c r="A94" s="8" t="s">
        <v>99</v>
      </c>
      <c r="B94" s="9"/>
      <c r="C94">
        <v>19</v>
      </c>
      <c r="D94" s="11"/>
      <c r="E94" s="22" t="s">
        <v>44</v>
      </c>
      <c r="F94" s="26">
        <f t="shared" si="4"/>
        <v>5.2631578947368418E-2</v>
      </c>
      <c r="G94" s="7"/>
      <c r="H94" s="27" t="s">
        <v>101</v>
      </c>
      <c r="I94" s="30">
        <v>0</v>
      </c>
      <c r="J94" s="20">
        <f t="shared" si="5"/>
        <v>0</v>
      </c>
    </row>
    <row r="95" spans="1:10" ht="15.75" thickBot="1" x14ac:dyDescent="0.3">
      <c r="A95" s="8" t="s">
        <v>44</v>
      </c>
      <c r="B95" s="9"/>
      <c r="C95">
        <v>2</v>
      </c>
      <c r="D95" s="11"/>
      <c r="E95" s="11"/>
      <c r="F95" s="24"/>
      <c r="G95" s="7"/>
      <c r="H95" s="27" t="s">
        <v>102</v>
      </c>
      <c r="I95" s="30">
        <v>0</v>
      </c>
      <c r="J95" s="20">
        <f t="shared" si="5"/>
        <v>0</v>
      </c>
    </row>
    <row r="96" spans="1:10" x14ac:dyDescent="0.25">
      <c r="A96" s="8"/>
      <c r="B96" s="9"/>
      <c r="D96" s="11"/>
      <c r="E96" s="12" t="s">
        <v>103</v>
      </c>
      <c r="F96" s="13"/>
      <c r="G96" s="7"/>
      <c r="H96" s="27" t="s">
        <v>104</v>
      </c>
      <c r="I96" s="19">
        <v>4</v>
      </c>
      <c r="J96" s="20">
        <f t="shared" si="5"/>
        <v>0.36363636363636365</v>
      </c>
    </row>
    <row r="97" spans="1:10" x14ac:dyDescent="0.25">
      <c r="A97" s="8" t="s">
        <v>105</v>
      </c>
      <c r="B97" s="9"/>
      <c r="D97" s="11"/>
      <c r="E97" s="17" t="s">
        <v>106</v>
      </c>
      <c r="F97" s="20">
        <f>C98/C$47</f>
        <v>0.60526315789473684</v>
      </c>
      <c r="G97" s="7"/>
      <c r="H97" s="41" t="s">
        <v>107</v>
      </c>
      <c r="I97" s="30">
        <v>1</v>
      </c>
      <c r="J97" s="20">
        <f t="shared" si="5"/>
        <v>9.0909090909090912E-2</v>
      </c>
    </row>
    <row r="98" spans="1:10" x14ac:dyDescent="0.25">
      <c r="A98" s="8" t="s">
        <v>106</v>
      </c>
      <c r="B98" s="9"/>
      <c r="C98">
        <v>23</v>
      </c>
      <c r="D98" s="11"/>
      <c r="E98" s="17" t="s">
        <v>108</v>
      </c>
      <c r="F98" s="20">
        <f>C99/C$47</f>
        <v>0.28947368421052633</v>
      </c>
      <c r="G98" s="7"/>
      <c r="H98" s="41" t="s">
        <v>109</v>
      </c>
      <c r="I98" s="30">
        <v>0</v>
      </c>
      <c r="J98" s="20">
        <f t="shared" si="5"/>
        <v>0</v>
      </c>
    </row>
    <row r="99" spans="1:10" x14ac:dyDescent="0.25">
      <c r="A99" s="8" t="s">
        <v>108</v>
      </c>
      <c r="B99" s="9"/>
      <c r="C99">
        <v>11</v>
      </c>
      <c r="D99" s="11"/>
      <c r="E99" s="17" t="s">
        <v>110</v>
      </c>
      <c r="F99" s="20">
        <f>C100/C$47</f>
        <v>5.2631578947368418E-2</v>
      </c>
      <c r="G99" s="7"/>
      <c r="H99" s="41" t="s">
        <v>111</v>
      </c>
      <c r="I99" s="30">
        <v>1</v>
      </c>
      <c r="J99" s="20">
        <f t="shared" si="5"/>
        <v>9.0909090909090912E-2</v>
      </c>
    </row>
    <row r="100" spans="1:10" x14ac:dyDescent="0.25">
      <c r="A100" s="8" t="s">
        <v>110</v>
      </c>
      <c r="B100" s="9"/>
      <c r="C100">
        <v>2</v>
      </c>
      <c r="D100" s="11"/>
      <c r="E100" s="17" t="s">
        <v>112</v>
      </c>
      <c r="F100" s="20">
        <f>C101/C$47</f>
        <v>2.6315789473684209E-2</v>
      </c>
      <c r="G100" s="7"/>
      <c r="H100" s="41" t="s">
        <v>113</v>
      </c>
      <c r="I100" s="30">
        <v>2</v>
      </c>
      <c r="J100" s="20">
        <f t="shared" si="5"/>
        <v>0.18181818181818182</v>
      </c>
    </row>
    <row r="101" spans="1:10" ht="15.75" thickBot="1" x14ac:dyDescent="0.3">
      <c r="A101" s="8" t="s">
        <v>112</v>
      </c>
      <c r="B101" s="9"/>
      <c r="C101">
        <v>1</v>
      </c>
      <c r="E101" s="22" t="s">
        <v>114</v>
      </c>
      <c r="F101" s="26">
        <f>C102/C$47</f>
        <v>0</v>
      </c>
      <c r="H101" s="42" t="s">
        <v>115</v>
      </c>
      <c r="I101" s="25">
        <v>0</v>
      </c>
      <c r="J101" s="26">
        <f t="shared" si="5"/>
        <v>0</v>
      </c>
    </row>
    <row r="102" spans="1:10" x14ac:dyDescent="0.25">
      <c r="A102" s="8" t="s">
        <v>114</v>
      </c>
      <c r="B102" s="9"/>
      <c r="C102">
        <v>0</v>
      </c>
      <c r="E102" s="11"/>
      <c r="F102" s="24"/>
    </row>
    <row r="103" spans="1:10" x14ac:dyDescent="0.25">
      <c r="A103" s="8" t="s">
        <v>116</v>
      </c>
      <c r="B103" s="9"/>
      <c r="C103">
        <v>0</v>
      </c>
      <c r="E103" s="11"/>
      <c r="F103" s="24"/>
    </row>
    <row r="104" spans="1:10" x14ac:dyDescent="0.25">
      <c r="A104" s="8"/>
      <c r="B104" s="9"/>
      <c r="E104" s="11"/>
      <c r="F104" s="24"/>
    </row>
    <row r="105" spans="1:10" ht="15.75" thickBot="1" x14ac:dyDescent="0.3"/>
    <row r="106" spans="1:10" x14ac:dyDescent="0.25">
      <c r="A106" s="43" t="s">
        <v>117</v>
      </c>
      <c r="B106" s="87">
        <f>SUM(B107:B110)</f>
        <v>101436.3</v>
      </c>
    </row>
    <row r="107" spans="1:10" x14ac:dyDescent="0.25">
      <c r="A107" s="44" t="s">
        <v>94</v>
      </c>
      <c r="B107" s="45">
        <f>SUM(F2,F5,F7,F9:F10,F12:F14,F18:F19,F29,F32,F36)</f>
        <v>20795.66</v>
      </c>
    </row>
    <row r="108" spans="1:10" x14ac:dyDescent="0.25">
      <c r="A108" s="44" t="s">
        <v>118</v>
      </c>
      <c r="B108" s="45">
        <f>SUM(F3,F6,F8,F11,F15:F17,F20,F22:F24,F26,F28,F30:F31,F33:F35,F38)</f>
        <v>64803.209999999992</v>
      </c>
    </row>
    <row r="109" spans="1:10" x14ac:dyDescent="0.25">
      <c r="A109" s="44" t="s">
        <v>119</v>
      </c>
      <c r="B109" s="45">
        <f>SUM(F21,F25,F37,F39)</f>
        <v>12207.49</v>
      </c>
    </row>
    <row r="110" spans="1:10" x14ac:dyDescent="0.25">
      <c r="A110" s="44" t="s">
        <v>44</v>
      </c>
      <c r="B110" s="46">
        <f>SUM(F4,F27)</f>
        <v>3629.94</v>
      </c>
    </row>
    <row r="111" spans="1:10" ht="15.75" thickBot="1" x14ac:dyDescent="0.3">
      <c r="A111" s="47"/>
      <c r="B111" s="48"/>
    </row>
  </sheetData>
  <mergeCells count="1">
    <mergeCell ref="A43:F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opLeftCell="A40" workbookViewId="0">
      <selection activeCell="B102" sqref="B102"/>
    </sheetView>
  </sheetViews>
  <sheetFormatPr baseColWidth="10" defaultRowHeight="15" x14ac:dyDescent="0.25"/>
  <cols>
    <col min="2" max="2" width="34" customWidth="1"/>
    <col min="3" max="3" width="12.85546875" customWidth="1"/>
    <col min="4" max="4" width="5.140625" customWidth="1"/>
    <col min="5" max="5" width="7.140625" customWidth="1"/>
    <col min="6" max="6" width="12.28515625" customWidth="1"/>
    <col min="7" max="7" width="45.855468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45628</v>
      </c>
      <c r="B2" t="s">
        <v>2149</v>
      </c>
      <c r="C2" s="11" t="s">
        <v>361</v>
      </c>
      <c r="D2" t="s">
        <v>24</v>
      </c>
      <c r="E2" s="11" t="s">
        <v>118</v>
      </c>
      <c r="F2" s="59">
        <v>8352</v>
      </c>
      <c r="G2" s="11" t="s">
        <v>2162</v>
      </c>
      <c r="H2" s="11" t="s">
        <v>2168</v>
      </c>
    </row>
    <row r="3" spans="1:8" x14ac:dyDescent="0.25">
      <c r="A3" s="9">
        <v>45629</v>
      </c>
      <c r="B3" t="s">
        <v>2170</v>
      </c>
      <c r="C3" s="11" t="s">
        <v>361</v>
      </c>
      <c r="D3" t="s">
        <v>24</v>
      </c>
      <c r="E3" s="11" t="s">
        <v>118</v>
      </c>
      <c r="F3" s="59">
        <v>5202.54</v>
      </c>
      <c r="G3" s="11" t="s">
        <v>2173</v>
      </c>
      <c r="H3" s="11" t="s">
        <v>2174</v>
      </c>
    </row>
    <row r="4" spans="1:8" x14ac:dyDescent="0.25">
      <c r="A4" s="9">
        <v>45630</v>
      </c>
      <c r="B4" t="s">
        <v>2181</v>
      </c>
      <c r="C4" s="11" t="s">
        <v>106</v>
      </c>
      <c r="D4" t="s">
        <v>22</v>
      </c>
      <c r="E4" s="11" t="s">
        <v>118</v>
      </c>
      <c r="F4" s="59">
        <v>1760</v>
      </c>
      <c r="G4" s="11" t="s">
        <v>2184</v>
      </c>
      <c r="H4" s="11" t="s">
        <v>502</v>
      </c>
    </row>
    <row r="5" spans="1:8" x14ac:dyDescent="0.25">
      <c r="A5" s="9">
        <v>45631</v>
      </c>
      <c r="B5" t="s">
        <v>2186</v>
      </c>
      <c r="C5" s="11" t="s">
        <v>361</v>
      </c>
      <c r="D5" t="s">
        <v>24</v>
      </c>
      <c r="E5" s="11" t="s">
        <v>195</v>
      </c>
      <c r="F5" s="59">
        <v>4362.8999999999996</v>
      </c>
      <c r="G5" s="11" t="s">
        <v>2189</v>
      </c>
      <c r="H5" s="11" t="s">
        <v>2190</v>
      </c>
    </row>
    <row r="6" spans="1:8" x14ac:dyDescent="0.25">
      <c r="A6" s="9">
        <v>45631</v>
      </c>
      <c r="B6" t="s">
        <v>2193</v>
      </c>
      <c r="C6" s="11" t="s">
        <v>106</v>
      </c>
      <c r="D6" t="s">
        <v>22</v>
      </c>
      <c r="E6" s="11" t="s">
        <v>118</v>
      </c>
      <c r="F6" s="59">
        <v>1923</v>
      </c>
      <c r="G6" s="11" t="s">
        <v>2196</v>
      </c>
      <c r="H6" s="11" t="s">
        <v>265</v>
      </c>
    </row>
    <row r="7" spans="1:8" x14ac:dyDescent="0.25">
      <c r="A7" s="9">
        <v>45630</v>
      </c>
      <c r="B7" t="s">
        <v>622</v>
      </c>
      <c r="C7" s="11" t="s">
        <v>106</v>
      </c>
      <c r="D7" t="s">
        <v>22</v>
      </c>
      <c r="E7" s="11" t="s">
        <v>118</v>
      </c>
      <c r="F7" s="59">
        <v>6190.2</v>
      </c>
      <c r="G7" s="11" t="s">
        <v>2199</v>
      </c>
    </row>
    <row r="8" spans="1:8" x14ac:dyDescent="0.25">
      <c r="A8" s="9">
        <v>45629</v>
      </c>
      <c r="B8" t="s">
        <v>2213</v>
      </c>
      <c r="C8" t="s">
        <v>106</v>
      </c>
      <c r="D8" t="s">
        <v>22</v>
      </c>
      <c r="E8" s="11" t="s">
        <v>119</v>
      </c>
      <c r="F8" s="59">
        <v>914</v>
      </c>
      <c r="G8" s="11" t="s">
        <v>2216</v>
      </c>
      <c r="H8" s="11" t="s">
        <v>2233</v>
      </c>
    </row>
    <row r="9" spans="1:8" x14ac:dyDescent="0.25">
      <c r="A9" s="9">
        <v>45633</v>
      </c>
      <c r="B9" t="s">
        <v>2201</v>
      </c>
      <c r="C9" t="s">
        <v>106</v>
      </c>
      <c r="D9" t="s">
        <v>24</v>
      </c>
      <c r="E9" s="11" t="s">
        <v>118</v>
      </c>
      <c r="F9" s="59">
        <v>11313.67</v>
      </c>
      <c r="G9" s="11" t="s">
        <v>273</v>
      </c>
      <c r="H9" s="11" t="s">
        <v>245</v>
      </c>
    </row>
    <row r="10" spans="1:8" x14ac:dyDescent="0.25">
      <c r="A10" s="9">
        <v>45632</v>
      </c>
      <c r="B10" t="s">
        <v>761</v>
      </c>
      <c r="C10" t="s">
        <v>106</v>
      </c>
      <c r="D10" t="s">
        <v>22</v>
      </c>
      <c r="E10" s="11" t="s">
        <v>118</v>
      </c>
      <c r="F10" s="59">
        <v>3025.64</v>
      </c>
      <c r="G10" s="11" t="s">
        <v>2222</v>
      </c>
      <c r="H10" s="11" t="s">
        <v>617</v>
      </c>
    </row>
    <row r="11" spans="1:8" x14ac:dyDescent="0.25">
      <c r="A11" s="9">
        <v>45635</v>
      </c>
      <c r="B11" t="s">
        <v>2224</v>
      </c>
      <c r="C11" t="s">
        <v>106</v>
      </c>
      <c r="D11" t="s">
        <v>22</v>
      </c>
      <c r="E11" s="11" t="s">
        <v>119</v>
      </c>
      <c r="F11" s="59">
        <v>1592</v>
      </c>
      <c r="G11" s="11" t="s">
        <v>2333</v>
      </c>
      <c r="H11" s="11" t="s">
        <v>1259</v>
      </c>
    </row>
    <row r="12" spans="1:8" x14ac:dyDescent="0.25">
      <c r="A12" s="9">
        <v>45635</v>
      </c>
      <c r="B12" t="s">
        <v>2229</v>
      </c>
      <c r="C12" t="s">
        <v>106</v>
      </c>
      <c r="D12" t="s">
        <v>22</v>
      </c>
      <c r="E12" s="11" t="s">
        <v>195</v>
      </c>
      <c r="F12" s="59">
        <v>3211</v>
      </c>
      <c r="G12" s="11" t="s">
        <v>2232</v>
      </c>
      <c r="H12" s="11" t="s">
        <v>236</v>
      </c>
    </row>
    <row r="13" spans="1:8" x14ac:dyDescent="0.25">
      <c r="A13" s="9">
        <v>45630</v>
      </c>
      <c r="B13" t="s">
        <v>2235</v>
      </c>
      <c r="C13" t="s">
        <v>106</v>
      </c>
      <c r="D13" t="s">
        <v>22</v>
      </c>
      <c r="E13" s="11" t="s">
        <v>928</v>
      </c>
      <c r="F13" s="59">
        <v>2468.6999999999998</v>
      </c>
      <c r="G13" s="11" t="s">
        <v>531</v>
      </c>
      <c r="H13" s="11" t="s">
        <v>2247</v>
      </c>
    </row>
    <row r="14" spans="1:8" x14ac:dyDescent="0.25">
      <c r="A14" s="9">
        <v>45636</v>
      </c>
      <c r="B14" t="s">
        <v>2239</v>
      </c>
      <c r="C14" t="s">
        <v>106</v>
      </c>
      <c r="D14" t="s">
        <v>22</v>
      </c>
      <c r="E14" s="11" t="s">
        <v>118</v>
      </c>
      <c r="F14" s="59">
        <v>2082</v>
      </c>
      <c r="G14" s="11" t="s">
        <v>256</v>
      </c>
      <c r="H14" s="11" t="s">
        <v>1917</v>
      </c>
    </row>
    <row r="15" spans="1:8" x14ac:dyDescent="0.25">
      <c r="A15" s="9">
        <v>45637</v>
      </c>
      <c r="B15" t="s">
        <v>2243</v>
      </c>
      <c r="C15" t="s">
        <v>106</v>
      </c>
      <c r="D15" t="s">
        <v>22</v>
      </c>
      <c r="E15" s="11" t="s">
        <v>118</v>
      </c>
      <c r="F15" s="59">
        <v>1246</v>
      </c>
      <c r="G15" s="11" t="s">
        <v>2246</v>
      </c>
      <c r="H15" s="11" t="s">
        <v>1259</v>
      </c>
    </row>
    <row r="16" spans="1:8" x14ac:dyDescent="0.25">
      <c r="A16" s="9">
        <v>45635</v>
      </c>
      <c r="B16" t="s">
        <v>498</v>
      </c>
      <c r="C16" t="s">
        <v>106</v>
      </c>
      <c r="D16" t="s">
        <v>22</v>
      </c>
      <c r="E16" s="11" t="s">
        <v>118</v>
      </c>
      <c r="F16" s="59">
        <v>596.16</v>
      </c>
      <c r="G16" s="11" t="s">
        <v>402</v>
      </c>
      <c r="H16" s="11" t="s">
        <v>245</v>
      </c>
    </row>
    <row r="17" spans="1:8" x14ac:dyDescent="0.25">
      <c r="A17" s="9">
        <v>45637</v>
      </c>
      <c r="B17" t="s">
        <v>2250</v>
      </c>
      <c r="C17" t="s">
        <v>106</v>
      </c>
      <c r="D17" t="s">
        <v>24</v>
      </c>
      <c r="E17" s="11" t="s">
        <v>195</v>
      </c>
      <c r="F17" s="59">
        <v>5659.21</v>
      </c>
      <c r="G17" s="11" t="s">
        <v>2253</v>
      </c>
      <c r="H17" s="11" t="s">
        <v>2254</v>
      </c>
    </row>
    <row r="18" spans="1:8" x14ac:dyDescent="0.25">
      <c r="A18" s="9">
        <v>45639</v>
      </c>
      <c r="B18" t="s">
        <v>2256</v>
      </c>
      <c r="C18" t="s">
        <v>114</v>
      </c>
      <c r="D18" t="s">
        <v>22</v>
      </c>
      <c r="E18" s="11" t="s">
        <v>118</v>
      </c>
      <c r="F18" s="59">
        <v>1750</v>
      </c>
      <c r="G18" s="11" t="s">
        <v>2259</v>
      </c>
      <c r="H18" s="11" t="s">
        <v>2260</v>
      </c>
    </row>
    <row r="19" spans="1:8" x14ac:dyDescent="0.25">
      <c r="A19" s="9">
        <v>45638</v>
      </c>
      <c r="B19" t="s">
        <v>2262</v>
      </c>
      <c r="C19" t="s">
        <v>106</v>
      </c>
      <c r="D19" t="s">
        <v>22</v>
      </c>
      <c r="E19" s="11" t="s">
        <v>118</v>
      </c>
      <c r="F19" s="59">
        <v>2853.2</v>
      </c>
      <c r="G19" s="11" t="s">
        <v>2265</v>
      </c>
      <c r="H19" s="11" t="s">
        <v>265</v>
      </c>
    </row>
    <row r="20" spans="1:8" x14ac:dyDescent="0.25">
      <c r="A20" s="9">
        <v>45643</v>
      </c>
      <c r="B20" t="s">
        <v>2267</v>
      </c>
      <c r="C20" t="s">
        <v>106</v>
      </c>
      <c r="D20" t="s">
        <v>22</v>
      </c>
      <c r="E20" s="11" t="s">
        <v>195</v>
      </c>
      <c r="F20" s="59">
        <v>1043</v>
      </c>
      <c r="G20" s="11" t="s">
        <v>190</v>
      </c>
      <c r="H20" s="11" t="s">
        <v>809</v>
      </c>
    </row>
    <row r="21" spans="1:8" x14ac:dyDescent="0.25">
      <c r="A21" s="9">
        <v>45644</v>
      </c>
      <c r="B21" t="s">
        <v>2271</v>
      </c>
      <c r="C21" t="s">
        <v>106</v>
      </c>
      <c r="D21" t="s">
        <v>22</v>
      </c>
      <c r="E21" s="11" t="s">
        <v>195</v>
      </c>
      <c r="F21" s="59">
        <v>12567.44</v>
      </c>
      <c r="G21" s="11" t="s">
        <v>2274</v>
      </c>
      <c r="H21" s="11" t="s">
        <v>2275</v>
      </c>
    </row>
    <row r="22" spans="1:8" x14ac:dyDescent="0.25">
      <c r="A22" s="9">
        <v>45642</v>
      </c>
      <c r="B22" t="s">
        <v>2277</v>
      </c>
      <c r="C22" t="s">
        <v>106</v>
      </c>
      <c r="D22" t="s">
        <v>22</v>
      </c>
      <c r="E22" s="11" t="s">
        <v>195</v>
      </c>
      <c r="F22" s="59">
        <v>6336.5</v>
      </c>
      <c r="G22" s="11" t="s">
        <v>2280</v>
      </c>
      <c r="H22" s="11" t="s">
        <v>216</v>
      </c>
    </row>
    <row r="23" spans="1:8" x14ac:dyDescent="0.25">
      <c r="A23" s="9">
        <v>45643</v>
      </c>
      <c r="B23" t="s">
        <v>2282</v>
      </c>
      <c r="C23" t="s">
        <v>106</v>
      </c>
      <c r="D23" t="s">
        <v>22</v>
      </c>
      <c r="E23" s="11" t="s">
        <v>118</v>
      </c>
      <c r="F23" s="59">
        <v>1748</v>
      </c>
      <c r="G23" s="11" t="s">
        <v>2285</v>
      </c>
      <c r="H23" s="11" t="s">
        <v>265</v>
      </c>
    </row>
    <row r="24" spans="1:8" x14ac:dyDescent="0.25">
      <c r="A24" s="9">
        <v>45645</v>
      </c>
      <c r="B24" t="s">
        <v>2287</v>
      </c>
      <c r="C24" t="s">
        <v>106</v>
      </c>
      <c r="D24" t="s">
        <v>22</v>
      </c>
      <c r="E24" s="11" t="s">
        <v>118</v>
      </c>
      <c r="F24" s="59">
        <v>1874</v>
      </c>
      <c r="G24" s="11" t="s">
        <v>2290</v>
      </c>
      <c r="H24" s="11" t="s">
        <v>236</v>
      </c>
    </row>
    <row r="25" spans="1:8" x14ac:dyDescent="0.25">
      <c r="A25" s="9">
        <v>45645</v>
      </c>
      <c r="B25" t="s">
        <v>2292</v>
      </c>
      <c r="C25" t="s">
        <v>106</v>
      </c>
      <c r="D25" t="s">
        <v>22</v>
      </c>
      <c r="E25" s="11" t="s">
        <v>928</v>
      </c>
      <c r="F25" s="59">
        <v>986.1</v>
      </c>
      <c r="G25" s="11" t="s">
        <v>585</v>
      </c>
      <c r="H25" s="11" t="s">
        <v>502</v>
      </c>
    </row>
    <row r="26" spans="1:8" x14ac:dyDescent="0.25">
      <c r="A26" s="9">
        <v>45646</v>
      </c>
      <c r="B26" t="s">
        <v>2297</v>
      </c>
      <c r="C26" t="s">
        <v>106</v>
      </c>
      <c r="D26" t="s">
        <v>22</v>
      </c>
      <c r="E26" s="11" t="s">
        <v>195</v>
      </c>
      <c r="F26" s="59">
        <v>1140.3</v>
      </c>
      <c r="G26" s="11" t="s">
        <v>488</v>
      </c>
      <c r="H26" s="11" t="s">
        <v>216</v>
      </c>
    </row>
    <row r="27" spans="1:8" x14ac:dyDescent="0.25">
      <c r="A27" s="9">
        <v>45646</v>
      </c>
      <c r="B27" t="s">
        <v>2301</v>
      </c>
      <c r="C27" t="s">
        <v>106</v>
      </c>
      <c r="D27" t="s">
        <v>22</v>
      </c>
      <c r="E27" s="11" t="s">
        <v>195</v>
      </c>
      <c r="F27" s="59">
        <v>1038</v>
      </c>
      <c r="G27" s="11" t="s">
        <v>585</v>
      </c>
      <c r="H27" s="11" t="s">
        <v>236</v>
      </c>
    </row>
    <row r="28" spans="1:8" x14ac:dyDescent="0.25">
      <c r="A28" s="9">
        <v>45646</v>
      </c>
      <c r="B28" t="s">
        <v>1293</v>
      </c>
      <c r="C28" t="s">
        <v>800</v>
      </c>
      <c r="D28" t="s">
        <v>22</v>
      </c>
      <c r="E28" s="11" t="s">
        <v>118</v>
      </c>
      <c r="F28" s="59">
        <v>954</v>
      </c>
      <c r="G28" s="11" t="s">
        <v>2305</v>
      </c>
      <c r="H28" s="11" t="s">
        <v>2310</v>
      </c>
    </row>
    <row r="29" spans="1:8" x14ac:dyDescent="0.25">
      <c r="A29" s="9">
        <v>45640</v>
      </c>
      <c r="B29" t="s">
        <v>2307</v>
      </c>
      <c r="C29" t="s">
        <v>106</v>
      </c>
      <c r="D29" t="s">
        <v>22</v>
      </c>
      <c r="E29" s="11" t="s">
        <v>118</v>
      </c>
      <c r="F29" s="59">
        <v>1257</v>
      </c>
      <c r="G29" s="11" t="s">
        <v>597</v>
      </c>
      <c r="H29" s="11" t="s">
        <v>236</v>
      </c>
    </row>
    <row r="30" spans="1:8" x14ac:dyDescent="0.25">
      <c r="A30" s="9">
        <v>45654</v>
      </c>
      <c r="B30" t="s">
        <v>900</v>
      </c>
      <c r="C30" t="s">
        <v>106</v>
      </c>
      <c r="D30" t="s">
        <v>24</v>
      </c>
      <c r="E30" s="11" t="s">
        <v>118</v>
      </c>
      <c r="F30" s="59">
        <v>1182.04</v>
      </c>
      <c r="G30" s="11" t="s">
        <v>2313</v>
      </c>
      <c r="H30" s="11" t="s">
        <v>1950</v>
      </c>
    </row>
    <row r="31" spans="1:8" x14ac:dyDescent="0.25">
      <c r="A31" s="9">
        <v>45653</v>
      </c>
      <c r="B31" t="s">
        <v>2315</v>
      </c>
      <c r="C31" t="s">
        <v>106</v>
      </c>
      <c r="D31" t="s">
        <v>22</v>
      </c>
      <c r="E31" s="11" t="s">
        <v>118</v>
      </c>
      <c r="F31" s="59">
        <v>1914.24</v>
      </c>
      <c r="G31" s="11" t="s">
        <v>2318</v>
      </c>
      <c r="H31" s="11" t="s">
        <v>1259</v>
      </c>
    </row>
    <row r="32" spans="1:8" x14ac:dyDescent="0.25">
      <c r="A32" s="9">
        <v>45656</v>
      </c>
      <c r="B32" t="s">
        <v>2320</v>
      </c>
      <c r="C32" t="s">
        <v>106</v>
      </c>
      <c r="D32" t="s">
        <v>24</v>
      </c>
      <c r="E32" s="11" t="s">
        <v>195</v>
      </c>
      <c r="F32" s="59">
        <v>3991.56</v>
      </c>
      <c r="G32" s="11" t="s">
        <v>2323</v>
      </c>
      <c r="H32" s="11" t="s">
        <v>2330</v>
      </c>
    </row>
    <row r="33" spans="1:10" x14ac:dyDescent="0.25">
      <c r="A33" s="9">
        <v>45653</v>
      </c>
      <c r="B33" t="s">
        <v>2325</v>
      </c>
      <c r="C33" t="s">
        <v>800</v>
      </c>
      <c r="D33" t="s">
        <v>22</v>
      </c>
      <c r="E33" s="11" t="s">
        <v>118</v>
      </c>
      <c r="F33" s="59">
        <v>743.27</v>
      </c>
      <c r="G33" s="11" t="s">
        <v>2328</v>
      </c>
      <c r="H33" s="11" t="s">
        <v>2329</v>
      </c>
    </row>
    <row r="34" spans="1:10" x14ac:dyDescent="0.25">
      <c r="A34" s="9">
        <v>45656</v>
      </c>
      <c r="B34" t="s">
        <v>1816</v>
      </c>
      <c r="C34" t="s">
        <v>106</v>
      </c>
      <c r="D34" t="s">
        <v>22</v>
      </c>
      <c r="E34" s="11" t="s">
        <v>118</v>
      </c>
      <c r="F34" s="59">
        <v>1995</v>
      </c>
      <c r="G34" s="11" t="s">
        <v>2332</v>
      </c>
      <c r="H34" s="11" t="s">
        <v>2334</v>
      </c>
    </row>
    <row r="38" spans="1:10" ht="15.75" thickBot="1" x14ac:dyDescent="0.3">
      <c r="A38" s="97" t="s">
        <v>8</v>
      </c>
      <c r="B38" s="97"/>
      <c r="C38" s="97"/>
      <c r="D38" s="97"/>
      <c r="E38" s="97"/>
      <c r="F38" s="97"/>
      <c r="G38" s="7"/>
    </row>
    <row r="39" spans="1:10" x14ac:dyDescent="0.25">
      <c r="A39" s="8" t="s">
        <v>9</v>
      </c>
      <c r="B39" s="9"/>
      <c r="C39" s="10">
        <f>SUM(F2:F35)</f>
        <v>103272.67000000001</v>
      </c>
      <c r="D39" s="11"/>
      <c r="E39" s="12" t="s">
        <v>10</v>
      </c>
      <c r="F39" s="13"/>
      <c r="G39" s="7"/>
      <c r="H39" s="14" t="s">
        <v>11</v>
      </c>
      <c r="I39" s="15">
        <v>24</v>
      </c>
      <c r="J39" s="16"/>
    </row>
    <row r="40" spans="1:10" x14ac:dyDescent="0.25">
      <c r="A40" s="8"/>
      <c r="B40" s="9"/>
      <c r="C40" s="10"/>
      <c r="D40" s="11"/>
      <c r="E40" s="17" t="s">
        <v>12</v>
      </c>
      <c r="F40" s="18">
        <v>103272.67000000001</v>
      </c>
      <c r="G40" s="7"/>
      <c r="H40" s="17" t="s">
        <v>13</v>
      </c>
      <c r="I40" s="19">
        <v>5</v>
      </c>
      <c r="J40" s="20">
        <f>I40/I$39</f>
        <v>0.20833333333333334</v>
      </c>
    </row>
    <row r="41" spans="1:10" ht="15.75" thickBot="1" x14ac:dyDescent="0.3">
      <c r="A41" s="8" t="s">
        <v>14</v>
      </c>
      <c r="B41" s="9"/>
      <c r="C41" s="21">
        <v>23</v>
      </c>
      <c r="D41" s="11"/>
      <c r="E41" s="22" t="s">
        <v>15</v>
      </c>
      <c r="F41" s="23">
        <f>C39/C41</f>
        <v>4490.1160869565219</v>
      </c>
      <c r="G41" s="7"/>
      <c r="H41" s="17" t="s">
        <v>16</v>
      </c>
      <c r="I41" s="19">
        <v>19</v>
      </c>
      <c r="J41" s="20">
        <f>I41/I$39</f>
        <v>0.79166666666666663</v>
      </c>
    </row>
    <row r="42" spans="1:10" ht="15.75" thickBot="1" x14ac:dyDescent="0.3">
      <c r="A42" s="8" t="s">
        <v>17</v>
      </c>
      <c r="B42" s="9"/>
      <c r="C42">
        <v>33</v>
      </c>
      <c r="D42" s="11"/>
      <c r="E42" s="11"/>
      <c r="F42" s="24"/>
      <c r="G42" s="7"/>
      <c r="H42" s="22" t="s">
        <v>18</v>
      </c>
      <c r="I42" s="25">
        <v>0</v>
      </c>
      <c r="J42" s="26">
        <f>I42/I$39</f>
        <v>0</v>
      </c>
    </row>
    <row r="43" spans="1:10" x14ac:dyDescent="0.25">
      <c r="A43" s="8"/>
      <c r="B43" s="9"/>
      <c r="D43" s="11" t="s">
        <v>19</v>
      </c>
      <c r="E43" s="12" t="s">
        <v>20</v>
      </c>
      <c r="F43" s="13"/>
      <c r="G43" s="7"/>
    </row>
    <row r="44" spans="1:10" ht="15.75" thickBot="1" x14ac:dyDescent="0.3">
      <c r="A44" s="8" t="s">
        <v>21</v>
      </c>
      <c r="B44" s="9"/>
      <c r="C44">
        <v>26</v>
      </c>
      <c r="D44" s="11" t="s">
        <v>19</v>
      </c>
      <c r="E44" s="17" t="s">
        <v>22</v>
      </c>
      <c r="F44" s="20">
        <f>C44/C$42</f>
        <v>0.78787878787878785</v>
      </c>
      <c r="G44" s="7"/>
    </row>
    <row r="45" spans="1:10" ht="15.75" thickBot="1" x14ac:dyDescent="0.3">
      <c r="A45" s="8" t="s">
        <v>23</v>
      </c>
      <c r="B45" s="9"/>
      <c r="C45">
        <v>7</v>
      </c>
      <c r="D45" s="11"/>
      <c r="E45" s="22" t="s">
        <v>24</v>
      </c>
      <c r="F45" s="26">
        <f>C45/C$42</f>
        <v>0.21212121212121213</v>
      </c>
      <c r="G45" s="7"/>
      <c r="H45" s="14" t="s">
        <v>25</v>
      </c>
      <c r="I45" s="15">
        <v>29</v>
      </c>
      <c r="J45" s="16"/>
    </row>
    <row r="46" spans="1:10" ht="15.75" thickBot="1" x14ac:dyDescent="0.3">
      <c r="A46" s="8"/>
      <c r="B46" s="9"/>
      <c r="D46" s="11"/>
      <c r="E46" s="11"/>
      <c r="F46" s="24"/>
      <c r="G46" s="7"/>
      <c r="H46" s="27" t="s">
        <v>26</v>
      </c>
      <c r="I46" s="30">
        <v>19</v>
      </c>
      <c r="J46" s="20">
        <f>I46/I$45</f>
        <v>0.65517241379310343</v>
      </c>
    </row>
    <row r="47" spans="1:10" x14ac:dyDescent="0.25">
      <c r="A47" s="8" t="s">
        <v>27</v>
      </c>
      <c r="B47" s="9"/>
      <c r="D47" s="11"/>
      <c r="E47" s="12" t="s">
        <v>28</v>
      </c>
      <c r="F47" s="13"/>
      <c r="G47" s="7"/>
      <c r="H47" s="27" t="s">
        <v>29</v>
      </c>
      <c r="I47" s="30">
        <v>7</v>
      </c>
      <c r="J47" s="20">
        <f>I47/I$45</f>
        <v>0.2413793103448276</v>
      </c>
    </row>
    <row r="48" spans="1:10" ht="15.75" thickBot="1" x14ac:dyDescent="0.3">
      <c r="A48" s="8" t="s">
        <v>30</v>
      </c>
      <c r="B48" s="9"/>
      <c r="C48">
        <v>3</v>
      </c>
      <c r="D48" s="11"/>
      <c r="E48" s="28" t="s">
        <v>30</v>
      </c>
      <c r="F48" s="20">
        <f>C48/C$57</f>
        <v>2.8301886792452831E-2</v>
      </c>
      <c r="G48" s="7"/>
      <c r="H48" s="29" t="s">
        <v>31</v>
      </c>
      <c r="I48" s="25">
        <v>3</v>
      </c>
      <c r="J48" s="26">
        <f>I48/I$45</f>
        <v>0.10344827586206896</v>
      </c>
    </row>
    <row r="49" spans="1:10" ht="15.75" thickBot="1" x14ac:dyDescent="0.3">
      <c r="A49" s="8" t="s">
        <v>11</v>
      </c>
      <c r="B49" s="9"/>
      <c r="C49">
        <v>24</v>
      </c>
      <c r="D49" s="11"/>
      <c r="E49" s="28" t="s">
        <v>11</v>
      </c>
      <c r="F49" s="20">
        <f t="shared" ref="F49:F56" si="0">C49/C$57</f>
        <v>0.22641509433962265</v>
      </c>
      <c r="G49" s="7"/>
    </row>
    <row r="50" spans="1:10" x14ac:dyDescent="0.25">
      <c r="A50" s="8" t="s">
        <v>32</v>
      </c>
      <c r="B50" s="9"/>
      <c r="C50">
        <v>29</v>
      </c>
      <c r="D50" s="11"/>
      <c r="E50" s="28" t="s">
        <v>32</v>
      </c>
      <c r="F50" s="20">
        <f t="shared" si="0"/>
        <v>0.27358490566037735</v>
      </c>
      <c r="G50" s="11" t="s">
        <v>19</v>
      </c>
      <c r="H50" s="14" t="s">
        <v>33</v>
      </c>
      <c r="I50" s="15">
        <v>7</v>
      </c>
      <c r="J50" s="13">
        <f t="shared" ref="J50:J61" si="1">I50/I$45</f>
        <v>0.2413793103448276</v>
      </c>
    </row>
    <row r="51" spans="1:10" x14ac:dyDescent="0.25">
      <c r="A51" s="8" t="s">
        <v>34</v>
      </c>
      <c r="B51" s="9"/>
      <c r="C51">
        <v>0</v>
      </c>
      <c r="D51" s="11"/>
      <c r="E51" s="28" t="s">
        <v>34</v>
      </c>
      <c r="F51" s="20">
        <f t="shared" si="0"/>
        <v>0</v>
      </c>
      <c r="G51" s="7"/>
      <c r="H51" s="27" t="s">
        <v>35</v>
      </c>
      <c r="I51" s="30">
        <v>5</v>
      </c>
      <c r="J51" s="20">
        <f t="shared" si="1"/>
        <v>0.17241379310344829</v>
      </c>
    </row>
    <row r="52" spans="1:10" x14ac:dyDescent="0.25">
      <c r="A52" s="8" t="s">
        <v>36</v>
      </c>
      <c r="B52" s="9"/>
      <c r="C52">
        <v>12</v>
      </c>
      <c r="D52" s="11"/>
      <c r="E52" s="28" t="s">
        <v>36</v>
      </c>
      <c r="F52" s="20">
        <f t="shared" si="0"/>
        <v>0.11320754716981132</v>
      </c>
      <c r="G52" s="7"/>
      <c r="H52" s="27" t="s">
        <v>37</v>
      </c>
      <c r="I52" s="30">
        <v>1</v>
      </c>
      <c r="J52" s="20">
        <f t="shared" si="1"/>
        <v>3.4482758620689655E-2</v>
      </c>
    </row>
    <row r="53" spans="1:10" x14ac:dyDescent="0.25">
      <c r="A53" s="8" t="s">
        <v>38</v>
      </c>
      <c r="B53" s="9"/>
      <c r="C53">
        <v>1</v>
      </c>
      <c r="D53" s="11"/>
      <c r="E53" s="28" t="s">
        <v>38</v>
      </c>
      <c r="F53" s="20">
        <f t="shared" si="0"/>
        <v>9.433962264150943E-3</v>
      </c>
      <c r="G53" s="7"/>
      <c r="H53" s="27" t="s">
        <v>39</v>
      </c>
      <c r="I53" s="30">
        <v>3</v>
      </c>
      <c r="J53" s="20">
        <f t="shared" si="1"/>
        <v>0.10344827586206896</v>
      </c>
    </row>
    <row r="54" spans="1:10" x14ac:dyDescent="0.25">
      <c r="A54" s="8" t="s">
        <v>40</v>
      </c>
      <c r="B54" s="9"/>
      <c r="C54">
        <v>14</v>
      </c>
      <c r="D54" s="11"/>
      <c r="E54" s="28" t="s">
        <v>40</v>
      </c>
      <c r="F54" s="20">
        <f t="shared" si="0"/>
        <v>0.13207547169811321</v>
      </c>
      <c r="G54" s="7"/>
      <c r="H54" s="27" t="s">
        <v>41</v>
      </c>
      <c r="I54" s="30">
        <v>2</v>
      </c>
      <c r="J54" s="20">
        <f t="shared" si="1"/>
        <v>6.8965517241379309E-2</v>
      </c>
    </row>
    <row r="55" spans="1:10" x14ac:dyDescent="0.25">
      <c r="A55" s="8" t="s">
        <v>42</v>
      </c>
      <c r="B55" s="9"/>
      <c r="C55">
        <v>0</v>
      </c>
      <c r="D55" s="11"/>
      <c r="E55" s="28" t="s">
        <v>42</v>
      </c>
      <c r="F55" s="20">
        <f t="shared" si="0"/>
        <v>0</v>
      </c>
      <c r="G55" s="7"/>
      <c r="H55" s="27" t="s">
        <v>43</v>
      </c>
      <c r="I55" s="30">
        <v>7</v>
      </c>
      <c r="J55" s="20">
        <f t="shared" si="1"/>
        <v>0.2413793103448276</v>
      </c>
    </row>
    <row r="56" spans="1:10" ht="15.75" thickBot="1" x14ac:dyDescent="0.3">
      <c r="A56" s="8" t="s">
        <v>44</v>
      </c>
      <c r="B56" s="9"/>
      <c r="C56">
        <v>23</v>
      </c>
      <c r="D56" s="11"/>
      <c r="E56" s="31" t="s">
        <v>44</v>
      </c>
      <c r="F56" s="26">
        <f t="shared" si="0"/>
        <v>0.21698113207547171</v>
      </c>
      <c r="G56" s="11" t="s">
        <v>19</v>
      </c>
      <c r="H56" s="32" t="s">
        <v>45</v>
      </c>
      <c r="I56" s="30">
        <v>1</v>
      </c>
      <c r="J56" s="20">
        <f t="shared" si="1"/>
        <v>3.4482758620689655E-2</v>
      </c>
    </row>
    <row r="57" spans="1:10" ht="15.75" thickBot="1" x14ac:dyDescent="0.3">
      <c r="A57" s="8" t="s">
        <v>46</v>
      </c>
      <c r="B57" s="9"/>
      <c r="C57">
        <f>SUM(C48:C56)</f>
        <v>106</v>
      </c>
      <c r="D57" s="11"/>
      <c r="E57" s="8"/>
      <c r="F57" s="24"/>
      <c r="G57" s="7"/>
      <c r="H57" s="32" t="s">
        <v>47</v>
      </c>
      <c r="I57" s="30">
        <v>1</v>
      </c>
      <c r="J57" s="20">
        <f t="shared" si="1"/>
        <v>3.4482758620689655E-2</v>
      </c>
    </row>
    <row r="58" spans="1:10" x14ac:dyDescent="0.25">
      <c r="A58" s="8"/>
      <c r="B58" s="9"/>
      <c r="D58" s="11"/>
      <c r="E58" s="33" t="s">
        <v>48</v>
      </c>
      <c r="F58" s="13"/>
      <c r="G58" s="7"/>
      <c r="H58" s="32" t="s">
        <v>49</v>
      </c>
      <c r="I58" s="30">
        <v>1</v>
      </c>
      <c r="J58" s="20">
        <f t="shared" si="1"/>
        <v>3.4482758620689655E-2</v>
      </c>
    </row>
    <row r="59" spans="1:10" x14ac:dyDescent="0.25">
      <c r="A59" s="8" t="s">
        <v>50</v>
      </c>
      <c r="B59" s="9"/>
      <c r="D59" s="11"/>
      <c r="E59" s="28" t="s">
        <v>51</v>
      </c>
      <c r="F59" s="20">
        <f>C60/C$70</f>
        <v>0.50476190476190474</v>
      </c>
      <c r="G59" s="7"/>
      <c r="H59" s="27" t="s">
        <v>52</v>
      </c>
      <c r="I59" s="30">
        <v>1</v>
      </c>
      <c r="J59" s="20">
        <f t="shared" si="1"/>
        <v>3.4482758620689655E-2</v>
      </c>
    </row>
    <row r="60" spans="1:10" x14ac:dyDescent="0.25">
      <c r="A60" s="8" t="s">
        <v>51</v>
      </c>
      <c r="B60" s="9"/>
      <c r="C60">
        <v>53</v>
      </c>
      <c r="D60" s="11"/>
      <c r="E60" s="28" t="s">
        <v>53</v>
      </c>
      <c r="F60" s="20">
        <f t="shared" ref="F60:F68" si="2">C61/C$70</f>
        <v>0.19047619047619047</v>
      </c>
      <c r="G60" s="7"/>
      <c r="H60" s="32" t="s">
        <v>54</v>
      </c>
      <c r="I60" s="30">
        <v>0</v>
      </c>
      <c r="J60" s="20">
        <f t="shared" si="1"/>
        <v>0</v>
      </c>
    </row>
    <row r="61" spans="1:10" ht="15.75" thickBot="1" x14ac:dyDescent="0.3">
      <c r="A61" s="8" t="s">
        <v>53</v>
      </c>
      <c r="B61" s="9"/>
      <c r="C61">
        <v>20</v>
      </c>
      <c r="D61" s="11"/>
      <c r="E61" s="28" t="s">
        <v>55</v>
      </c>
      <c r="F61" s="20">
        <f t="shared" si="2"/>
        <v>0.15238095238095239</v>
      </c>
      <c r="G61" s="7"/>
      <c r="H61" s="34" t="s">
        <v>56</v>
      </c>
      <c r="I61" s="25">
        <v>0</v>
      </c>
      <c r="J61" s="26">
        <f t="shared" si="1"/>
        <v>0</v>
      </c>
    </row>
    <row r="62" spans="1:10" x14ac:dyDescent="0.25">
      <c r="A62" s="8" t="s">
        <v>55</v>
      </c>
      <c r="B62" s="9"/>
      <c r="C62">
        <v>16</v>
      </c>
      <c r="D62" s="11"/>
      <c r="E62" s="28" t="s">
        <v>57</v>
      </c>
      <c r="F62" s="20">
        <f t="shared" si="2"/>
        <v>4.7619047619047616E-2</v>
      </c>
      <c r="G62" s="7"/>
    </row>
    <row r="63" spans="1:10" ht="15.75" thickBot="1" x14ac:dyDescent="0.3">
      <c r="A63" s="8" t="s">
        <v>57</v>
      </c>
      <c r="B63" s="9"/>
      <c r="C63">
        <v>5</v>
      </c>
      <c r="D63" s="11"/>
      <c r="E63" s="28" t="s">
        <v>58</v>
      </c>
      <c r="F63" s="20">
        <f t="shared" si="2"/>
        <v>6.6666666666666666E-2</v>
      </c>
      <c r="G63" s="11" t="s">
        <v>19</v>
      </c>
    </row>
    <row r="64" spans="1:10" x14ac:dyDescent="0.25">
      <c r="A64" s="8" t="s">
        <v>58</v>
      </c>
      <c r="B64" s="9"/>
      <c r="C64">
        <v>7</v>
      </c>
      <c r="D64" s="11"/>
      <c r="E64" s="28" t="s">
        <v>59</v>
      </c>
      <c r="F64" s="20">
        <f t="shared" si="2"/>
        <v>0</v>
      </c>
      <c r="G64" s="7"/>
      <c r="H64" s="14" t="s">
        <v>36</v>
      </c>
      <c r="I64" s="15">
        <v>12</v>
      </c>
      <c r="J64" s="16"/>
    </row>
    <row r="65" spans="1:10" x14ac:dyDescent="0.25">
      <c r="A65" s="8" t="s">
        <v>59</v>
      </c>
      <c r="B65" s="9"/>
      <c r="C65">
        <v>0</v>
      </c>
      <c r="D65" s="11"/>
      <c r="E65" s="28" t="s">
        <v>60</v>
      </c>
      <c r="F65" s="20">
        <f t="shared" si="2"/>
        <v>0</v>
      </c>
      <c r="G65" s="7"/>
      <c r="H65" s="27" t="s">
        <v>61</v>
      </c>
      <c r="I65" s="30">
        <v>1</v>
      </c>
      <c r="J65" s="20">
        <f>I65/I$64</f>
        <v>8.3333333333333329E-2</v>
      </c>
    </row>
    <row r="66" spans="1:10" ht="15.75" thickBot="1" x14ac:dyDescent="0.3">
      <c r="A66" s="8" t="s">
        <v>60</v>
      </c>
      <c r="B66" s="9"/>
      <c r="C66">
        <v>0</v>
      </c>
      <c r="D66" s="11"/>
      <c r="E66" s="28" t="s">
        <v>62</v>
      </c>
      <c r="F66" s="20">
        <f t="shared" si="2"/>
        <v>0</v>
      </c>
      <c r="G66" s="7"/>
      <c r="H66" s="29" t="s">
        <v>63</v>
      </c>
      <c r="I66" s="25">
        <v>11</v>
      </c>
      <c r="J66" s="26">
        <f>I66/I$64</f>
        <v>0.91666666666666663</v>
      </c>
    </row>
    <row r="67" spans="1:10" x14ac:dyDescent="0.25">
      <c r="A67" s="8" t="s">
        <v>62</v>
      </c>
      <c r="B67" s="9"/>
      <c r="C67">
        <v>0</v>
      </c>
      <c r="D67" s="11"/>
      <c r="E67" s="28" t="s">
        <v>64</v>
      </c>
      <c r="F67" s="20">
        <f t="shared" si="2"/>
        <v>0</v>
      </c>
      <c r="G67" s="7"/>
    </row>
    <row r="68" spans="1:10" ht="15.75" thickBot="1" x14ac:dyDescent="0.3">
      <c r="A68" s="8" t="s">
        <v>64</v>
      </c>
      <c r="B68" s="9"/>
      <c r="C68">
        <v>0</v>
      </c>
      <c r="D68" s="11"/>
      <c r="E68" s="31" t="s">
        <v>65</v>
      </c>
      <c r="F68" s="26">
        <f t="shared" si="2"/>
        <v>3.8095238095238099E-2</v>
      </c>
      <c r="G68" s="7"/>
    </row>
    <row r="69" spans="1:10" ht="15.75" thickBot="1" x14ac:dyDescent="0.3">
      <c r="A69" s="8" t="s">
        <v>65</v>
      </c>
      <c r="B69" s="9"/>
      <c r="C69">
        <v>4</v>
      </c>
      <c r="D69" s="11"/>
      <c r="E69" s="8"/>
      <c r="F69" s="24"/>
      <c r="G69" s="7"/>
      <c r="H69" s="14" t="s">
        <v>66</v>
      </c>
      <c r="I69" s="15">
        <v>1</v>
      </c>
      <c r="J69" s="16"/>
    </row>
    <row r="70" spans="1:10" x14ac:dyDescent="0.25">
      <c r="A70" s="8" t="s">
        <v>67</v>
      </c>
      <c r="B70" s="9"/>
      <c r="C70">
        <f>SUM(C60:C69)</f>
        <v>105</v>
      </c>
      <c r="D70" s="11"/>
      <c r="E70" s="33" t="s">
        <v>68</v>
      </c>
      <c r="F70" s="13"/>
      <c r="G70" s="7"/>
      <c r="H70" s="27" t="s">
        <v>69</v>
      </c>
      <c r="I70" s="30">
        <v>0</v>
      </c>
      <c r="J70" s="20">
        <f t="shared" ref="J70:J75" si="3">I70/I$69</f>
        <v>0</v>
      </c>
    </row>
    <row r="71" spans="1:10" x14ac:dyDescent="0.25">
      <c r="A71" s="8"/>
      <c r="B71" s="9"/>
      <c r="D71" s="11"/>
      <c r="E71" s="35" t="s">
        <v>70</v>
      </c>
      <c r="F71" s="20">
        <f>C72/C$42</f>
        <v>0.72727272727272729</v>
      </c>
      <c r="G71" s="7"/>
      <c r="H71" s="27" t="s">
        <v>71</v>
      </c>
      <c r="I71" s="30">
        <v>1</v>
      </c>
      <c r="J71" s="20">
        <f t="shared" si="3"/>
        <v>1</v>
      </c>
    </row>
    <row r="72" spans="1:10" x14ac:dyDescent="0.25">
      <c r="A72" s="8" t="s">
        <v>72</v>
      </c>
      <c r="B72" s="9"/>
      <c r="C72">
        <v>24</v>
      </c>
      <c r="D72" s="11"/>
      <c r="E72" s="35" t="s">
        <v>73</v>
      </c>
      <c r="F72" s="20">
        <f>C73/C$42</f>
        <v>3.0303030303030304E-2</v>
      </c>
      <c r="G72" s="7"/>
      <c r="H72" s="27" t="s">
        <v>74</v>
      </c>
      <c r="I72" s="30">
        <v>0</v>
      </c>
      <c r="J72" s="20">
        <f t="shared" si="3"/>
        <v>0</v>
      </c>
    </row>
    <row r="73" spans="1:10" ht="15.75" thickBot="1" x14ac:dyDescent="0.3">
      <c r="A73" s="8" t="s">
        <v>75</v>
      </c>
      <c r="B73" s="9"/>
      <c r="C73">
        <v>1</v>
      </c>
      <c r="D73" s="11"/>
      <c r="E73" s="36" t="s">
        <v>76</v>
      </c>
      <c r="F73" s="26">
        <f>C74/C$42</f>
        <v>0.24242424242424243</v>
      </c>
      <c r="G73" s="7"/>
      <c r="H73" s="27" t="s">
        <v>77</v>
      </c>
      <c r="I73" s="30">
        <v>0</v>
      </c>
      <c r="J73" s="20">
        <f t="shared" si="3"/>
        <v>0</v>
      </c>
    </row>
    <row r="74" spans="1:10" ht="15.75" thickBot="1" x14ac:dyDescent="0.3">
      <c r="A74" s="8" t="s">
        <v>78</v>
      </c>
      <c r="B74" s="9"/>
      <c r="C74">
        <v>8</v>
      </c>
      <c r="D74" s="11"/>
      <c r="E74" s="37"/>
      <c r="F74" s="24"/>
      <c r="G74" s="11" t="s">
        <v>19</v>
      </c>
      <c r="H74" s="27" t="s">
        <v>79</v>
      </c>
      <c r="I74" s="30">
        <v>0</v>
      </c>
      <c r="J74" s="20">
        <f t="shared" si="3"/>
        <v>0</v>
      </c>
    </row>
    <row r="75" spans="1:10" ht="15.75" thickBot="1" x14ac:dyDescent="0.3">
      <c r="A75" s="8"/>
      <c r="B75" s="9"/>
      <c r="D75" s="11"/>
      <c r="E75" s="38" t="s">
        <v>20</v>
      </c>
      <c r="F75" s="13"/>
      <c r="G75" s="7"/>
      <c r="H75" s="29" t="s">
        <v>80</v>
      </c>
      <c r="I75" s="25">
        <v>0</v>
      </c>
      <c r="J75" s="26">
        <f t="shared" si="3"/>
        <v>0</v>
      </c>
    </row>
    <row r="76" spans="1:10" x14ac:dyDescent="0.25">
      <c r="A76" s="8" t="s">
        <v>20</v>
      </c>
      <c r="B76" s="9"/>
      <c r="D76" s="11"/>
      <c r="E76" s="28" t="s">
        <v>81</v>
      </c>
      <c r="F76" s="20">
        <f>C77/C$42</f>
        <v>0.36363636363636365</v>
      </c>
      <c r="G76" s="7"/>
    </row>
    <row r="77" spans="1:10" ht="15.75" thickBot="1" x14ac:dyDescent="0.3">
      <c r="A77" s="8" t="s">
        <v>82</v>
      </c>
      <c r="B77" s="9"/>
      <c r="C77">
        <v>12</v>
      </c>
      <c r="D77" s="11"/>
      <c r="E77" s="31" t="s">
        <v>83</v>
      </c>
      <c r="F77" s="26">
        <f>C78/C$42</f>
        <v>0.63636363636363635</v>
      </c>
      <c r="G77" s="7"/>
    </row>
    <row r="78" spans="1:10" ht="15.75" thickBot="1" x14ac:dyDescent="0.3">
      <c r="A78" s="8" t="s">
        <v>83</v>
      </c>
      <c r="B78" s="9"/>
      <c r="C78">
        <v>21</v>
      </c>
      <c r="D78" s="11"/>
      <c r="E78" s="39"/>
      <c r="F78" s="40"/>
      <c r="G78" s="7"/>
      <c r="H78" s="14" t="s">
        <v>40</v>
      </c>
      <c r="I78" s="15">
        <v>14</v>
      </c>
      <c r="J78" s="16"/>
    </row>
    <row r="79" spans="1:10" x14ac:dyDescent="0.25">
      <c r="A79" s="8"/>
      <c r="B79" s="9"/>
      <c r="D79" s="11"/>
      <c r="E79" s="14" t="s">
        <v>84</v>
      </c>
      <c r="F79" s="13"/>
      <c r="G79" s="7"/>
      <c r="H79" s="27" t="s">
        <v>85</v>
      </c>
      <c r="I79" s="30">
        <v>0</v>
      </c>
      <c r="J79" s="20">
        <f>I79/I$78</f>
        <v>0</v>
      </c>
    </row>
    <row r="80" spans="1:10" x14ac:dyDescent="0.25">
      <c r="A80" t="s">
        <v>84</v>
      </c>
      <c r="D80" s="11"/>
      <c r="E80" s="27" t="s">
        <v>86</v>
      </c>
      <c r="F80" s="20">
        <f>C81/C$78</f>
        <v>0.61904761904761907</v>
      </c>
      <c r="G80" s="7"/>
      <c r="H80" s="27" t="s">
        <v>87</v>
      </c>
      <c r="I80" s="30">
        <v>13</v>
      </c>
      <c r="J80" s="20">
        <f>I80/I$78</f>
        <v>0.9285714285714286</v>
      </c>
    </row>
    <row r="81" spans="1:10" ht="15.75" thickBot="1" x14ac:dyDescent="0.3">
      <c r="A81" t="s">
        <v>86</v>
      </c>
      <c r="C81">
        <v>13</v>
      </c>
      <c r="D81" s="11"/>
      <c r="E81" s="29" t="s">
        <v>88</v>
      </c>
      <c r="F81" s="26">
        <f>C82/C$78</f>
        <v>0.38095238095238093</v>
      </c>
      <c r="G81" s="7"/>
      <c r="H81" s="27" t="s">
        <v>89</v>
      </c>
      <c r="I81" s="30">
        <v>0</v>
      </c>
      <c r="J81" s="20">
        <f>I81/I$78</f>
        <v>0</v>
      </c>
    </row>
    <row r="82" spans="1:10" ht="15.75" thickBot="1" x14ac:dyDescent="0.3">
      <c r="A82" t="s">
        <v>88</v>
      </c>
      <c r="C82">
        <v>8</v>
      </c>
      <c r="D82" s="11"/>
      <c r="E82" s="39"/>
      <c r="F82" s="40"/>
      <c r="G82" s="7"/>
      <c r="H82" s="27" t="s">
        <v>90</v>
      </c>
      <c r="I82" s="30">
        <v>0</v>
      </c>
      <c r="J82" s="20">
        <f>I82/I$78</f>
        <v>0</v>
      </c>
    </row>
    <row r="83" spans="1:10" ht="15.75" thickBot="1" x14ac:dyDescent="0.3">
      <c r="A83" s="8"/>
      <c r="B83" s="9"/>
      <c r="D83" s="11"/>
      <c r="E83" s="33" t="s">
        <v>91</v>
      </c>
      <c r="F83" s="13"/>
      <c r="G83" s="7"/>
      <c r="H83" s="29" t="s">
        <v>92</v>
      </c>
      <c r="I83" s="25">
        <v>1</v>
      </c>
      <c r="J83" s="26">
        <f>I83/I$78</f>
        <v>7.1428571428571425E-2</v>
      </c>
    </row>
    <row r="84" spans="1:10" x14ac:dyDescent="0.25">
      <c r="A84" s="8" t="s">
        <v>93</v>
      </c>
      <c r="B84" s="9"/>
      <c r="D84" s="11"/>
      <c r="E84" s="28" t="s">
        <v>94</v>
      </c>
      <c r="F84" s="20">
        <f t="shared" ref="F84:F89" si="4">C85/C$42</f>
        <v>0.24242424242424243</v>
      </c>
      <c r="G84" s="7"/>
    </row>
    <row r="85" spans="1:10" ht="15.75" thickBot="1" x14ac:dyDescent="0.3">
      <c r="A85" s="8" t="s">
        <v>94</v>
      </c>
      <c r="B85" s="9"/>
      <c r="C85">
        <v>8</v>
      </c>
      <c r="D85" s="11"/>
      <c r="E85" s="17" t="s">
        <v>95</v>
      </c>
      <c r="F85" s="20">
        <f t="shared" si="4"/>
        <v>6.0606060606060608E-2</v>
      </c>
      <c r="G85" s="7"/>
    </row>
    <row r="86" spans="1:10" x14ac:dyDescent="0.25">
      <c r="A86" s="8" t="s">
        <v>95</v>
      </c>
      <c r="B86" s="9"/>
      <c r="C86">
        <v>2</v>
      </c>
      <c r="D86" s="11"/>
      <c r="E86" s="17" t="s">
        <v>96</v>
      </c>
      <c r="F86" s="20">
        <f t="shared" si="4"/>
        <v>0</v>
      </c>
      <c r="G86" s="7"/>
      <c r="H86" s="14" t="s">
        <v>44</v>
      </c>
      <c r="I86" s="15">
        <v>23</v>
      </c>
      <c r="J86" s="16"/>
    </row>
    <row r="87" spans="1:10" x14ac:dyDescent="0.25">
      <c r="A87" s="8" t="s">
        <v>96</v>
      </c>
      <c r="B87" s="9"/>
      <c r="C87">
        <v>0</v>
      </c>
      <c r="D87" s="11"/>
      <c r="E87" s="17" t="s">
        <v>97</v>
      </c>
      <c r="F87" s="20">
        <f t="shared" si="4"/>
        <v>0</v>
      </c>
      <c r="G87" s="7"/>
      <c r="H87" s="27" t="s">
        <v>98</v>
      </c>
      <c r="I87" s="19">
        <v>1</v>
      </c>
      <c r="J87" s="20">
        <f>I87/I$86</f>
        <v>4.3478260869565216E-2</v>
      </c>
    </row>
    <row r="88" spans="1:10" x14ac:dyDescent="0.25">
      <c r="A88" s="8" t="s">
        <v>97</v>
      </c>
      <c r="B88" s="9"/>
      <c r="C88">
        <v>0</v>
      </c>
      <c r="D88" s="11"/>
      <c r="E88" s="17" t="s">
        <v>99</v>
      </c>
      <c r="F88" s="20">
        <f t="shared" si="4"/>
        <v>0.63636363636363635</v>
      </c>
      <c r="G88" s="7"/>
      <c r="H88" s="27" t="s">
        <v>100</v>
      </c>
      <c r="I88" s="30">
        <v>0</v>
      </c>
      <c r="J88" s="20">
        <f t="shared" ref="J88:J96" si="5">I88/I$86</f>
        <v>0</v>
      </c>
    </row>
    <row r="89" spans="1:10" ht="15.75" thickBot="1" x14ac:dyDescent="0.3">
      <c r="A89" s="8" t="s">
        <v>99</v>
      </c>
      <c r="B89" s="9"/>
      <c r="C89">
        <v>21</v>
      </c>
      <c r="D89" s="11"/>
      <c r="E89" s="22" t="s">
        <v>44</v>
      </c>
      <c r="F89" s="26">
        <f t="shared" si="4"/>
        <v>6.0606060606060608E-2</v>
      </c>
      <c r="G89" s="7"/>
      <c r="H89" s="27" t="s">
        <v>101</v>
      </c>
      <c r="I89" s="30">
        <v>0</v>
      </c>
      <c r="J89" s="20">
        <f t="shared" si="5"/>
        <v>0</v>
      </c>
    </row>
    <row r="90" spans="1:10" ht="15.75" thickBot="1" x14ac:dyDescent="0.3">
      <c r="A90" s="8" t="s">
        <v>44</v>
      </c>
      <c r="B90" s="9"/>
      <c r="C90">
        <v>2</v>
      </c>
      <c r="D90" s="11"/>
      <c r="E90" s="11"/>
      <c r="F90" s="24"/>
      <c r="G90" s="7"/>
      <c r="H90" s="27" t="s">
        <v>102</v>
      </c>
      <c r="I90" s="30">
        <v>4</v>
      </c>
      <c r="J90" s="20">
        <f t="shared" si="5"/>
        <v>0.17391304347826086</v>
      </c>
    </row>
    <row r="91" spans="1:10" x14ac:dyDescent="0.25">
      <c r="A91" s="8"/>
      <c r="B91" s="9"/>
      <c r="D91" s="11"/>
      <c r="E91" s="12" t="s">
        <v>103</v>
      </c>
      <c r="F91" s="13"/>
      <c r="G91" s="7"/>
      <c r="H91" s="27" t="s">
        <v>104</v>
      </c>
      <c r="I91" s="30">
        <v>4</v>
      </c>
      <c r="J91" s="20">
        <f t="shared" si="5"/>
        <v>0.17391304347826086</v>
      </c>
    </row>
    <row r="92" spans="1:10" x14ac:dyDescent="0.25">
      <c r="A92" s="8" t="s">
        <v>105</v>
      </c>
      <c r="B92" s="9"/>
      <c r="D92" s="11"/>
      <c r="E92" s="17" t="s">
        <v>106</v>
      </c>
      <c r="F92" s="20">
        <f>C93/C$42</f>
        <v>0.81818181818181823</v>
      </c>
      <c r="G92" s="7"/>
      <c r="H92" s="41" t="s">
        <v>107</v>
      </c>
      <c r="I92" s="30">
        <v>1</v>
      </c>
      <c r="J92" s="20">
        <f t="shared" si="5"/>
        <v>4.3478260869565216E-2</v>
      </c>
    </row>
    <row r="93" spans="1:10" x14ac:dyDescent="0.25">
      <c r="A93" s="8" t="s">
        <v>106</v>
      </c>
      <c r="B93" s="9"/>
      <c r="C93">
        <v>27</v>
      </c>
      <c r="D93" s="11"/>
      <c r="E93" s="17" t="s">
        <v>108</v>
      </c>
      <c r="F93" s="20">
        <f>C94/C$42</f>
        <v>9.0909090909090912E-2</v>
      </c>
      <c r="G93" s="7"/>
      <c r="H93" s="41" t="s">
        <v>109</v>
      </c>
      <c r="I93" s="30">
        <v>2</v>
      </c>
      <c r="J93" s="20">
        <f t="shared" si="5"/>
        <v>8.6956521739130432E-2</v>
      </c>
    </row>
    <row r="94" spans="1:10" x14ac:dyDescent="0.25">
      <c r="A94" s="8" t="s">
        <v>108</v>
      </c>
      <c r="B94" s="9"/>
      <c r="C94">
        <v>3</v>
      </c>
      <c r="D94" s="11"/>
      <c r="E94" s="17" t="s">
        <v>110</v>
      </c>
      <c r="F94" s="20">
        <f>C95/C$42</f>
        <v>0</v>
      </c>
      <c r="G94" s="7"/>
      <c r="H94" s="41" t="s">
        <v>111</v>
      </c>
      <c r="I94" s="30">
        <v>11</v>
      </c>
      <c r="J94" s="20">
        <f t="shared" si="5"/>
        <v>0.47826086956521741</v>
      </c>
    </row>
    <row r="95" spans="1:10" x14ac:dyDescent="0.25">
      <c r="A95" s="8" t="s">
        <v>110</v>
      </c>
      <c r="B95" s="9"/>
      <c r="C95">
        <v>0</v>
      </c>
      <c r="D95" s="11"/>
      <c r="E95" s="17" t="s">
        <v>112</v>
      </c>
      <c r="F95" s="20">
        <f>C96/C$42</f>
        <v>6.0606060606060608E-2</v>
      </c>
      <c r="G95" s="7"/>
      <c r="H95" s="41" t="s">
        <v>113</v>
      </c>
      <c r="I95" s="30">
        <v>0</v>
      </c>
      <c r="J95" s="20">
        <f t="shared" si="5"/>
        <v>0</v>
      </c>
    </row>
    <row r="96" spans="1:10" ht="15.75" thickBot="1" x14ac:dyDescent="0.3">
      <c r="A96" s="8" t="s">
        <v>112</v>
      </c>
      <c r="B96" s="9"/>
      <c r="C96">
        <v>2</v>
      </c>
      <c r="E96" s="22" t="s">
        <v>114</v>
      </c>
      <c r="F96" s="26">
        <f>C97/C$42</f>
        <v>3.0303030303030304E-2</v>
      </c>
      <c r="H96" s="42" t="s">
        <v>115</v>
      </c>
      <c r="I96" s="25">
        <v>0</v>
      </c>
      <c r="J96" s="26">
        <f t="shared" si="5"/>
        <v>0</v>
      </c>
    </row>
    <row r="97" spans="1:6" x14ac:dyDescent="0.25">
      <c r="A97" s="8" t="s">
        <v>114</v>
      </c>
      <c r="B97" s="9"/>
      <c r="C97">
        <v>1</v>
      </c>
      <c r="E97" s="11"/>
      <c r="F97" s="24"/>
    </row>
    <row r="98" spans="1:6" x14ac:dyDescent="0.25">
      <c r="A98" s="8" t="s">
        <v>116</v>
      </c>
      <c r="B98" s="9"/>
      <c r="C98">
        <v>0</v>
      </c>
      <c r="E98" s="11"/>
      <c r="F98" s="24"/>
    </row>
    <row r="99" spans="1:6" x14ac:dyDescent="0.25">
      <c r="A99" s="8"/>
      <c r="B99" s="9"/>
      <c r="E99" s="11"/>
      <c r="F99" s="24"/>
    </row>
    <row r="100" spans="1:6" ht="15.75" thickBot="1" x14ac:dyDescent="0.3"/>
    <row r="101" spans="1:6" x14ac:dyDescent="0.25">
      <c r="A101" s="43" t="s">
        <v>117</v>
      </c>
      <c r="B101" s="87">
        <f>SUM(B102:B105)</f>
        <v>103272.67</v>
      </c>
    </row>
    <row r="102" spans="1:6" x14ac:dyDescent="0.25">
      <c r="A102" s="44" t="s">
        <v>94</v>
      </c>
      <c r="B102" s="45">
        <f>SUM(F5,F12,F17,F20:F22,F26:F27,F32)</f>
        <v>39349.910000000003</v>
      </c>
    </row>
    <row r="103" spans="1:6" x14ac:dyDescent="0.25">
      <c r="A103" s="44" t="s">
        <v>118</v>
      </c>
      <c r="B103" s="45">
        <f>SUM(F2:F4,F6:F7,F9:F10,F14:F16,F18:F19,F23:F24,F28:F31,F33:F34)</f>
        <v>57961.96</v>
      </c>
    </row>
    <row r="104" spans="1:6" x14ac:dyDescent="0.25">
      <c r="A104" s="44" t="s">
        <v>119</v>
      </c>
      <c r="B104" s="45">
        <f>SUM(F8,F11,)</f>
        <v>2506</v>
      </c>
    </row>
    <row r="105" spans="1:6" x14ac:dyDescent="0.25">
      <c r="A105" s="44" t="s">
        <v>44</v>
      </c>
      <c r="B105" s="46">
        <f>SUM(F13,F25,)</f>
        <v>3454.7999999999997</v>
      </c>
    </row>
    <row r="106" spans="1:6" ht="15.75" thickBot="1" x14ac:dyDescent="0.3">
      <c r="A106" s="47"/>
      <c r="B106" s="48"/>
    </row>
  </sheetData>
  <mergeCells count="1">
    <mergeCell ref="A38:F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H1" sqref="H1"/>
    </sheetView>
  </sheetViews>
  <sheetFormatPr baseColWidth="10" defaultRowHeight="15" x14ac:dyDescent="0.25"/>
  <cols>
    <col min="2" max="2" width="14.85546875" customWidth="1"/>
    <col min="3" max="3" width="12.28515625" customWidth="1"/>
    <col min="4" max="4" width="12.5703125" customWidth="1"/>
    <col min="5" max="6" width="11.5703125" bestFit="1" customWidth="1"/>
  </cols>
  <sheetData>
    <row r="1" spans="1:14" x14ac:dyDescent="0.25">
      <c r="A1" s="51" t="s">
        <v>126</v>
      </c>
      <c r="B1" s="52" t="s">
        <v>127</v>
      </c>
      <c r="C1" s="53" t="s">
        <v>128</v>
      </c>
      <c r="D1" s="53" t="s">
        <v>129</v>
      </c>
      <c r="E1" s="53" t="s">
        <v>130</v>
      </c>
      <c r="F1" s="53" t="s">
        <v>131</v>
      </c>
      <c r="G1" s="54" t="s">
        <v>132</v>
      </c>
      <c r="H1" s="55" t="s">
        <v>133</v>
      </c>
      <c r="I1" s="55" t="s">
        <v>68</v>
      </c>
      <c r="J1" s="55" t="s">
        <v>134</v>
      </c>
      <c r="K1" s="98" t="s">
        <v>135</v>
      </c>
      <c r="L1" s="98"/>
      <c r="M1" s="98" t="s">
        <v>136</v>
      </c>
      <c r="N1" s="98"/>
    </row>
    <row r="2" spans="1:14" x14ac:dyDescent="0.25">
      <c r="A2" s="51" t="s">
        <v>137</v>
      </c>
      <c r="B2" s="56">
        <v>88815.959999999992</v>
      </c>
      <c r="C2" s="56">
        <v>46293.66</v>
      </c>
      <c r="D2" s="56">
        <f>B2-C2</f>
        <v>42522.299999999988</v>
      </c>
      <c r="E2" s="56">
        <v>3415.998461538461</v>
      </c>
      <c r="F2" s="56">
        <f>B2/G2</f>
        <v>2166.2429268292681</v>
      </c>
      <c r="G2" s="57">
        <v>41</v>
      </c>
      <c r="H2" s="58">
        <v>0.95</v>
      </c>
      <c r="I2" s="58">
        <v>0.68</v>
      </c>
      <c r="J2" s="58">
        <v>0.41</v>
      </c>
      <c r="K2" s="58" t="s">
        <v>32</v>
      </c>
      <c r="L2" s="58">
        <v>0.3</v>
      </c>
      <c r="M2" s="58" t="s">
        <v>53</v>
      </c>
      <c r="N2" s="58">
        <v>0.23</v>
      </c>
    </row>
    <row r="3" spans="1:14" x14ac:dyDescent="0.25">
      <c r="A3" s="51" t="s">
        <v>138</v>
      </c>
      <c r="B3" s="56">
        <v>37145.35</v>
      </c>
      <c r="C3" s="56">
        <v>43359.66</v>
      </c>
      <c r="D3" s="89">
        <f t="shared" ref="D3:D13" si="0">B3-C3</f>
        <v>-6214.3100000000049</v>
      </c>
      <c r="E3" s="56">
        <v>1547.7229166666666</v>
      </c>
      <c r="F3" s="56">
        <f t="shared" ref="F3:F13" si="1">B3/G3</f>
        <v>2063.6305555555555</v>
      </c>
      <c r="G3" s="57">
        <v>18</v>
      </c>
      <c r="H3" s="58">
        <v>0.83</v>
      </c>
      <c r="I3" s="58">
        <v>0.61</v>
      </c>
      <c r="J3" s="58">
        <v>0.67</v>
      </c>
      <c r="K3" s="58" t="s">
        <v>559</v>
      </c>
      <c r="L3" s="58">
        <v>0.22</v>
      </c>
      <c r="M3" s="58" t="s">
        <v>51</v>
      </c>
      <c r="N3" s="58">
        <v>0.28999999999999998</v>
      </c>
    </row>
    <row r="4" spans="1:14" x14ac:dyDescent="0.25">
      <c r="A4" s="51" t="s">
        <v>139</v>
      </c>
      <c r="B4" s="56">
        <v>43402.36</v>
      </c>
      <c r="C4" s="92">
        <v>52772.160000000003</v>
      </c>
      <c r="D4" s="89">
        <f t="shared" si="0"/>
        <v>-9369.8000000000029</v>
      </c>
      <c r="E4" s="56">
        <v>1887.0591304347827</v>
      </c>
      <c r="F4" s="56">
        <f t="shared" si="1"/>
        <v>1887.0591304347827</v>
      </c>
      <c r="G4" s="57">
        <v>23</v>
      </c>
      <c r="H4" s="58">
        <v>0.96</v>
      </c>
      <c r="I4" s="58">
        <v>0.83</v>
      </c>
      <c r="J4" s="58">
        <v>0.65</v>
      </c>
      <c r="K4" s="58" t="s">
        <v>11</v>
      </c>
      <c r="L4" s="58">
        <v>0.38</v>
      </c>
      <c r="M4" s="58" t="s">
        <v>51</v>
      </c>
      <c r="N4" s="58">
        <v>0.5</v>
      </c>
    </row>
    <row r="5" spans="1:14" x14ac:dyDescent="0.25">
      <c r="A5" s="51" t="s">
        <v>140</v>
      </c>
      <c r="B5" s="56">
        <v>134285.45000000001</v>
      </c>
      <c r="C5" s="56">
        <v>68388.290000000008</v>
      </c>
      <c r="D5" s="56">
        <f t="shared" si="0"/>
        <v>65897.16</v>
      </c>
      <c r="E5" s="56">
        <v>5164.8250000000007</v>
      </c>
      <c r="F5" s="56">
        <f t="shared" si="1"/>
        <v>3443.2166666666672</v>
      </c>
      <c r="G5" s="57">
        <v>39</v>
      </c>
      <c r="H5" s="58">
        <v>0.85</v>
      </c>
      <c r="I5" s="58">
        <v>0.79</v>
      </c>
      <c r="J5" s="58">
        <v>0.69</v>
      </c>
      <c r="K5" s="58" t="s">
        <v>32</v>
      </c>
      <c r="L5" s="58">
        <v>0.33</v>
      </c>
      <c r="M5" s="58" t="s">
        <v>51</v>
      </c>
      <c r="N5" s="58">
        <v>0.3</v>
      </c>
    </row>
    <row r="6" spans="1:14" x14ac:dyDescent="0.25">
      <c r="A6" s="51" t="s">
        <v>141</v>
      </c>
      <c r="B6" s="56">
        <v>91981.860000000015</v>
      </c>
      <c r="C6" s="56">
        <v>60809.08</v>
      </c>
      <c r="D6" s="56">
        <f t="shared" si="0"/>
        <v>31172.780000000013</v>
      </c>
      <c r="E6" s="56">
        <v>3537.7638461538468</v>
      </c>
      <c r="F6" s="56">
        <f t="shared" si="1"/>
        <v>2628.0531428571435</v>
      </c>
      <c r="G6" s="57">
        <v>35</v>
      </c>
      <c r="H6" s="58">
        <v>0.8</v>
      </c>
      <c r="I6" s="58">
        <v>0.74</v>
      </c>
      <c r="J6" s="58">
        <v>0.54</v>
      </c>
      <c r="K6" s="58" t="s">
        <v>32</v>
      </c>
      <c r="L6" s="58">
        <v>0.28000000000000003</v>
      </c>
      <c r="M6" s="58" t="s">
        <v>51</v>
      </c>
      <c r="N6" s="58">
        <v>0.52</v>
      </c>
    </row>
    <row r="7" spans="1:14" x14ac:dyDescent="0.25">
      <c r="A7" s="51" t="s">
        <v>142</v>
      </c>
      <c r="B7" s="56">
        <v>110810.4958108108</v>
      </c>
      <c r="C7" s="56">
        <v>62295.479999999996</v>
      </c>
      <c r="D7" s="56">
        <f t="shared" si="0"/>
        <v>48515.015810810801</v>
      </c>
      <c r="E7" s="56">
        <v>4432.4198324324316</v>
      </c>
      <c r="F7" s="56">
        <f t="shared" si="1"/>
        <v>2638.3451383526381</v>
      </c>
      <c r="G7" s="57">
        <v>42</v>
      </c>
      <c r="H7" s="58">
        <v>0.93</v>
      </c>
      <c r="I7" s="58">
        <v>0.62</v>
      </c>
      <c r="J7" s="58">
        <v>0.5</v>
      </c>
      <c r="K7" s="58" t="s">
        <v>32</v>
      </c>
      <c r="L7" s="58">
        <v>0.26</v>
      </c>
      <c r="M7" s="58" t="s">
        <v>51</v>
      </c>
      <c r="N7" s="58">
        <v>0.38</v>
      </c>
    </row>
    <row r="8" spans="1:14" x14ac:dyDescent="0.25">
      <c r="A8" s="51" t="s">
        <v>143</v>
      </c>
      <c r="B8" s="56">
        <v>103431.78</v>
      </c>
      <c r="C8" s="56">
        <v>65012.78</v>
      </c>
      <c r="D8" s="56">
        <f t="shared" si="0"/>
        <v>38419</v>
      </c>
      <c r="E8" s="56">
        <v>3830.8066666666659</v>
      </c>
      <c r="F8" s="56">
        <f t="shared" si="1"/>
        <v>2248.5169565217393</v>
      </c>
      <c r="G8" s="57">
        <v>46</v>
      </c>
      <c r="H8" s="58">
        <v>0.96</v>
      </c>
      <c r="I8" s="58">
        <v>0.67</v>
      </c>
      <c r="J8" s="58">
        <v>0.52</v>
      </c>
      <c r="K8" s="58" t="s">
        <v>32</v>
      </c>
      <c r="L8" s="58">
        <v>0.31</v>
      </c>
      <c r="M8" s="58" t="s">
        <v>51</v>
      </c>
      <c r="N8" s="58">
        <v>0.38</v>
      </c>
    </row>
    <row r="9" spans="1:14" x14ac:dyDescent="0.25">
      <c r="A9" s="51" t="s">
        <v>144</v>
      </c>
      <c r="B9" s="56">
        <v>82358.100000000006</v>
      </c>
      <c r="C9" s="56">
        <v>72344.09</v>
      </c>
      <c r="D9" s="56">
        <f t="shared" si="0"/>
        <v>10014.010000000009</v>
      </c>
      <c r="E9" s="56">
        <v>3050.3</v>
      </c>
      <c r="F9" s="56">
        <f t="shared" si="1"/>
        <v>2353.0885714285714</v>
      </c>
      <c r="G9" s="57">
        <v>35</v>
      </c>
      <c r="H9" s="58">
        <v>0.91</v>
      </c>
      <c r="I9" s="58">
        <v>0.71</v>
      </c>
      <c r="J9" s="58">
        <v>0.49</v>
      </c>
      <c r="K9" s="58" t="s">
        <v>11</v>
      </c>
      <c r="L9" s="58">
        <v>0.22</v>
      </c>
      <c r="M9" s="58" t="s">
        <v>51</v>
      </c>
      <c r="N9" s="58">
        <v>0.33</v>
      </c>
    </row>
    <row r="10" spans="1:14" x14ac:dyDescent="0.25">
      <c r="A10" s="51" t="s">
        <v>145</v>
      </c>
      <c r="B10" s="56">
        <v>131225.00999999998</v>
      </c>
      <c r="C10" s="56">
        <v>55613.020000000004</v>
      </c>
      <c r="D10" s="56">
        <f t="shared" si="0"/>
        <v>75611.989999999976</v>
      </c>
      <c r="E10" s="56">
        <v>5467.7087499999989</v>
      </c>
      <c r="F10" s="56">
        <f t="shared" si="1"/>
        <v>3124.4049999999997</v>
      </c>
      <c r="G10" s="57">
        <v>42</v>
      </c>
      <c r="H10" s="58">
        <v>0.86</v>
      </c>
      <c r="I10" s="58">
        <v>0.69</v>
      </c>
      <c r="J10" s="58">
        <v>0.48</v>
      </c>
      <c r="K10" s="58" t="s">
        <v>44</v>
      </c>
      <c r="L10" s="58">
        <v>0.32</v>
      </c>
      <c r="M10" s="58" t="s">
        <v>51</v>
      </c>
      <c r="N10" s="58">
        <v>0.37</v>
      </c>
    </row>
    <row r="11" spans="1:14" x14ac:dyDescent="0.25">
      <c r="A11" s="51" t="s">
        <v>146</v>
      </c>
      <c r="B11" s="56">
        <v>95602.069999999992</v>
      </c>
      <c r="C11" s="56">
        <v>69494.16</v>
      </c>
      <c r="D11" s="56">
        <f t="shared" si="0"/>
        <v>26107.909999999989</v>
      </c>
      <c r="E11" s="56">
        <v>3540.8174074074072</v>
      </c>
      <c r="F11" s="56">
        <f t="shared" si="1"/>
        <v>2390.0517499999996</v>
      </c>
      <c r="G11" s="57">
        <v>40</v>
      </c>
      <c r="H11" s="58">
        <v>0.98</v>
      </c>
      <c r="I11" s="58">
        <v>0.83</v>
      </c>
      <c r="J11" s="58">
        <v>0.5</v>
      </c>
      <c r="K11" s="58" t="s">
        <v>32</v>
      </c>
      <c r="L11" s="58">
        <v>0.37</v>
      </c>
      <c r="M11" s="58" t="s">
        <v>51</v>
      </c>
      <c r="N11" s="58">
        <v>0.5</v>
      </c>
    </row>
    <row r="12" spans="1:14" x14ac:dyDescent="0.25">
      <c r="A12" s="51" t="s">
        <v>147</v>
      </c>
      <c r="B12" s="56">
        <v>101436.3</v>
      </c>
      <c r="C12" s="56">
        <v>64707.92</v>
      </c>
      <c r="D12" s="56">
        <f t="shared" si="0"/>
        <v>36728.380000000005</v>
      </c>
      <c r="E12" s="56">
        <v>4057.4520000000002</v>
      </c>
      <c r="F12" s="56">
        <f t="shared" si="1"/>
        <v>2669.3763157894737</v>
      </c>
      <c r="G12" s="57">
        <v>38</v>
      </c>
      <c r="H12" s="58">
        <v>0.82</v>
      </c>
      <c r="I12" s="58">
        <v>0.76</v>
      </c>
      <c r="J12" s="58">
        <v>0.5</v>
      </c>
      <c r="K12" s="58" t="s">
        <v>32</v>
      </c>
      <c r="L12" s="58">
        <v>0.4</v>
      </c>
      <c r="M12" s="58" t="s">
        <v>51</v>
      </c>
      <c r="N12" s="58">
        <v>0.33</v>
      </c>
    </row>
    <row r="13" spans="1:14" x14ac:dyDescent="0.25">
      <c r="A13" s="51" t="s">
        <v>148</v>
      </c>
      <c r="B13" s="56">
        <v>103272.67000000001</v>
      </c>
      <c r="C13" s="56">
        <v>75716.239999999991</v>
      </c>
      <c r="D13" s="56">
        <f t="shared" si="0"/>
        <v>27556.430000000022</v>
      </c>
      <c r="E13" s="56">
        <v>4490.1160869565219</v>
      </c>
      <c r="F13" s="56">
        <f t="shared" si="1"/>
        <v>3129.4748484848487</v>
      </c>
      <c r="G13" s="57">
        <v>33</v>
      </c>
      <c r="H13" s="58">
        <v>0.79</v>
      </c>
      <c r="I13" s="58">
        <v>0.73</v>
      </c>
      <c r="J13" s="58">
        <v>0.64</v>
      </c>
      <c r="K13" s="58" t="s">
        <v>32</v>
      </c>
      <c r="L13" s="58">
        <v>0.27</v>
      </c>
      <c r="M13" s="58" t="s">
        <v>51</v>
      </c>
      <c r="N13" s="58">
        <v>0.5</v>
      </c>
    </row>
    <row r="14" spans="1:14" x14ac:dyDescent="0.25">
      <c r="B14" s="59"/>
      <c r="C14" s="59"/>
      <c r="D14" s="59"/>
      <c r="E14" s="59"/>
      <c r="F14" s="59"/>
    </row>
    <row r="17" spans="1:14" x14ac:dyDescent="0.25">
      <c r="A17" s="51" t="s">
        <v>149</v>
      </c>
      <c r="B17" s="60">
        <f t="shared" ref="B17:G17" si="2">SUM(B2:B13)</f>
        <v>1123767.4058108109</v>
      </c>
      <c r="C17" s="56">
        <f t="shared" si="2"/>
        <v>736806.54</v>
      </c>
      <c r="D17" s="56">
        <f t="shared" si="2"/>
        <v>386960.86581081082</v>
      </c>
      <c r="E17" s="56">
        <f>(SUM(E2:E13))/12</f>
        <v>3701.9158415213983</v>
      </c>
      <c r="F17" s="56">
        <f>(SUM(F2:F13))/12</f>
        <v>2561.7884169100571</v>
      </c>
      <c r="G17" s="57">
        <f t="shared" si="2"/>
        <v>432</v>
      </c>
      <c r="H17" s="61">
        <f>AVERAGE(H2:H13)</f>
        <v>0.88666666666666671</v>
      </c>
      <c r="I17" s="58">
        <f>AVERAGE(I2:I13)</f>
        <v>0.72166666666666668</v>
      </c>
      <c r="J17" s="58">
        <f>AVERAGE(J2:J13)</f>
        <v>0.54916666666666658</v>
      </c>
      <c r="K17" s="57" t="s">
        <v>32</v>
      </c>
      <c r="L17" s="58">
        <f>AVERAGE(L2:L13)</f>
        <v>0.30499999999999999</v>
      </c>
      <c r="M17" s="57" t="s">
        <v>51</v>
      </c>
      <c r="N17" s="58">
        <f>AVERAGE(N2:N13)</f>
        <v>0.38583333333333331</v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opLeftCell="A58" workbookViewId="0">
      <selection activeCell="O68" sqref="O68:O77"/>
    </sheetView>
  </sheetViews>
  <sheetFormatPr baseColWidth="10" defaultRowHeight="15" x14ac:dyDescent="0.25"/>
  <sheetData>
    <row r="1" spans="1:15" x14ac:dyDescent="0.25">
      <c r="A1" s="99" t="s">
        <v>28</v>
      </c>
      <c r="B1" s="101" t="s">
        <v>126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  <c r="O1" s="24"/>
    </row>
    <row r="2" spans="1:15" x14ac:dyDescent="0.25">
      <c r="A2" s="100"/>
      <c r="B2" s="51" t="s">
        <v>150</v>
      </c>
      <c r="C2" s="51" t="s">
        <v>151</v>
      </c>
      <c r="D2" s="51" t="s">
        <v>152</v>
      </c>
      <c r="E2" s="51" t="s">
        <v>153</v>
      </c>
      <c r="F2" s="51" t="s">
        <v>154</v>
      </c>
      <c r="G2" s="51" t="s">
        <v>155</v>
      </c>
      <c r="H2" s="51" t="s">
        <v>156</v>
      </c>
      <c r="I2" s="51" t="s">
        <v>157</v>
      </c>
      <c r="J2" s="51" t="s">
        <v>158</v>
      </c>
      <c r="K2" s="51" t="s">
        <v>159</v>
      </c>
      <c r="L2" s="51" t="s">
        <v>160</v>
      </c>
      <c r="M2" s="62" t="s">
        <v>161</v>
      </c>
      <c r="O2" s="24"/>
    </row>
    <row r="3" spans="1:15" x14ac:dyDescent="0.25">
      <c r="A3" s="63" t="s">
        <v>30</v>
      </c>
      <c r="B3" s="58">
        <v>5.4794520547945202E-2</v>
      </c>
      <c r="C3" s="58">
        <v>6.25E-2</v>
      </c>
      <c r="D3" s="58">
        <v>0</v>
      </c>
      <c r="E3" s="58">
        <v>3.7383177570093455E-2</v>
      </c>
      <c r="F3" s="58">
        <v>3.3333333333333333E-2</v>
      </c>
      <c r="G3" s="58">
        <v>4.3956043956043959E-2</v>
      </c>
      <c r="H3" s="58">
        <v>1.0309278350515464E-2</v>
      </c>
      <c r="I3" s="58">
        <v>2.6315789473684209E-2</v>
      </c>
      <c r="J3" s="58">
        <v>1.7094017094017096E-2</v>
      </c>
      <c r="K3" s="58">
        <v>1.0526315789473684E-2</v>
      </c>
      <c r="L3" s="58">
        <f>I3/I$62</f>
        <v>5.2631578947368418E-2</v>
      </c>
      <c r="M3" s="64">
        <v>2.8301886792452831E-2</v>
      </c>
      <c r="N3" s="63" t="s">
        <v>30</v>
      </c>
      <c r="O3" s="24">
        <f>AVERAGE(B3:M3)</f>
        <v>3.1428828487910634E-2</v>
      </c>
    </row>
    <row r="4" spans="1:15" x14ac:dyDescent="0.25">
      <c r="A4" s="63" t="s">
        <v>11</v>
      </c>
      <c r="B4" s="58">
        <v>0.28767123287671231</v>
      </c>
      <c r="C4" s="58">
        <v>0.21875</v>
      </c>
      <c r="D4" s="58">
        <v>0.3783783783783784</v>
      </c>
      <c r="E4" s="58">
        <v>0.14953271028037382</v>
      </c>
      <c r="F4" s="58">
        <v>0.23333333333333334</v>
      </c>
      <c r="G4" s="58">
        <v>0.14285714285714285</v>
      </c>
      <c r="H4" s="58">
        <v>0.20618556701030927</v>
      </c>
      <c r="I4" s="58">
        <v>0.22368421052631579</v>
      </c>
      <c r="J4" s="58">
        <v>0.20512820512820512</v>
      </c>
      <c r="K4" s="58">
        <v>0.15789473684210525</v>
      </c>
      <c r="L4" s="58">
        <f t="shared" ref="L4:L11" si="0">I4/I$62</f>
        <v>0.44736842105263158</v>
      </c>
      <c r="M4" s="64">
        <v>0.22641509433962265</v>
      </c>
      <c r="N4" s="63" t="s">
        <v>11</v>
      </c>
      <c r="O4" s="24">
        <f t="shared" ref="O4:O11" si="1">AVERAGE(B4:M4)</f>
        <v>0.23976658605209419</v>
      </c>
    </row>
    <row r="5" spans="1:15" x14ac:dyDescent="0.25">
      <c r="A5" s="63" t="s">
        <v>32</v>
      </c>
      <c r="B5" s="58">
        <v>0.30136986301369861</v>
      </c>
      <c r="C5" s="58">
        <v>0.21875</v>
      </c>
      <c r="D5" s="58">
        <v>0.21621621621621623</v>
      </c>
      <c r="E5" s="58">
        <v>0.32710280373831774</v>
      </c>
      <c r="F5" s="58">
        <v>0.27777777777777779</v>
      </c>
      <c r="G5" s="58">
        <v>0.26373626373626374</v>
      </c>
      <c r="H5" s="58">
        <v>0.30927835051546393</v>
      </c>
      <c r="I5" s="58">
        <v>0.36842105263157893</v>
      </c>
      <c r="J5" s="58">
        <v>0.23076923076923078</v>
      </c>
      <c r="K5" s="58">
        <v>0.36842105263157893</v>
      </c>
      <c r="L5" s="58">
        <f t="shared" si="0"/>
        <v>0.73684210526315785</v>
      </c>
      <c r="M5" s="64">
        <v>0.27358490566037735</v>
      </c>
      <c r="N5" s="63" t="s">
        <v>32</v>
      </c>
      <c r="O5" s="24">
        <f t="shared" si="1"/>
        <v>0.32435580182947182</v>
      </c>
    </row>
    <row r="6" spans="1:15" x14ac:dyDescent="0.25">
      <c r="A6" s="63" t="s">
        <v>34</v>
      </c>
      <c r="B6" s="58">
        <v>1.3698630136986301E-2</v>
      </c>
      <c r="C6" s="58">
        <v>0</v>
      </c>
      <c r="D6" s="58">
        <v>0</v>
      </c>
      <c r="E6" s="58">
        <v>9.3457943925233638E-3</v>
      </c>
      <c r="F6" s="58">
        <v>0</v>
      </c>
      <c r="G6" s="58">
        <v>1.098901098901099E-2</v>
      </c>
      <c r="H6" s="58">
        <v>0</v>
      </c>
      <c r="I6" s="58">
        <v>0</v>
      </c>
      <c r="J6" s="58">
        <v>1.7094017094017096E-2</v>
      </c>
      <c r="K6" s="58">
        <v>0</v>
      </c>
      <c r="L6" s="58">
        <f t="shared" si="0"/>
        <v>0</v>
      </c>
      <c r="M6" s="64">
        <v>0</v>
      </c>
      <c r="N6" s="63" t="s">
        <v>34</v>
      </c>
      <c r="O6" s="24">
        <f t="shared" si="1"/>
        <v>4.2606210510448125E-3</v>
      </c>
    </row>
    <row r="7" spans="1:15" x14ac:dyDescent="0.25">
      <c r="A7" s="63" t="s">
        <v>36</v>
      </c>
      <c r="B7" s="58">
        <v>9.5890410958904104E-2</v>
      </c>
      <c r="C7" s="58">
        <v>9.375E-2</v>
      </c>
      <c r="D7" s="58">
        <v>0.13513513513513514</v>
      </c>
      <c r="E7" s="58">
        <v>0.19626168224299065</v>
      </c>
      <c r="F7" s="58">
        <v>0.1111111111111111</v>
      </c>
      <c r="G7" s="58">
        <v>9.8901098901098897E-2</v>
      </c>
      <c r="H7" s="58">
        <v>0.1134020618556701</v>
      </c>
      <c r="I7" s="58">
        <v>0.11842105263157894</v>
      </c>
      <c r="J7" s="58">
        <v>8.5470085470085472E-2</v>
      </c>
      <c r="K7" s="58">
        <v>0.12631578947368421</v>
      </c>
      <c r="L7" s="58">
        <f t="shared" si="0"/>
        <v>0.23684210526315788</v>
      </c>
      <c r="M7" s="64">
        <v>0.11320754716981132</v>
      </c>
      <c r="N7" s="63" t="s">
        <v>36</v>
      </c>
      <c r="O7" s="24">
        <f t="shared" si="1"/>
        <v>0.12705900668443568</v>
      </c>
    </row>
    <row r="8" spans="1:15" x14ac:dyDescent="0.25">
      <c r="A8" s="63" t="s">
        <v>38</v>
      </c>
      <c r="B8" s="58">
        <v>4.1095890410958902E-2</v>
      </c>
      <c r="C8" s="58">
        <v>3.125E-2</v>
      </c>
      <c r="D8" s="58">
        <v>0</v>
      </c>
      <c r="E8" s="58">
        <v>0</v>
      </c>
      <c r="F8" s="58">
        <v>1.1111111111111112E-2</v>
      </c>
      <c r="G8" s="58">
        <v>1.098901098901099E-2</v>
      </c>
      <c r="H8" s="58">
        <v>3.0927835051546393E-2</v>
      </c>
      <c r="I8" s="58">
        <v>1.3157894736842105E-2</v>
      </c>
      <c r="J8" s="58">
        <v>8.5470085470085479E-3</v>
      </c>
      <c r="K8" s="58">
        <v>1.0526315789473684E-2</v>
      </c>
      <c r="L8" s="58">
        <f t="shared" si="0"/>
        <v>2.6315789473684209E-2</v>
      </c>
      <c r="M8" s="64">
        <v>9.433962264150943E-3</v>
      </c>
      <c r="N8" s="63" t="s">
        <v>38</v>
      </c>
      <c r="O8" s="24">
        <f t="shared" si="1"/>
        <v>1.6112901531148908E-2</v>
      </c>
    </row>
    <row r="9" spans="1:15" x14ac:dyDescent="0.25">
      <c r="A9" s="63" t="s">
        <v>40</v>
      </c>
      <c r="B9" s="58">
        <v>0.15068493150684931</v>
      </c>
      <c r="C9" s="58">
        <v>0.15625</v>
      </c>
      <c r="D9" s="58">
        <v>0.1891891891891892</v>
      </c>
      <c r="E9" s="58">
        <v>8.4112149532710276E-2</v>
      </c>
      <c r="F9" s="58">
        <v>0.1111111111111111</v>
      </c>
      <c r="G9" s="58">
        <v>0.14285714285714285</v>
      </c>
      <c r="H9" s="58">
        <v>0.13402061855670103</v>
      </c>
      <c r="I9" s="58">
        <v>7.8947368421052627E-2</v>
      </c>
      <c r="J9" s="58">
        <v>0.1111111111111111</v>
      </c>
      <c r="K9" s="58">
        <v>7.3684210526315783E-2</v>
      </c>
      <c r="L9" s="58">
        <f t="shared" si="0"/>
        <v>0.15789473684210525</v>
      </c>
      <c r="M9" s="64">
        <v>0.13207547169811321</v>
      </c>
      <c r="N9" s="63" t="s">
        <v>40</v>
      </c>
      <c r="O9" s="24">
        <f t="shared" si="1"/>
        <v>0.12682817011270014</v>
      </c>
    </row>
    <row r="10" spans="1:15" x14ac:dyDescent="0.25">
      <c r="A10" s="63" t="s">
        <v>42</v>
      </c>
      <c r="B10" s="58">
        <v>0</v>
      </c>
      <c r="C10" s="58">
        <v>3.125E-2</v>
      </c>
      <c r="D10" s="58">
        <v>0</v>
      </c>
      <c r="E10" s="58">
        <v>0</v>
      </c>
      <c r="F10" s="58">
        <v>1.1111111111111112E-2</v>
      </c>
      <c r="G10" s="58">
        <v>2.197802197802198E-2</v>
      </c>
      <c r="H10" s="58">
        <v>2.0618556701030927E-2</v>
      </c>
      <c r="I10" s="58">
        <v>0</v>
      </c>
      <c r="J10" s="58">
        <v>0</v>
      </c>
      <c r="K10" s="58">
        <v>2.1052631578947368E-2</v>
      </c>
      <c r="L10" s="58">
        <f t="shared" si="0"/>
        <v>0</v>
      </c>
      <c r="M10" s="64">
        <v>0</v>
      </c>
      <c r="N10" s="63" t="s">
        <v>42</v>
      </c>
      <c r="O10" s="24">
        <f t="shared" si="1"/>
        <v>8.8341934474259493E-3</v>
      </c>
    </row>
    <row r="11" spans="1:15" ht="15.75" thickBot="1" x14ac:dyDescent="0.3">
      <c r="A11" s="65" t="s">
        <v>44</v>
      </c>
      <c r="B11" s="66">
        <v>5.4794520547945202E-2</v>
      </c>
      <c r="C11" s="66">
        <v>0.1875</v>
      </c>
      <c r="D11" s="66">
        <v>8.1081081081081086E-2</v>
      </c>
      <c r="E11" s="66">
        <v>0.19626168224299065</v>
      </c>
      <c r="F11" s="66">
        <v>0.21111111111111111</v>
      </c>
      <c r="G11" s="66">
        <v>0.26373626373626374</v>
      </c>
      <c r="H11" s="66">
        <v>0.17525773195876287</v>
      </c>
      <c r="I11" s="66">
        <v>0.17105263157894737</v>
      </c>
      <c r="J11" s="66">
        <v>0.3247863247863248</v>
      </c>
      <c r="K11" s="66">
        <v>0.23157894736842105</v>
      </c>
      <c r="L11" s="66">
        <f t="shared" si="0"/>
        <v>0.34210526315789475</v>
      </c>
      <c r="M11" s="67">
        <v>0.21698113207547171</v>
      </c>
      <c r="N11" s="65" t="s">
        <v>44</v>
      </c>
      <c r="O11" s="24">
        <f t="shared" si="1"/>
        <v>0.20468722413710119</v>
      </c>
    </row>
    <row r="12" spans="1:15" x14ac:dyDescent="0.25">
      <c r="O12" s="24"/>
    </row>
    <row r="13" spans="1:15" x14ac:dyDescent="0.25">
      <c r="A13" s="103" t="s">
        <v>48</v>
      </c>
      <c r="B13" s="103" t="s">
        <v>126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O13" s="24"/>
    </row>
    <row r="14" spans="1:15" x14ac:dyDescent="0.25">
      <c r="A14" s="103"/>
      <c r="B14" s="51" t="s">
        <v>150</v>
      </c>
      <c r="C14" s="51" t="s">
        <v>151</v>
      </c>
      <c r="D14" s="51" t="s">
        <v>152</v>
      </c>
      <c r="E14" s="51" t="s">
        <v>153</v>
      </c>
      <c r="F14" s="51" t="s">
        <v>154</v>
      </c>
      <c r="G14" s="51" t="s">
        <v>155</v>
      </c>
      <c r="H14" s="51" t="s">
        <v>156</v>
      </c>
      <c r="I14" s="51" t="s">
        <v>157</v>
      </c>
      <c r="J14" s="51" t="s">
        <v>158</v>
      </c>
      <c r="K14" s="51" t="s">
        <v>159</v>
      </c>
      <c r="L14" s="51" t="s">
        <v>160</v>
      </c>
      <c r="M14" s="51" t="s">
        <v>161</v>
      </c>
      <c r="O14" s="24"/>
    </row>
    <row r="15" spans="1:15" x14ac:dyDescent="0.25">
      <c r="A15" s="51" t="s">
        <v>51</v>
      </c>
      <c r="B15" s="58">
        <v>0.16867469879518071</v>
      </c>
      <c r="C15" s="58">
        <v>0.29411764705882354</v>
      </c>
      <c r="D15" s="58">
        <v>0.5</v>
      </c>
      <c r="E15" s="58">
        <v>0.30357142857142855</v>
      </c>
      <c r="F15" s="58">
        <v>0.51546391752577314</v>
      </c>
      <c r="G15" s="58">
        <v>0.375</v>
      </c>
      <c r="H15" s="58">
        <v>0.37614678899082571</v>
      </c>
      <c r="I15" s="58">
        <v>0.32558139534883723</v>
      </c>
      <c r="J15" s="58">
        <v>0.37398373983739835</v>
      </c>
      <c r="K15" s="58">
        <v>0.49504950495049505</v>
      </c>
      <c r="L15" s="58">
        <v>0.33064516129032256</v>
      </c>
      <c r="M15" s="58">
        <v>0.50476190476190474</v>
      </c>
      <c r="N15" s="51" t="s">
        <v>51</v>
      </c>
      <c r="O15" s="24">
        <f t="shared" ref="O15:O24" si="2">AVERAGE(B15:M15)</f>
        <v>0.38024968226091582</v>
      </c>
    </row>
    <row r="16" spans="1:15" x14ac:dyDescent="0.25">
      <c r="A16" s="51" t="s">
        <v>53</v>
      </c>
      <c r="B16" s="58">
        <v>0.2289156626506024</v>
      </c>
      <c r="C16" s="58">
        <v>0.17647058823529413</v>
      </c>
      <c r="D16" s="58">
        <v>0.125</v>
      </c>
      <c r="E16" s="58">
        <v>0.20535714285714285</v>
      </c>
      <c r="F16" s="58">
        <v>0.21649484536082475</v>
      </c>
      <c r="G16" s="58">
        <v>0.23958333333333334</v>
      </c>
      <c r="H16" s="58">
        <v>0.24770642201834864</v>
      </c>
      <c r="I16" s="58">
        <v>0.30232558139534882</v>
      </c>
      <c r="J16" s="58">
        <v>0.17886178861788618</v>
      </c>
      <c r="K16" s="58">
        <v>0.25742574257425743</v>
      </c>
      <c r="L16" s="58">
        <v>0.29838709677419356</v>
      </c>
      <c r="M16" s="58">
        <v>0.19047619047619047</v>
      </c>
      <c r="N16" s="51" t="s">
        <v>53</v>
      </c>
      <c r="O16" s="24">
        <f t="shared" si="2"/>
        <v>0.22225036619111851</v>
      </c>
    </row>
    <row r="17" spans="1:15" x14ac:dyDescent="0.25">
      <c r="A17" s="51" t="s">
        <v>55</v>
      </c>
      <c r="B17" s="58">
        <v>0.20481927710843373</v>
      </c>
      <c r="C17" s="58">
        <v>5.8823529411764705E-2</v>
      </c>
      <c r="D17" s="58">
        <v>0</v>
      </c>
      <c r="E17" s="58">
        <v>0.21428571428571427</v>
      </c>
      <c r="F17" s="58">
        <v>5.1546391752577317E-2</v>
      </c>
      <c r="G17" s="58">
        <v>0.10416666666666667</v>
      </c>
      <c r="H17" s="58">
        <v>2.7522935779816515E-2</v>
      </c>
      <c r="I17" s="58">
        <v>0.19767441860465115</v>
      </c>
      <c r="J17" s="58">
        <v>0.12195121951219512</v>
      </c>
      <c r="K17" s="58">
        <v>5.9405940594059403E-2</v>
      </c>
      <c r="L17" s="58">
        <v>0.23387096774193547</v>
      </c>
      <c r="M17" s="58">
        <v>0.15238095238095239</v>
      </c>
      <c r="N17" s="51" t="s">
        <v>55</v>
      </c>
      <c r="O17" s="24">
        <f t="shared" si="2"/>
        <v>0.11887066781989723</v>
      </c>
    </row>
    <row r="18" spans="1:15" x14ac:dyDescent="0.25">
      <c r="A18" s="51" t="s">
        <v>57</v>
      </c>
      <c r="B18" s="58">
        <v>0.16867469879518071</v>
      </c>
      <c r="C18" s="58">
        <v>0.14705882352941177</v>
      </c>
      <c r="D18" s="58">
        <v>0.15</v>
      </c>
      <c r="E18" s="58">
        <v>8.0357142857142863E-2</v>
      </c>
      <c r="F18" s="58">
        <v>0.14432989690721648</v>
      </c>
      <c r="G18" s="58">
        <v>8.3333333333333329E-2</v>
      </c>
      <c r="H18" s="58">
        <v>0.10091743119266056</v>
      </c>
      <c r="I18" s="58">
        <v>5.8139534883720929E-2</v>
      </c>
      <c r="J18" s="58">
        <v>0.23577235772357724</v>
      </c>
      <c r="K18" s="58">
        <v>3.9603960396039604E-2</v>
      </c>
      <c r="L18" s="58">
        <v>5.6451612903225805E-2</v>
      </c>
      <c r="M18" s="58">
        <v>4.7619047619047616E-2</v>
      </c>
      <c r="N18" s="51" t="s">
        <v>57</v>
      </c>
      <c r="O18" s="24">
        <f t="shared" si="2"/>
        <v>0.10935482001171308</v>
      </c>
    </row>
    <row r="19" spans="1:15" x14ac:dyDescent="0.25">
      <c r="A19" s="51" t="s">
        <v>58</v>
      </c>
      <c r="B19" s="58">
        <v>8.4337349397590355E-2</v>
      </c>
      <c r="C19" s="58">
        <v>0.26470588235294118</v>
      </c>
      <c r="D19" s="58">
        <v>0.15</v>
      </c>
      <c r="E19" s="58">
        <v>8.9285714285714288E-2</v>
      </c>
      <c r="F19" s="58">
        <v>0</v>
      </c>
      <c r="G19" s="58">
        <v>9.375E-2</v>
      </c>
      <c r="H19" s="58">
        <v>0.11926605504587157</v>
      </c>
      <c r="I19" s="58">
        <v>1.1627906976744186E-2</v>
      </c>
      <c r="J19" s="58">
        <v>1.6260162601626018E-2</v>
      </c>
      <c r="K19" s="58">
        <v>6.9306930693069313E-2</v>
      </c>
      <c r="L19" s="58">
        <v>5.6451612903225805E-2</v>
      </c>
      <c r="M19" s="58">
        <v>6.6666666666666666E-2</v>
      </c>
      <c r="N19" s="51" t="s">
        <v>58</v>
      </c>
      <c r="O19" s="24">
        <f t="shared" si="2"/>
        <v>8.5138190076954112E-2</v>
      </c>
    </row>
    <row r="20" spans="1:15" x14ac:dyDescent="0.25">
      <c r="A20" s="51" t="s">
        <v>59</v>
      </c>
      <c r="B20" s="58">
        <v>0</v>
      </c>
      <c r="C20" s="58">
        <v>0</v>
      </c>
      <c r="D20" s="58">
        <v>0</v>
      </c>
      <c r="E20" s="58">
        <v>8.9285714285714281E-3</v>
      </c>
      <c r="F20" s="58">
        <v>0</v>
      </c>
      <c r="G20" s="58">
        <v>5.2083333333333336E-2</v>
      </c>
      <c r="H20" s="58">
        <v>0</v>
      </c>
      <c r="I20" s="58">
        <v>0</v>
      </c>
      <c r="J20" s="58">
        <v>0</v>
      </c>
      <c r="K20" s="58">
        <v>0</v>
      </c>
      <c r="L20" s="58">
        <v>1.6129032258064516E-2</v>
      </c>
      <c r="M20" s="58">
        <v>0</v>
      </c>
      <c r="N20" s="51" t="s">
        <v>59</v>
      </c>
      <c r="O20" s="24">
        <f t="shared" si="2"/>
        <v>6.4284114183307739E-3</v>
      </c>
    </row>
    <row r="21" spans="1:15" x14ac:dyDescent="0.25">
      <c r="A21" s="51" t="s">
        <v>60</v>
      </c>
      <c r="B21" s="58">
        <v>0</v>
      </c>
      <c r="C21" s="58">
        <v>0</v>
      </c>
      <c r="D21" s="58">
        <v>0</v>
      </c>
      <c r="E21" s="58">
        <v>4.4642857142857144E-2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1" t="s">
        <v>60</v>
      </c>
      <c r="O21" s="24">
        <f t="shared" si="2"/>
        <v>3.7202380952380955E-3</v>
      </c>
    </row>
    <row r="22" spans="1:15" x14ac:dyDescent="0.25">
      <c r="A22" s="51" t="s">
        <v>62</v>
      </c>
      <c r="B22" s="58">
        <v>0</v>
      </c>
      <c r="C22" s="58">
        <v>0</v>
      </c>
      <c r="D22" s="58">
        <v>0</v>
      </c>
      <c r="E22" s="58">
        <v>0</v>
      </c>
      <c r="F22" s="58">
        <v>0</v>
      </c>
      <c r="G22" s="58">
        <v>0</v>
      </c>
      <c r="H22" s="58">
        <v>9.1743119266055051E-3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1" t="s">
        <v>62</v>
      </c>
      <c r="O22" s="24">
        <f t="shared" si="2"/>
        <v>7.6452599388379206E-4</v>
      </c>
    </row>
    <row r="23" spans="1:15" x14ac:dyDescent="0.25">
      <c r="A23" s="51" t="s">
        <v>64</v>
      </c>
      <c r="B23" s="58">
        <v>2.4096385542168676E-2</v>
      </c>
      <c r="C23" s="58">
        <v>0</v>
      </c>
      <c r="D23" s="58">
        <v>0</v>
      </c>
      <c r="E23" s="58">
        <v>8.9285714285714281E-3</v>
      </c>
      <c r="F23" s="58">
        <v>0</v>
      </c>
      <c r="G23" s="58">
        <v>0</v>
      </c>
      <c r="H23" s="58">
        <v>9.1743119266055051E-3</v>
      </c>
      <c r="I23" s="58">
        <v>0</v>
      </c>
      <c r="J23" s="58">
        <v>1.6260162601626018E-2</v>
      </c>
      <c r="K23" s="58">
        <v>0</v>
      </c>
      <c r="L23" s="58">
        <v>0</v>
      </c>
      <c r="M23" s="58">
        <v>0</v>
      </c>
      <c r="N23" s="51" t="s">
        <v>64</v>
      </c>
      <c r="O23" s="24">
        <f t="shared" si="2"/>
        <v>4.8716192915809692E-3</v>
      </c>
    </row>
    <row r="24" spans="1:15" x14ac:dyDescent="0.25">
      <c r="A24" s="51" t="s">
        <v>65</v>
      </c>
      <c r="B24" s="58">
        <v>0.12048192771084337</v>
      </c>
      <c r="C24" s="58">
        <v>5.8823529411764705E-2</v>
      </c>
      <c r="D24" s="58">
        <v>7.4999999999999997E-2</v>
      </c>
      <c r="E24" s="58">
        <v>4.4642857142857144E-2</v>
      </c>
      <c r="F24" s="58">
        <v>7.2164948453608241E-2</v>
      </c>
      <c r="G24" s="58">
        <v>5.2083333333333336E-2</v>
      </c>
      <c r="H24" s="58">
        <v>0.11009174311926606</v>
      </c>
      <c r="I24" s="58">
        <v>0.10465116279069768</v>
      </c>
      <c r="J24" s="58">
        <v>5.6910569105691054E-2</v>
      </c>
      <c r="K24" s="58">
        <v>7.9207920792079209E-2</v>
      </c>
      <c r="L24" s="58">
        <v>8.0645161290322578E-3</v>
      </c>
      <c r="M24" s="58">
        <v>3.8095238095238099E-2</v>
      </c>
      <c r="N24" s="51" t="s">
        <v>65</v>
      </c>
      <c r="O24" s="24">
        <f t="shared" si="2"/>
        <v>6.8351478840367588E-2</v>
      </c>
    </row>
    <row r="25" spans="1:15" ht="15.75" thickBot="1" x14ac:dyDescent="0.3">
      <c r="A25" s="29" t="s">
        <v>19</v>
      </c>
      <c r="O25" s="24"/>
    </row>
    <row r="26" spans="1:15" x14ac:dyDescent="0.25">
      <c r="A26" s="99" t="s">
        <v>162</v>
      </c>
      <c r="B26" s="101" t="s">
        <v>126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2"/>
      <c r="O26" s="24"/>
    </row>
    <row r="27" spans="1:15" x14ac:dyDescent="0.25">
      <c r="A27" s="100"/>
      <c r="B27" s="51" t="s">
        <v>150</v>
      </c>
      <c r="C27" s="51" t="s">
        <v>151</v>
      </c>
      <c r="D27" s="51" t="s">
        <v>152</v>
      </c>
      <c r="E27" s="51" t="s">
        <v>153</v>
      </c>
      <c r="F27" s="51" t="s">
        <v>154</v>
      </c>
      <c r="G27" s="51" t="s">
        <v>155</v>
      </c>
      <c r="H27" s="51" t="s">
        <v>156</v>
      </c>
      <c r="I27" s="51" t="s">
        <v>157</v>
      </c>
      <c r="J27" s="51" t="s">
        <v>158</v>
      </c>
      <c r="K27" s="51" t="s">
        <v>159</v>
      </c>
      <c r="L27" s="51" t="s">
        <v>160</v>
      </c>
      <c r="M27" s="62" t="s">
        <v>161</v>
      </c>
      <c r="O27" s="24"/>
    </row>
    <row r="28" spans="1:15" x14ac:dyDescent="0.25">
      <c r="A28" s="63" t="s">
        <v>163</v>
      </c>
      <c r="B28" s="58">
        <v>0.5</v>
      </c>
      <c r="C28" s="58">
        <v>0.14285714285714285</v>
      </c>
      <c r="D28" s="58">
        <v>0.375</v>
      </c>
      <c r="E28" s="58">
        <v>0.8</v>
      </c>
      <c r="F28" s="58">
        <v>0.48</v>
      </c>
      <c r="G28" s="58">
        <v>0.375</v>
      </c>
      <c r="H28" s="58">
        <v>0.53333333333333333</v>
      </c>
      <c r="I28" s="58">
        <v>0.4642857142857143</v>
      </c>
      <c r="J28" s="58">
        <v>0.40740740740740738</v>
      </c>
      <c r="K28" s="58">
        <v>0.51428571428571423</v>
      </c>
      <c r="L28" s="58">
        <f>K28/K$50</f>
        <v>0.8571428571428571</v>
      </c>
      <c r="M28" s="64">
        <v>0.65517241379310343</v>
      </c>
      <c r="N28" s="63" t="s">
        <v>163</v>
      </c>
      <c r="O28" s="24">
        <f>AVERAGE(B28:M28)</f>
        <v>0.50870704859210603</v>
      </c>
    </row>
    <row r="29" spans="1:15" x14ac:dyDescent="0.25">
      <c r="A29" s="63" t="s">
        <v>164</v>
      </c>
      <c r="B29" s="58">
        <v>0.22727272727272727</v>
      </c>
      <c r="C29" s="58">
        <v>0.2857142857142857</v>
      </c>
      <c r="D29" s="58">
        <v>0.375</v>
      </c>
      <c r="E29" s="58">
        <v>0.14285714285714285</v>
      </c>
      <c r="F29" s="58">
        <v>0.28000000000000003</v>
      </c>
      <c r="G29" s="58">
        <v>0.54166666666666663</v>
      </c>
      <c r="H29" s="58">
        <v>0.3</v>
      </c>
      <c r="I29" s="58">
        <v>0.39285714285714285</v>
      </c>
      <c r="J29" s="58">
        <v>0.40740740740740738</v>
      </c>
      <c r="K29" s="58">
        <v>0.31428571428571428</v>
      </c>
      <c r="L29" s="58">
        <f>K29/K$50</f>
        <v>0.52380952380952384</v>
      </c>
      <c r="M29" s="64">
        <v>0.2413793103448276</v>
      </c>
      <c r="N29" s="63" t="s">
        <v>164</v>
      </c>
      <c r="O29" s="24">
        <f>AVERAGE(B29:M29)</f>
        <v>0.3360208267679532</v>
      </c>
    </row>
    <row r="30" spans="1:15" ht="15.75" thickBot="1" x14ac:dyDescent="0.3">
      <c r="A30" s="65" t="s">
        <v>165</v>
      </c>
      <c r="B30" s="66">
        <v>0.22727272727272727</v>
      </c>
      <c r="C30" s="66">
        <v>0.5714285714285714</v>
      </c>
      <c r="D30" s="66">
        <v>0.25</v>
      </c>
      <c r="E30" s="66">
        <v>5.7142857142857141E-2</v>
      </c>
      <c r="F30" s="66">
        <v>0.16</v>
      </c>
      <c r="G30" s="66">
        <v>8.3333333333333329E-2</v>
      </c>
      <c r="H30" s="66">
        <v>0.16666666666666666</v>
      </c>
      <c r="I30" s="66">
        <v>0.14285714285714285</v>
      </c>
      <c r="J30" s="66">
        <v>0.18518518518518517</v>
      </c>
      <c r="K30" s="66">
        <v>0.17142857142857143</v>
      </c>
      <c r="L30" s="66">
        <f>K30/K$50</f>
        <v>0.28571428571428575</v>
      </c>
      <c r="M30" s="67">
        <v>0.10344827586206896</v>
      </c>
      <c r="N30" s="65" t="s">
        <v>165</v>
      </c>
      <c r="O30" s="24">
        <f>AVERAGE(B30:M30)</f>
        <v>0.20037313474095078</v>
      </c>
    </row>
    <row r="31" spans="1:15" ht="15.75" thickBot="1" x14ac:dyDescent="0.3">
      <c r="O31" s="24"/>
    </row>
    <row r="32" spans="1:15" x14ac:dyDescent="0.25">
      <c r="A32" s="99" t="s">
        <v>166</v>
      </c>
      <c r="B32" s="101" t="s">
        <v>126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O32" s="24"/>
    </row>
    <row r="33" spans="1:15" x14ac:dyDescent="0.25">
      <c r="A33" s="100"/>
      <c r="B33" s="51" t="s">
        <v>150</v>
      </c>
      <c r="C33" s="51" t="s">
        <v>151</v>
      </c>
      <c r="D33" s="51" t="s">
        <v>152</v>
      </c>
      <c r="E33" s="51" t="s">
        <v>153</v>
      </c>
      <c r="F33" s="51" t="s">
        <v>154</v>
      </c>
      <c r="G33" s="51" t="s">
        <v>155</v>
      </c>
      <c r="H33" s="51" t="s">
        <v>156</v>
      </c>
      <c r="I33" s="51" t="s">
        <v>157</v>
      </c>
      <c r="J33" s="51" t="s">
        <v>158</v>
      </c>
      <c r="K33" s="51" t="s">
        <v>159</v>
      </c>
      <c r="L33" s="51" t="s">
        <v>160</v>
      </c>
      <c r="M33" s="62" t="s">
        <v>161</v>
      </c>
      <c r="O33" s="24"/>
    </row>
    <row r="34" spans="1:15" x14ac:dyDescent="0.25">
      <c r="A34" s="68" t="s">
        <v>167</v>
      </c>
      <c r="B34" s="58">
        <v>9.0909090909090912E-2</v>
      </c>
      <c r="C34" s="58">
        <v>0</v>
      </c>
      <c r="D34" s="58">
        <v>0.125</v>
      </c>
      <c r="E34" s="58">
        <v>8.5714285714285715E-2</v>
      </c>
      <c r="F34" s="58">
        <v>0</v>
      </c>
      <c r="G34" s="58">
        <v>4.1666666666666664E-2</v>
      </c>
      <c r="H34" s="58">
        <v>0.16666666666666666</v>
      </c>
      <c r="I34" s="58">
        <v>0.10714285714285714</v>
      </c>
      <c r="J34" s="58">
        <v>7.407407407407407E-2</v>
      </c>
      <c r="K34" s="58">
        <v>5.7142857142857141E-2</v>
      </c>
      <c r="L34" s="58">
        <v>0.52</v>
      </c>
      <c r="M34" s="64">
        <v>0.2413793103448276</v>
      </c>
      <c r="N34" s="68" t="s">
        <v>167</v>
      </c>
      <c r="O34" s="24">
        <f t="shared" ref="O34:O45" si="3">AVERAGE(B34:M34)</f>
        <v>0.12580798405511048</v>
      </c>
    </row>
    <row r="35" spans="1:15" x14ac:dyDescent="0.25">
      <c r="A35" s="68" t="s">
        <v>168</v>
      </c>
      <c r="B35" s="58">
        <v>4.5454545454545456E-2</v>
      </c>
      <c r="C35" s="58">
        <v>0.2857142857142857</v>
      </c>
      <c r="D35" s="58">
        <v>0.25</v>
      </c>
      <c r="E35" s="58">
        <v>0.51428571428571423</v>
      </c>
      <c r="F35" s="58">
        <v>0.12</v>
      </c>
      <c r="G35" s="58">
        <v>4.1666666666666664E-2</v>
      </c>
      <c r="H35" s="58">
        <v>0.16666666666666666</v>
      </c>
      <c r="I35" s="58">
        <v>0.14285714285714285</v>
      </c>
      <c r="J35" s="58">
        <v>0.18518518518518517</v>
      </c>
      <c r="K35" s="58">
        <v>0.11428571428571428</v>
      </c>
      <c r="L35" s="58">
        <v>0.04</v>
      </c>
      <c r="M35" s="64">
        <v>0.17241379310344829</v>
      </c>
      <c r="N35" s="68" t="s">
        <v>168</v>
      </c>
      <c r="O35" s="24">
        <f t="shared" si="3"/>
        <v>0.1732108095182808</v>
      </c>
    </row>
    <row r="36" spans="1:15" x14ac:dyDescent="0.25">
      <c r="A36" s="68" t="s">
        <v>169</v>
      </c>
      <c r="B36" s="58">
        <v>9.0909090909090912E-2</v>
      </c>
      <c r="C36" s="58">
        <v>0.14285714285714285</v>
      </c>
      <c r="D36" s="58">
        <v>0.125</v>
      </c>
      <c r="E36" s="58">
        <v>5.7142857142857141E-2</v>
      </c>
      <c r="F36" s="58">
        <v>0.08</v>
      </c>
      <c r="G36" s="58">
        <v>0.16666666666666666</v>
      </c>
      <c r="H36" s="58">
        <v>3.3333333333333333E-2</v>
      </c>
      <c r="I36" s="58">
        <v>3.5714285714285712E-2</v>
      </c>
      <c r="J36" s="58">
        <v>0.22222222222222221</v>
      </c>
      <c r="K36" s="58">
        <v>5.7142857142857141E-2</v>
      </c>
      <c r="L36" s="58">
        <v>0.08</v>
      </c>
      <c r="M36" s="64">
        <v>3.4482758620689655E-2</v>
      </c>
      <c r="N36" s="68" t="s">
        <v>169</v>
      </c>
      <c r="O36" s="24">
        <f t="shared" si="3"/>
        <v>9.3789267884095473E-2</v>
      </c>
    </row>
    <row r="37" spans="1:15" x14ac:dyDescent="0.25">
      <c r="A37" s="68" t="s">
        <v>170</v>
      </c>
      <c r="B37" s="58">
        <v>9.0909090909090912E-2</v>
      </c>
      <c r="C37" s="58">
        <v>0.14285714285714285</v>
      </c>
      <c r="D37" s="58">
        <v>0.125</v>
      </c>
      <c r="E37" s="58">
        <v>2.8571428571428571E-2</v>
      </c>
      <c r="F37" s="58">
        <v>0.12</v>
      </c>
      <c r="G37" s="58">
        <v>0</v>
      </c>
      <c r="H37" s="58">
        <v>6.6666666666666666E-2</v>
      </c>
      <c r="I37" s="58">
        <v>0.17857142857142858</v>
      </c>
      <c r="J37" s="58">
        <v>3.7037037037037035E-2</v>
      </c>
      <c r="K37" s="58">
        <v>8.5714285714285715E-2</v>
      </c>
      <c r="L37" s="58">
        <v>0.04</v>
      </c>
      <c r="M37" s="64">
        <v>0.10344827586206896</v>
      </c>
      <c r="N37" s="68" t="s">
        <v>170</v>
      </c>
      <c r="O37" s="24">
        <f t="shared" si="3"/>
        <v>8.4897946349095796E-2</v>
      </c>
    </row>
    <row r="38" spans="1:15" x14ac:dyDescent="0.25">
      <c r="A38" s="68" t="s">
        <v>171</v>
      </c>
      <c r="B38" s="58">
        <v>0.18181818181818182</v>
      </c>
      <c r="C38" s="58">
        <v>0.2857142857142857</v>
      </c>
      <c r="D38" s="58">
        <v>0</v>
      </c>
      <c r="E38" s="58">
        <v>0.11428571428571428</v>
      </c>
      <c r="F38" s="58">
        <v>0.2</v>
      </c>
      <c r="G38" s="58">
        <v>0.125</v>
      </c>
      <c r="H38" s="58">
        <v>0.13333333333333333</v>
      </c>
      <c r="I38" s="58">
        <v>0.21428571428571427</v>
      </c>
      <c r="J38" s="58">
        <v>0.18518518518518517</v>
      </c>
      <c r="K38" s="58">
        <v>0.22857142857142856</v>
      </c>
      <c r="L38" s="58">
        <v>0.08</v>
      </c>
      <c r="M38" s="64">
        <v>6.8965517241379309E-2</v>
      </c>
      <c r="N38" s="68" t="s">
        <v>171</v>
      </c>
      <c r="O38" s="24">
        <f t="shared" si="3"/>
        <v>0.15142994670293519</v>
      </c>
    </row>
    <row r="39" spans="1:15" x14ac:dyDescent="0.25">
      <c r="A39" s="68" t="s">
        <v>172</v>
      </c>
      <c r="B39" s="58">
        <v>0.40909090909090912</v>
      </c>
      <c r="C39" s="58">
        <v>0.14285714285714285</v>
      </c>
      <c r="D39" s="58">
        <v>0.375</v>
      </c>
      <c r="E39" s="58">
        <v>0.14285714285714285</v>
      </c>
      <c r="F39" s="58">
        <v>0.28000000000000003</v>
      </c>
      <c r="G39" s="58">
        <v>0.375</v>
      </c>
      <c r="H39" s="58">
        <v>0.36666666666666664</v>
      </c>
      <c r="I39" s="58">
        <v>0.25</v>
      </c>
      <c r="J39" s="58">
        <v>0.14814814814814814</v>
      </c>
      <c r="K39" s="58">
        <v>0.34285714285714286</v>
      </c>
      <c r="L39" s="58">
        <v>0.16</v>
      </c>
      <c r="M39" s="64">
        <v>0.2413793103448276</v>
      </c>
      <c r="N39" s="68" t="s">
        <v>172</v>
      </c>
      <c r="O39" s="24">
        <f t="shared" si="3"/>
        <v>0.26948803856849829</v>
      </c>
    </row>
    <row r="40" spans="1:15" x14ac:dyDescent="0.25">
      <c r="A40" s="68" t="s">
        <v>173</v>
      </c>
      <c r="B40" s="58">
        <v>4.5454545454545456E-2</v>
      </c>
      <c r="C40" s="58">
        <v>0</v>
      </c>
      <c r="D40" s="58">
        <v>0</v>
      </c>
      <c r="E40" s="58">
        <v>0</v>
      </c>
      <c r="F40" s="58">
        <v>0.04</v>
      </c>
      <c r="G40" s="58">
        <v>4.1666666666666664E-2</v>
      </c>
      <c r="H40" s="58">
        <v>3.3333333333333333E-2</v>
      </c>
      <c r="I40" s="69">
        <v>3.5714285714285712E-2</v>
      </c>
      <c r="J40" s="58">
        <v>7.407407407407407E-2</v>
      </c>
      <c r="K40" s="58">
        <v>0</v>
      </c>
      <c r="L40" s="58">
        <v>0.06</v>
      </c>
      <c r="M40" s="64">
        <v>3.4482758620689655E-2</v>
      </c>
      <c r="N40" s="68" t="s">
        <v>173</v>
      </c>
      <c r="O40" s="24">
        <f t="shared" si="3"/>
        <v>3.0393805321966241E-2</v>
      </c>
    </row>
    <row r="41" spans="1:15" x14ac:dyDescent="0.25">
      <c r="A41" s="68" t="s">
        <v>174</v>
      </c>
      <c r="B41" s="58">
        <v>4.5454545454545456E-2</v>
      </c>
      <c r="C41" s="58">
        <v>0</v>
      </c>
      <c r="D41" s="58">
        <v>0</v>
      </c>
      <c r="E41" s="58">
        <v>2.8571428571428571E-2</v>
      </c>
      <c r="F41" s="58">
        <v>0.08</v>
      </c>
      <c r="G41" s="58">
        <v>8.3333333333333329E-2</v>
      </c>
      <c r="H41" s="58">
        <v>0</v>
      </c>
      <c r="I41" s="69">
        <v>3.5714285714285712E-2</v>
      </c>
      <c r="J41" s="69">
        <v>3.7037037037037035E-2</v>
      </c>
      <c r="K41" s="58">
        <v>5.7142857142857141E-2</v>
      </c>
      <c r="L41" s="58">
        <v>0.02</v>
      </c>
      <c r="M41" s="64">
        <v>3.4482758620689655E-2</v>
      </c>
      <c r="N41" s="68" t="s">
        <v>174</v>
      </c>
      <c r="O41" s="24">
        <f t="shared" si="3"/>
        <v>3.5144687156181409E-2</v>
      </c>
    </row>
    <row r="42" spans="1:15" x14ac:dyDescent="0.25">
      <c r="A42" s="68" t="s">
        <v>175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4.1666666666666664E-2</v>
      </c>
      <c r="H42" s="58">
        <v>3.3333333333333333E-2</v>
      </c>
      <c r="I42" s="58">
        <v>0</v>
      </c>
      <c r="J42" s="58">
        <v>0</v>
      </c>
      <c r="K42" s="58">
        <v>2.8571428571428571E-2</v>
      </c>
      <c r="L42" s="58">
        <v>0</v>
      </c>
      <c r="M42" s="64">
        <v>3.4482758620689655E-2</v>
      </c>
      <c r="N42" s="68" t="s">
        <v>175</v>
      </c>
      <c r="O42" s="24">
        <f t="shared" si="3"/>
        <v>1.1504515599343184E-2</v>
      </c>
    </row>
    <row r="43" spans="1:15" x14ac:dyDescent="0.25">
      <c r="A43" s="68" t="s">
        <v>176</v>
      </c>
      <c r="B43" s="58">
        <v>0</v>
      </c>
      <c r="C43" s="58">
        <v>0</v>
      </c>
      <c r="D43" s="58">
        <v>0</v>
      </c>
      <c r="E43" s="58">
        <v>2.8571428571428571E-2</v>
      </c>
      <c r="F43" s="58">
        <v>0.04</v>
      </c>
      <c r="G43" s="58">
        <v>8.3333333333333329E-2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64">
        <v>3.4482758620689655E-2</v>
      </c>
      <c r="N43" s="68" t="s">
        <v>176</v>
      </c>
      <c r="O43" s="24">
        <f t="shared" si="3"/>
        <v>1.5532293377120962E-2</v>
      </c>
    </row>
    <row r="44" spans="1:15" x14ac:dyDescent="0.25">
      <c r="A44" s="68" t="s">
        <v>177</v>
      </c>
      <c r="B44" s="69">
        <v>0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2.8571428571428571E-2</v>
      </c>
      <c r="L44" s="58">
        <v>0</v>
      </c>
      <c r="M44" s="64">
        <v>0</v>
      </c>
      <c r="N44" s="68" t="s">
        <v>177</v>
      </c>
      <c r="O44" s="24">
        <f t="shared" si="3"/>
        <v>2.3809523809523807E-3</v>
      </c>
    </row>
    <row r="45" spans="1:15" ht="15.75" thickBot="1" x14ac:dyDescent="0.3">
      <c r="A45" s="70" t="s">
        <v>178</v>
      </c>
      <c r="B45" s="71">
        <v>0</v>
      </c>
      <c r="C45" s="71">
        <v>0</v>
      </c>
      <c r="D45" s="71">
        <v>0</v>
      </c>
      <c r="E45" s="71">
        <v>0</v>
      </c>
      <c r="F45" s="71">
        <v>0</v>
      </c>
      <c r="G45" s="71">
        <v>0</v>
      </c>
      <c r="H45" s="71">
        <v>0</v>
      </c>
      <c r="I45" s="66">
        <v>0</v>
      </c>
      <c r="J45" s="71">
        <v>0</v>
      </c>
      <c r="K45" s="71">
        <v>0</v>
      </c>
      <c r="L45" s="66">
        <v>0</v>
      </c>
      <c r="M45" s="67">
        <v>0</v>
      </c>
      <c r="N45" s="70" t="s">
        <v>178</v>
      </c>
      <c r="O45" s="24">
        <f t="shared" si="3"/>
        <v>0</v>
      </c>
    </row>
    <row r="46" spans="1:15" ht="15.75" thickBot="1" x14ac:dyDescent="0.3">
      <c r="O46" s="24"/>
    </row>
    <row r="47" spans="1:15" x14ac:dyDescent="0.25">
      <c r="A47" s="106" t="s">
        <v>11</v>
      </c>
      <c r="B47" s="101" t="s">
        <v>126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2"/>
      <c r="O47" s="24"/>
    </row>
    <row r="48" spans="1:15" x14ac:dyDescent="0.25">
      <c r="A48" s="107"/>
      <c r="B48" s="51" t="s">
        <v>150</v>
      </c>
      <c r="C48" s="51" t="s">
        <v>151</v>
      </c>
      <c r="D48" s="51" t="s">
        <v>152</v>
      </c>
      <c r="E48" s="51" t="s">
        <v>153</v>
      </c>
      <c r="F48" s="51" t="s">
        <v>154</v>
      </c>
      <c r="G48" s="51" t="s">
        <v>155</v>
      </c>
      <c r="H48" s="51" t="s">
        <v>156</v>
      </c>
      <c r="I48" s="51" t="s">
        <v>157</v>
      </c>
      <c r="J48" s="51" t="s">
        <v>158</v>
      </c>
      <c r="K48" s="51" t="s">
        <v>159</v>
      </c>
      <c r="L48" s="51" t="s">
        <v>160</v>
      </c>
      <c r="M48" s="62" t="s">
        <v>161</v>
      </c>
      <c r="O48" s="24"/>
    </row>
    <row r="49" spans="1:15" x14ac:dyDescent="0.25">
      <c r="A49" s="63" t="s">
        <v>13</v>
      </c>
      <c r="B49" s="58">
        <v>0.23809523809523808</v>
      </c>
      <c r="C49" s="58">
        <v>0.2857142857142857</v>
      </c>
      <c r="D49" s="58">
        <v>0.21428571428571427</v>
      </c>
      <c r="E49" s="58">
        <v>0.125</v>
      </c>
      <c r="F49" s="58">
        <v>4.7619047619047616E-2</v>
      </c>
      <c r="G49" s="58">
        <v>0.46153846153846156</v>
      </c>
      <c r="H49" s="58">
        <v>0.3</v>
      </c>
      <c r="I49" s="58">
        <v>0.35294117647058826</v>
      </c>
      <c r="J49" s="58">
        <v>0.125</v>
      </c>
      <c r="K49" s="58">
        <v>0.2</v>
      </c>
      <c r="L49" s="58">
        <v>0.42857142857142855</v>
      </c>
      <c r="M49" s="64">
        <v>0.20833333333333334</v>
      </c>
      <c r="N49" s="63" t="s">
        <v>13</v>
      </c>
      <c r="O49" s="24">
        <f>AVERAGE(B49:M49)</f>
        <v>0.24892489046900812</v>
      </c>
    </row>
    <row r="50" spans="1:15" x14ac:dyDescent="0.25">
      <c r="A50" s="63" t="s">
        <v>16</v>
      </c>
      <c r="B50" s="58">
        <v>0.76190476190476186</v>
      </c>
      <c r="C50" s="58">
        <v>0.5714285714285714</v>
      </c>
      <c r="D50" s="58">
        <v>0.7857142857142857</v>
      </c>
      <c r="E50" s="58">
        <v>0.875</v>
      </c>
      <c r="F50" s="58">
        <v>0.90476190476190477</v>
      </c>
      <c r="G50" s="58">
        <v>0.53846153846153844</v>
      </c>
      <c r="H50" s="58">
        <v>0.7</v>
      </c>
      <c r="I50" s="58">
        <v>0.6470588235294118</v>
      </c>
      <c r="J50" s="58">
        <v>0.875</v>
      </c>
      <c r="K50" s="58">
        <v>0.6</v>
      </c>
      <c r="L50" s="58">
        <v>0.5714285714285714</v>
      </c>
      <c r="M50" s="64">
        <v>0.79166666666666663</v>
      </c>
      <c r="N50" s="63" t="s">
        <v>16</v>
      </c>
      <c r="O50" s="24">
        <f>AVERAGE(B50:M50)</f>
        <v>0.71853542699130923</v>
      </c>
    </row>
    <row r="51" spans="1:15" ht="15.75" thickBot="1" x14ac:dyDescent="0.3">
      <c r="A51" s="65" t="s">
        <v>18</v>
      </c>
      <c r="B51" s="66">
        <v>4.7619047619047616E-2</v>
      </c>
      <c r="C51" s="66">
        <v>0.14285714285714285</v>
      </c>
      <c r="D51" s="66">
        <v>0</v>
      </c>
      <c r="E51" s="66">
        <v>0</v>
      </c>
      <c r="F51" s="66">
        <v>4.7619047619047616E-2</v>
      </c>
      <c r="G51" s="66">
        <v>0</v>
      </c>
      <c r="H51" s="66">
        <v>0</v>
      </c>
      <c r="I51" s="66">
        <v>0</v>
      </c>
      <c r="J51" s="66">
        <v>0</v>
      </c>
      <c r="K51" s="66">
        <v>0.2</v>
      </c>
      <c r="L51" s="66">
        <v>0</v>
      </c>
      <c r="M51" s="67">
        <v>0</v>
      </c>
      <c r="N51" s="65" t="s">
        <v>18</v>
      </c>
      <c r="O51" s="24">
        <f>AVERAGE(B51:M51)</f>
        <v>3.650793650793651E-2</v>
      </c>
    </row>
    <row r="52" spans="1:15" ht="15.75" thickBot="1" x14ac:dyDescent="0.3">
      <c r="O52" s="24"/>
    </row>
    <row r="53" spans="1:15" x14ac:dyDescent="0.25">
      <c r="A53" s="99" t="s">
        <v>36</v>
      </c>
      <c r="B53" s="101" t="s">
        <v>126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2"/>
      <c r="O53" s="24"/>
    </row>
    <row r="54" spans="1:15" x14ac:dyDescent="0.25">
      <c r="A54" s="100"/>
      <c r="B54" s="51" t="s">
        <v>150</v>
      </c>
      <c r="C54" s="51" t="s">
        <v>151</v>
      </c>
      <c r="D54" s="51" t="s">
        <v>152</v>
      </c>
      <c r="E54" s="51" t="s">
        <v>153</v>
      </c>
      <c r="F54" s="51" t="s">
        <v>154</v>
      </c>
      <c r="G54" s="51" t="s">
        <v>155</v>
      </c>
      <c r="H54" s="51" t="s">
        <v>156</v>
      </c>
      <c r="I54" s="51" t="s">
        <v>157</v>
      </c>
      <c r="J54" s="51" t="s">
        <v>158</v>
      </c>
      <c r="K54" s="51" t="s">
        <v>159</v>
      </c>
      <c r="L54" s="51" t="s">
        <v>160</v>
      </c>
      <c r="M54" s="62" t="s">
        <v>161</v>
      </c>
      <c r="O54" s="24"/>
    </row>
    <row r="55" spans="1:15" x14ac:dyDescent="0.25">
      <c r="A55" s="63" t="s">
        <v>179</v>
      </c>
      <c r="B55" s="58">
        <v>0.43</v>
      </c>
      <c r="C55" s="58">
        <v>0</v>
      </c>
      <c r="D55" s="58">
        <v>0.2</v>
      </c>
      <c r="E55" s="58">
        <v>0.14000000000000001</v>
      </c>
      <c r="F55" s="58">
        <v>0.1</v>
      </c>
      <c r="G55" s="58">
        <v>0.22</v>
      </c>
      <c r="H55" s="58">
        <v>0.45</v>
      </c>
      <c r="I55" s="58">
        <v>0.22</v>
      </c>
      <c r="J55" s="58">
        <v>0</v>
      </c>
      <c r="K55" s="58">
        <v>0.17</v>
      </c>
      <c r="L55" s="58">
        <v>0.03</v>
      </c>
      <c r="M55" s="64">
        <v>0.08</v>
      </c>
      <c r="N55" s="63" t="s">
        <v>179</v>
      </c>
      <c r="O55" s="24">
        <f>AVERAGE(B55:M55)</f>
        <v>0.17</v>
      </c>
    </row>
    <row r="56" spans="1:15" ht="15.75" thickBot="1" x14ac:dyDescent="0.3">
      <c r="A56" s="65" t="s">
        <v>63</v>
      </c>
      <c r="B56" s="66">
        <v>0.56999999999999995</v>
      </c>
      <c r="C56" s="66">
        <v>1</v>
      </c>
      <c r="D56" s="66">
        <v>0.8</v>
      </c>
      <c r="E56" s="66">
        <v>0.86</v>
      </c>
      <c r="F56" s="66">
        <v>0.9</v>
      </c>
      <c r="G56" s="66">
        <v>0.78</v>
      </c>
      <c r="H56" s="66">
        <v>0.55000000000000004</v>
      </c>
      <c r="I56" s="66">
        <v>0.78</v>
      </c>
      <c r="J56" s="66">
        <v>1</v>
      </c>
      <c r="K56" s="66">
        <v>0.83</v>
      </c>
      <c r="L56" s="66">
        <v>0.97</v>
      </c>
      <c r="M56" s="67">
        <v>0.92</v>
      </c>
      <c r="N56" s="65" t="s">
        <v>63</v>
      </c>
      <c r="O56" s="24">
        <f>AVERAGE(B56:M56)</f>
        <v>0.83000000000000007</v>
      </c>
    </row>
    <row r="57" spans="1:15" ht="15.75" thickBot="1" x14ac:dyDescent="0.3">
      <c r="O57" s="24"/>
    </row>
    <row r="58" spans="1:15" x14ac:dyDescent="0.25">
      <c r="A58" s="99" t="s">
        <v>40</v>
      </c>
      <c r="B58" s="101" t="s">
        <v>126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2"/>
      <c r="O58" s="24"/>
    </row>
    <row r="59" spans="1:15" x14ac:dyDescent="0.25">
      <c r="A59" s="100"/>
      <c r="B59" s="51" t="s">
        <v>150</v>
      </c>
      <c r="C59" s="51" t="s">
        <v>151</v>
      </c>
      <c r="D59" s="51" t="s">
        <v>152</v>
      </c>
      <c r="E59" s="51" t="s">
        <v>153</v>
      </c>
      <c r="F59" s="51" t="s">
        <v>154</v>
      </c>
      <c r="G59" s="51" t="s">
        <v>155</v>
      </c>
      <c r="H59" s="51" t="s">
        <v>156</v>
      </c>
      <c r="I59" s="51" t="s">
        <v>157</v>
      </c>
      <c r="J59" s="51" t="s">
        <v>158</v>
      </c>
      <c r="K59" s="51" t="s">
        <v>159</v>
      </c>
      <c r="L59" s="51" t="s">
        <v>160</v>
      </c>
      <c r="M59" s="62" t="s">
        <v>161</v>
      </c>
      <c r="O59" s="24"/>
    </row>
    <row r="60" spans="1:15" x14ac:dyDescent="0.25">
      <c r="A60" s="72" t="s">
        <v>85</v>
      </c>
      <c r="B60" s="73">
        <v>0</v>
      </c>
      <c r="C60" s="73">
        <v>0</v>
      </c>
      <c r="D60" s="73">
        <v>0</v>
      </c>
      <c r="E60" s="73">
        <v>0</v>
      </c>
      <c r="F60" s="73">
        <v>0</v>
      </c>
      <c r="G60" s="73">
        <v>0</v>
      </c>
      <c r="H60" s="73">
        <v>0</v>
      </c>
      <c r="I60" s="73">
        <v>0</v>
      </c>
      <c r="J60" s="73">
        <v>7.6923076923076927E-2</v>
      </c>
      <c r="K60" s="73">
        <v>0</v>
      </c>
      <c r="L60" s="73">
        <v>0</v>
      </c>
      <c r="M60" s="74">
        <v>0</v>
      </c>
      <c r="N60" s="72" t="s">
        <v>85</v>
      </c>
      <c r="O60" s="24">
        <f>AVERAGE(B60:M60)</f>
        <v>6.4102564102564109E-3</v>
      </c>
    </row>
    <row r="61" spans="1:15" x14ac:dyDescent="0.25">
      <c r="A61" s="63" t="s">
        <v>87</v>
      </c>
      <c r="B61" s="58">
        <v>0.18181818181818182</v>
      </c>
      <c r="C61" s="58">
        <v>1</v>
      </c>
      <c r="D61" s="58">
        <v>0.14285714285714285</v>
      </c>
      <c r="E61" s="58">
        <v>0.22222222222222221</v>
      </c>
      <c r="F61" s="58">
        <v>0.2</v>
      </c>
      <c r="G61" s="58">
        <v>7.6923076923076927E-2</v>
      </c>
      <c r="H61" s="58">
        <v>0.23076923076923078</v>
      </c>
      <c r="I61" s="58">
        <v>0.16666666666666666</v>
      </c>
      <c r="J61" s="58">
        <v>0</v>
      </c>
      <c r="K61" s="58">
        <v>0.2857142857142857</v>
      </c>
      <c r="L61" s="58">
        <v>0.78947368421052633</v>
      </c>
      <c r="M61" s="64">
        <v>0.9285714285714286</v>
      </c>
      <c r="N61" s="63" t="s">
        <v>87</v>
      </c>
      <c r="O61" s="24">
        <f>AVERAGE(B61:M61)</f>
        <v>0.35208465997939681</v>
      </c>
    </row>
    <row r="62" spans="1:15" x14ac:dyDescent="0.25">
      <c r="A62" s="63" t="s">
        <v>89</v>
      </c>
      <c r="B62" s="58">
        <v>0.18181818181818182</v>
      </c>
      <c r="C62" s="58">
        <v>0</v>
      </c>
      <c r="D62" s="58">
        <v>0.42857142857142855</v>
      </c>
      <c r="E62" s="58">
        <v>0.33333333333333331</v>
      </c>
      <c r="F62" s="58">
        <v>0.5</v>
      </c>
      <c r="G62" s="58">
        <v>0.46153846153846156</v>
      </c>
      <c r="H62" s="58">
        <v>0.23076923076923078</v>
      </c>
      <c r="I62" s="58">
        <v>0.5</v>
      </c>
      <c r="J62" s="58">
        <v>0.23076923076923078</v>
      </c>
      <c r="K62" s="58">
        <v>0.42857142857142855</v>
      </c>
      <c r="L62" s="58">
        <v>0.10526315789473684</v>
      </c>
      <c r="M62" s="64">
        <v>0</v>
      </c>
      <c r="N62" s="63" t="s">
        <v>89</v>
      </c>
      <c r="O62" s="24">
        <f>AVERAGE(B62:M62)</f>
        <v>0.283386204438836</v>
      </c>
    </row>
    <row r="63" spans="1:15" x14ac:dyDescent="0.25">
      <c r="A63" s="63" t="s">
        <v>90</v>
      </c>
      <c r="B63" s="58">
        <v>0.27272727272727271</v>
      </c>
      <c r="C63" s="58">
        <v>0</v>
      </c>
      <c r="D63" s="58">
        <v>0.2857142857142857</v>
      </c>
      <c r="E63" s="58">
        <v>0.1111111111111111</v>
      </c>
      <c r="F63" s="58">
        <v>0.2</v>
      </c>
      <c r="G63" s="58">
        <v>0.30769230769230771</v>
      </c>
      <c r="H63" s="58">
        <v>0</v>
      </c>
      <c r="I63" s="58">
        <v>0</v>
      </c>
      <c r="J63" s="58">
        <v>0.23076923076923078</v>
      </c>
      <c r="K63" s="58">
        <v>0</v>
      </c>
      <c r="L63" s="58">
        <v>5.2631578947368418E-2</v>
      </c>
      <c r="M63" s="64">
        <v>0</v>
      </c>
      <c r="N63" s="63" t="s">
        <v>90</v>
      </c>
      <c r="O63" s="24">
        <f>AVERAGE(B63:M63)</f>
        <v>0.12172048224679803</v>
      </c>
    </row>
    <row r="64" spans="1:15" ht="15.75" thickBot="1" x14ac:dyDescent="0.3">
      <c r="A64" s="65" t="s">
        <v>92</v>
      </c>
      <c r="B64" s="66">
        <v>0.36363636363636365</v>
      </c>
      <c r="C64" s="66">
        <v>0</v>
      </c>
      <c r="D64" s="66">
        <v>0.14285714285714285</v>
      </c>
      <c r="E64" s="66">
        <v>0.33333333333333331</v>
      </c>
      <c r="F64" s="66">
        <v>0.1</v>
      </c>
      <c r="G64" s="66">
        <v>0.15384615384615385</v>
      </c>
      <c r="H64" s="66">
        <v>0.53846153846153844</v>
      </c>
      <c r="I64" s="66">
        <v>0.33333333333333331</v>
      </c>
      <c r="J64" s="66">
        <v>0.46153846153846156</v>
      </c>
      <c r="K64" s="66">
        <v>0.2857142857142857</v>
      </c>
      <c r="L64" s="66">
        <v>5.2631578947368418E-2</v>
      </c>
      <c r="M64" s="67">
        <v>7.1428571428571425E-2</v>
      </c>
      <c r="N64" s="65" t="s">
        <v>92</v>
      </c>
      <c r="O64" s="24">
        <f>AVERAGE(B64:M64)</f>
        <v>0.23639839692471273</v>
      </c>
    </row>
    <row r="65" spans="1:15" x14ac:dyDescent="0.25">
      <c r="C65">
        <v>0</v>
      </c>
      <c r="O65" s="24"/>
    </row>
    <row r="66" spans="1:15" x14ac:dyDescent="0.25">
      <c r="A66" s="103" t="s">
        <v>44</v>
      </c>
      <c r="B66" s="103" t="s">
        <v>126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O66" s="24"/>
    </row>
    <row r="67" spans="1:15" x14ac:dyDescent="0.25">
      <c r="A67" s="103"/>
      <c r="B67" s="51" t="s">
        <v>150</v>
      </c>
      <c r="C67" s="51" t="s">
        <v>151</v>
      </c>
      <c r="D67" s="51" t="s">
        <v>152</v>
      </c>
      <c r="E67" s="51" t="s">
        <v>153</v>
      </c>
      <c r="F67" s="51" t="s">
        <v>154</v>
      </c>
      <c r="G67" s="51" t="s">
        <v>155</v>
      </c>
      <c r="H67" s="51" t="s">
        <v>156</v>
      </c>
      <c r="I67" s="51" t="s">
        <v>157</v>
      </c>
      <c r="J67" s="51" t="s">
        <v>158</v>
      </c>
      <c r="K67" s="51" t="s">
        <v>159</v>
      </c>
      <c r="L67" s="51" t="s">
        <v>160</v>
      </c>
      <c r="M67" s="51" t="s">
        <v>161</v>
      </c>
      <c r="O67" s="24"/>
    </row>
    <row r="68" spans="1:15" x14ac:dyDescent="0.25">
      <c r="A68" s="51" t="s">
        <v>98</v>
      </c>
      <c r="B68" s="58">
        <v>0</v>
      </c>
      <c r="C68" s="75">
        <v>0.16666666666666666</v>
      </c>
      <c r="D68" s="58">
        <v>0.33333333333333331</v>
      </c>
      <c r="E68" s="58">
        <v>4.7619047619047616E-2</v>
      </c>
      <c r="F68" s="58">
        <v>0.15789473684210525</v>
      </c>
      <c r="G68" s="58">
        <v>0.25</v>
      </c>
      <c r="H68" s="58">
        <v>0.11764705882352941</v>
      </c>
      <c r="I68" s="58">
        <v>0.23076923076923078</v>
      </c>
      <c r="J68" s="58">
        <v>7.8947368421052627E-2</v>
      </c>
      <c r="K68" s="58">
        <v>0.18181818181818182</v>
      </c>
      <c r="L68" s="58">
        <v>9.0909090909090912E-2</v>
      </c>
      <c r="M68" s="58">
        <v>4.3478260869565216E-2</v>
      </c>
      <c r="N68" s="51" t="s">
        <v>98</v>
      </c>
      <c r="O68" s="24">
        <f t="shared" ref="O68:O77" si="4">AVERAGE(B68:M68)</f>
        <v>0.14159024800598366</v>
      </c>
    </row>
    <row r="69" spans="1:15" x14ac:dyDescent="0.25">
      <c r="A69" s="51" t="s">
        <v>100</v>
      </c>
      <c r="B69" s="58">
        <v>0.5</v>
      </c>
      <c r="C69" s="58">
        <v>0</v>
      </c>
      <c r="D69" s="58">
        <v>0.33333333333333331</v>
      </c>
      <c r="E69" s="58">
        <v>0</v>
      </c>
      <c r="F69" s="58">
        <v>0.15789473684210525</v>
      </c>
      <c r="G69" s="58">
        <v>0</v>
      </c>
      <c r="H69" s="58">
        <v>0.17647058823529413</v>
      </c>
      <c r="I69" s="58">
        <v>0</v>
      </c>
      <c r="J69" s="58">
        <v>2.6315789473684209E-2</v>
      </c>
      <c r="K69" s="58">
        <v>0</v>
      </c>
      <c r="L69" s="58">
        <v>0.18181818181818182</v>
      </c>
      <c r="M69" s="58">
        <v>0</v>
      </c>
      <c r="N69" s="51" t="s">
        <v>100</v>
      </c>
      <c r="O69" s="24">
        <f t="shared" si="4"/>
        <v>0.11465271914188324</v>
      </c>
    </row>
    <row r="70" spans="1:15" x14ac:dyDescent="0.25">
      <c r="A70" s="51" t="s">
        <v>101</v>
      </c>
      <c r="B70" s="58">
        <v>0</v>
      </c>
      <c r="C70" s="58">
        <v>0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1" t="s">
        <v>101</v>
      </c>
      <c r="O70" s="24">
        <f t="shared" si="4"/>
        <v>0</v>
      </c>
    </row>
    <row r="71" spans="1:15" x14ac:dyDescent="0.25">
      <c r="A71" s="51" t="s">
        <v>102</v>
      </c>
      <c r="B71" s="58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2.6315789473684209E-2</v>
      </c>
      <c r="K71" s="58">
        <v>9.0909090909090912E-2</v>
      </c>
      <c r="L71" s="58">
        <v>0</v>
      </c>
      <c r="M71" s="58">
        <v>0.17391304347826086</v>
      </c>
      <c r="N71" s="51" t="s">
        <v>102</v>
      </c>
      <c r="O71" s="24">
        <f t="shared" si="4"/>
        <v>2.4261493655086331E-2</v>
      </c>
    </row>
    <row r="72" spans="1:15" x14ac:dyDescent="0.25">
      <c r="A72" s="51" t="s">
        <v>104</v>
      </c>
      <c r="B72" s="58">
        <v>0.25</v>
      </c>
      <c r="C72" s="58">
        <v>0</v>
      </c>
      <c r="D72" s="58">
        <v>0</v>
      </c>
      <c r="E72" s="58">
        <v>0.23809523809523808</v>
      </c>
      <c r="F72" s="58">
        <v>0.15789473684210525</v>
      </c>
      <c r="G72" s="58">
        <v>0.29166666666666669</v>
      </c>
      <c r="H72" s="58">
        <v>0.35294117647058826</v>
      </c>
      <c r="I72" s="58">
        <v>0.53846153846153844</v>
      </c>
      <c r="J72" s="58">
        <v>0.15789473684210525</v>
      </c>
      <c r="K72" s="58">
        <v>0.36363636363636365</v>
      </c>
      <c r="L72" s="58">
        <v>0.36363636363636365</v>
      </c>
      <c r="M72" s="58">
        <v>0.17391304347826086</v>
      </c>
      <c r="N72" s="51" t="s">
        <v>104</v>
      </c>
      <c r="O72" s="24">
        <f t="shared" si="4"/>
        <v>0.24067832201076919</v>
      </c>
    </row>
    <row r="73" spans="1:15" x14ac:dyDescent="0.25">
      <c r="A73" s="51" t="s">
        <v>107</v>
      </c>
      <c r="B73" s="58">
        <v>0.25</v>
      </c>
      <c r="C73" s="58">
        <v>0</v>
      </c>
      <c r="D73" s="58">
        <v>0.33333333333333331</v>
      </c>
      <c r="E73" s="58">
        <v>4.7619047619047616E-2</v>
      </c>
      <c r="F73" s="58">
        <v>5.2631578947368418E-2</v>
      </c>
      <c r="G73" s="58">
        <v>4.1666666666666664E-2</v>
      </c>
      <c r="H73" s="58">
        <v>0.11764705882352941</v>
      </c>
      <c r="I73" s="58">
        <v>7.6923076923076927E-2</v>
      </c>
      <c r="J73" s="58">
        <v>0</v>
      </c>
      <c r="K73" s="58">
        <v>0</v>
      </c>
      <c r="L73" s="58">
        <v>9.0909090909090912E-2</v>
      </c>
      <c r="M73" s="58">
        <v>4.3478260869565216E-2</v>
      </c>
      <c r="N73" s="51" t="s">
        <v>107</v>
      </c>
      <c r="O73" s="24">
        <f t="shared" si="4"/>
        <v>8.785067617430653E-2</v>
      </c>
    </row>
    <row r="74" spans="1:15" x14ac:dyDescent="0.25">
      <c r="A74" s="51" t="s">
        <v>109</v>
      </c>
      <c r="B74" s="58">
        <v>0</v>
      </c>
      <c r="C74" s="58">
        <v>0</v>
      </c>
      <c r="D74" s="58">
        <v>0</v>
      </c>
      <c r="E74" s="58">
        <v>0</v>
      </c>
      <c r="F74" s="58">
        <v>5.2631578947368418E-2</v>
      </c>
      <c r="G74" s="58">
        <v>0</v>
      </c>
      <c r="H74" s="58">
        <v>0.17647058823529413</v>
      </c>
      <c r="I74" s="58">
        <v>0.15384615384615385</v>
      </c>
      <c r="J74" s="58">
        <v>0</v>
      </c>
      <c r="K74" s="58">
        <v>4.5454545454545456E-2</v>
      </c>
      <c r="L74" s="58">
        <v>0</v>
      </c>
      <c r="M74" s="58">
        <v>8.6956521739130432E-2</v>
      </c>
      <c r="N74" s="51" t="s">
        <v>109</v>
      </c>
      <c r="O74" s="24">
        <f t="shared" si="4"/>
        <v>4.294661568520769E-2</v>
      </c>
    </row>
    <row r="75" spans="1:15" x14ac:dyDescent="0.25">
      <c r="A75" s="51" t="s">
        <v>111</v>
      </c>
      <c r="B75" s="58">
        <v>0</v>
      </c>
      <c r="C75" s="58">
        <v>0.83333333333333337</v>
      </c>
      <c r="D75" s="58">
        <v>0</v>
      </c>
      <c r="E75" s="58">
        <v>0.5714285714285714</v>
      </c>
      <c r="F75" s="58">
        <v>0.36842105263157893</v>
      </c>
      <c r="G75" s="58">
        <v>0.16666666666666666</v>
      </c>
      <c r="H75" s="58">
        <v>5.8823529411764705E-2</v>
      </c>
      <c r="I75" s="58">
        <v>0</v>
      </c>
      <c r="J75" s="58">
        <v>0.68421052631578949</v>
      </c>
      <c r="K75" s="58">
        <v>0.22727272727272727</v>
      </c>
      <c r="L75" s="58">
        <v>9.0909090909090912E-2</v>
      </c>
      <c r="M75" s="58">
        <v>0.47826086956521741</v>
      </c>
      <c r="N75" s="51" t="s">
        <v>111</v>
      </c>
      <c r="O75" s="24">
        <f t="shared" si="4"/>
        <v>0.28994386396122834</v>
      </c>
    </row>
    <row r="76" spans="1:15" x14ac:dyDescent="0.25">
      <c r="A76" s="51" t="s">
        <v>113</v>
      </c>
      <c r="B76" s="58">
        <v>0</v>
      </c>
      <c r="C76" s="58">
        <v>0</v>
      </c>
      <c r="D76" s="58">
        <v>0</v>
      </c>
      <c r="E76" s="58">
        <v>9.5238095238095233E-2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0.18181818181818182</v>
      </c>
      <c r="M76" s="58">
        <v>0</v>
      </c>
      <c r="N76" s="51" t="s">
        <v>113</v>
      </c>
      <c r="O76" s="24">
        <f t="shared" si="4"/>
        <v>2.3088023088023088E-2</v>
      </c>
    </row>
    <row r="77" spans="1:15" x14ac:dyDescent="0.25">
      <c r="A77" s="51" t="s">
        <v>115</v>
      </c>
      <c r="B77" s="58">
        <v>0</v>
      </c>
      <c r="C77" s="58">
        <v>0</v>
      </c>
      <c r="D77" s="58">
        <v>0</v>
      </c>
      <c r="E77" s="58">
        <v>0</v>
      </c>
      <c r="F77" s="58">
        <v>0</v>
      </c>
      <c r="G77" s="58">
        <v>0.20833333333333334</v>
      </c>
      <c r="H77" s="58">
        <v>0</v>
      </c>
      <c r="I77" s="58">
        <v>0</v>
      </c>
      <c r="J77" s="58">
        <v>0</v>
      </c>
      <c r="K77" s="58">
        <v>4.5454545454545456E-2</v>
      </c>
      <c r="L77" s="58">
        <v>0</v>
      </c>
      <c r="M77" s="58">
        <v>0</v>
      </c>
      <c r="N77" s="51" t="s">
        <v>115</v>
      </c>
      <c r="O77" s="24">
        <f t="shared" si="4"/>
        <v>2.11489898989899E-2</v>
      </c>
    </row>
    <row r="78" spans="1:15" ht="15.75" thickBot="1" x14ac:dyDescent="0.3">
      <c r="O78" s="24"/>
    </row>
    <row r="79" spans="1:15" x14ac:dyDescent="0.25">
      <c r="A79" s="76"/>
      <c r="B79" s="101" t="s">
        <v>126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2"/>
      <c r="O79" s="24"/>
    </row>
    <row r="80" spans="1:15" x14ac:dyDescent="0.25">
      <c r="A80" s="63"/>
      <c r="B80" s="51" t="s">
        <v>150</v>
      </c>
      <c r="C80" s="51" t="s">
        <v>151</v>
      </c>
      <c r="D80" s="51" t="s">
        <v>152</v>
      </c>
      <c r="E80" s="51" t="s">
        <v>153</v>
      </c>
      <c r="F80" s="51" t="s">
        <v>154</v>
      </c>
      <c r="G80" s="51" t="s">
        <v>155</v>
      </c>
      <c r="H80" s="51" t="s">
        <v>156</v>
      </c>
      <c r="I80" s="51" t="s">
        <v>157</v>
      </c>
      <c r="J80" s="51" t="s">
        <v>158</v>
      </c>
      <c r="K80" s="51" t="s">
        <v>159</v>
      </c>
      <c r="L80" s="51" t="s">
        <v>160</v>
      </c>
      <c r="M80" s="62" t="s">
        <v>161</v>
      </c>
      <c r="O80" s="24"/>
    </row>
    <row r="81" spans="1:15" ht="15.75" thickBot="1" x14ac:dyDescent="0.3">
      <c r="A81" s="65" t="s">
        <v>65</v>
      </c>
      <c r="B81" s="66">
        <v>0.12</v>
      </c>
      <c r="C81" s="66">
        <v>0.06</v>
      </c>
      <c r="D81" s="66">
        <v>0.08</v>
      </c>
      <c r="E81" s="66">
        <v>0.04</v>
      </c>
      <c r="F81" s="66">
        <v>7.0000000000000007E-2</v>
      </c>
      <c r="G81" s="66">
        <v>0.05</v>
      </c>
      <c r="H81" s="66">
        <v>0.11</v>
      </c>
      <c r="I81" s="66">
        <v>0.1</v>
      </c>
      <c r="J81" s="66">
        <v>0.06</v>
      </c>
      <c r="K81" s="66">
        <v>0.08</v>
      </c>
      <c r="L81" s="66">
        <v>0.01</v>
      </c>
      <c r="M81" s="67">
        <v>0.04</v>
      </c>
      <c r="N81" s="65" t="s">
        <v>65</v>
      </c>
      <c r="O81" s="24">
        <f>AVERAGE(B81:M81)</f>
        <v>6.8333333333333329E-2</v>
      </c>
    </row>
    <row r="82" spans="1:15" ht="15.75" thickBot="1" x14ac:dyDescent="0.3"/>
    <row r="83" spans="1:15" x14ac:dyDescent="0.25">
      <c r="A83" s="104" t="s">
        <v>180</v>
      </c>
      <c r="B83" s="101" t="s">
        <v>126</v>
      </c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2"/>
    </row>
    <row r="84" spans="1:15" x14ac:dyDescent="0.25">
      <c r="A84" s="105"/>
      <c r="B84" s="51" t="s">
        <v>150</v>
      </c>
      <c r="C84" s="51" t="s">
        <v>151</v>
      </c>
      <c r="D84" s="51" t="s">
        <v>152</v>
      </c>
      <c r="E84" s="51" t="s">
        <v>153</v>
      </c>
      <c r="F84" s="51" t="s">
        <v>154</v>
      </c>
      <c r="G84" s="51" t="s">
        <v>155</v>
      </c>
      <c r="H84" s="51" t="s">
        <v>156</v>
      </c>
      <c r="I84" s="51" t="s">
        <v>157</v>
      </c>
      <c r="J84" s="51" t="s">
        <v>158</v>
      </c>
      <c r="K84" s="51" t="s">
        <v>159</v>
      </c>
      <c r="L84" s="51" t="s">
        <v>160</v>
      </c>
      <c r="M84" s="62" t="s">
        <v>161</v>
      </c>
    </row>
    <row r="85" spans="1:15" x14ac:dyDescent="0.25">
      <c r="A85" s="63" t="s">
        <v>181</v>
      </c>
      <c r="B85" s="57">
        <v>41</v>
      </c>
      <c r="C85" s="57">
        <v>18</v>
      </c>
      <c r="D85" s="57">
        <v>23</v>
      </c>
      <c r="E85" s="57">
        <v>39</v>
      </c>
      <c r="F85" s="57">
        <v>35</v>
      </c>
      <c r="G85" s="57">
        <v>42</v>
      </c>
      <c r="H85" s="57">
        <v>46</v>
      </c>
      <c r="I85" s="57">
        <v>35</v>
      </c>
      <c r="J85" s="57">
        <v>42</v>
      </c>
      <c r="K85" s="57">
        <v>40</v>
      </c>
      <c r="L85" s="57">
        <v>38</v>
      </c>
      <c r="M85" s="77">
        <v>33</v>
      </c>
      <c r="N85" s="63" t="s">
        <v>181</v>
      </c>
      <c r="O85" s="88">
        <f t="shared" ref="O85:O91" si="5">AVERAGE(B85:M85)</f>
        <v>36</v>
      </c>
    </row>
    <row r="86" spans="1:15" x14ac:dyDescent="0.25">
      <c r="A86" s="78" t="s">
        <v>94</v>
      </c>
      <c r="B86" s="58">
        <v>0.48780487804878048</v>
      </c>
      <c r="C86" s="58">
        <v>0.27777777777777779</v>
      </c>
      <c r="D86" s="58">
        <v>0.30434782608695654</v>
      </c>
      <c r="E86" s="58">
        <v>0.28205128205128205</v>
      </c>
      <c r="F86" s="58">
        <v>0.37142857142857144</v>
      </c>
      <c r="G86" s="58">
        <v>0.40476190476190477</v>
      </c>
      <c r="H86" s="58">
        <v>0.36956521739130432</v>
      </c>
      <c r="I86" s="58">
        <v>0.45714285714285713</v>
      </c>
      <c r="J86" s="58">
        <v>0.35714285714285715</v>
      </c>
      <c r="K86" s="58">
        <v>0.375</v>
      </c>
      <c r="L86" s="58">
        <v>0.31578947368421051</v>
      </c>
      <c r="M86" s="64">
        <v>0.24242424242424243</v>
      </c>
      <c r="N86" s="78" t="s">
        <v>94</v>
      </c>
      <c r="O86" s="24">
        <f t="shared" si="5"/>
        <v>0.35376974066172867</v>
      </c>
    </row>
    <row r="87" spans="1:15" x14ac:dyDescent="0.25">
      <c r="A87" s="79" t="s">
        <v>95</v>
      </c>
      <c r="B87" s="58">
        <v>7.3170731707317069E-2</v>
      </c>
      <c r="C87" s="58">
        <v>5.5555555555555552E-2</v>
      </c>
      <c r="D87" s="58">
        <v>4.3478260869565216E-2</v>
      </c>
      <c r="E87" s="58">
        <v>0</v>
      </c>
      <c r="F87" s="58">
        <v>5.7142857142857141E-2</v>
      </c>
      <c r="G87" s="58">
        <v>9.5238095238095233E-2</v>
      </c>
      <c r="H87" s="58">
        <v>0.10869565217391304</v>
      </c>
      <c r="I87" s="58">
        <v>2.8571428571428571E-2</v>
      </c>
      <c r="J87" s="58">
        <v>7.1428571428571425E-2</v>
      </c>
      <c r="K87" s="58">
        <v>0.125</v>
      </c>
      <c r="L87" s="58">
        <v>0.13157894736842105</v>
      </c>
      <c r="M87" s="64">
        <v>6.0606060606060608E-2</v>
      </c>
      <c r="N87" s="79" t="s">
        <v>95</v>
      </c>
      <c r="O87" s="24">
        <f t="shared" si="5"/>
        <v>7.087218005514874E-2</v>
      </c>
    </row>
    <row r="88" spans="1:15" x14ac:dyDescent="0.25">
      <c r="A88" s="79" t="s">
        <v>96</v>
      </c>
      <c r="B88" s="58">
        <v>0</v>
      </c>
      <c r="C88" s="58">
        <v>0</v>
      </c>
      <c r="D88" s="58">
        <v>0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64">
        <v>0</v>
      </c>
      <c r="N88" s="79" t="s">
        <v>96</v>
      </c>
      <c r="O88" s="24">
        <f t="shared" si="5"/>
        <v>0</v>
      </c>
    </row>
    <row r="89" spans="1:15" x14ac:dyDescent="0.25">
      <c r="A89" s="79" t="s">
        <v>97</v>
      </c>
      <c r="B89" s="58">
        <v>0</v>
      </c>
      <c r="C89" s="58">
        <v>0</v>
      </c>
      <c r="D89" s="58">
        <v>0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7.1428571428571425E-2</v>
      </c>
      <c r="K89" s="58">
        <v>0</v>
      </c>
      <c r="L89" s="58">
        <v>0</v>
      </c>
      <c r="M89" s="64">
        <v>0</v>
      </c>
      <c r="N89" s="79" t="s">
        <v>97</v>
      </c>
      <c r="O89" s="24">
        <f t="shared" si="5"/>
        <v>5.9523809523809521E-3</v>
      </c>
    </row>
    <row r="90" spans="1:15" x14ac:dyDescent="0.25">
      <c r="A90" s="79" t="s">
        <v>99</v>
      </c>
      <c r="B90" s="58">
        <v>0.41463414634146339</v>
      </c>
      <c r="C90" s="58">
        <v>0.66666666666666663</v>
      </c>
      <c r="D90" s="58">
        <v>0.65217391304347827</v>
      </c>
      <c r="E90" s="58">
        <v>0.69230769230769229</v>
      </c>
      <c r="F90" s="58">
        <v>0.54285714285714282</v>
      </c>
      <c r="G90" s="58">
        <v>0.5</v>
      </c>
      <c r="H90" s="58">
        <v>0</v>
      </c>
      <c r="I90" s="58">
        <v>0.48571428571428571</v>
      </c>
      <c r="J90" s="58">
        <v>0.47619047619047616</v>
      </c>
      <c r="K90" s="58">
        <v>0.5</v>
      </c>
      <c r="L90" s="58">
        <v>0.5</v>
      </c>
      <c r="M90" s="64">
        <v>0.63636363636363635</v>
      </c>
      <c r="N90" s="79" t="s">
        <v>99</v>
      </c>
      <c r="O90" s="24">
        <f t="shared" si="5"/>
        <v>0.50557566329040349</v>
      </c>
    </row>
    <row r="91" spans="1:15" ht="15.75" thickBot="1" x14ac:dyDescent="0.3">
      <c r="A91" s="80" t="s">
        <v>44</v>
      </c>
      <c r="B91" s="66">
        <v>2.4390243902439025E-2</v>
      </c>
      <c r="C91" s="66">
        <v>0</v>
      </c>
      <c r="D91" s="66">
        <v>0</v>
      </c>
      <c r="E91" s="66">
        <v>2.564102564102564E-2</v>
      </c>
      <c r="F91" s="66">
        <v>2.8571428571428571E-2</v>
      </c>
      <c r="G91" s="66">
        <v>0</v>
      </c>
      <c r="H91" s="66">
        <v>0</v>
      </c>
      <c r="I91" s="66">
        <v>2.8571428571428571E-2</v>
      </c>
      <c r="J91" s="66">
        <v>2.3809523809523808E-2</v>
      </c>
      <c r="K91" s="66">
        <v>0</v>
      </c>
      <c r="L91" s="66">
        <v>5.2631578947368418E-2</v>
      </c>
      <c r="M91" s="67">
        <v>6.0606060606060608E-2</v>
      </c>
      <c r="N91" s="79" t="s">
        <v>44</v>
      </c>
      <c r="O91" s="24">
        <f t="shared" si="5"/>
        <v>2.0351774170772885E-2</v>
      </c>
    </row>
  </sheetData>
  <mergeCells count="19">
    <mergeCell ref="A83:A84"/>
    <mergeCell ref="B83:M83"/>
    <mergeCell ref="A32:A33"/>
    <mergeCell ref="B32:M32"/>
    <mergeCell ref="A47:A48"/>
    <mergeCell ref="B47:M47"/>
    <mergeCell ref="A53:A54"/>
    <mergeCell ref="B53:M53"/>
    <mergeCell ref="A58:A59"/>
    <mergeCell ref="B58:M58"/>
    <mergeCell ref="A66:A67"/>
    <mergeCell ref="B66:M66"/>
    <mergeCell ref="B79:M79"/>
    <mergeCell ref="A1:A2"/>
    <mergeCell ref="B1:M1"/>
    <mergeCell ref="A13:A14"/>
    <mergeCell ref="B13:M13"/>
    <mergeCell ref="A26:A27"/>
    <mergeCell ref="B26:M2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4" sqref="D14"/>
    </sheetView>
  </sheetViews>
  <sheetFormatPr baseColWidth="10" defaultRowHeight="15" x14ac:dyDescent="0.25"/>
  <cols>
    <col min="2" max="2" width="13.7109375" customWidth="1"/>
    <col min="3" max="3" width="17.7109375" customWidth="1"/>
    <col min="4" max="4" width="16.28515625" customWidth="1"/>
    <col min="5" max="5" width="11.42578125" customWidth="1"/>
  </cols>
  <sheetData>
    <row r="1" spans="1:5" x14ac:dyDescent="0.25">
      <c r="A1" s="81"/>
      <c r="B1" s="81" t="s">
        <v>182</v>
      </c>
      <c r="C1" s="81" t="s">
        <v>183</v>
      </c>
      <c r="D1" s="81" t="s">
        <v>184</v>
      </c>
      <c r="E1" s="81" t="s">
        <v>185</v>
      </c>
    </row>
    <row r="2" spans="1:5" x14ac:dyDescent="0.25">
      <c r="A2" s="81" t="s">
        <v>137</v>
      </c>
      <c r="B2" s="59">
        <v>88815.959999999992</v>
      </c>
      <c r="C2" s="59">
        <v>43398.2</v>
      </c>
      <c r="D2" s="59">
        <v>6500</v>
      </c>
      <c r="E2" s="59">
        <f t="shared" ref="E2:E12" si="0">D2/C2</f>
        <v>0.14977579715287731</v>
      </c>
    </row>
    <row r="3" spans="1:5" x14ac:dyDescent="0.25">
      <c r="A3" s="81" t="s">
        <v>138</v>
      </c>
      <c r="B3" s="59">
        <v>37145.35</v>
      </c>
      <c r="C3" s="59">
        <v>9281</v>
      </c>
      <c r="D3" s="59">
        <v>3000</v>
      </c>
      <c r="E3" s="59">
        <f t="shared" si="0"/>
        <v>0.3232410300614158</v>
      </c>
    </row>
    <row r="4" spans="1:5" x14ac:dyDescent="0.25">
      <c r="A4" s="81" t="s">
        <v>139</v>
      </c>
      <c r="B4" s="59">
        <v>43402.36</v>
      </c>
      <c r="C4" s="59">
        <v>11033.64</v>
      </c>
      <c r="D4" s="59">
        <v>3000</v>
      </c>
      <c r="E4" s="59">
        <f t="shared" si="0"/>
        <v>0.27189576603913124</v>
      </c>
    </row>
    <row r="5" spans="1:5" x14ac:dyDescent="0.25">
      <c r="A5" s="81" t="s">
        <v>140</v>
      </c>
      <c r="B5" s="59">
        <v>134285.45000000001</v>
      </c>
      <c r="C5" s="59">
        <v>31156.329999999998</v>
      </c>
      <c r="D5" s="59">
        <v>7000</v>
      </c>
      <c r="E5" s="59">
        <f t="shared" si="0"/>
        <v>0.22467344517149485</v>
      </c>
    </row>
    <row r="6" spans="1:5" x14ac:dyDescent="0.25">
      <c r="A6" s="81" t="s">
        <v>141</v>
      </c>
      <c r="B6" s="59">
        <v>91981.860000000015</v>
      </c>
      <c r="C6" s="59">
        <v>38521.35</v>
      </c>
      <c r="D6" s="59">
        <v>6500</v>
      </c>
      <c r="E6" s="59">
        <f t="shared" si="0"/>
        <v>0.16873759616420506</v>
      </c>
    </row>
    <row r="7" spans="1:5" x14ac:dyDescent="0.25">
      <c r="A7" s="81" t="s">
        <v>142</v>
      </c>
      <c r="B7" s="59">
        <v>110810.4958108108</v>
      </c>
      <c r="C7" s="59">
        <v>53979.515810810808</v>
      </c>
      <c r="D7" s="59">
        <v>4000</v>
      </c>
      <c r="E7" s="59">
        <f t="shared" si="0"/>
        <v>7.410218376206508E-2</v>
      </c>
    </row>
    <row r="8" spans="1:5" x14ac:dyDescent="0.25">
      <c r="A8" s="81" t="s">
        <v>143</v>
      </c>
      <c r="B8" s="59">
        <v>103431.77999999998</v>
      </c>
      <c r="C8" s="59">
        <v>38733.509999999995</v>
      </c>
      <c r="D8" s="59">
        <v>6500</v>
      </c>
      <c r="E8" s="59">
        <f t="shared" si="0"/>
        <v>0.16781334818352381</v>
      </c>
    </row>
    <row r="9" spans="1:5" x14ac:dyDescent="0.25">
      <c r="A9" s="81" t="s">
        <v>144</v>
      </c>
      <c r="B9" s="59">
        <v>82358.100000000006</v>
      </c>
      <c r="C9" s="59">
        <v>38913.629999999997</v>
      </c>
      <c r="D9" s="59">
        <v>8846.4599999999991</v>
      </c>
      <c r="E9" s="59">
        <f t="shared" si="0"/>
        <v>0.22733576898377253</v>
      </c>
    </row>
    <row r="10" spans="1:5" x14ac:dyDescent="0.25">
      <c r="A10" s="81" t="s">
        <v>145</v>
      </c>
      <c r="B10" s="59">
        <v>131225.00999999998</v>
      </c>
      <c r="C10" s="59">
        <v>70163.309999999983</v>
      </c>
      <c r="D10" s="59">
        <v>5000</v>
      </c>
      <c r="E10" s="59">
        <f t="shared" si="0"/>
        <v>7.1262316444306875E-2</v>
      </c>
    </row>
    <row r="11" spans="1:5" x14ac:dyDescent="0.25">
      <c r="A11" s="81" t="s">
        <v>146</v>
      </c>
      <c r="B11" s="59">
        <v>95602.069999999992</v>
      </c>
      <c r="C11" s="59">
        <v>29341.11</v>
      </c>
      <c r="D11" s="59">
        <v>6500</v>
      </c>
      <c r="E11" s="59">
        <f t="shared" si="0"/>
        <v>0.22153217788965721</v>
      </c>
    </row>
    <row r="12" spans="1:5" x14ac:dyDescent="0.25">
      <c r="A12" s="81" t="s">
        <v>147</v>
      </c>
      <c r="B12" s="59">
        <v>101436.3</v>
      </c>
      <c r="C12" s="59">
        <v>20795.66</v>
      </c>
      <c r="D12" s="59">
        <v>6500</v>
      </c>
      <c r="E12" s="59">
        <f t="shared" si="0"/>
        <v>0.31256521793489606</v>
      </c>
    </row>
    <row r="13" spans="1:5" x14ac:dyDescent="0.25">
      <c r="A13" s="81" t="s">
        <v>148</v>
      </c>
      <c r="B13" s="59">
        <v>103272.67000000001</v>
      </c>
      <c r="C13" s="59">
        <v>39349.910000000003</v>
      </c>
      <c r="D13" s="59">
        <v>7500</v>
      </c>
      <c r="E13" s="59">
        <f>D13/C13</f>
        <v>0.19059764050286263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Estadísticas finales</vt:lpstr>
      <vt:lpstr>Estadísticas Específicas</vt:lpstr>
      <vt:lpstr>Publicidad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ALONSO!</dc:creator>
  <cp:lastModifiedBy>PRINCIPAL</cp:lastModifiedBy>
  <cp:lastPrinted>2024-04-03T16:47:53Z</cp:lastPrinted>
  <dcterms:created xsi:type="dcterms:W3CDTF">2023-12-28T20:50:21Z</dcterms:created>
  <dcterms:modified xsi:type="dcterms:W3CDTF">2026-03-06T16:30:09Z</dcterms:modified>
</cp:coreProperties>
</file>