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345"/>
  </bookViews>
  <sheets>
    <sheet name="Hoja1" sheetId="1" r:id="rId1"/>
    <sheet name="Enero" sheetId="2" r:id="rId2"/>
    <sheet name="Febrero" sheetId="3" r:id="rId3"/>
    <sheet name="Marzo" sheetId="4" r:id="rId4"/>
    <sheet name="Abril" sheetId="5" r:id="rId5"/>
    <sheet name="Mayo" sheetId="6" r:id="rId6"/>
    <sheet name="Junio" sheetId="7" r:id="rId7"/>
    <sheet name="Julio" sheetId="8" r:id="rId8"/>
    <sheet name="Agosto" sheetId="9" r:id="rId9"/>
    <sheet name="Septiembre" sheetId="10" r:id="rId10"/>
    <sheet name="Octubre" sheetId="11" r:id="rId11"/>
    <sheet name="Noviembre" sheetId="12" r:id="rId12"/>
    <sheet name="Diciembre" sheetId="13" r:id="rId13"/>
    <sheet name="Estadísticas finales" sheetId="14" r:id="rId14"/>
    <sheet name="Estadísticas Específicas" sheetId="15" r:id="rId15"/>
    <sheet name="Publicidad" sheetId="16" r:id="rId16"/>
  </sheets>
  <calcPr calcId="144525"/>
</workbook>
</file>

<file path=xl/calcChain.xml><?xml version="1.0" encoding="utf-8"?>
<calcChain xmlns="http://schemas.openxmlformats.org/spreadsheetml/2006/main">
  <c r="B108" i="13" l="1"/>
  <c r="B111" i="13"/>
  <c r="B110" i="13"/>
  <c r="B109" i="13"/>
  <c r="J103" i="13"/>
  <c r="J102" i="13"/>
  <c r="J101" i="13"/>
  <c r="J100" i="13"/>
  <c r="J99" i="13"/>
  <c r="J98" i="13"/>
  <c r="J97" i="13"/>
  <c r="J96" i="13"/>
  <c r="J95" i="13"/>
  <c r="J94" i="13"/>
  <c r="J90" i="13"/>
  <c r="J89" i="13"/>
  <c r="J88" i="13"/>
  <c r="J87" i="13"/>
  <c r="J86" i="13"/>
  <c r="J82" i="13"/>
  <c r="J81" i="13"/>
  <c r="J80" i="13"/>
  <c r="J79" i="13"/>
  <c r="J78" i="13"/>
  <c r="J77" i="13"/>
  <c r="J73" i="13"/>
  <c r="J72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5" i="13"/>
  <c r="J54" i="13"/>
  <c r="J53" i="13"/>
  <c r="J49" i="13"/>
  <c r="J48" i="13"/>
  <c r="J47" i="13"/>
  <c r="F103" i="13"/>
  <c r="F102" i="13"/>
  <c r="F101" i="13"/>
  <c r="F100" i="13"/>
  <c r="F99" i="13"/>
  <c r="F96" i="13"/>
  <c r="F95" i="13"/>
  <c r="F94" i="13"/>
  <c r="F93" i="13"/>
  <c r="F92" i="13"/>
  <c r="F91" i="13"/>
  <c r="F88" i="13"/>
  <c r="F87" i="13"/>
  <c r="F84" i="13"/>
  <c r="F83" i="13"/>
  <c r="F80" i="13"/>
  <c r="F79" i="13"/>
  <c r="F78" i="13"/>
  <c r="F75" i="13"/>
  <c r="F74" i="13"/>
  <c r="F73" i="13"/>
  <c r="F72" i="13"/>
  <c r="F71" i="13"/>
  <c r="F70" i="13"/>
  <c r="F69" i="13"/>
  <c r="F68" i="13"/>
  <c r="F67" i="13"/>
  <c r="F66" i="13"/>
  <c r="F63" i="13"/>
  <c r="F62" i="13"/>
  <c r="F61" i="13"/>
  <c r="F60" i="13"/>
  <c r="F59" i="13"/>
  <c r="F58" i="13"/>
  <c r="F57" i="13"/>
  <c r="F56" i="13"/>
  <c r="F55" i="13"/>
  <c r="F52" i="13"/>
  <c r="F51" i="13"/>
  <c r="F48" i="13"/>
  <c r="C77" i="13"/>
  <c r="C64" i="13"/>
  <c r="I93" i="13"/>
  <c r="C46" i="13" l="1"/>
  <c r="B115" i="8" l="1"/>
  <c r="B110" i="12" l="1"/>
  <c r="B109" i="12"/>
  <c r="B108" i="12"/>
  <c r="B107" i="12"/>
  <c r="B104" i="11" l="1"/>
  <c r="B107" i="11"/>
  <c r="B106" i="11"/>
  <c r="B105" i="11"/>
  <c r="B106" i="10" l="1"/>
  <c r="B109" i="10" l="1"/>
  <c r="B108" i="10"/>
  <c r="B107" i="10"/>
  <c r="B122" i="9" l="1"/>
  <c r="B121" i="9"/>
  <c r="B120" i="9"/>
  <c r="B119" i="9"/>
  <c r="B116" i="8" l="1"/>
  <c r="B114" i="8"/>
  <c r="E17" i="14" l="1"/>
  <c r="B115" i="7" l="1"/>
  <c r="B112" i="7" s="1"/>
  <c r="B113" i="7"/>
  <c r="B116" i="7"/>
  <c r="B114" i="7"/>
  <c r="F95" i="7"/>
  <c r="F91" i="7"/>
  <c r="F70" i="7"/>
  <c r="F59" i="7"/>
  <c r="F55" i="7"/>
  <c r="C50" i="7"/>
  <c r="E13" i="16" l="1"/>
  <c r="E12" i="16"/>
  <c r="E11" i="16"/>
  <c r="E10" i="16"/>
  <c r="E9" i="16"/>
  <c r="E8" i="16"/>
  <c r="E7" i="16"/>
  <c r="E6" i="16"/>
  <c r="E5" i="16"/>
  <c r="E4" i="16"/>
  <c r="E3" i="16"/>
  <c r="E2" i="16"/>
  <c r="O91" i="15"/>
  <c r="O90" i="15"/>
  <c r="O89" i="15"/>
  <c r="O88" i="15"/>
  <c r="O87" i="15"/>
  <c r="O86" i="15"/>
  <c r="O85" i="15"/>
  <c r="O81" i="15"/>
  <c r="O77" i="15"/>
  <c r="O76" i="15"/>
  <c r="O75" i="15"/>
  <c r="O74" i="15"/>
  <c r="O73" i="15"/>
  <c r="O72" i="15"/>
  <c r="O71" i="15"/>
  <c r="O70" i="15"/>
  <c r="O69" i="15"/>
  <c r="O68" i="15"/>
  <c r="O64" i="15"/>
  <c r="O63" i="15"/>
  <c r="O62" i="15"/>
  <c r="O61" i="15"/>
  <c r="O60" i="15"/>
  <c r="O56" i="15"/>
  <c r="O55" i="15"/>
  <c r="O51" i="15"/>
  <c r="O50" i="15"/>
  <c r="O49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0" i="15"/>
  <c r="O29" i="15"/>
  <c r="O28" i="15"/>
  <c r="O24" i="15"/>
  <c r="O23" i="15"/>
  <c r="O22" i="15"/>
  <c r="O21" i="15"/>
  <c r="O20" i="15"/>
  <c r="O19" i="15"/>
  <c r="O18" i="15"/>
  <c r="O17" i="15"/>
  <c r="O16" i="15"/>
  <c r="O15" i="15"/>
  <c r="O11" i="15"/>
  <c r="O10" i="15"/>
  <c r="O9" i="15"/>
  <c r="O8" i="15"/>
  <c r="O7" i="15"/>
  <c r="O6" i="15"/>
  <c r="O5" i="15"/>
  <c r="O4" i="15"/>
  <c r="O3" i="15"/>
  <c r="N17" i="14"/>
  <c r="L17" i="14"/>
  <c r="J17" i="14"/>
  <c r="I17" i="14"/>
  <c r="H17" i="14"/>
  <c r="G17" i="14"/>
  <c r="C17" i="14"/>
  <c r="B17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6" i="14"/>
  <c r="D6" i="14"/>
  <c r="F5" i="14"/>
  <c r="D5" i="14"/>
  <c r="F4" i="14"/>
  <c r="D4" i="14"/>
  <c r="F3" i="14"/>
  <c r="D3" i="14"/>
  <c r="F2" i="14"/>
  <c r="D2" i="14"/>
  <c r="B106" i="12"/>
  <c r="J101" i="12"/>
  <c r="F101" i="12"/>
  <c r="J100" i="12"/>
  <c r="F100" i="12"/>
  <c r="J99" i="12"/>
  <c r="F99" i="12"/>
  <c r="J98" i="12"/>
  <c r="F98" i="12"/>
  <c r="J97" i="12"/>
  <c r="F97" i="12"/>
  <c r="J96" i="12"/>
  <c r="J95" i="12"/>
  <c r="J94" i="12"/>
  <c r="F94" i="12"/>
  <c r="J93" i="12"/>
  <c r="F93" i="12"/>
  <c r="J92" i="12"/>
  <c r="F92" i="12"/>
  <c r="F91" i="12"/>
  <c r="F90" i="12"/>
  <c r="F89" i="12"/>
  <c r="J88" i="12"/>
  <c r="J87" i="12"/>
  <c r="J86" i="12"/>
  <c r="F86" i="12"/>
  <c r="J85" i="12"/>
  <c r="F85" i="12"/>
  <c r="J84" i="12"/>
  <c r="F82" i="12"/>
  <c r="F81" i="12"/>
  <c r="J80" i="12"/>
  <c r="J79" i="12"/>
  <c r="J78" i="12"/>
  <c r="F78" i="12"/>
  <c r="J77" i="12"/>
  <c r="F77" i="12"/>
  <c r="J76" i="12"/>
  <c r="F76" i="12"/>
  <c r="J75" i="12"/>
  <c r="C75" i="12"/>
  <c r="F73" i="12" s="1"/>
  <c r="J71" i="12"/>
  <c r="J70" i="12"/>
  <c r="J66" i="12"/>
  <c r="J65" i="12"/>
  <c r="J64" i="12"/>
  <c r="J63" i="12"/>
  <c r="J62" i="12"/>
  <c r="C62" i="12"/>
  <c r="F54" i="12" s="1"/>
  <c r="J61" i="12"/>
  <c r="F61" i="12"/>
  <c r="J60" i="12"/>
  <c r="F60" i="12"/>
  <c r="J59" i="12"/>
  <c r="F59" i="12"/>
  <c r="J58" i="12"/>
  <c r="F58" i="12"/>
  <c r="J57" i="12"/>
  <c r="F57" i="12"/>
  <c r="J56" i="12"/>
  <c r="F56" i="12"/>
  <c r="J55" i="12"/>
  <c r="F55" i="12"/>
  <c r="J53" i="12"/>
  <c r="F53" i="12"/>
  <c r="J52" i="12"/>
  <c r="J51" i="12"/>
  <c r="F50" i="12"/>
  <c r="F49" i="12"/>
  <c r="J47" i="12"/>
  <c r="J46" i="12"/>
  <c r="J45" i="12"/>
  <c r="C44" i="12"/>
  <c r="F46" i="12" s="1"/>
  <c r="J99" i="11"/>
  <c r="F99" i="11"/>
  <c r="J98" i="11"/>
  <c r="F98" i="11"/>
  <c r="J97" i="11"/>
  <c r="F97" i="11"/>
  <c r="J96" i="11"/>
  <c r="F96" i="11"/>
  <c r="J95" i="11"/>
  <c r="F95" i="11"/>
  <c r="J94" i="11"/>
  <c r="J93" i="11"/>
  <c r="J92" i="11"/>
  <c r="F92" i="11"/>
  <c r="J91" i="11"/>
  <c r="F91" i="11"/>
  <c r="J90" i="11"/>
  <c r="F90" i="11"/>
  <c r="F89" i="11"/>
  <c r="F88" i="11"/>
  <c r="F87" i="11"/>
  <c r="J86" i="11"/>
  <c r="J85" i="11"/>
  <c r="J84" i="11"/>
  <c r="F84" i="11"/>
  <c r="J83" i="11"/>
  <c r="F83" i="11"/>
  <c r="J82" i="11"/>
  <c r="F80" i="11"/>
  <c r="F79" i="11"/>
  <c r="J78" i="11"/>
  <c r="J77" i="11"/>
  <c r="J76" i="11"/>
  <c r="F76" i="11"/>
  <c r="J75" i="11"/>
  <c r="F75" i="11"/>
  <c r="J74" i="11"/>
  <c r="F74" i="11"/>
  <c r="J73" i="11"/>
  <c r="C73" i="11"/>
  <c r="F71" i="11" s="1"/>
  <c r="J69" i="11"/>
  <c r="J68" i="11"/>
  <c r="J64" i="11"/>
  <c r="J63" i="11"/>
  <c r="J62" i="11"/>
  <c r="J61" i="11"/>
  <c r="J60" i="11"/>
  <c r="C60" i="11"/>
  <c r="F59" i="11" s="1"/>
  <c r="J59" i="11"/>
  <c r="J58" i="11"/>
  <c r="J57" i="11"/>
  <c r="J56" i="11"/>
  <c r="J55" i="11"/>
  <c r="J54" i="11"/>
  <c r="J53" i="11"/>
  <c r="J51" i="11"/>
  <c r="J50" i="11"/>
  <c r="J49" i="11"/>
  <c r="F48" i="11"/>
  <c r="F47" i="11"/>
  <c r="J45" i="11"/>
  <c r="J44" i="11"/>
  <c r="J43" i="11"/>
  <c r="C42" i="11"/>
  <c r="F44" i="11" s="1"/>
  <c r="B105" i="10"/>
  <c r="J100" i="10"/>
  <c r="F100" i="10"/>
  <c r="J99" i="10"/>
  <c r="F99" i="10"/>
  <c r="J98" i="10"/>
  <c r="F98" i="10"/>
  <c r="J97" i="10"/>
  <c r="F97" i="10"/>
  <c r="J96" i="10"/>
  <c r="F96" i="10"/>
  <c r="J95" i="10"/>
  <c r="J94" i="10"/>
  <c r="J93" i="10"/>
  <c r="F93" i="10"/>
  <c r="J92" i="10"/>
  <c r="F92" i="10"/>
  <c r="J91" i="10"/>
  <c r="F91" i="10"/>
  <c r="F90" i="10"/>
  <c r="F89" i="10"/>
  <c r="F88" i="10"/>
  <c r="J87" i="10"/>
  <c r="J86" i="10"/>
  <c r="J85" i="10"/>
  <c r="F85" i="10"/>
  <c r="J84" i="10"/>
  <c r="F84" i="10"/>
  <c r="J83" i="10"/>
  <c r="F81" i="10"/>
  <c r="F80" i="10"/>
  <c r="J79" i="10"/>
  <c r="J78" i="10"/>
  <c r="J77" i="10"/>
  <c r="F77" i="10"/>
  <c r="J76" i="10"/>
  <c r="F76" i="10"/>
  <c r="J75" i="10"/>
  <c r="F75" i="10"/>
  <c r="J74" i="10"/>
  <c r="C74" i="10"/>
  <c r="F72" i="10" s="1"/>
  <c r="J70" i="10"/>
  <c r="J69" i="10"/>
  <c r="J65" i="10"/>
  <c r="J64" i="10"/>
  <c r="J63" i="10"/>
  <c r="J62" i="10"/>
  <c r="J61" i="10"/>
  <c r="C61" i="10"/>
  <c r="F52" i="10" s="1"/>
  <c r="J60" i="10"/>
  <c r="J59" i="10"/>
  <c r="F59" i="10"/>
  <c r="J58" i="10"/>
  <c r="J57" i="10"/>
  <c r="F57" i="10"/>
  <c r="J56" i="10"/>
  <c r="J55" i="10"/>
  <c r="F55" i="10"/>
  <c r="J54" i="10"/>
  <c r="J52" i="10"/>
  <c r="J51" i="10"/>
  <c r="J50" i="10"/>
  <c r="F49" i="10"/>
  <c r="F48" i="10"/>
  <c r="J46" i="10"/>
  <c r="J45" i="10"/>
  <c r="J44" i="10"/>
  <c r="C43" i="10"/>
  <c r="F45" i="10" s="1"/>
  <c r="B118" i="9"/>
  <c r="J113" i="9"/>
  <c r="F113" i="9"/>
  <c r="J112" i="9"/>
  <c r="F112" i="9"/>
  <c r="J111" i="9"/>
  <c r="F111" i="9"/>
  <c r="J110" i="9"/>
  <c r="F110" i="9"/>
  <c r="J109" i="9"/>
  <c r="F109" i="9"/>
  <c r="J108" i="9"/>
  <c r="J107" i="9"/>
  <c r="J106" i="9"/>
  <c r="F106" i="9"/>
  <c r="J105" i="9"/>
  <c r="F105" i="9"/>
  <c r="J104" i="9"/>
  <c r="F104" i="9"/>
  <c r="F103" i="9"/>
  <c r="F102" i="9"/>
  <c r="F101" i="9"/>
  <c r="J100" i="9"/>
  <c r="J99" i="9"/>
  <c r="J98" i="9"/>
  <c r="F98" i="9"/>
  <c r="J97" i="9"/>
  <c r="F97" i="9"/>
  <c r="J96" i="9"/>
  <c r="F94" i="9"/>
  <c r="F93" i="9"/>
  <c r="J92" i="9"/>
  <c r="J91" i="9"/>
  <c r="J90" i="9"/>
  <c r="F90" i="9"/>
  <c r="J89" i="9"/>
  <c r="F89" i="9"/>
  <c r="J88" i="9"/>
  <c r="F88" i="9"/>
  <c r="J87" i="9"/>
  <c r="C87" i="9"/>
  <c r="F84" i="9" s="1"/>
  <c r="J83" i="9"/>
  <c r="J82" i="9"/>
  <c r="J78" i="9"/>
  <c r="J77" i="9"/>
  <c r="J76" i="9"/>
  <c r="J75" i="9"/>
  <c r="J74" i="9"/>
  <c r="C74" i="9"/>
  <c r="F65" i="9" s="1"/>
  <c r="J73" i="9"/>
  <c r="J72" i="9"/>
  <c r="F72" i="9"/>
  <c r="J71" i="9"/>
  <c r="J70" i="9"/>
  <c r="J69" i="9"/>
  <c r="J68" i="9"/>
  <c r="J67" i="9"/>
  <c r="J65" i="9"/>
  <c r="J64" i="9"/>
  <c r="J63" i="9"/>
  <c r="F62" i="9"/>
  <c r="F61" i="9"/>
  <c r="J59" i="9"/>
  <c r="J58" i="9"/>
  <c r="J57" i="9"/>
  <c r="C56" i="9"/>
  <c r="F58" i="9" s="1"/>
  <c r="B113" i="8"/>
  <c r="J108" i="8"/>
  <c r="F108" i="8"/>
  <c r="J107" i="8"/>
  <c r="F107" i="8"/>
  <c r="J106" i="8"/>
  <c r="F106" i="8"/>
  <c r="J105" i="8"/>
  <c r="F105" i="8"/>
  <c r="J104" i="8"/>
  <c r="F104" i="8"/>
  <c r="J103" i="8"/>
  <c r="J102" i="8"/>
  <c r="J101" i="8"/>
  <c r="F101" i="8"/>
  <c r="J100" i="8"/>
  <c r="F100" i="8"/>
  <c r="J99" i="8"/>
  <c r="F99" i="8"/>
  <c r="F98" i="8"/>
  <c r="F97" i="8"/>
  <c r="F96" i="8"/>
  <c r="J95" i="8"/>
  <c r="J94" i="8"/>
  <c r="J93" i="8"/>
  <c r="F93" i="8"/>
  <c r="J92" i="8"/>
  <c r="F92" i="8"/>
  <c r="J91" i="8"/>
  <c r="F89" i="8"/>
  <c r="F88" i="8"/>
  <c r="J87" i="8"/>
  <c r="J86" i="8"/>
  <c r="J85" i="8"/>
  <c r="F85" i="8"/>
  <c r="J84" i="8"/>
  <c r="F84" i="8"/>
  <c r="J83" i="8"/>
  <c r="F83" i="8"/>
  <c r="J82" i="8"/>
  <c r="C82" i="8"/>
  <c r="F80" i="8" s="1"/>
  <c r="J78" i="8"/>
  <c r="J77" i="8"/>
  <c r="J73" i="8"/>
  <c r="J72" i="8"/>
  <c r="J71" i="8"/>
  <c r="J70" i="8"/>
  <c r="J69" i="8"/>
  <c r="C69" i="8"/>
  <c r="F68" i="8" s="1"/>
  <c r="J68" i="8"/>
  <c r="J67" i="8"/>
  <c r="J66" i="8"/>
  <c r="J65" i="8"/>
  <c r="J64" i="8"/>
  <c r="J63" i="8"/>
  <c r="J62" i="8"/>
  <c r="J60" i="8"/>
  <c r="J59" i="8"/>
  <c r="J58" i="8"/>
  <c r="F57" i="8"/>
  <c r="F56" i="8"/>
  <c r="J54" i="8"/>
  <c r="J53" i="8"/>
  <c r="J52" i="8"/>
  <c r="C51" i="8"/>
  <c r="F53" i="8" s="1"/>
  <c r="J107" i="7"/>
  <c r="F107" i="7"/>
  <c r="J106" i="7"/>
  <c r="F106" i="7"/>
  <c r="J105" i="7"/>
  <c r="F105" i="7"/>
  <c r="J104" i="7"/>
  <c r="F104" i="7"/>
  <c r="J103" i="7"/>
  <c r="F103" i="7"/>
  <c r="J102" i="7"/>
  <c r="J101" i="7"/>
  <c r="J100" i="7"/>
  <c r="F100" i="7"/>
  <c r="J99" i="7"/>
  <c r="F99" i="7"/>
  <c r="J98" i="7"/>
  <c r="F98" i="7"/>
  <c r="F97" i="7"/>
  <c r="F96" i="7"/>
  <c r="J94" i="7"/>
  <c r="J93" i="7"/>
  <c r="J92" i="7"/>
  <c r="F92" i="7"/>
  <c r="J91" i="7"/>
  <c r="J90" i="7"/>
  <c r="F88" i="7"/>
  <c r="F87" i="7"/>
  <c r="J86" i="7"/>
  <c r="J85" i="7"/>
  <c r="J84" i="7"/>
  <c r="F84" i="7"/>
  <c r="J83" i="7"/>
  <c r="F83" i="7"/>
  <c r="J82" i="7"/>
  <c r="F82" i="7"/>
  <c r="J81" i="7"/>
  <c r="C81" i="7"/>
  <c r="F79" i="7" s="1"/>
  <c r="J77" i="7"/>
  <c r="J76" i="7"/>
  <c r="J72" i="7"/>
  <c r="J71" i="7"/>
  <c r="J70" i="7"/>
  <c r="J69" i="7"/>
  <c r="J68" i="7"/>
  <c r="C68" i="7"/>
  <c r="F60" i="7" s="1"/>
  <c r="J67" i="7"/>
  <c r="J66" i="7"/>
  <c r="J65" i="7"/>
  <c r="J64" i="7"/>
  <c r="J63" i="7"/>
  <c r="J62" i="7"/>
  <c r="F62" i="7"/>
  <c r="J61" i="7"/>
  <c r="J59" i="7"/>
  <c r="J58" i="7"/>
  <c r="J57" i="7"/>
  <c r="F56" i="7"/>
  <c r="J53" i="7"/>
  <c r="J52" i="7"/>
  <c r="J51" i="7"/>
  <c r="F52" i="7"/>
  <c r="B99" i="6"/>
  <c r="B98" i="6"/>
  <c r="B97" i="6"/>
  <c r="B96" i="6"/>
  <c r="J91" i="6"/>
  <c r="F91" i="6"/>
  <c r="J90" i="6"/>
  <c r="F90" i="6"/>
  <c r="J89" i="6"/>
  <c r="F89" i="6"/>
  <c r="J88" i="6"/>
  <c r="F88" i="6"/>
  <c r="J87" i="6"/>
  <c r="F87" i="6"/>
  <c r="J86" i="6"/>
  <c r="J85" i="6"/>
  <c r="J84" i="6"/>
  <c r="F84" i="6"/>
  <c r="J83" i="6"/>
  <c r="F83" i="6"/>
  <c r="J82" i="6"/>
  <c r="F82" i="6"/>
  <c r="F81" i="6"/>
  <c r="F80" i="6"/>
  <c r="F79" i="6"/>
  <c r="J78" i="6"/>
  <c r="J77" i="6"/>
  <c r="J76" i="6"/>
  <c r="F76" i="6"/>
  <c r="J75" i="6"/>
  <c r="F75" i="6"/>
  <c r="J74" i="6"/>
  <c r="F72" i="6"/>
  <c r="F71" i="6"/>
  <c r="F68" i="6"/>
  <c r="F67" i="6"/>
  <c r="F66" i="6"/>
  <c r="C65" i="6"/>
  <c r="F63" i="6"/>
  <c r="F62" i="6"/>
  <c r="J61" i="6"/>
  <c r="F61" i="6"/>
  <c r="J60" i="6"/>
  <c r="F60" i="6"/>
  <c r="F59" i="6"/>
  <c r="F58" i="6"/>
  <c r="F57" i="6"/>
  <c r="J56" i="6"/>
  <c r="F56" i="6"/>
  <c r="J55" i="6"/>
  <c r="F55" i="6"/>
  <c r="J54" i="6"/>
  <c r="F54" i="6"/>
  <c r="J53" i="6"/>
  <c r="J52" i="6"/>
  <c r="C52" i="6"/>
  <c r="J51" i="6"/>
  <c r="F51" i="6"/>
  <c r="J50" i="6"/>
  <c r="F50" i="6"/>
  <c r="J49" i="6"/>
  <c r="F49" i="6"/>
  <c r="J48" i="6"/>
  <c r="F48" i="6"/>
  <c r="J47" i="6"/>
  <c r="F47" i="6"/>
  <c r="J46" i="6"/>
  <c r="F46" i="6"/>
  <c r="J45" i="6"/>
  <c r="F45" i="6"/>
  <c r="F44" i="6"/>
  <c r="J43" i="6"/>
  <c r="F43" i="6"/>
  <c r="J42" i="6"/>
  <c r="J41" i="6"/>
  <c r="F40" i="6"/>
  <c r="F39" i="6"/>
  <c r="J37" i="6"/>
  <c r="J36" i="6"/>
  <c r="F36" i="6"/>
  <c r="J35" i="6"/>
  <c r="C34" i="6"/>
  <c r="B111" i="5"/>
  <c r="B110" i="5"/>
  <c r="B109" i="5"/>
  <c r="B108" i="5"/>
  <c r="B107" i="5"/>
  <c r="J102" i="5"/>
  <c r="F102" i="5"/>
  <c r="J101" i="5"/>
  <c r="F101" i="5"/>
  <c r="J100" i="5"/>
  <c r="F100" i="5"/>
  <c r="J99" i="5"/>
  <c r="F99" i="5"/>
  <c r="J98" i="5"/>
  <c r="F98" i="5"/>
  <c r="J97" i="5"/>
  <c r="J96" i="5"/>
  <c r="J95" i="5"/>
  <c r="F95" i="5"/>
  <c r="J94" i="5"/>
  <c r="F94" i="5"/>
  <c r="J93" i="5"/>
  <c r="F93" i="5"/>
  <c r="F92" i="5"/>
  <c r="F91" i="5"/>
  <c r="F90" i="5"/>
  <c r="J89" i="5"/>
  <c r="J88" i="5"/>
  <c r="J87" i="5"/>
  <c r="F87" i="5"/>
  <c r="J86" i="5"/>
  <c r="F86" i="5"/>
  <c r="J85" i="5"/>
  <c r="F83" i="5"/>
  <c r="F82" i="5"/>
  <c r="J81" i="5"/>
  <c r="J80" i="5"/>
  <c r="J79" i="5"/>
  <c r="F79" i="5"/>
  <c r="J78" i="5"/>
  <c r="F78" i="5"/>
  <c r="J77" i="5"/>
  <c r="F77" i="5"/>
  <c r="J76" i="5"/>
  <c r="C76" i="5"/>
  <c r="F74" i="5"/>
  <c r="F73" i="5"/>
  <c r="J72" i="5"/>
  <c r="F72" i="5"/>
  <c r="J71" i="5"/>
  <c r="F71" i="5"/>
  <c r="F70" i="5"/>
  <c r="F69" i="5"/>
  <c r="F68" i="5"/>
  <c r="J67" i="5"/>
  <c r="F67" i="5"/>
  <c r="J66" i="5"/>
  <c r="F66" i="5"/>
  <c r="J65" i="5"/>
  <c r="F65" i="5"/>
  <c r="J64" i="5"/>
  <c r="J63" i="5"/>
  <c r="C63" i="5"/>
  <c r="J62" i="5"/>
  <c r="F62" i="5"/>
  <c r="J61" i="5"/>
  <c r="F61" i="5"/>
  <c r="J60" i="5"/>
  <c r="F60" i="5"/>
  <c r="J59" i="5"/>
  <c r="F59" i="5"/>
  <c r="J58" i="5"/>
  <c r="F58" i="5"/>
  <c r="J57" i="5"/>
  <c r="F57" i="5"/>
  <c r="J56" i="5"/>
  <c r="F56" i="5"/>
  <c r="F55" i="5"/>
  <c r="J54" i="5"/>
  <c r="F54" i="5"/>
  <c r="J53" i="5"/>
  <c r="J52" i="5"/>
  <c r="F51" i="5"/>
  <c r="F50" i="5"/>
  <c r="J48" i="5"/>
  <c r="J47" i="5"/>
  <c r="F47" i="5"/>
  <c r="J46" i="5"/>
  <c r="C45" i="5"/>
  <c r="B106" i="4"/>
  <c r="B105" i="4"/>
  <c r="B104" i="4"/>
  <c r="J99" i="4"/>
  <c r="F99" i="4"/>
  <c r="J98" i="4"/>
  <c r="F98" i="4"/>
  <c r="J97" i="4"/>
  <c r="F97" i="4"/>
  <c r="J96" i="4"/>
  <c r="F96" i="4"/>
  <c r="J95" i="4"/>
  <c r="F95" i="4"/>
  <c r="J94" i="4"/>
  <c r="J93" i="4"/>
  <c r="J92" i="4"/>
  <c r="F92" i="4"/>
  <c r="J91" i="4"/>
  <c r="F91" i="4"/>
  <c r="J90" i="4"/>
  <c r="F90" i="4"/>
  <c r="F89" i="4"/>
  <c r="F88" i="4"/>
  <c r="F87" i="4"/>
  <c r="J86" i="4"/>
  <c r="J85" i="4"/>
  <c r="J84" i="4"/>
  <c r="F84" i="4"/>
  <c r="J83" i="4"/>
  <c r="F83" i="4"/>
  <c r="J82" i="4"/>
  <c r="F80" i="4"/>
  <c r="F79" i="4"/>
  <c r="J78" i="4"/>
  <c r="J77" i="4"/>
  <c r="J76" i="4"/>
  <c r="F76" i="4"/>
  <c r="J75" i="4"/>
  <c r="F75" i="4"/>
  <c r="J74" i="4"/>
  <c r="F74" i="4"/>
  <c r="J73" i="4"/>
  <c r="C73" i="4"/>
  <c r="F71" i="4"/>
  <c r="F70" i="4"/>
  <c r="J69" i="4"/>
  <c r="F69" i="4"/>
  <c r="J68" i="4"/>
  <c r="F68" i="4"/>
  <c r="F67" i="4"/>
  <c r="F66" i="4"/>
  <c r="F65" i="4"/>
  <c r="J64" i="4"/>
  <c r="F64" i="4"/>
  <c r="J63" i="4"/>
  <c r="F63" i="4"/>
  <c r="J62" i="4"/>
  <c r="F62" i="4"/>
  <c r="J61" i="4"/>
  <c r="J60" i="4"/>
  <c r="C60" i="4"/>
  <c r="J59" i="4"/>
  <c r="F59" i="4"/>
  <c r="J58" i="4"/>
  <c r="F58" i="4"/>
  <c r="J57" i="4"/>
  <c r="F57" i="4"/>
  <c r="J56" i="4"/>
  <c r="F56" i="4"/>
  <c r="J55" i="4"/>
  <c r="F55" i="4"/>
  <c r="J54" i="4"/>
  <c r="F54" i="4"/>
  <c r="J53" i="4"/>
  <c r="F53" i="4"/>
  <c r="F52" i="4"/>
  <c r="J51" i="4"/>
  <c r="F51" i="4"/>
  <c r="J50" i="4"/>
  <c r="J49" i="4"/>
  <c r="F48" i="4"/>
  <c r="F47" i="4"/>
  <c r="J45" i="4"/>
  <c r="J44" i="4"/>
  <c r="F44" i="4"/>
  <c r="J43" i="4"/>
  <c r="C42" i="4"/>
  <c r="B112" i="3"/>
  <c r="B111" i="3"/>
  <c r="B110" i="3"/>
  <c r="B109" i="3"/>
  <c r="J104" i="3"/>
  <c r="F104" i="3"/>
  <c r="J103" i="3"/>
  <c r="F103" i="3"/>
  <c r="J102" i="3"/>
  <c r="F102" i="3"/>
  <c r="J101" i="3"/>
  <c r="F101" i="3"/>
  <c r="J100" i="3"/>
  <c r="F100" i="3"/>
  <c r="J99" i="3"/>
  <c r="J98" i="3"/>
  <c r="J97" i="3"/>
  <c r="F97" i="3"/>
  <c r="J96" i="3"/>
  <c r="F96" i="3"/>
  <c r="J95" i="3"/>
  <c r="F95" i="3"/>
  <c r="F94" i="3"/>
  <c r="F93" i="3"/>
  <c r="F92" i="3"/>
  <c r="J91" i="3"/>
  <c r="J90" i="3"/>
  <c r="J89" i="3"/>
  <c r="F89" i="3"/>
  <c r="J88" i="3"/>
  <c r="F88" i="3"/>
  <c r="J87" i="3"/>
  <c r="F85" i="3"/>
  <c r="F84" i="3"/>
  <c r="J83" i="3"/>
  <c r="J82" i="3"/>
  <c r="J81" i="3"/>
  <c r="F81" i="3"/>
  <c r="J80" i="3"/>
  <c r="F80" i="3"/>
  <c r="J79" i="3"/>
  <c r="F79" i="3"/>
  <c r="J78" i="3"/>
  <c r="C78" i="3"/>
  <c r="F76" i="3"/>
  <c r="F75" i="3"/>
  <c r="J74" i="3"/>
  <c r="F74" i="3"/>
  <c r="J73" i="3"/>
  <c r="F73" i="3"/>
  <c r="F72" i="3"/>
  <c r="F71" i="3"/>
  <c r="F70" i="3"/>
  <c r="J69" i="3"/>
  <c r="F69" i="3"/>
  <c r="J68" i="3"/>
  <c r="F68" i="3"/>
  <c r="J67" i="3"/>
  <c r="F67" i="3"/>
  <c r="J66" i="3"/>
  <c r="J65" i="3"/>
  <c r="C65" i="3"/>
  <c r="J64" i="3"/>
  <c r="F64" i="3"/>
  <c r="J63" i="3"/>
  <c r="F63" i="3"/>
  <c r="J62" i="3"/>
  <c r="F62" i="3"/>
  <c r="J61" i="3"/>
  <c r="F61" i="3"/>
  <c r="J60" i="3"/>
  <c r="F60" i="3"/>
  <c r="J59" i="3"/>
  <c r="F59" i="3"/>
  <c r="J58" i="3"/>
  <c r="F58" i="3"/>
  <c r="F57" i="3"/>
  <c r="J56" i="3"/>
  <c r="F56" i="3"/>
  <c r="J55" i="3"/>
  <c r="J54" i="3"/>
  <c r="F53" i="3"/>
  <c r="F52" i="3"/>
  <c r="J50" i="3"/>
  <c r="J49" i="3"/>
  <c r="F49" i="3"/>
  <c r="J48" i="3"/>
  <c r="C47" i="3"/>
  <c r="B113" i="2"/>
  <c r="B112" i="2"/>
  <c r="B111" i="2"/>
  <c r="B110" i="2"/>
  <c r="B109" i="2"/>
  <c r="J104" i="2"/>
  <c r="F104" i="2"/>
  <c r="J103" i="2"/>
  <c r="F103" i="2"/>
  <c r="J102" i="2"/>
  <c r="F102" i="2"/>
  <c r="J101" i="2"/>
  <c r="F101" i="2"/>
  <c r="J100" i="2"/>
  <c r="F100" i="2"/>
  <c r="J99" i="2"/>
  <c r="J98" i="2"/>
  <c r="J97" i="2"/>
  <c r="F97" i="2"/>
  <c r="J96" i="2"/>
  <c r="F96" i="2"/>
  <c r="J95" i="2"/>
  <c r="F95" i="2"/>
  <c r="F94" i="2"/>
  <c r="F93" i="2"/>
  <c r="F92" i="2"/>
  <c r="J91" i="2"/>
  <c r="J90" i="2"/>
  <c r="J89" i="2"/>
  <c r="F89" i="2"/>
  <c r="J88" i="2"/>
  <c r="F88" i="2"/>
  <c r="J87" i="2"/>
  <c r="F85" i="2"/>
  <c r="F84" i="2"/>
  <c r="J83" i="2"/>
  <c r="J82" i="2"/>
  <c r="J81" i="2"/>
  <c r="F81" i="2"/>
  <c r="J80" i="2"/>
  <c r="F80" i="2"/>
  <c r="J79" i="2"/>
  <c r="F79" i="2"/>
  <c r="J78" i="2"/>
  <c r="C78" i="2"/>
  <c r="F76" i="2"/>
  <c r="F75" i="2"/>
  <c r="J74" i="2"/>
  <c r="F74" i="2"/>
  <c r="J73" i="2"/>
  <c r="F73" i="2"/>
  <c r="F72" i="2"/>
  <c r="F71" i="2"/>
  <c r="F70" i="2"/>
  <c r="J69" i="2"/>
  <c r="F69" i="2"/>
  <c r="J68" i="2"/>
  <c r="F68" i="2"/>
  <c r="J67" i="2"/>
  <c r="F67" i="2"/>
  <c r="J66" i="2"/>
  <c r="J65" i="2"/>
  <c r="C65" i="2"/>
  <c r="J64" i="2"/>
  <c r="F64" i="2"/>
  <c r="J63" i="2"/>
  <c r="F63" i="2"/>
  <c r="J62" i="2"/>
  <c r="F62" i="2"/>
  <c r="J61" i="2"/>
  <c r="F61" i="2"/>
  <c r="J60" i="2"/>
  <c r="F60" i="2"/>
  <c r="J59" i="2"/>
  <c r="F59" i="2"/>
  <c r="J58" i="2"/>
  <c r="F58" i="2"/>
  <c r="F57" i="2"/>
  <c r="J56" i="2"/>
  <c r="F56" i="2"/>
  <c r="J55" i="2"/>
  <c r="J54" i="2"/>
  <c r="F53" i="2"/>
  <c r="F52" i="2"/>
  <c r="J50" i="2"/>
  <c r="J49" i="2"/>
  <c r="F49" i="2"/>
  <c r="J48" i="2"/>
  <c r="C47" i="2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D17" i="14" l="1"/>
  <c r="F76" i="8"/>
  <c r="F64" i="12"/>
  <c r="F66" i="12"/>
  <c r="F69" i="12"/>
  <c r="F68" i="12"/>
  <c r="F70" i="12"/>
  <c r="F72" i="12"/>
  <c r="F71" i="12"/>
  <c r="F65" i="12"/>
  <c r="F67" i="12"/>
  <c r="F64" i="11"/>
  <c r="F62" i="11"/>
  <c r="F67" i="11"/>
  <c r="F63" i="11"/>
  <c r="F65" i="11"/>
  <c r="F69" i="11"/>
  <c r="F66" i="11"/>
  <c r="F54" i="11"/>
  <c r="F51" i="11"/>
  <c r="F58" i="11"/>
  <c r="F56" i="11"/>
  <c r="F52" i="11"/>
  <c r="F53" i="11"/>
  <c r="F55" i="11"/>
  <c r="F57" i="11"/>
  <c r="F68" i="11"/>
  <c r="F70" i="11"/>
  <c r="F54" i="10"/>
  <c r="F56" i="10"/>
  <c r="F58" i="10"/>
  <c r="F60" i="10"/>
  <c r="F70" i="10"/>
  <c r="F67" i="10"/>
  <c r="F53" i="10"/>
  <c r="F63" i="10"/>
  <c r="F65" i="10"/>
  <c r="F68" i="10"/>
  <c r="F69" i="10"/>
  <c r="F71" i="10"/>
  <c r="F64" i="10"/>
  <c r="F66" i="10"/>
  <c r="F80" i="9"/>
  <c r="F83" i="9"/>
  <c r="F70" i="9"/>
  <c r="F68" i="9"/>
  <c r="F66" i="9"/>
  <c r="F67" i="9"/>
  <c r="F69" i="9"/>
  <c r="F71" i="9"/>
  <c r="F73" i="9"/>
  <c r="F77" i="9"/>
  <c r="F79" i="9"/>
  <c r="F85" i="9"/>
  <c r="F76" i="9"/>
  <c r="F78" i="9"/>
  <c r="F81" i="9"/>
  <c r="F82" i="9"/>
  <c r="F17" i="14"/>
  <c r="F73" i="8"/>
  <c r="F71" i="8"/>
  <c r="F78" i="8"/>
  <c r="F75" i="8"/>
  <c r="F77" i="8"/>
  <c r="F79" i="8"/>
  <c r="F72" i="8"/>
  <c r="F74" i="8"/>
  <c r="F63" i="8"/>
  <c r="F60" i="8"/>
  <c r="F67" i="8"/>
  <c r="F65" i="8"/>
  <c r="F61" i="8"/>
  <c r="F62" i="8"/>
  <c r="F64" i="8"/>
  <c r="F66" i="8"/>
  <c r="F72" i="7"/>
  <c r="F77" i="7"/>
  <c r="F75" i="7"/>
  <c r="F74" i="7"/>
  <c r="F64" i="7"/>
  <c r="F76" i="7"/>
  <c r="F78" i="7"/>
  <c r="F66" i="7"/>
  <c r="F71" i="7"/>
  <c r="F73" i="7"/>
  <c r="F61" i="7"/>
  <c r="F63" i="7"/>
  <c r="F65" i="7"/>
  <c r="F67" i="7"/>
</calcChain>
</file>

<file path=xl/sharedStrings.xml><?xml version="1.0" encoding="utf-8"?>
<sst xmlns="http://schemas.openxmlformats.org/spreadsheetml/2006/main" count="8977" uniqueCount="2344">
  <si>
    <t>Fecha</t>
  </si>
  <si>
    <t>Nombre</t>
  </si>
  <si>
    <t>Dirección</t>
  </si>
  <si>
    <t>Tipo</t>
  </si>
  <si>
    <t>Origen</t>
  </si>
  <si>
    <t>Monto</t>
  </si>
  <si>
    <t>Servicio</t>
  </si>
  <si>
    <t>Comentarios con llamada posterior a venta</t>
  </si>
  <si>
    <t>Promedios</t>
  </si>
  <si>
    <t>Total vendido</t>
  </si>
  <si>
    <t>Venta</t>
  </si>
  <si>
    <t>Tapete</t>
  </si>
  <si>
    <t>servicio</t>
  </si>
  <si>
    <t>Lana</t>
  </si>
  <si>
    <t>Dias del mes laborales</t>
  </si>
  <si>
    <t>venta diaria</t>
  </si>
  <si>
    <t>Sintético</t>
  </si>
  <si>
    <t>Total de servicios</t>
  </si>
  <si>
    <t>Seda</t>
  </si>
  <si>
    <t xml:space="preserve"> </t>
  </si>
  <si>
    <t>Tipo de cliente</t>
  </si>
  <si>
    <t>Servicios Res</t>
  </si>
  <si>
    <t>Res</t>
  </si>
  <si>
    <t>Servicios Com</t>
  </si>
  <si>
    <t>Com</t>
  </si>
  <si>
    <t>Sala tela</t>
  </si>
  <si>
    <t>todo fijo</t>
  </si>
  <si>
    <t>Tipo de mueble:</t>
  </si>
  <si>
    <t>Tipo de mueble</t>
  </si>
  <si>
    <t>Resaldo o asiento removible</t>
  </si>
  <si>
    <t>Alfombra</t>
  </si>
  <si>
    <t>Todo removible</t>
  </si>
  <si>
    <t>Sala</t>
  </si>
  <si>
    <t>Sala 1 p</t>
  </si>
  <si>
    <t>Sala piel</t>
  </si>
  <si>
    <t>Sala 2 p</t>
  </si>
  <si>
    <t>Sillas</t>
  </si>
  <si>
    <t>Sala 3 p</t>
  </si>
  <si>
    <t>Autos</t>
  </si>
  <si>
    <t>Sala 4 p</t>
  </si>
  <si>
    <t>Colchones</t>
  </si>
  <si>
    <t>Sala 5 p</t>
  </si>
  <si>
    <t>Futón</t>
  </si>
  <si>
    <t>Sala 6 p</t>
  </si>
  <si>
    <t>Otro</t>
  </si>
  <si>
    <t>Sala 7 p</t>
  </si>
  <si>
    <t>Total de muebles</t>
  </si>
  <si>
    <t>Sala 8 p</t>
  </si>
  <si>
    <t>Tipo de servicio</t>
  </si>
  <si>
    <t>Sala 9 p</t>
  </si>
  <si>
    <t>Tipo de servicio:</t>
  </si>
  <si>
    <t>Senc</t>
  </si>
  <si>
    <t>Sala 10 p</t>
  </si>
  <si>
    <t>Eco</t>
  </si>
  <si>
    <t>Sala 11 p</t>
  </si>
  <si>
    <t>Prot</t>
  </si>
  <si>
    <t>Sala 12 p</t>
  </si>
  <si>
    <t>Prem</t>
  </si>
  <si>
    <t>Healty</t>
  </si>
  <si>
    <t>Protex</t>
  </si>
  <si>
    <t>Aspirado</t>
  </si>
  <si>
    <t>Sólo asiento</t>
  </si>
  <si>
    <t>Extracción</t>
  </si>
  <si>
    <t>Asiento y respaldo</t>
  </si>
  <si>
    <t>Piel</t>
  </si>
  <si>
    <t>PURT</t>
  </si>
  <si>
    <t>Autos tela</t>
  </si>
  <si>
    <t>Total de servicios:</t>
  </si>
  <si>
    <t>Satisfacción</t>
  </si>
  <si>
    <t>Chico</t>
  </si>
  <si>
    <t>Satisfechos</t>
  </si>
  <si>
    <t>Mediano</t>
  </si>
  <si>
    <t>Clientes satisfechos</t>
  </si>
  <si>
    <t>Insatisfechos</t>
  </si>
  <si>
    <t>Grande</t>
  </si>
  <si>
    <t>Clientes insatisfechos</t>
  </si>
  <si>
    <t>Sin Respuesta</t>
  </si>
  <si>
    <t>Camioneta</t>
  </si>
  <si>
    <t>Clientes sin respuesta</t>
  </si>
  <si>
    <t>Pick up</t>
  </si>
  <si>
    <t>Pick up doble cabina</t>
  </si>
  <si>
    <t>1a vez</t>
  </si>
  <si>
    <t>1a Vez</t>
  </si>
  <si>
    <t>Repite</t>
  </si>
  <si>
    <t>Tipo de Repetición</t>
  </si>
  <si>
    <t>Cuna</t>
  </si>
  <si>
    <t>Entrada</t>
  </si>
  <si>
    <t>Ind</t>
  </si>
  <si>
    <t>Salida</t>
  </si>
  <si>
    <t>Mat</t>
  </si>
  <si>
    <t>QS</t>
  </si>
  <si>
    <t>Tipo de publicidad</t>
  </si>
  <si>
    <t>KS</t>
  </si>
  <si>
    <t>Publicidad</t>
  </si>
  <si>
    <t>Internet</t>
  </si>
  <si>
    <t>Recomendación</t>
  </si>
  <si>
    <t>Folletos</t>
  </si>
  <si>
    <t>Vendedores</t>
  </si>
  <si>
    <t>Taburete</t>
  </si>
  <si>
    <t>Repetición</t>
  </si>
  <si>
    <t>Cabecera</t>
  </si>
  <si>
    <t>Carriola y porta bebé</t>
  </si>
  <si>
    <t>Piso</t>
  </si>
  <si>
    <t>Municipio</t>
  </si>
  <si>
    <t>Cojines</t>
  </si>
  <si>
    <t>Total de Municipios</t>
  </si>
  <si>
    <t>Zapopan</t>
  </si>
  <si>
    <t>Banca</t>
  </si>
  <si>
    <t>Guadalajara</t>
  </si>
  <si>
    <t>Banco</t>
  </si>
  <si>
    <t>Tlaquepaque</t>
  </si>
  <si>
    <t>Reposet</t>
  </si>
  <si>
    <t>Tlajomulco</t>
  </si>
  <si>
    <t>Colchón interno</t>
  </si>
  <si>
    <t>Tonalá</t>
  </si>
  <si>
    <t>Torre de gatos</t>
  </si>
  <si>
    <t>El Salto</t>
  </si>
  <si>
    <t>Ventas</t>
  </si>
  <si>
    <t>Rep</t>
  </si>
  <si>
    <t>Rec</t>
  </si>
  <si>
    <t>Folio sistema</t>
  </si>
  <si>
    <t>Folio interno</t>
  </si>
  <si>
    <t>Tel</t>
  </si>
  <si>
    <t>90 Dias</t>
  </si>
  <si>
    <t>6 Meses</t>
  </si>
  <si>
    <t>1 Año</t>
  </si>
  <si>
    <t>Mes</t>
  </si>
  <si>
    <t>Venta mensual bruta</t>
  </si>
  <si>
    <t>Gastos</t>
  </si>
  <si>
    <t>Ganancia</t>
  </si>
  <si>
    <t>Venta diaria</t>
  </si>
  <si>
    <t>Venta promedio</t>
  </si>
  <si>
    <t>No. Servicios</t>
  </si>
  <si>
    <t>% Cliente Res</t>
  </si>
  <si>
    <t>% Rep</t>
  </si>
  <si>
    <t>Mueble</t>
  </si>
  <si>
    <t>Paquete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</si>
  <si>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</si>
  <si>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</si>
  <si>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</si>
  <si>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</si>
  <si>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</si>
  <si>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</si>
  <si>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</si>
  <si>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</si>
  <si>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</si>
  <si>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</si>
  <si>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</si>
  <si>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</si>
  <si>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</si>
  <si>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</si>
  <si>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</si>
  <si>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</si>
  <si>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</si>
  <si>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</si>
  <si>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</si>
  <si>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</si>
  <si>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</si>
  <si>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</si>
  <si>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</si>
  <si>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</si>
  <si>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</si>
  <si>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 de sala</t>
  </si>
  <si>
    <t>Todo fijo</t>
  </si>
  <si>
    <t>A o R removible</t>
  </si>
  <si>
    <t>Todo Removible</t>
  </si>
  <si>
    <t>Plazas</t>
  </si>
  <si>
    <t>1 Plaza</t>
  </si>
  <si>
    <t>2 Plazas</t>
  </si>
  <si>
    <t>3 Plazas</t>
  </si>
  <si>
    <t>4 Plazas</t>
  </si>
  <si>
    <t>5 Plazas</t>
  </si>
  <si>
    <t>6 Plazas</t>
  </si>
  <si>
    <t>7 Plazas</t>
  </si>
  <si>
    <t>8 Plazas</t>
  </si>
  <si>
    <t>9 Plazas</t>
  </si>
  <si>
    <t>10 Plazas</t>
  </si>
  <si>
    <t>11 Plazas</t>
  </si>
  <si>
    <t>12 Plazas</t>
  </si>
  <si>
    <t>Asiento</t>
  </si>
  <si>
    <t>Tipo de venta</t>
  </si>
  <si>
    <t>num de Serv</t>
  </si>
  <si>
    <t>Venta total</t>
  </si>
  <si>
    <t>Venta de internet</t>
  </si>
  <si>
    <t>Pago de Internet</t>
  </si>
  <si>
    <t>Relación gasto / Venta</t>
  </si>
  <si>
    <t>1/25</t>
  </si>
  <si>
    <t>Andrés Londoño</t>
  </si>
  <si>
    <t>33-1085-5404</t>
  </si>
  <si>
    <t>Nva Galicia #50 casa 28 Col Nueva Galicia, Tlajo</t>
  </si>
  <si>
    <t>Int</t>
  </si>
  <si>
    <t>Sala 4 p r r, Cabecera mat, Senc</t>
  </si>
  <si>
    <t>Se manda WA, muy bien</t>
  </si>
  <si>
    <t>2/25</t>
  </si>
  <si>
    <t>Sary Martínez</t>
  </si>
  <si>
    <t>33-3157-7021</t>
  </si>
  <si>
    <t>Nápoles #3165 Int 2 Col providencia, Zapopan</t>
  </si>
  <si>
    <t>Colchón QS, Eco</t>
  </si>
  <si>
    <t>No se le quitaron por completo las manchas, pero quedó muy lipio</t>
  </si>
  <si>
    <t>3/25</t>
  </si>
  <si>
    <t>Ramón González Ponce</t>
  </si>
  <si>
    <t>33-1108-2798</t>
  </si>
  <si>
    <t>Paseo de los Virreyes #4213 Col Universitaria, Zapopan</t>
  </si>
  <si>
    <t>Alfombra, Eco</t>
  </si>
  <si>
    <t>4/25</t>
  </si>
  <si>
    <t>Araceli López</t>
  </si>
  <si>
    <t>33-3105-1197</t>
  </si>
  <si>
    <t>Paseo Royal Country #5714 casa 16 Cond Abadia Col Pta de Hierro, Zapopan</t>
  </si>
  <si>
    <t>Sala 4 t r, sala 2 p a r, Senc</t>
  </si>
  <si>
    <t>5/25</t>
  </si>
  <si>
    <t>Erika Ramírez Santacruz</t>
  </si>
  <si>
    <t>33-3127-5779</t>
  </si>
  <si>
    <t>Av de las rosas #2881 Depto D4 Col Jardines de plaza del sol, Zapopan</t>
  </si>
  <si>
    <t>Maristas</t>
  </si>
  <si>
    <t>Sala 2 p t f, Colchón KS, Mat, Senc</t>
  </si>
  <si>
    <t>Muy bien</t>
  </si>
  <si>
    <t>6/25</t>
  </si>
  <si>
    <t>Juan Carlos Fernández</t>
  </si>
  <si>
    <t>33-2272-9266</t>
  </si>
  <si>
    <t>Subcolectora #2 #3105 casa 230 Col El Fortín, Zapopan</t>
  </si>
  <si>
    <t>Colchón KS, Healty, Sillas a y r, Senc</t>
  </si>
  <si>
    <t>Se manda WA, excelente servicio</t>
  </si>
  <si>
    <t>Se manda WA, quedó perfecto</t>
  </si>
  <si>
    <t>Se manda WA, no contesta</t>
  </si>
  <si>
    <t>7/25</t>
  </si>
  <si>
    <t>Alejandro Calderón</t>
  </si>
  <si>
    <t>33-1527-9474</t>
  </si>
  <si>
    <t>Placeres #1072 Col Chapalita, Gdl</t>
  </si>
  <si>
    <t>Sala 8 p r r, Senc</t>
  </si>
  <si>
    <t>Todo bien</t>
  </si>
  <si>
    <t>8/25</t>
  </si>
  <si>
    <t>Claudia Reynoso</t>
  </si>
  <si>
    <t>33-3954-8434</t>
  </si>
  <si>
    <t>Cima Real #100 Int 10 Torre E Col Valle Real, Zapopan</t>
  </si>
  <si>
    <t>Sala 4 p t r, Coj, Silla a y r, Prot</t>
  </si>
  <si>
    <t>9/25</t>
  </si>
  <si>
    <t>Daniela Aparicio</t>
  </si>
  <si>
    <t>33-3555-4419</t>
  </si>
  <si>
    <t>Circunvalación Sur #115 A Las fuentes, Int 10, Zapopan</t>
  </si>
  <si>
    <t>Sala 8 p t r, Tapete sint, Eco</t>
  </si>
  <si>
    <t>10/25</t>
  </si>
  <si>
    <t>Luis Enrique López Prieto</t>
  </si>
  <si>
    <t>33-3809-9284</t>
  </si>
  <si>
    <t>Andrómeda #5552 Col Arboledas, Gdl</t>
  </si>
  <si>
    <t>Futón, Prot</t>
  </si>
  <si>
    <t>Se queja de manchas y mal olor</t>
  </si>
  <si>
    <t>11/25</t>
  </si>
  <si>
    <t>33-1043-3878</t>
  </si>
  <si>
    <t>Juan Javier García / Lorena</t>
  </si>
  <si>
    <t>Av del as Lomas #1138 Cond Del Río Casa 18, Zapopan</t>
  </si>
  <si>
    <t>Tapete de algodón, Eco</t>
  </si>
  <si>
    <t>12/25</t>
  </si>
  <si>
    <t>Victor Carrillo</t>
  </si>
  <si>
    <t>33-1122-4670</t>
  </si>
  <si>
    <t>Av Hidalgo #1830 Int 12 A Col Ladrón de Guevara, Gdl</t>
  </si>
  <si>
    <t>2 tapte sint, Eco</t>
  </si>
  <si>
    <t>13/25</t>
  </si>
  <si>
    <t>Jaime Velazquez</t>
  </si>
  <si>
    <t>33-3482-0129</t>
  </si>
  <si>
    <t>Av José Simeón de Urias #754 Col. Villa de los Belenes, Zapopan</t>
  </si>
  <si>
    <t>Sala 3 p a r, Silla a y r, Coj, Prem</t>
  </si>
  <si>
    <t>No ha revisado</t>
  </si>
  <si>
    <t>14/25</t>
  </si>
  <si>
    <t>Claudia Orozco Durazo</t>
  </si>
  <si>
    <t>33-1746-6013</t>
  </si>
  <si>
    <t>Av Tepeyac #5150 Coto Chapalita las fuentes, Zapopan</t>
  </si>
  <si>
    <t>Sala 5 p t f, Banca, Senc</t>
  </si>
  <si>
    <t>Quedó manchada la banca, y el sillón</t>
  </si>
  <si>
    <t>15/25</t>
  </si>
  <si>
    <t>Jessica Vargas</t>
  </si>
  <si>
    <t>33-1006-9492</t>
  </si>
  <si>
    <t>Av Juan Palomar y Arias #811 Int F11 Coto Villa La Cima, zapopan</t>
  </si>
  <si>
    <t>Tapete de lana, Eco, Tapete sint, Senc, PURT</t>
  </si>
  <si>
    <t>Se manda WA, Raúl pregunta</t>
  </si>
  <si>
    <t>16/25</t>
  </si>
  <si>
    <t>Norma Altamirano</t>
  </si>
  <si>
    <t>47-7274-9682</t>
  </si>
  <si>
    <t>Av Paseo Valle Real #3000 Fracc Reserva Real casa 92 Col Valle Real, Zapopan</t>
  </si>
  <si>
    <t>2 tapete lana, tapete sint, Senc</t>
  </si>
  <si>
    <t>Quedaron muy bien</t>
  </si>
  <si>
    <t>17/25</t>
  </si>
  <si>
    <t>Mónica Morales / Hotel Origen 438</t>
  </si>
  <si>
    <t>33-1670-7725</t>
  </si>
  <si>
    <t>Ocampo # 131 Col Guadalajara Centro, Gdl</t>
  </si>
  <si>
    <t>Tapete sint (de yute, rollo) Prot</t>
  </si>
  <si>
    <t>18/25</t>
  </si>
  <si>
    <t>Fernando Miranda</t>
  </si>
  <si>
    <t>33-3955-1289</t>
  </si>
  <si>
    <t>Acueducto #3288 Col Jardines del Valle, Zapopan</t>
  </si>
  <si>
    <t>Sala 2 p t f, Futón, Senc</t>
  </si>
  <si>
    <t>19/25</t>
  </si>
  <si>
    <t>Yolanda Delgadillo</t>
  </si>
  <si>
    <t>33-1062-8330</t>
  </si>
  <si>
    <t>Av Sto Domingo #4358 Int Leonardo #191 Fracc Palermo, Zapopan</t>
  </si>
  <si>
    <t>Tapete sint, Healty, PURT</t>
  </si>
  <si>
    <t>Se manda WA, todo bien</t>
  </si>
  <si>
    <t>Se madna WA, muy bien</t>
  </si>
  <si>
    <t>20/25</t>
  </si>
  <si>
    <t>Griselda Villa Sanchez</t>
  </si>
  <si>
    <t>33-1605-5587</t>
  </si>
  <si>
    <t>Cádiz #2472, Zapopan</t>
  </si>
  <si>
    <t>Sala 6 p t f, Sala 6 p a r, Silla a y r, Senc</t>
  </si>
  <si>
    <t>21/25</t>
  </si>
  <si>
    <t>Alejandra Valencia Martínez</t>
  </si>
  <si>
    <t>33-2678-8409</t>
  </si>
  <si>
    <t>Calle José García #3247 Col Echeverría, Gdl</t>
  </si>
  <si>
    <t>Sala 5 p r r, Senc</t>
  </si>
  <si>
    <t>22/25</t>
  </si>
  <si>
    <t>Cabecera KS, Banca, Senc</t>
  </si>
  <si>
    <t>Se manda WA, no los ha abierto pero tiene confianza an nosotros de que quedaron muy bien</t>
  </si>
  <si>
    <t>Se manda WA, quedaron bien</t>
  </si>
  <si>
    <t>23/25</t>
  </si>
  <si>
    <t>Guadalupe Hernández</t>
  </si>
  <si>
    <t>33-3115-4698</t>
  </si>
  <si>
    <t>Av La Toscana #777 Depto B-611, Zapopan</t>
  </si>
  <si>
    <t>4 tapete sint, Sala 3 p r r, Prem</t>
  </si>
  <si>
    <t>Se manda WA, todo muy bien</t>
  </si>
  <si>
    <t>24/25</t>
  </si>
  <si>
    <t>Rodolfo Villareal Carranza</t>
  </si>
  <si>
    <t>33-3809-7752</t>
  </si>
  <si>
    <t>Calle de la Paz #157 Col Centro, Tonalá</t>
  </si>
  <si>
    <t>Sillas a y r, Prot</t>
  </si>
  <si>
    <t>Todo muy bien</t>
  </si>
  <si>
    <t>25/25</t>
  </si>
  <si>
    <t>Maite Dergal</t>
  </si>
  <si>
    <t>33-1770-0376</t>
  </si>
  <si>
    <t>Rio Cuitzmala #5456-5 , Zapopan</t>
  </si>
  <si>
    <t>Sala 5 p t f, Silla s a, Senc</t>
  </si>
  <si>
    <t>26/25</t>
  </si>
  <si>
    <t>Eduardo Delgado / Medyarthros Surgery</t>
  </si>
  <si>
    <t>33-1276-9967</t>
  </si>
  <si>
    <t>Lincoln #44 Av Vallarta #3060 Col Vallarta Pte, Zapopan</t>
  </si>
  <si>
    <t>21 Reposet, Prem</t>
  </si>
  <si>
    <t>Todo muy bien, excelente servicio</t>
  </si>
  <si>
    <t>27/25</t>
  </si>
  <si>
    <t>Araceli / Comercializadora 88</t>
  </si>
  <si>
    <t>33-1048-6589</t>
  </si>
  <si>
    <t>Juan de Dios Robledo #2087 Col Vicente Guerrero, Guadalajara</t>
  </si>
  <si>
    <t>Excelente servicio</t>
  </si>
  <si>
    <t>Se manda WA, muy satisfecha, las sillas como nuevas, nos buscará más adelante</t>
  </si>
  <si>
    <t>28/25</t>
  </si>
  <si>
    <t>Claudia Reygoza</t>
  </si>
  <si>
    <t>33-1172-4519</t>
  </si>
  <si>
    <t>Galeanas #1130 Col Los girasoles Elite, Zapopan</t>
  </si>
  <si>
    <t>Sala 6 p t f, Tapete sint, Senc</t>
  </si>
  <si>
    <t>29/25</t>
  </si>
  <si>
    <t>Jazmín Villar</t>
  </si>
  <si>
    <t>Colina Imperial #2182 Col Colinas de Atemajac, Gdl</t>
  </si>
  <si>
    <t>33-3955-3725</t>
  </si>
  <si>
    <t>Tapete sint, Prot, PURT</t>
  </si>
  <si>
    <t>30/25</t>
  </si>
  <si>
    <t>Georgina Villafuerte</t>
  </si>
  <si>
    <t>33-1090-7672</t>
  </si>
  <si>
    <t>Valle de los Girasoles #2022 Col Jardines del Valle, Zapopan</t>
  </si>
  <si>
    <t>Sala 9 p t f, Prot</t>
  </si>
  <si>
    <t>31/25</t>
  </si>
  <si>
    <t>Jostin Alexis Hernández Jiménez</t>
  </si>
  <si>
    <t>33-2084-2706</t>
  </si>
  <si>
    <t>Hacienda del Arcediano #1425 Col Oblatos, Gdl</t>
  </si>
  <si>
    <t>Sala 7 p t f, Silla s a Senc</t>
  </si>
  <si>
    <t>32/25</t>
  </si>
  <si>
    <t>Leticia Uribe / Germán Uribe</t>
  </si>
  <si>
    <t>33-3064-4976</t>
  </si>
  <si>
    <t>Marcelino Dávalos #573 Col Jardines Alcalde, Gdl</t>
  </si>
  <si>
    <t>Alfombra, Prem, PURT</t>
  </si>
  <si>
    <t>Se manda WA, aún no lo abre</t>
  </si>
  <si>
    <t>Se manda WA, muy bien, repetirá</t>
  </si>
  <si>
    <t>33/25</t>
  </si>
  <si>
    <t>33-3555-4421</t>
  </si>
  <si>
    <t>Camino a los aguacates #424 Fracc. Los Gavilanes Pte, Tlajomulco</t>
  </si>
  <si>
    <t>Sala 6 p t f, tab, interior camioneta tela, Senc</t>
  </si>
  <si>
    <t>34/25</t>
  </si>
  <si>
    <t>Rosy Hinojosa</t>
  </si>
  <si>
    <t>33-1129-0518</t>
  </si>
  <si>
    <t>Río Bravo #1169 Col Quinta Velarde, Gdl</t>
  </si>
  <si>
    <t>Sala 6 p t f, Senc</t>
  </si>
  <si>
    <t>35/25</t>
  </si>
  <si>
    <t>Anabel Rodríguez Rivera</t>
  </si>
  <si>
    <t>81-3569-7043</t>
  </si>
  <si>
    <t>San Uriel #704 Col Chapalita, Zapopan</t>
  </si>
  <si>
    <t>Sala 3 p t f, Sala 2 p a r, Silla a y r, silla s a, Senc</t>
  </si>
  <si>
    <t>Elisa Fernández</t>
  </si>
  <si>
    <t>36/25</t>
  </si>
  <si>
    <t>Candelario Avila / Los Chilaquiles</t>
  </si>
  <si>
    <t>33-2538-3742</t>
  </si>
  <si>
    <t>Suc Lázaro Cárdenas, Zapopan</t>
  </si>
  <si>
    <t>Pasto sint, Eco</t>
  </si>
  <si>
    <t>Muy exigente</t>
  </si>
  <si>
    <t>Se manda WA, todo excelente</t>
  </si>
  <si>
    <t>37/25</t>
  </si>
  <si>
    <t>5 tapetes sint, Senc</t>
  </si>
  <si>
    <t>38/25</t>
  </si>
  <si>
    <t>Ricardo Romero</t>
  </si>
  <si>
    <t>33-1751-6768</t>
  </si>
  <si>
    <t>Priv de la Luna #86 Int 20 Col Residencial Sta Fe, Zapopan</t>
  </si>
  <si>
    <t>Colchón KS, QS, sillas a y r Senc</t>
  </si>
  <si>
    <t>No se manda WA, Las manchas del colch no se eliminaron</t>
  </si>
  <si>
    <t>39/25</t>
  </si>
  <si>
    <t>Ma Elena García</t>
  </si>
  <si>
    <t>33-2005-1388</t>
  </si>
  <si>
    <t>Tcaikovsky #966 Col Nav Galicia, Zapopan</t>
  </si>
  <si>
    <t>Colchón mat, Prot</t>
  </si>
  <si>
    <t>Es fijo, no se quitaron las manchas, MUY sucio</t>
  </si>
  <si>
    <t>40/25</t>
  </si>
  <si>
    <t>Bertha Gutíerrez Carrillo</t>
  </si>
  <si>
    <t>33-3115-6930</t>
  </si>
  <si>
    <t>Fco Villa #1247 Col Circunvalación Oblatos, Gdl</t>
  </si>
  <si>
    <t>Colchón mat, Silla a y r, Senc</t>
  </si>
  <si>
    <t>Todo muy bien, no quiso el PURT</t>
  </si>
  <si>
    <t>41/25</t>
  </si>
  <si>
    <t>Yazmín Alejandra Briseño</t>
  </si>
  <si>
    <t>55-3814-7425</t>
  </si>
  <si>
    <t>Prol. Colón #155 Int Reus #141 Tossá Res, Tlaque</t>
  </si>
  <si>
    <t>rep</t>
  </si>
  <si>
    <t>Sala 3 p t f, 2 reposet, Torre de gato, Sillas a y r, Senc, PURT</t>
  </si>
  <si>
    <t>42/25</t>
  </si>
  <si>
    <t>Arturo Cuevas</t>
  </si>
  <si>
    <t>33-3662-2447</t>
  </si>
  <si>
    <t>Lopez Mateos Sur #5560 Int Calle Pseo del Manantiel #237 Casa 6 Coto 6 Fracc El manatial, Tlajomulco</t>
  </si>
  <si>
    <t>Colchón KS, Senc</t>
  </si>
  <si>
    <t>43/25</t>
  </si>
  <si>
    <t>Paulina De Chávez</t>
  </si>
  <si>
    <t>33-1068-2912</t>
  </si>
  <si>
    <t>Mar Blanco #1562 Col Lomas del Country, Zapopan</t>
  </si>
  <si>
    <t>Colchón KS, Sala 8 p t r, Coj, Silla s a, Senc</t>
  </si>
  <si>
    <t>44/25</t>
  </si>
  <si>
    <t>Martha Verónica Barba Sotelo</t>
  </si>
  <si>
    <t>33-1692-3332</t>
  </si>
  <si>
    <t>Calle Industria #2982 Col Libertad, Gdl</t>
  </si>
  <si>
    <t>Tapete sint, Camita de perro, Prem</t>
  </si>
  <si>
    <t>Se manda WA, no conesta</t>
  </si>
  <si>
    <t>45/25</t>
  </si>
  <si>
    <t>Héctor Alvarez Michell</t>
  </si>
  <si>
    <t>33-1065-2450</t>
  </si>
  <si>
    <t>José I Solórzano #819 Col Jardines Alcalde, Zapopan</t>
  </si>
  <si>
    <t>Sala 3 p t r, Eco</t>
  </si>
  <si>
    <t>46/25</t>
  </si>
  <si>
    <t>Ofelia Muñoz</t>
  </si>
  <si>
    <t>31-2317-4097</t>
  </si>
  <si>
    <t>endero de los abedules#158 Coto Cataluña, Pta de Hierro, Zapopan</t>
  </si>
  <si>
    <t>Sillas a y r, Senc</t>
  </si>
  <si>
    <t>47/25</t>
  </si>
  <si>
    <t>Vasti Rodríguez</t>
  </si>
  <si>
    <t>22-1262-4441</t>
  </si>
  <si>
    <t>Matute #337 Fracc La Rioja, Tlajo</t>
  </si>
  <si>
    <t>2 Colchón Ind, Healty</t>
  </si>
  <si>
    <t>Se manda WA, quedaron con algunas manchas, que le dijeron no se quitan, la sig vez, podrá teflón</t>
  </si>
  <si>
    <t>Se manda WA, quedaron limpios, pero con olor</t>
  </si>
  <si>
    <t>48/25</t>
  </si>
  <si>
    <t>Verónica Mariscal</t>
  </si>
  <si>
    <t>66-7266-0206</t>
  </si>
  <si>
    <t>Paseo Solares #1633 Coto Fontee Casa 87, Zapopan</t>
  </si>
  <si>
    <t>Sala 7 p t r, tapete sint, Prot, Sala 3 p a r, tab, bancos Protex</t>
  </si>
  <si>
    <t>49/25</t>
  </si>
  <si>
    <t>Tapete sint, Prem, PURT</t>
  </si>
  <si>
    <t>50/25</t>
  </si>
  <si>
    <t>Ma Guadalupe Castro Mosqueda</t>
  </si>
  <si>
    <t>33-1120-8608</t>
  </si>
  <si>
    <t>Av Sendero de los robles #4218 Coto Altaterra II Int 81 Col Valle Imperial, Zapopan</t>
  </si>
  <si>
    <t xml:space="preserve">Tapete sint, Healty </t>
  </si>
  <si>
    <t>51/25</t>
  </si>
  <si>
    <t>Rafael López / Extin México</t>
  </si>
  <si>
    <t>33-2616-4292</t>
  </si>
  <si>
    <t>Av Américas #1462 Col Country Club, Zapopan</t>
  </si>
  <si>
    <t>Alfombra, Senc</t>
  </si>
  <si>
    <t>52/25</t>
  </si>
  <si>
    <t>Doris Alvarez Hermosillo</t>
  </si>
  <si>
    <t>33-2082-0878</t>
  </si>
  <si>
    <t>Calle Jardines de los geranios #1446 Col Jardines del Vergel, Zapopan</t>
  </si>
  <si>
    <t>3 tapetes sint, Senc, PURT</t>
  </si>
  <si>
    <t>Se manda WA, muy bien, repite</t>
  </si>
  <si>
    <t>Se manda WA, no se manda  WA, el es proveedor, y se remedió un problema de su retardante</t>
  </si>
  <si>
    <t>53/25</t>
  </si>
  <si>
    <t>Suc Patria</t>
  </si>
  <si>
    <t>Pasto sintético, Extracción, Eco</t>
  </si>
  <si>
    <t>54/25</t>
  </si>
  <si>
    <t>Adriana Preciado</t>
  </si>
  <si>
    <t>33-1242-2910</t>
  </si>
  <si>
    <t>Calle Escudero #41 Coto II Fracc Jardín Real, Zapopan</t>
  </si>
  <si>
    <t>Sala 6 p t f, Piel, Tapete sint, Sillas a y r, Senc</t>
  </si>
  <si>
    <t>No se llama, clente exigente</t>
  </si>
  <si>
    <t>55/25</t>
  </si>
  <si>
    <t>Rocío Zepeda</t>
  </si>
  <si>
    <t>33-3950-9403</t>
  </si>
  <si>
    <t>Sol #114 Fracc Puerta Plata, Zapopan</t>
  </si>
  <si>
    <t>sala 15 p t f, 3 tab, 2 tapetes sint, Senc, PURT</t>
  </si>
  <si>
    <t>56/25</t>
  </si>
  <si>
    <t>Daniela Sofía Hernández Hernández</t>
  </si>
  <si>
    <t>33-3956-5077</t>
  </si>
  <si>
    <t>Periférico #1000 Coto Pta del Valle Int F1, Zapopan</t>
  </si>
  <si>
    <t>Sala 4 p t f, Tapete sint, Senc, PURT</t>
  </si>
  <si>
    <t>Se manda WA, no coentestra</t>
  </si>
  <si>
    <t>57/25</t>
  </si>
  <si>
    <t>Cairo #454 Col Lagos de Ote, Gdl</t>
  </si>
  <si>
    <t>Todo muy bien, nos recomienda</t>
  </si>
  <si>
    <t>58/25</t>
  </si>
  <si>
    <t>59/25</t>
  </si>
  <si>
    <t>Guadalupe Bravo / Orto Kids</t>
  </si>
  <si>
    <t>33-3176-9406</t>
  </si>
  <si>
    <t>Av Circunvalación Agustín Yañez # 2457 4o piso, Col Arcos Sur, Gdl</t>
  </si>
  <si>
    <t>2 tapetes sint, prot</t>
  </si>
  <si>
    <t>60/25</t>
  </si>
  <si>
    <t>47-7274-8682</t>
  </si>
  <si>
    <t>Tapete de algodón, Prem, PURT</t>
  </si>
  <si>
    <t>61/25</t>
  </si>
  <si>
    <t>Any Díaz</t>
  </si>
  <si>
    <t>33-1411-3711</t>
  </si>
  <si>
    <t>Paseo Solares #999 Coto 8 casa 10, Zapopan</t>
  </si>
  <si>
    <t xml:space="preserve">Tapete sint, Prot </t>
  </si>
  <si>
    <t>Muy lindo</t>
  </si>
  <si>
    <t>62/25</t>
  </si>
  <si>
    <t>Anny Marín / Blanca Argüelles</t>
  </si>
  <si>
    <t>33-5305-1459</t>
  </si>
  <si>
    <t>Virreyes #45 depto 2306 Landmark, Zapopan</t>
  </si>
  <si>
    <t>2 tapetes sint, Senc</t>
  </si>
  <si>
    <t>63/25</t>
  </si>
  <si>
    <t>Mónica Ramírez / Tierra y armonía</t>
  </si>
  <si>
    <t>33-1606-0551</t>
  </si>
  <si>
    <t>Av Américas #1297 Piso 5 Col Providencia, zapopan</t>
  </si>
  <si>
    <t>Alfombra, Tapete sint, Eco</t>
  </si>
  <si>
    <t>64/25</t>
  </si>
  <si>
    <t>Verónica Ramírez Cortés</t>
  </si>
  <si>
    <t>33-1155-0540</t>
  </si>
  <si>
    <t>Clz de las flores #9855 Int 39 Cond Sotavento Fracc Altavista Res, Zapopan</t>
  </si>
  <si>
    <t>Futón Prem</t>
  </si>
  <si>
    <t>Se regresa a repasar</t>
  </si>
  <si>
    <t>Se madna WA, súper bien</t>
  </si>
  <si>
    <t>65/25</t>
  </si>
  <si>
    <t>Katia Aguirre</t>
  </si>
  <si>
    <t>33-1449-0306</t>
  </si>
  <si>
    <t>Los Robles #145 Coto Puerta Serena Int Hoja Palmeada 4, Zapopan</t>
  </si>
  <si>
    <t>Interior tela coche peq, tapete sint, sillas a y r, senc</t>
  </si>
  <si>
    <t>66/25</t>
  </si>
  <si>
    <t>Jesús Rafael Plascencia Alvarez</t>
  </si>
  <si>
    <t>33-1070-1522</t>
  </si>
  <si>
    <t>Hoja Lineal #58 Coto Puerta serena, Zapopan</t>
  </si>
  <si>
    <t>Interior tela coche chico, Senc</t>
  </si>
  <si>
    <t>67/25</t>
  </si>
  <si>
    <t>Martha Rangel</t>
  </si>
  <si>
    <t>33-3106-4089</t>
  </si>
  <si>
    <t>Periférico #1000 Coto Pta del Valle Int L7, Zapopan</t>
  </si>
  <si>
    <t>Sala 8 p t f, Silla a y r, silla s a, eco</t>
  </si>
  <si>
    <t>68/25</t>
  </si>
  <si>
    <t>Interior tela coche med, Senc</t>
  </si>
  <si>
    <t>69/25</t>
  </si>
  <si>
    <t>Base y cabecera mat, Senc</t>
  </si>
  <si>
    <t>70/25</t>
  </si>
  <si>
    <t>Claudia Santana</t>
  </si>
  <si>
    <t>33-1824-8479</t>
  </si>
  <si>
    <t>Manuel M Dieguez #35 Depto 204 ; col Ladrón de Guevara, Gdl</t>
  </si>
  <si>
    <t>2 colchón KS, Eco, PURT</t>
  </si>
  <si>
    <t>71/25</t>
  </si>
  <si>
    <t>Manuel Ramírez</t>
  </si>
  <si>
    <t>33-1409-9574</t>
  </si>
  <si>
    <t>Luis Cabrera #474 Col Colinas de la Normal, Gdl</t>
  </si>
  <si>
    <t>Sala 7 p t f, Senc</t>
  </si>
  <si>
    <t>Se manda WA, quedaron muy bien</t>
  </si>
  <si>
    <t>Se manda WA, muy bien, el servicio excelente</t>
  </si>
  <si>
    <t>72/25</t>
  </si>
  <si>
    <t>Isela Prado Arenas</t>
  </si>
  <si>
    <t>33-1296-9890</t>
  </si>
  <si>
    <t>Granado #7 Col San Sebastián el Grande, Tlajo</t>
  </si>
  <si>
    <t>Colchón mat, ind, Senc</t>
  </si>
  <si>
    <t>73/25</t>
  </si>
  <si>
    <t>Axel Avila</t>
  </si>
  <si>
    <t>33-1864-5550</t>
  </si>
  <si>
    <t>Ecónomos #6951 Int A1 Rinc del Parque, Zapopan</t>
  </si>
  <si>
    <t>Tapete de lana Prot</t>
  </si>
  <si>
    <t>Se manda WA</t>
  </si>
  <si>
    <t>74/25</t>
  </si>
  <si>
    <t>Héctor Castro Pérez</t>
  </si>
  <si>
    <t>55-3731-4767</t>
  </si>
  <si>
    <t>Blvd Bosque de Sta Anita #2100 Int 30 Coto Cumbres de Platino Bellavista, Tlajo</t>
  </si>
  <si>
    <t>Futón, 2 tapetes sint, Senc</t>
  </si>
  <si>
    <t>75/25</t>
  </si>
  <si>
    <t>Jaqueline Nevarez</t>
  </si>
  <si>
    <t>33-2330-1670</t>
  </si>
  <si>
    <t>Rinc del Camichin #1327 Int 100 Col Real de Valdepeñas, Zapopan</t>
  </si>
  <si>
    <t>Sala 5 p r r, Senc, PURT</t>
  </si>
  <si>
    <t>76/25</t>
  </si>
  <si>
    <t>Eva Petocz</t>
  </si>
  <si>
    <t>33-3809-9667</t>
  </si>
  <si>
    <t>Paseo del torreo #1743 Colinas de San Javier, Zapopan</t>
  </si>
  <si>
    <t>6 sala 1 p t f, sala 4 p r r, sala 5 p r r, silla a y r, banco, tab, senc</t>
  </si>
  <si>
    <t>77/25</t>
  </si>
  <si>
    <t>Miguel Victorino / Gpo Desarrollo Infraestructura</t>
  </si>
  <si>
    <t>33-1520-3063</t>
  </si>
  <si>
    <t>Av Acueducto #2100 5B Col Colinas de Sn Javier, Zapopan</t>
  </si>
  <si>
    <t>Alfombra, sillas a y r, senc</t>
  </si>
  <si>
    <t>78/25</t>
  </si>
  <si>
    <t>Alejandra Pérez-Bouquet</t>
  </si>
  <si>
    <t>33-1399-3903</t>
  </si>
  <si>
    <t>Juan Palomar y Arias #300 Casa 20 Coto La Ceiba, Zapopan</t>
  </si>
  <si>
    <t>2 tapetes de lana, 2 tapetes sint, Healty, PURT</t>
  </si>
  <si>
    <t>79/25</t>
  </si>
  <si>
    <t>Marisol Asin Castellanos</t>
  </si>
  <si>
    <t>33-3815-8874</t>
  </si>
  <si>
    <t>Mármol #2328, Zapopan</t>
  </si>
  <si>
    <t>Sala 6 p r r, Silla a y r, Senc, Sala 8 p t f, Prem</t>
  </si>
  <si>
    <t>80/25</t>
  </si>
  <si>
    <t>Verónica Fuentes</t>
  </si>
  <si>
    <t>33-1068-4180</t>
  </si>
  <si>
    <t>Mezquitán #824 Int 3 Col Artesanos, Gdl</t>
  </si>
  <si>
    <t>Tapete sint, Eco, PURT</t>
  </si>
  <si>
    <t>81/25</t>
  </si>
  <si>
    <t>Josefina López</t>
  </si>
  <si>
    <t>33-3952-1097</t>
  </si>
  <si>
    <t>Plateros #2437 Col Jardines del Country, Gdl</t>
  </si>
  <si>
    <t>2 tapetes sint, Prem</t>
  </si>
  <si>
    <t>82/25</t>
  </si>
  <si>
    <t>Daniel Muñeton</t>
  </si>
  <si>
    <t>62-4156-6411</t>
  </si>
  <si>
    <t>López Mateos #2582 Torre Garibaldi Depto 1903 Col Ladrón de Guevara, Gdl</t>
  </si>
  <si>
    <t>Tapete sint, Sala 4 p t f, Sala 1 p t f, Coj, Colchón mat, KS, Senc</t>
  </si>
  <si>
    <t>83/25</t>
  </si>
  <si>
    <t>Ana Calderón</t>
  </si>
  <si>
    <t>33-3452-4369</t>
  </si>
  <si>
    <t>Ramón Corona #254 Col Sta Anita, Tlaque</t>
  </si>
  <si>
    <t>Sala 6 p t f, Eco</t>
  </si>
  <si>
    <t>84/25</t>
  </si>
  <si>
    <t>Lucy Llanos</t>
  </si>
  <si>
    <t>33-3199-7435</t>
  </si>
  <si>
    <t>Mar Egeo #1442 Int 403 Col Country Club, Zapopan</t>
  </si>
  <si>
    <t>Sala 3 p t f, Sala 2 p t f, Torre de gatos, Prot</t>
  </si>
  <si>
    <t>85/25</t>
  </si>
  <si>
    <t>Sebastian Huisman</t>
  </si>
  <si>
    <t>55-8330-1676</t>
  </si>
  <si>
    <t>Brasilia #2790 Depto 403D Col Provi, Zapopan</t>
  </si>
  <si>
    <t>Sala 7 p r r, Senc</t>
  </si>
  <si>
    <t>Se manda WA, súper bien</t>
  </si>
  <si>
    <t>Se manda WA, lo checará</t>
  </si>
  <si>
    <t>Se manda WA, sùper bien</t>
  </si>
  <si>
    <t>Se madna WA, sùper bien</t>
  </si>
  <si>
    <t>86/25</t>
  </si>
  <si>
    <t>Leticia Ávila Chiquini</t>
  </si>
  <si>
    <t>33-3149-5453</t>
  </si>
  <si>
    <t>Paseo Lomas Altas #4820 casa 3 Col Lomas del Valle, Zapopan</t>
  </si>
  <si>
    <t>Colchón mat, Tapete sint, Healty</t>
  </si>
  <si>
    <t>Gdl</t>
  </si>
  <si>
    <t>Tlaque</t>
  </si>
  <si>
    <t>Tlajo</t>
  </si>
  <si>
    <t>87/25</t>
  </si>
  <si>
    <t>Lucía Torres</t>
  </si>
  <si>
    <t>33-1005-6143</t>
  </si>
  <si>
    <t>Empresarios #62 Int 2402-B Col Pta de Hierro, Zapopan</t>
  </si>
  <si>
    <t>Tapete sint, Prot, PURT, Sala 7 p t r, Coj, Protex</t>
  </si>
  <si>
    <t>Se manda WA, todo super bien, como siempre</t>
  </si>
  <si>
    <t>88/25</t>
  </si>
  <si>
    <t>Rosy Aguilar</t>
  </si>
  <si>
    <t>33-3955-1758</t>
  </si>
  <si>
    <t>Capote #200 Col Gavilanes Pte, Tlajo</t>
  </si>
  <si>
    <t>Sala 5 p a r, Coj, Senc</t>
  </si>
  <si>
    <t>89/25</t>
  </si>
  <si>
    <t>Eduardo Soto / Talatrans Wordwide Mexico</t>
  </si>
  <si>
    <t>33-2591-1435</t>
  </si>
  <si>
    <t>Eulogio Parra #2704 Col Providencia, Zapopan</t>
  </si>
  <si>
    <t>Sillas a y r, Prem</t>
  </si>
  <si>
    <t>Se manda WA,muy bien</t>
  </si>
  <si>
    <t>90/25</t>
  </si>
  <si>
    <t>Alma Manzo</t>
  </si>
  <si>
    <t>33-1572-9169</t>
  </si>
  <si>
    <t>Coto Bizantino Int Jardines de Sn Gregorio #139 Fracc Valle Imperial, Zapopan</t>
  </si>
  <si>
    <t>Sala 4 p r r, Coj, Senc, PURT</t>
  </si>
  <si>
    <t>91/25</t>
  </si>
  <si>
    <t>Javier Hernández</t>
  </si>
  <si>
    <t>33-2182-7150</t>
  </si>
  <si>
    <t>Ramón López Velarde #72 Col San Antonio, Gdl</t>
  </si>
  <si>
    <t>Sala 2 p r r, Sala 1 p t f, Silla a y r, Senc</t>
  </si>
  <si>
    <t>Se manda WA, quedaon muy bien y como nuevas</t>
  </si>
  <si>
    <t>Se madna WA, aún no se secan</t>
  </si>
  <si>
    <t>92/25</t>
  </si>
  <si>
    <t>Erika Yazmín Medina Rodriguez</t>
  </si>
  <si>
    <t>33-1010-1218</t>
  </si>
  <si>
    <t>Juan Suarez de Peralta #2908 Col Jardines de la paz, Tonalá</t>
  </si>
  <si>
    <t>Silla de bb, Healty</t>
  </si>
  <si>
    <t>Gloria González Ramos</t>
  </si>
  <si>
    <t>33-3637-0396</t>
  </si>
  <si>
    <t>Calle Cerro Viejo #1456 Col Independencia, Gdl</t>
  </si>
  <si>
    <t>MUY problemática…</t>
  </si>
  <si>
    <t>94/25</t>
  </si>
  <si>
    <t>Eduardo Lomelí</t>
  </si>
  <si>
    <t>33-3809-0247</t>
  </si>
  <si>
    <t>Camino Arenero #1052 Bajío Habitat Cond A casa 27, Zapopan</t>
  </si>
  <si>
    <t>3 tapete sint, Prem</t>
  </si>
  <si>
    <t>95/25</t>
  </si>
  <si>
    <t>Adriana Cervantes</t>
  </si>
  <si>
    <t>33-1418-2457</t>
  </si>
  <si>
    <t>Guiseppe Torelli #135 Col Vallarta La Patria, Zapopan</t>
  </si>
  <si>
    <t>Sala 6 p t f, Reposet, Senc, PURT</t>
  </si>
  <si>
    <t>96/25</t>
  </si>
  <si>
    <t>Blanca García</t>
  </si>
  <si>
    <t>32-2779-7216</t>
  </si>
  <si>
    <t>Paseo del Bosque #3428 Coto Livorno Int 486, Zapopan</t>
  </si>
  <si>
    <t>Colchón KS, Mat, Senc</t>
  </si>
  <si>
    <t>97/25</t>
  </si>
  <si>
    <t>Silvia Murillo Aceves</t>
  </si>
  <si>
    <t>33-1464-4593</t>
  </si>
  <si>
    <t>Frederick Chopin #5138 Col La Estancia, Gdl</t>
  </si>
  <si>
    <t>Sala 6 p t f, prot</t>
  </si>
  <si>
    <t>No se llama abusiva, quiere promoción y lavado de cojines gratis..</t>
  </si>
  <si>
    <t>98/25</t>
  </si>
  <si>
    <t>Alfredo Carranza / Sipreco</t>
  </si>
  <si>
    <t>Torre corporativo Diamante 4o piso Av Acueducto #6075 A Col Pta de Hierro, Zapopan</t>
  </si>
  <si>
    <t>Alfombra senc, Alfombra Eco</t>
  </si>
  <si>
    <t>No se llama, la empresa es de Mty, unas oficinas que hicieron aquí se inundaron</t>
  </si>
  <si>
    <t>99/25</t>
  </si>
  <si>
    <t>Evangelina Mata Estrada</t>
  </si>
  <si>
    <t>33-1855-3870</t>
  </si>
  <si>
    <t>Salmón #2897 Col Res Loma Bonita, Zapopan</t>
  </si>
  <si>
    <t>Sala 6 p t r, Sala 1 p a r, Coj, Senc PURT</t>
  </si>
  <si>
    <t>100/25</t>
  </si>
  <si>
    <t>Juan Pablo Castellanos</t>
  </si>
  <si>
    <t>Pulido piso, barra y mesa</t>
  </si>
  <si>
    <t>Se manda WA, no ha termiando de secar</t>
  </si>
  <si>
    <t>Claudia Raygoza</t>
  </si>
  <si>
    <t>Ok</t>
  </si>
  <si>
    <t>101/25</t>
  </si>
  <si>
    <t>Guadalupe Zuno Vazquez</t>
  </si>
  <si>
    <t>33-1466-0500</t>
  </si>
  <si>
    <t>Isla Sumatra #2824 Col Bosques de la Victoria, Zapopan</t>
  </si>
  <si>
    <t>3 tapetes de lana Senc</t>
  </si>
  <si>
    <t>102/25</t>
  </si>
  <si>
    <t>Marcela Fregoso</t>
  </si>
  <si>
    <t>33-3440-3811</t>
  </si>
  <si>
    <t>Agricultores#5472 Col Arcos de Gpe, Zapopan</t>
  </si>
  <si>
    <t>Colchón mat. QS, eco, PURT</t>
  </si>
  <si>
    <t>103/25</t>
  </si>
  <si>
    <t>Sala 2 p r r, senc, Tapete sint, Prot</t>
  </si>
  <si>
    <t>104/25</t>
  </si>
  <si>
    <t>Rosa Ortega Cortés</t>
  </si>
  <si>
    <t>33-3399-1650</t>
  </si>
  <si>
    <t>Río Blanco #1676 Coto Los Almendros Casa 268, Zapopan</t>
  </si>
  <si>
    <t>4 tapetes sint, Prot</t>
  </si>
  <si>
    <t>Se manda WA, quedaron muy bien, pero se regresa, por que le provocan fuerte alergia asus perros</t>
  </si>
  <si>
    <t>Se madna WA, no contesta</t>
  </si>
  <si>
    <t>105/25</t>
  </si>
  <si>
    <t>Verónica Cerón</t>
  </si>
  <si>
    <t>Paseo Sn Arturo Pte #101 Coto Las Rosas Casa 78 Valle Real, Zapopan</t>
  </si>
  <si>
    <t>106/25</t>
  </si>
  <si>
    <t>Martha Nélida Gutiérrez Arias</t>
  </si>
  <si>
    <t>33-1349-3680</t>
  </si>
  <si>
    <t>Niños Héroes Sur #361 Col El Álamo, Tlaque</t>
  </si>
  <si>
    <t>Tapete sint, Healty</t>
  </si>
  <si>
    <t>Se manda WA, todo muy bien, muy satisfecha</t>
  </si>
  <si>
    <t>107/25</t>
  </si>
  <si>
    <t>Ma del Refugio Aldama Baeza</t>
  </si>
  <si>
    <t>33-2183-2544</t>
  </si>
  <si>
    <t>Susana Gómez Palafox #5229 Col Paseos del Sol, Gdl</t>
  </si>
  <si>
    <t>Sala 5 p t r, Eco</t>
  </si>
  <si>
    <t>108/25</t>
  </si>
  <si>
    <t>Renata Fernández</t>
  </si>
  <si>
    <t>33-3815-5736</t>
  </si>
  <si>
    <t>Edificio Legacy Andares Depto 2001A, Zapopan</t>
  </si>
  <si>
    <t>2 tapetes de lana, prot</t>
  </si>
  <si>
    <t>Súper bien</t>
  </si>
  <si>
    <t>Se manda WA, no ha revisado</t>
  </si>
  <si>
    <t>109/25</t>
  </si>
  <si>
    <t>Idalis Elianis Pompa Fernández</t>
  </si>
  <si>
    <t>33-2713-5127</t>
  </si>
  <si>
    <t>Av Paseo Nte #3350 Casa 38 Natura Bosque Res, Zapopan</t>
  </si>
  <si>
    <t>110/25</t>
  </si>
  <si>
    <t>Juvenal Covarrubias / Desarrolladora Irsa</t>
  </si>
  <si>
    <t>33-2022-2454</t>
  </si>
  <si>
    <t>Rio Tepalcaltepec #1425, Las Aguilas, Zapopan</t>
  </si>
  <si>
    <t xml:space="preserve">Alfombra, Prem </t>
  </si>
  <si>
    <t>Sala 8 p t f, 2 tapete sint, Sillas a y r, Senc PURT</t>
  </si>
  <si>
    <t>No se manda WA, la cliente muy exigente, se trata con el esposo</t>
  </si>
  <si>
    <t>111/25</t>
  </si>
  <si>
    <t>Juan David Gómez</t>
  </si>
  <si>
    <t>33-1008-3105</t>
  </si>
  <si>
    <t>Av Servidor público #1389 Int 502-W Real View Tower, Zapopan</t>
  </si>
  <si>
    <t>Colchón mat, Eco, PURT</t>
  </si>
  <si>
    <t xml:space="preserve">Es fijo </t>
  </si>
  <si>
    <t>Se madna WA, muy limpia</t>
  </si>
  <si>
    <t>112/25</t>
  </si>
  <si>
    <t>Gisele Chaurand</t>
  </si>
  <si>
    <t>33-1672-8510</t>
  </si>
  <si>
    <t>Av Gral Ramón Corona #2748 Fracc Los Olivos Casa K3, Zapopan</t>
  </si>
  <si>
    <t>Sala 9 p r r, Senc</t>
  </si>
  <si>
    <t>113/25</t>
  </si>
  <si>
    <t>Sala 5 p a r, Senc, PURT</t>
  </si>
  <si>
    <t>114/25</t>
  </si>
  <si>
    <t>Nora Alicia Gómez</t>
  </si>
  <si>
    <t>33-1804-7140</t>
  </si>
  <si>
    <t>Paseo de los lagos #159 Las Cañadas, Zapopan</t>
  </si>
  <si>
    <t>Silla s a, Banco, Camita de perro, Senc</t>
  </si>
  <si>
    <t>115/25</t>
  </si>
  <si>
    <t>Yedith Castillo</t>
  </si>
  <si>
    <t>33-1402-0216</t>
  </si>
  <si>
    <t>Leona Vicario #2309 Col La Haciendita, Zapopan</t>
  </si>
  <si>
    <t>Sala 4 p t f, Sila a y r, Silla s a, Eco</t>
  </si>
  <si>
    <t>116/25</t>
  </si>
  <si>
    <t>Eliselda Nuñez</t>
  </si>
  <si>
    <t>33-1706-5303</t>
  </si>
  <si>
    <t>Provenza Residencial Casa 67 Coto Sur, Tlajomulco</t>
  </si>
  <si>
    <t>Sala 6 p a r, Banco, Tapete sint, PURT</t>
  </si>
  <si>
    <t>117/25</t>
  </si>
  <si>
    <t>33-1699-7710</t>
  </si>
  <si>
    <t>Ingrid García de la Rosa</t>
  </si>
  <si>
    <t>3 tapetes sint, Prot, PURT</t>
  </si>
  <si>
    <t>118/25</t>
  </si>
  <si>
    <t>Juan Hernández Crisantes</t>
  </si>
  <si>
    <t>33-1020-2821</t>
  </si>
  <si>
    <t>San Gonzalo #1970 Coto San Bernardo Casa 54, Zapopan</t>
  </si>
  <si>
    <t>Sala 4 p r r, Eco</t>
  </si>
  <si>
    <t>119/25</t>
  </si>
  <si>
    <t>Esperanza Rivas Rubio</t>
  </si>
  <si>
    <t>33-3814-4606</t>
  </si>
  <si>
    <t>Alcalde Sur #42-A, Tlajomulco</t>
  </si>
  <si>
    <t>Colcchón KS, Prem</t>
  </si>
  <si>
    <t>120/25</t>
  </si>
  <si>
    <t>Rubén Cuevas / Restaurante Tintoretto</t>
  </si>
  <si>
    <t>33-1075-0836</t>
  </si>
  <si>
    <t>Plaza Sao Paulo, Zapopan</t>
  </si>
  <si>
    <t>Silla a y r, Prot</t>
  </si>
  <si>
    <t>Se manda WA, se regresa a repasar</t>
  </si>
  <si>
    <t>Pta de hierro #5430 Int 1201, Zapopan</t>
  </si>
  <si>
    <t>Se manda WA, no los ha revisado</t>
  </si>
  <si>
    <t>Se madna WA, quedó conforme, aunque no se quitaron todas las manchas, repetira</t>
  </si>
  <si>
    <t>121/25</t>
  </si>
  <si>
    <t>Pamela Troncoso</t>
  </si>
  <si>
    <t>33-3167-0653</t>
  </si>
  <si>
    <t>Andrómeda #5009 Int 2 Col La Clama, Zapopan</t>
  </si>
  <si>
    <t xml:space="preserve">Tapete sint, Prem </t>
  </si>
  <si>
    <t>122/25</t>
  </si>
  <si>
    <t>Martín Rubén Pérez Cano</t>
  </si>
  <si>
    <t>33-1699-5114</t>
  </si>
  <si>
    <t>Av Casa Fuerte #151-30 Coto Torreón, Tlajomulco</t>
  </si>
  <si>
    <t>Sala 6 p t r, Coj, Eco, Tapete sint, Prot</t>
  </si>
  <si>
    <t>123/25</t>
  </si>
  <si>
    <t>Ventura Torre 200 Depto 1703, Zapopan</t>
  </si>
  <si>
    <t>Tapete sint , Prem</t>
  </si>
  <si>
    <t>124/25</t>
  </si>
  <si>
    <t>Marilú / Motel Riazor</t>
  </si>
  <si>
    <t>33-3593-5995</t>
  </si>
  <si>
    <t>Av Vallarta #6416, Zapopan</t>
  </si>
  <si>
    <t>8 Sala 2 p t f, Senc</t>
  </si>
  <si>
    <t>125/25</t>
  </si>
  <si>
    <t>Como siempre muy bien</t>
  </si>
  <si>
    <t>126/25</t>
  </si>
  <si>
    <t>Lolita Gaona</t>
  </si>
  <si>
    <t>33-3491-4666</t>
  </si>
  <si>
    <t>Pta de hierro #6244-B, Zapopan</t>
  </si>
  <si>
    <t>Colchón mat, Coj, Healty</t>
  </si>
  <si>
    <t>127/25</t>
  </si>
  <si>
    <t>128/25</t>
  </si>
  <si>
    <t>129/25</t>
  </si>
  <si>
    <t>130/25</t>
  </si>
  <si>
    <t>131/25</t>
  </si>
  <si>
    <t>132/25</t>
  </si>
  <si>
    <t>133/25</t>
  </si>
  <si>
    <t>Banregio</t>
  </si>
  <si>
    <t>Suc 131 Abastos, Gdl</t>
  </si>
  <si>
    <t>Suc 184 Patri Universidad, Zapopan</t>
  </si>
  <si>
    <t>Suc 130 Patria Américas, Zapopan</t>
  </si>
  <si>
    <t>Suc 139 La Rioja, Tlajo</t>
  </si>
  <si>
    <t>Suc 135 Vallarta, Zapopan</t>
  </si>
  <si>
    <t>Suc 128 Lopez Mateos Sur, Zapopan</t>
  </si>
  <si>
    <t>Suc 138, Tlaque</t>
  </si>
  <si>
    <t>Silla a y r Prem</t>
  </si>
  <si>
    <t>134/25</t>
  </si>
  <si>
    <t>Julieta Gómez</t>
  </si>
  <si>
    <t>33-1265-1959</t>
  </si>
  <si>
    <t>Palmas #1 Coto Valencia Fracc Pta de Hierro, Zapopan</t>
  </si>
  <si>
    <t>Silla a y r, Banco, senc</t>
  </si>
  <si>
    <t>MUY ventajosa, quiso que se le respetara la promo de febrero y descuento, les pidió a los muchchos hicieran el trabajo por su cuenta</t>
  </si>
  <si>
    <t>135/25</t>
  </si>
  <si>
    <t>Ingrid Coronado</t>
  </si>
  <si>
    <t>33-1862-6147</t>
  </si>
  <si>
    <t>Fracc Villa Verona Casa N7, Zapopan</t>
  </si>
  <si>
    <t>2 tapetes de lana, Eco, PURT</t>
  </si>
  <si>
    <t>136/25</t>
  </si>
  <si>
    <t>Brenda del Valle</t>
  </si>
  <si>
    <t>33-1411-0362</t>
  </si>
  <si>
    <t>La campiña #33 Col Royal Country, Zapopan</t>
  </si>
  <si>
    <t>Sala 5 p t f, Eco</t>
  </si>
  <si>
    <t>137/25</t>
  </si>
  <si>
    <t>Alejandro Luna / Comercializadora Autodis</t>
  </si>
  <si>
    <t>33-1587-8966</t>
  </si>
  <si>
    <t>Av Dr R Michel #2325 Col El Rosario, Tlaquepaque</t>
  </si>
  <si>
    <t>Se madna WA, quedo bien</t>
  </si>
  <si>
    <t>138/25</t>
  </si>
  <si>
    <t>José de Jesús Castañeda González</t>
  </si>
  <si>
    <t>33-5331-7464</t>
  </si>
  <si>
    <t>N Enriquez #4156 Col Miravalle, Guadalajara</t>
  </si>
  <si>
    <t>139/25</t>
  </si>
  <si>
    <t>Alejandro Desentis R</t>
  </si>
  <si>
    <t>32-2779-9577</t>
  </si>
  <si>
    <t>Bogotá #2596 Col Provi 3a Secc, Zapopan</t>
  </si>
  <si>
    <t>Alfombra Eco</t>
  </si>
  <si>
    <t>140/25</t>
  </si>
  <si>
    <t>paulina Preciado Gómez</t>
  </si>
  <si>
    <t>33-1395-8305</t>
  </si>
  <si>
    <t>San Felipe Neri #705 Col Camino Real, Zapopan</t>
  </si>
  <si>
    <t>Se manda WA, muy satisfecho</t>
  </si>
  <si>
    <t>Se manda WA, parece que aún huele a humedad, espramos</t>
  </si>
  <si>
    <t>141/25</t>
  </si>
  <si>
    <t>Sala 3 p t f, Torre de gatos, Prot</t>
  </si>
  <si>
    <t>Paulina Preciado Gómez</t>
  </si>
  <si>
    <t>142/25</t>
  </si>
  <si>
    <t>Arturo López / Condominio Vertical Torre del Prado</t>
  </si>
  <si>
    <t>33-2848-9100</t>
  </si>
  <si>
    <t>Av Universidad #2866Col Puerta Las Lomas, Zapopan</t>
  </si>
  <si>
    <t>Sala 3 p r r, Silla a y r, Prot</t>
  </si>
  <si>
    <t>Lupita Rodríguez</t>
  </si>
  <si>
    <t>33-4593-7128</t>
  </si>
  <si>
    <t>Callejón del Armadillo #173 Col Bugambilias 3a. Secc, Zapopan</t>
  </si>
  <si>
    <t>Interior tela coche med, 2 tapetes sint, Healty, PURT</t>
  </si>
  <si>
    <t>143/25</t>
  </si>
  <si>
    <t>Nora Pérez De León Valencia</t>
  </si>
  <si>
    <t>33-3147-1550</t>
  </si>
  <si>
    <t>Turín #2747 Int 104 Col Providencia, Zapopan</t>
  </si>
  <si>
    <t>Tapete sint, Senc</t>
  </si>
  <si>
    <t>145/25</t>
  </si>
  <si>
    <t>Victoria Carrillo</t>
  </si>
  <si>
    <t>33-2258-7433</t>
  </si>
  <si>
    <t>Manuel J Clouthier #628 Int 1 Coto Cond Bugambilia Col Jardines de Gpe, Zapopan</t>
  </si>
  <si>
    <t>Silla a y r, Prem</t>
  </si>
  <si>
    <t>Colchón KS, Prem</t>
  </si>
  <si>
    <t>Sala 6 p a r, Banco, Tapete sint, Prot, PURT</t>
  </si>
  <si>
    <t>Se manda WA muy bien</t>
  </si>
  <si>
    <t>146/25</t>
  </si>
  <si>
    <t>Laboratorios Jaloma / Alejandra Loeza</t>
  </si>
  <si>
    <t>33-1070-7011</t>
  </si>
  <si>
    <t>Aquiles Serdán #438 Col Oblatos</t>
  </si>
  <si>
    <t>Sala 5 p r r, Eco</t>
  </si>
  <si>
    <t>Se manda WA, cree que bien</t>
  </si>
  <si>
    <t>147/25</t>
  </si>
  <si>
    <t>Enrique Díaz</t>
  </si>
  <si>
    <t>61-8119-5656</t>
  </si>
  <si>
    <t>Paseo de los Virreyes #45 Depto 2604 Edif Landmark, Zapopan</t>
  </si>
  <si>
    <t>Sala 9 p t r, 3 tapetes sint, Prot</t>
  </si>
  <si>
    <t>148/25</t>
  </si>
  <si>
    <t>María Griselda Llamas D e León</t>
  </si>
  <si>
    <t>33-1345-8382</t>
  </si>
  <si>
    <t>Feli Palavicini #438-A Col Constitución, Zapopan</t>
  </si>
  <si>
    <t>Sala 5 p t f, Senc</t>
  </si>
  <si>
    <t>149/25</t>
  </si>
  <si>
    <t>Antonio Aceves</t>
  </si>
  <si>
    <t>33-2831-9060</t>
  </si>
  <si>
    <t>Calle Entre Rios #3097 Int 2 Col Colomos Providencia, Zapopan</t>
  </si>
  <si>
    <t>Sala 3 p t r, Sala 1 p t f, Senc</t>
  </si>
  <si>
    <t>150/25</t>
  </si>
  <si>
    <t>Larissa Morales / Achena Interiorismo</t>
  </si>
  <si>
    <t>33-7795-0459</t>
  </si>
  <si>
    <t>Av Montevideo #3286-1 Col Providencia, Zapopan</t>
  </si>
  <si>
    <t>Tapete sint, Silla a y r, Senc</t>
  </si>
  <si>
    <t>151/25</t>
  </si>
  <si>
    <t>Eber Yesua De la Torre</t>
  </si>
  <si>
    <t>33-1769-4968</t>
  </si>
  <si>
    <t>Turquesa #3232 Col Villa de la Victoria, Gdl</t>
  </si>
  <si>
    <t>Colchón KS, Prot</t>
  </si>
  <si>
    <t>muy bien, quedó rechinando de limpio</t>
  </si>
  <si>
    <t>152/25</t>
  </si>
  <si>
    <t>Ma Elena Toscano / Laborratorio Rio</t>
  </si>
  <si>
    <t>33-4261-6534</t>
  </si>
  <si>
    <t>Av López Mateos #1042 Col Italia Providencia, Gdl</t>
  </si>
  <si>
    <t>153/25</t>
  </si>
  <si>
    <t>Rosa Esther Ramos Alvarado</t>
  </si>
  <si>
    <t>33-3507-3968</t>
  </si>
  <si>
    <t>San José #128 Col El Carmen, El Salto</t>
  </si>
  <si>
    <t>Alfombra, Sillas a y r, Eco</t>
  </si>
  <si>
    <t>muy bien</t>
  </si>
  <si>
    <t>154/25</t>
  </si>
  <si>
    <t>Zuri Sadahi Cruz De La Rosa</t>
  </si>
  <si>
    <t>33-1463-0332</t>
  </si>
  <si>
    <t>Telefonistas #3360 Col Lagos de Ote, Gdl</t>
  </si>
  <si>
    <t>Colchón QS, Prem, PURT</t>
  </si>
  <si>
    <t>155/25</t>
  </si>
  <si>
    <t>Mariana Montaño Díaz</t>
  </si>
  <si>
    <t>33-2258-1045</t>
  </si>
  <si>
    <t>Paseo Nte #3350 Coto Antara Casa 108 Fracc Natura Bosque Res, Zapopan</t>
  </si>
  <si>
    <t>Sala 4 p t f, Reposet, Silla s a, Prot</t>
  </si>
  <si>
    <t>Se manda WA, se regresa a repasar, por que quedó con olor</t>
  </si>
  <si>
    <t>156/25</t>
  </si>
  <si>
    <t>Missael Robles Robles</t>
  </si>
  <si>
    <t>33-1411-6169</t>
  </si>
  <si>
    <t>Paseo de los Pinos #3875 Fracc L a Herradura, Zapopan</t>
  </si>
  <si>
    <t>Sala 11 p t r, Coj, Sala 3 p r r, tab, Prot, Colchón KS, QS, 4 Individuales, Eco</t>
  </si>
  <si>
    <t>157/25</t>
  </si>
  <si>
    <t>Claudia Cerda</t>
  </si>
  <si>
    <t>33-1172-4802</t>
  </si>
  <si>
    <t>Montevideo #3078-1 Col Vista del Bosque, Gdl</t>
  </si>
  <si>
    <t>Sala 3 p t f, 2 cabecera KS, Senc</t>
  </si>
  <si>
    <t>158/25</t>
  </si>
  <si>
    <t>Sala 3 p r r, Eco</t>
  </si>
  <si>
    <t>Se manda WA, todo perfecto</t>
  </si>
  <si>
    <t>159/25</t>
  </si>
  <si>
    <t>Diego Luna</t>
  </si>
  <si>
    <t>33-3950-0632</t>
  </si>
  <si>
    <t>Boticelli #5281 Col Eucalipto Vallarta, Zapopan</t>
  </si>
  <si>
    <t>Sala 6 p t f, Eco, PURT</t>
  </si>
  <si>
    <t>se regresa a repasar</t>
  </si>
  <si>
    <t>160/25</t>
  </si>
  <si>
    <t>Sonia Pérez</t>
  </si>
  <si>
    <t>33-2312-7537</t>
  </si>
  <si>
    <t>Pavo #135-102 Col Centro, Gdl</t>
  </si>
  <si>
    <t>161/25</t>
  </si>
  <si>
    <t>Armando Chávez</t>
  </si>
  <si>
    <t>72-2295-6971</t>
  </si>
  <si>
    <t>Morelos # 1187-3 Col Americana, Gdl</t>
  </si>
  <si>
    <t>Tapete sint, Sala 5 p t f, coj, silla a y r, tab, Eco</t>
  </si>
  <si>
    <t>Se manda WA, parece que bien</t>
  </si>
  <si>
    <t>162/25</t>
  </si>
  <si>
    <t>Alexander ortíz</t>
  </si>
  <si>
    <t>33-5124-9984</t>
  </si>
  <si>
    <t>Retorno del castor #1014 Col. Bugambilias, Zapopan</t>
  </si>
  <si>
    <t>Colchón KS, Senc, PURT</t>
  </si>
  <si>
    <t>No lo ha revisado</t>
  </si>
  <si>
    <t>163/25</t>
  </si>
  <si>
    <t>Av Vallarta #3060 Col Vallarta Pte, Zapopan</t>
  </si>
  <si>
    <t>Silla a y r, Sala 5 p t f, Coj, Sala 1 p t f, Prot</t>
  </si>
  <si>
    <t>164/25</t>
  </si>
  <si>
    <t>Ximena Cepeda</t>
  </si>
  <si>
    <t>33-3023-5545</t>
  </si>
  <si>
    <t>Paseo de los Virreyes #250 Torre Aura Atitud Depto 2502, Zapopan</t>
  </si>
  <si>
    <t>Colchón KS, Ind, Senc</t>
  </si>
  <si>
    <t>165/25</t>
  </si>
  <si>
    <t>José Angel Rodríguez Díaz</t>
  </si>
  <si>
    <t>33-3577-7635</t>
  </si>
  <si>
    <t>Manuel M Tortolero #110 Col Los maestros, Zapopan</t>
  </si>
  <si>
    <t>Sillas a y r, Healty</t>
  </si>
  <si>
    <t>166/25</t>
  </si>
  <si>
    <t>Olivia Zavala</t>
  </si>
  <si>
    <t>55-7986-9057</t>
  </si>
  <si>
    <t>Saln Arturo #339 Nte Pte, Valle Real, Zapopan</t>
  </si>
  <si>
    <t>Sala 2 p t f, Silla a y r, Banca, Prem</t>
  </si>
  <si>
    <t>Se manda WA, los dejaron al 100</t>
  </si>
  <si>
    <t>167/25</t>
  </si>
  <si>
    <t>Verónica Mejía</t>
  </si>
  <si>
    <t>33-1690-0460</t>
  </si>
  <si>
    <t>Circ Madrigal #1998 Casa 13 Col Colinas de San Javier, Zapopan</t>
  </si>
  <si>
    <t>Tapete de lana, silla a y r, Prot, Tapete de lana senc</t>
  </si>
  <si>
    <t>Parece que no quedaron al 100</t>
  </si>
  <si>
    <t>168/25</t>
  </si>
  <si>
    <t>Braulio Mora</t>
  </si>
  <si>
    <t>33-1735-6208</t>
  </si>
  <si>
    <t>Puerto Vigo #19 Fracc Banus, Tlajo</t>
  </si>
  <si>
    <t>169/25</t>
  </si>
  <si>
    <t>Cecilia García Riveroll</t>
  </si>
  <si>
    <t>33-1400-9366</t>
  </si>
  <si>
    <t>Av Gpe #6700 Torre 2 Depto 221 Col Cd. Bugambilias, Zapopan</t>
  </si>
  <si>
    <t>Reposet, Bancos, Prem, PURT</t>
  </si>
  <si>
    <t>170/25</t>
  </si>
  <si>
    <t>Fernanda Durán</t>
  </si>
  <si>
    <t>33-2789-8014</t>
  </si>
  <si>
    <t>Blvrd Sta Anita #500 Paseo del Origen Casa 10 El Origen Sorrento, Tlajomulco</t>
  </si>
  <si>
    <t>171/25</t>
  </si>
  <si>
    <t>Ma Dolores Aguilar</t>
  </si>
  <si>
    <t>33-2119-3128</t>
  </si>
  <si>
    <t>Gral Arteaga #374 Col Centr, Gdl</t>
  </si>
  <si>
    <t>Colchón mat, Base, Senc, PURT</t>
  </si>
  <si>
    <t>Se manda WA, no lo han checado</t>
  </si>
  <si>
    <t>172/25</t>
  </si>
  <si>
    <t xml:space="preserve">Arq Alfredo Vasquez / Lorena Barajas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</si>
  <si>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33-3826-0447</t>
  </si>
  <si>
    <t>Loópez Cotilla #1139-B Col Americana, Gdl</t>
  </si>
  <si>
    <t>173/25</t>
  </si>
  <si>
    <t>Lucila Fernández</t>
  </si>
  <si>
    <t>33-3720-2368</t>
  </si>
  <si>
    <t>Coto Acacia Casa 87 Col Parques Vallarta, Zapopan</t>
  </si>
  <si>
    <t>Sala 5 p t r, Silla a y r, Senc</t>
  </si>
  <si>
    <t>Se manda WA, era cliente de Archie, y le dejaron fatal sus muebles</t>
  </si>
  <si>
    <t>Se manda WA, no lo ha revisado</t>
  </si>
  <si>
    <t>Ilich Hernández</t>
  </si>
  <si>
    <t>33-1443-0155</t>
  </si>
  <si>
    <t>Garibaldi #2582 Depto 805 Col Ladrón de Guevara, Gdl</t>
  </si>
  <si>
    <t>Sala 5 p t f, Colchón QS, Senc</t>
  </si>
  <si>
    <t>Se manda Mail, todo muy bien</t>
  </si>
  <si>
    <t>174/25</t>
  </si>
  <si>
    <t>175/25</t>
  </si>
  <si>
    <t>Marlen Dupre</t>
  </si>
  <si>
    <t>55-5102-9364</t>
  </si>
  <si>
    <t>Albón #129 Coto Avellano, Valle Imperial, Zapopan</t>
  </si>
  <si>
    <t xml:space="preserve">Sala 4 p r r, Coj, Senc </t>
  </si>
  <si>
    <t>Se queja del tapete, se lavó ahí mismo y no quedó, no quiso que se llevara al taller, se le devolvió su $</t>
  </si>
  <si>
    <t>176/25</t>
  </si>
  <si>
    <t>Colchón KS Senc, PURT</t>
  </si>
  <si>
    <t>177/25</t>
  </si>
  <si>
    <t>Diego Mejía Jiménez</t>
  </si>
  <si>
    <t>33-1428-2695</t>
  </si>
  <si>
    <t>Reforma #1112 Col Sta Tere, Zapopan</t>
  </si>
  <si>
    <t>Sala 6 p t f, Colchón Mat, Prot</t>
  </si>
  <si>
    <t>Se manda WA, súper bin, quedaron muy limpios y oliendo rico</t>
  </si>
  <si>
    <t>178/25</t>
  </si>
  <si>
    <t>Gustavo Sanfelice</t>
  </si>
  <si>
    <t>33-3667-1307</t>
  </si>
  <si>
    <t>Circ Los Andes #40 Coto 2 Mz B Bosques de Sta Anita, Tlajo</t>
  </si>
  <si>
    <t>Sala 7 p r r, Sala 3 p r r, Cama abajo, Silla a y r, 2 taptes sint, Senc</t>
  </si>
  <si>
    <t>Se manda WA, no lo ha checado</t>
  </si>
  <si>
    <t>Se manda WA, muy satisfechos y contentos</t>
  </si>
  <si>
    <t>179/25</t>
  </si>
  <si>
    <t>Zulma Mendivil</t>
  </si>
  <si>
    <t>33-2222-7634</t>
  </si>
  <si>
    <t>Volcán Paricutín #5933 El Colli Urbano, Zapopan</t>
  </si>
  <si>
    <t>Sala 5 p t f, Colchón KS, Senc, PURT</t>
  </si>
  <si>
    <t>180/25</t>
  </si>
  <si>
    <t>Av Vallarta #63060 Col Vallarta Pte, Zapopan</t>
  </si>
  <si>
    <t>Pasto sintético, Senc</t>
  </si>
  <si>
    <t>Se manda WA, se tarda mucho en secar</t>
  </si>
  <si>
    <t>Se manda WA, les gustó mucho, que muy bien</t>
  </si>
  <si>
    <t>181/25</t>
  </si>
  <si>
    <t>Ma Dolores García Rangel</t>
  </si>
  <si>
    <t>33-3955-9199</t>
  </si>
  <si>
    <t>Av Acueducto #5555 Casa 61 Coto real del Parque, Zapopan</t>
  </si>
  <si>
    <t>Respaldos, Tapete sint, Senc, PURT</t>
  </si>
  <si>
    <t>182/25</t>
  </si>
  <si>
    <t>Andrea Espinosa Montaño</t>
  </si>
  <si>
    <t>34-1117-1117</t>
  </si>
  <si>
    <t>Florencia #2453 Casa 46 Col Providencia, Zapopan</t>
  </si>
  <si>
    <t>Sala 5 p t r, Tapete de lana, Prem, PURT</t>
  </si>
  <si>
    <t>183/25</t>
  </si>
  <si>
    <t>Pedro Vargas Alarcón</t>
  </si>
  <si>
    <t>33-3968-9558</t>
  </si>
  <si>
    <t>Arroyo seco #1300 casa 71 Coto Abetos, Tlaque</t>
  </si>
  <si>
    <t>No se manda WA, cliente ventajoso, quiso que se lcobrara 5 plazas</t>
  </si>
  <si>
    <t>184/25</t>
  </si>
  <si>
    <t>Jazmín Orozco</t>
  </si>
  <si>
    <t>32-2294-2447</t>
  </si>
  <si>
    <t>Coto Barcelona Casa 12 Fracc Nva Galicia, Tlajo</t>
  </si>
  <si>
    <t>Sala 6 p t f, Healty, PURT</t>
  </si>
  <si>
    <t>185/25</t>
  </si>
  <si>
    <t>Estefanía Daza</t>
  </si>
  <si>
    <t>33-2117-7159</t>
  </si>
  <si>
    <t>Calle Virgen #5181 Int 209 Col La Calma, Zapopan</t>
  </si>
  <si>
    <t>Tapete sint, Sala 2 p t f, Healty, 2 tab Piel</t>
  </si>
  <si>
    <t>186/25</t>
  </si>
  <si>
    <t>Ma Eugenia Velez Salido</t>
  </si>
  <si>
    <t>33-3556-0812</t>
  </si>
  <si>
    <t>Av La Toscana #1222 Cima Real 300 Int 2-D Col Valle Real, Zapopan</t>
  </si>
  <si>
    <t>Tapete de lana, Senc</t>
  </si>
  <si>
    <t>Se manda WA, excelente como siempre</t>
  </si>
  <si>
    <t>187/25</t>
  </si>
  <si>
    <t>Ileana Moreno</t>
  </si>
  <si>
    <t>33-3968-7704</t>
  </si>
  <si>
    <t>Av Guadalupe #2165 - 45 Coto La Pradera, Col Bugambilias Country, Zapopan</t>
  </si>
  <si>
    <t>Sala 6 p t r, Silla a y r, Eco</t>
  </si>
  <si>
    <t>Se manda wa, se regresa a repasar</t>
  </si>
  <si>
    <t>188/25</t>
  </si>
  <si>
    <t>Gaby Ruiz Burgos</t>
  </si>
  <si>
    <t>33-1080-6184</t>
  </si>
  <si>
    <t>Francisco Mora #69 Col Los maestros, Zapopan</t>
  </si>
  <si>
    <t>Tapete sint, Sala 6 p r r, Silla a y r, Sala 4 p r r, Cama abajo, Senc</t>
  </si>
  <si>
    <t>189/25</t>
  </si>
  <si>
    <t>Cojín Prem, PURT</t>
  </si>
  <si>
    <t>190/25</t>
  </si>
  <si>
    <t>Pasto sint, Senc</t>
  </si>
  <si>
    <t>Quedó bien, pero necesita mas lavadas</t>
  </si>
  <si>
    <t>Se manda WA, quedó bin</t>
  </si>
  <si>
    <t>191/25</t>
  </si>
  <si>
    <t>Daniel De La Torre</t>
  </si>
  <si>
    <t>Amigo</t>
  </si>
  <si>
    <t>Interior pick up doble cabina, Prem</t>
  </si>
  <si>
    <t>Raúl pregunta</t>
  </si>
  <si>
    <t>192/25</t>
  </si>
  <si>
    <t>Alejandro Beltrán</t>
  </si>
  <si>
    <t>66-4305-3769</t>
  </si>
  <si>
    <t>Altamira #1351 Coto Rincón de los Colomos casa 3, Col Altamira, Zapopan</t>
  </si>
  <si>
    <t>Sala 7 p, t r, coj, Eco</t>
  </si>
  <si>
    <t>No se llama, clente sospechoso</t>
  </si>
  <si>
    <t>193/25</t>
  </si>
  <si>
    <t>Ma Guadalupe Castillo Barraza</t>
  </si>
  <si>
    <t>33-1479-4900</t>
  </si>
  <si>
    <t>Calle Tula #5810 Col Pinar de la calma, Zapopan</t>
  </si>
  <si>
    <t>Sala 4 p t f, Prot</t>
  </si>
  <si>
    <t>194/25</t>
  </si>
  <si>
    <t>Alfredo Pérez</t>
  </si>
  <si>
    <t>33-1294-6201</t>
  </si>
  <si>
    <t>Juan Palomar y Arias #930 Casa 24 C Coto Pta de Roble, Zapopan</t>
  </si>
  <si>
    <t>Sala 6 p r r, Sala 5 p a r, Senc</t>
  </si>
  <si>
    <t>195/25</t>
  </si>
  <si>
    <t>Salvador Martínez</t>
  </si>
  <si>
    <t>33-3104.2156</t>
  </si>
  <si>
    <t>Fracc Tréboles Etapa 10 casa #1560 , Zapopan</t>
  </si>
  <si>
    <t>Sala 5 p t f, Silla a y r, Prot</t>
  </si>
  <si>
    <t>196/25</t>
  </si>
  <si>
    <t>Ma Elena Toscano / Laboratorios Río</t>
  </si>
  <si>
    <t>Av López Mateos #1042 Col Italtia Providencia, Zapopan</t>
  </si>
  <si>
    <t>197/25</t>
  </si>
  <si>
    <t>Karina Campos / Fausto</t>
  </si>
  <si>
    <t>Coto Maya Casa 73 Col Valle Imperial, Zapopan</t>
  </si>
  <si>
    <t>Es amigo, Raúl checa</t>
  </si>
  <si>
    <t>Se manda WA, quedó muy bien, solo más húmeda x el clima</t>
  </si>
  <si>
    <t>198/25</t>
  </si>
  <si>
    <t>Mar Carmen Gutiérrez</t>
  </si>
  <si>
    <t>45-2126-4562</t>
  </si>
  <si>
    <t>Altavista #450 Casa 153 Coto Altavista, Zapopan</t>
  </si>
  <si>
    <t>199/25</t>
  </si>
  <si>
    <t>César Rojas</t>
  </si>
  <si>
    <t>33-1971-5538</t>
  </si>
  <si>
    <t>Paseo Nte #3350 Int 25 Antara Natura Bosque Res, Zapopan</t>
  </si>
  <si>
    <t>Sala 5 p t f, Prot, PURT</t>
  </si>
  <si>
    <t>200/25</t>
  </si>
  <si>
    <t>201/25</t>
  </si>
  <si>
    <t>Ema Romero / José Andrés Martínez</t>
  </si>
  <si>
    <t>32-2189-3604</t>
  </si>
  <si>
    <t>Andrés Bello #3246 Col Sn Andrés, Gdl</t>
  </si>
  <si>
    <t>Se manda WA, muy buen trabajo</t>
  </si>
  <si>
    <t>202/25</t>
  </si>
  <si>
    <t>Olivia Torres Bugarín</t>
  </si>
  <si>
    <t>33-3808-5766</t>
  </si>
  <si>
    <t>Calle Júpiter #1580 Col La Palmita, Zapopan</t>
  </si>
  <si>
    <t>Sala 5 p t f, Coj, Healty, PURT</t>
  </si>
  <si>
    <t>203/25</t>
  </si>
  <si>
    <t>Tapete sint, Sala 1 p f, senc, PURT</t>
  </si>
  <si>
    <t>Se manda WA, muy bien y muy amables</t>
  </si>
  <si>
    <t>204/25</t>
  </si>
  <si>
    <t>Fabian Behn</t>
  </si>
  <si>
    <t>55-8537-4777</t>
  </si>
  <si>
    <t>Juan Ruiz de Alarcón #129-A Col Lafayette, Gdl</t>
  </si>
  <si>
    <t>Reo</t>
  </si>
  <si>
    <t>Sala 2 p t r, Tapete de lana, Senc, PURT</t>
  </si>
  <si>
    <t>Se madna WA, todo muy bien</t>
  </si>
  <si>
    <t>205/25</t>
  </si>
  <si>
    <t>Ma Paola Bautista Sanchez</t>
  </si>
  <si>
    <t>33-2594-0335</t>
  </si>
  <si>
    <t>Jacarandas #5 Coto Atlas Colomos 3000, Zapopan</t>
  </si>
  <si>
    <t>Colchón Mat, Prot</t>
  </si>
  <si>
    <t>Clientes MUY groseros</t>
  </si>
  <si>
    <t>206/25</t>
  </si>
  <si>
    <t>Gloria De León López</t>
  </si>
  <si>
    <t>33-4253-9607</t>
  </si>
  <si>
    <t>Eulogio Parra #1472 Col Sta Tere, Zapopan</t>
  </si>
  <si>
    <t>Sala 6 p t f, Senc, PURT</t>
  </si>
  <si>
    <t>Cliente codo y exigentecon un millón de gatos</t>
  </si>
  <si>
    <t>207/25</t>
  </si>
  <si>
    <t>Tapete sint, Prot</t>
  </si>
  <si>
    <t>Se ve muy bien</t>
  </si>
  <si>
    <t>208/25</t>
  </si>
  <si>
    <t>Claudia Leo Rodriguez</t>
  </si>
  <si>
    <t>20-9303-9706</t>
  </si>
  <si>
    <t>San Pedro #2 b Col Sta Paula 2a. Secc, Tonalá</t>
  </si>
  <si>
    <t>209/25</t>
  </si>
  <si>
    <t>Ileana Quiroz Aguayo</t>
  </si>
  <si>
    <t>55-1951-9244</t>
  </si>
  <si>
    <t>Av Prol Colón #155 Int 104 Tossá Res., Tlajo</t>
  </si>
  <si>
    <t>Colchón KS, QS, Senc, PURT</t>
  </si>
  <si>
    <t>Cliente quejosa, reticente a pago</t>
  </si>
  <si>
    <t>210/25</t>
  </si>
  <si>
    <t>Cinthya Cruz / Religiosas del Sagrado Corazón</t>
  </si>
  <si>
    <t>Rincón de las acacias #145 Col Rinconada del Sol, Zapopan</t>
  </si>
  <si>
    <t>Sala 6 p t f, Silla a y r, 6 reposet, Eco, PURT</t>
  </si>
  <si>
    <t>211/25</t>
  </si>
  <si>
    <t>Ma José De La Torre Altamirano</t>
  </si>
  <si>
    <t>33-3467-3628</t>
  </si>
  <si>
    <t>47-7786-1910</t>
  </si>
  <si>
    <t>Calle La Serena #2767 Depto 608 Col Colomos Providencia, Zapopan</t>
  </si>
  <si>
    <t>2 tapetes de lana, Senc</t>
  </si>
  <si>
    <t>Se manda WA, se queja mucho despues de una mancha</t>
  </si>
  <si>
    <t>212/25</t>
  </si>
  <si>
    <t>Ana Fabiola Alfaro González</t>
  </si>
  <si>
    <t>33-3821-9975</t>
  </si>
  <si>
    <t>Calle Sta Sofía #4278 Int 1 Fracc Parques del Plamar, Tlaque</t>
  </si>
  <si>
    <t>Sala 5 p r r, Silla a y r, Senc</t>
  </si>
  <si>
    <t>213/25</t>
  </si>
  <si>
    <t>Aida Gómez / Liliana Soto</t>
  </si>
  <si>
    <t>44-9448-7643</t>
  </si>
  <si>
    <t>Lomas altas #3986 Depto 115 Fracc Lomas del Valle Edif Loft Del Valle, Zapopan</t>
  </si>
  <si>
    <t xml:space="preserve">Tapete de lana, Eco </t>
  </si>
  <si>
    <t>Se manda WA, muy bien, muy satisfactorio</t>
  </si>
  <si>
    <t>Se manda WA Quedó muy bien, excelente servicio</t>
  </si>
  <si>
    <t>214/25</t>
  </si>
  <si>
    <t>Pasto sintético, Eco</t>
  </si>
  <si>
    <t>215/25</t>
  </si>
  <si>
    <t>Labna #1437 Jardines del Sol, Torre 3 Depto 1701, Zapopan</t>
  </si>
  <si>
    <t>Tapete de lana Prot,</t>
  </si>
  <si>
    <t>216/25</t>
  </si>
  <si>
    <t>33-1824-7479</t>
  </si>
  <si>
    <t>Circunvalación Sur #300-9 Col Las Fuentes, Zapopan</t>
  </si>
  <si>
    <t>2 Tapete sint, Prot</t>
  </si>
  <si>
    <t>217/25</t>
  </si>
  <si>
    <t>Patricia Navarro</t>
  </si>
  <si>
    <t>33-3259-1887</t>
  </si>
  <si>
    <t>Calle Sta Ana #3507 Casa 4 Col Las Fuentes, Zapopan</t>
  </si>
  <si>
    <t>Colchón KS, Reposet Senc</t>
  </si>
  <si>
    <t>218/25</t>
  </si>
  <si>
    <t>Dolores Montaño</t>
  </si>
  <si>
    <t>33-1298-9171</t>
  </si>
  <si>
    <t>Río Verde #673 Col Loma Bonita Ejidal, Zapopan</t>
  </si>
  <si>
    <t>Sala 5 P r r, Senc, PURT</t>
  </si>
  <si>
    <t>Muy Bien</t>
  </si>
  <si>
    <t>219/25</t>
  </si>
  <si>
    <t>Andrea Solórzano</t>
  </si>
  <si>
    <t>33-3409-2240</t>
  </si>
  <si>
    <t>Av De Las Palmas #100 Casa 49 col Villa Magna, Zapopan</t>
  </si>
  <si>
    <t>Se madna WA, todo bien</t>
  </si>
  <si>
    <t>220/25</t>
  </si>
  <si>
    <t>Tapete sint, rollo, Prot</t>
  </si>
  <si>
    <t>221/25</t>
  </si>
  <si>
    <t>Rosa Ma Vázquez / Condominio Vibranta</t>
  </si>
  <si>
    <t>33-3028-2010</t>
  </si>
  <si>
    <t>Av Niños Héroes #2050 Col Moderna, Gdl</t>
  </si>
  <si>
    <t>222/25</t>
  </si>
  <si>
    <t>Mauricio Servín</t>
  </si>
  <si>
    <t>33-3809-2272</t>
  </si>
  <si>
    <t>San Telmo #1761 Col Sta Isabel, Gdl</t>
  </si>
  <si>
    <t>223/25</t>
  </si>
  <si>
    <t>Tapete de lana; Prem, PURT</t>
  </si>
  <si>
    <t>224/25</t>
  </si>
  <si>
    <t>Irma Orozco</t>
  </si>
  <si>
    <t>33-3667-0227</t>
  </si>
  <si>
    <t>Calle Miura #1436 Col Hacienda Tepeyac, Zapopan</t>
  </si>
  <si>
    <t>Sala 5 p t r, Silla a y r, Banca, Senc, PURT</t>
  </si>
  <si>
    <t>225/25</t>
  </si>
  <si>
    <t>Alejandra Gómes / Colliers Lomelín</t>
  </si>
  <si>
    <t>33-3001-4002</t>
  </si>
  <si>
    <t>Av Adolfo López Mateos Nte #2405 Piso 18 Int 1 Col Italia Providencia, Zapopan</t>
  </si>
  <si>
    <t>Quedo muy bien</t>
  </si>
  <si>
    <t>226/25</t>
  </si>
  <si>
    <t>Rosy Vàzquez</t>
  </si>
  <si>
    <t>33-1282-6278</t>
  </si>
  <si>
    <t>Calle Silleda #1392 Col Urbiquinta Montecarlos III, Tonalá</t>
  </si>
  <si>
    <t>227/25</t>
  </si>
  <si>
    <t>Martha Garibay Méndez</t>
  </si>
  <si>
    <t>45-2112-3943</t>
  </si>
  <si>
    <t>Paseo de los robles #3997 Col San Wenseslao, Zapopan</t>
  </si>
  <si>
    <t>Sala 4 p t r, Prot</t>
  </si>
  <si>
    <t>Se manda WA, quedaron un poco sucios de los descansa brazos, se le piden fotos</t>
  </si>
  <si>
    <t>228/25</t>
  </si>
  <si>
    <t>Elizabeth Uribe</t>
  </si>
  <si>
    <t>33-1465-5891</t>
  </si>
  <si>
    <t>Av Jesús #3841 Coto Del Carmen II Int San Manuel 1, Zapopan</t>
  </si>
  <si>
    <t>Sala 6 p t f, Prot</t>
  </si>
  <si>
    <t>Se manda wa, no cpontesta</t>
  </si>
  <si>
    <t>Se manda WA, quedaron descoloridos los cojines</t>
  </si>
  <si>
    <t>Se madna WA, lo va a revisar</t>
  </si>
  <si>
    <t>229/25</t>
  </si>
  <si>
    <t>2 sala 1 p t f, Silla a y r, Prot</t>
  </si>
  <si>
    <t>Parece que todo bien</t>
  </si>
  <si>
    <t>Arbolada 2 casa E7, Zapopan</t>
  </si>
  <si>
    <t>230/25</t>
  </si>
  <si>
    <t>Emelin García Rodriguez / Alex Medina</t>
  </si>
  <si>
    <t>33-3069-1334</t>
  </si>
  <si>
    <t>Cond León #15-A Fracc Puerta de Hierro, Zapopan</t>
  </si>
  <si>
    <t>2 tapetes de lana, Healty</t>
  </si>
  <si>
    <t>231/25</t>
  </si>
  <si>
    <t>Laura Montes</t>
  </si>
  <si>
    <t>33-3507-7393</t>
  </si>
  <si>
    <t>Paseo Reina Isabel #34 Col Colinas del Rey, Zapopan</t>
  </si>
  <si>
    <t>Sala 3 p t f, Sala 3 p r r, Silla a y r, Eco</t>
  </si>
  <si>
    <t>232/25</t>
  </si>
  <si>
    <t>Av Niños Héroes #2571 Col Jardines del Bosque Torre Vive Bosque Depto 1404, Gdl</t>
  </si>
  <si>
    <t>Sala 8 p r r, Coj, Sala 3 p t f, Colchón int, Banco, Colchón KS, Sala 1 p t f, Eco</t>
  </si>
  <si>
    <t>233/25</t>
  </si>
  <si>
    <t>Iusimit Araujo</t>
  </si>
  <si>
    <t>66-7268-8872</t>
  </si>
  <si>
    <t>Paisajes de Parques #4989 Col Cerro del Tesoro, Tlaque</t>
  </si>
  <si>
    <t>Sala 6 p r r, Tapete sint, Eco</t>
  </si>
  <si>
    <t>234/25</t>
  </si>
  <si>
    <t>Karla Ramírez</t>
  </si>
  <si>
    <t>33-1273-7376</t>
  </si>
  <si>
    <t>Florencia #2629 Col Provi, Zapopan</t>
  </si>
  <si>
    <t>Sala 2 p r r, Sala 1 p t f, Healty</t>
  </si>
  <si>
    <t>235/25</t>
  </si>
  <si>
    <t>Isela Mojica  Speak Cumnications</t>
  </si>
  <si>
    <t>33-1985-9716</t>
  </si>
  <si>
    <t>Av de las Lomas #270 Casa 1 Fracc Las Lomas, Zapopan</t>
  </si>
  <si>
    <t>Alfombra, 2 tapetes de lana, 2 Silla a y r, Sala 1 p t f, Tapete sint, Prem, PURT</t>
  </si>
  <si>
    <t>236/25</t>
  </si>
  <si>
    <t>Liliana Soto / Aida Gómez Quezada</t>
  </si>
  <si>
    <t>33-1634-4679</t>
  </si>
  <si>
    <t>Tapete de lana, Eco</t>
  </si>
  <si>
    <t>237/25</t>
  </si>
  <si>
    <t>Doris Leticia Flores Gutierrez</t>
  </si>
  <si>
    <t>33-1602-9925</t>
  </si>
  <si>
    <t>Aldama #1151 Col Constitución, Gdl</t>
  </si>
  <si>
    <t>238/25</t>
  </si>
  <si>
    <t>Magui Alfaro</t>
  </si>
  <si>
    <t>33-3147-2076</t>
  </si>
  <si>
    <t>Av Sn Arturo #920 Col Valle Real, Zapopan</t>
  </si>
  <si>
    <t>Tapete sint, Sala 4 p t f, Senc, PURT</t>
  </si>
  <si>
    <t>239/25</t>
  </si>
  <si>
    <t>Ricardo Cueto</t>
  </si>
  <si>
    <t>33-3129-7716</t>
  </si>
  <si>
    <t>Paseo Lomas Altas #4706 Int 405 Torre Lomas Altas, Zapopan</t>
  </si>
  <si>
    <t>Sala 6 p t r, Coj, Tapete sint, Eco</t>
  </si>
  <si>
    <t>240/25</t>
  </si>
  <si>
    <t>José Luis Jiménez</t>
  </si>
  <si>
    <t>33-1333-2010</t>
  </si>
  <si>
    <t>Hac El Plantanar #2020 Col Oblatos, Gdl</t>
  </si>
  <si>
    <t>241/25</t>
  </si>
  <si>
    <t>Elena Flores / Industrializadora de tableros</t>
  </si>
  <si>
    <t>33-1603-9971</t>
  </si>
  <si>
    <t>Volcán Popocatepetl #5789 Col Huentitán el bajo, Gdl</t>
  </si>
  <si>
    <t>tapete sint, 4 taptes de lana, Eco</t>
  </si>
  <si>
    <t>Rebeca Arellano</t>
  </si>
  <si>
    <t>47-3756-2958</t>
  </si>
  <si>
    <t>Prol Colón #680 Depto 153 Coto Bosque Verde 2, Tlaque</t>
  </si>
  <si>
    <t>Quedoó muy bien</t>
  </si>
  <si>
    <t>243/25</t>
  </si>
  <si>
    <t>Cynthia Villegas / Notaría 46</t>
  </si>
  <si>
    <t>33-1321-0557</t>
  </si>
  <si>
    <t>Garibaldi #2428 Col Ladrón de Guevara, Gdl</t>
  </si>
  <si>
    <t>244/25</t>
  </si>
  <si>
    <t>Elsa Priscila Lopéz León</t>
  </si>
  <si>
    <t>33-4086-7501</t>
  </si>
  <si>
    <t>Osa Mayor #3546 Col La Calma, Zapopan</t>
  </si>
  <si>
    <t>245/25</t>
  </si>
  <si>
    <t>Av López mateos #1042 Col Italia Providencia, Zapopan</t>
  </si>
  <si>
    <t>246/25</t>
  </si>
  <si>
    <t>Nathalie Jiménez</t>
  </si>
  <si>
    <t>33-1750-3717</t>
  </si>
  <si>
    <t>Volcán de Sn Fco #95 Casa 8 Col Huentitán el Bajo, Zapopan</t>
  </si>
  <si>
    <t>Sala 2 p t f, Silla a y r, Banca, Eco</t>
  </si>
  <si>
    <t>Se manda WA, aun no los abre</t>
  </si>
  <si>
    <t>Se madna WA, se regresa a repasar</t>
  </si>
  <si>
    <t>Se madna WA, quedó olor feo, se regresa a poner milgo</t>
  </si>
  <si>
    <t>247/25</t>
  </si>
  <si>
    <t>248/25</t>
  </si>
  <si>
    <t>Priscila Morones León</t>
  </si>
  <si>
    <t>33-2310-2853</t>
  </si>
  <si>
    <t>Punta de Otero #2855 Coto 8 Casa 3 El Fortín, Zapopan</t>
  </si>
  <si>
    <t>Colchón Mat, Eco, PURT</t>
  </si>
  <si>
    <t>249/25</t>
  </si>
  <si>
    <t>Av San Arturo #920 Col Valle Real, Zapopan</t>
  </si>
  <si>
    <t>Coj, Senc</t>
  </si>
  <si>
    <t>250/25</t>
  </si>
  <si>
    <t>Sala 5 p r r, Coj, Senc, PURT</t>
  </si>
  <si>
    <t>251/25</t>
  </si>
  <si>
    <t>Tapete sint, Tapete de lana, Tapete de algodón, Senc</t>
  </si>
  <si>
    <t>Se madna WA, todo bien, aunque aún no se ha secado</t>
  </si>
  <si>
    <t>252/25</t>
  </si>
  <si>
    <t>Carlos Duarte</t>
  </si>
  <si>
    <t>33-3197-7058</t>
  </si>
  <si>
    <t>Maurice Bareing #89 Col Jardines Vallarta, Zapopan</t>
  </si>
  <si>
    <t>Tapete de lana, Prem</t>
  </si>
  <si>
    <t>253/25</t>
  </si>
  <si>
    <t>254/25</t>
  </si>
  <si>
    <t>Aki Nakaune</t>
  </si>
  <si>
    <t>33-3189-1213</t>
  </si>
  <si>
    <t>Diag San Jorge #93 Torre 200 Depto 19C Col Vallarta San Jorge, Gdl</t>
  </si>
  <si>
    <t>Sala 5 p t f, Eco, PURT</t>
  </si>
  <si>
    <t>255/25</t>
  </si>
  <si>
    <t>Himelda Garay Magaña</t>
  </si>
  <si>
    <t>33-3115-5738</t>
  </si>
  <si>
    <t>Domingo Sarmiento #3009 Col Prados Providencia, Zapopan</t>
  </si>
  <si>
    <t>Sala 2 p t f, Sala 2 p t r, Eco</t>
  </si>
  <si>
    <t>Todo muy bien, Nos recoemienda</t>
  </si>
  <si>
    <t>256/25</t>
  </si>
  <si>
    <t>Av Ramón Corona #7880 Fracc Mítica Res, Casa 156, La Mojonera, Zapopan</t>
  </si>
  <si>
    <t>Colchón KS, Healty, PURT</t>
  </si>
  <si>
    <t>257/25</t>
  </si>
  <si>
    <t>Gaby Velázquez</t>
  </si>
  <si>
    <t>55-1304-5723</t>
  </si>
  <si>
    <t>Av Patria #48 Col Vallarta La Patria, Zapopan</t>
  </si>
  <si>
    <t>Sala 4 p t f, Silla a y r, Senc</t>
  </si>
  <si>
    <t>258/25</t>
  </si>
  <si>
    <t>Azul Miramontes</t>
  </si>
  <si>
    <t>33-1158-4745</t>
  </si>
  <si>
    <t>Xavier Scheiffler de Amezaga #625 Col Parques del Bosque, Tlajo</t>
  </si>
  <si>
    <t>Sala 5 p t f, Sala 3 p t f, 2 Tapete sint, Senc</t>
  </si>
  <si>
    <t>Se manda WA, se regrresa a repasar</t>
  </si>
  <si>
    <t>Se madna WA, en general bien, no se quitó por completo, pero mejoró</t>
  </si>
  <si>
    <t>Se manda WA, mucho mejor</t>
  </si>
  <si>
    <t>259/25</t>
  </si>
  <si>
    <t>María José Wiechers Nandin</t>
  </si>
  <si>
    <t>33-2311-3322</t>
  </si>
  <si>
    <t>Remanso de los lirios #209 Col Cd Buga, Zapopan</t>
  </si>
  <si>
    <t>Tapete sint, Healty, Tapete sint, Prem, Sala 9 p r r, 2 tab, coj, Silla a y r, Protex</t>
  </si>
  <si>
    <t>260/25</t>
  </si>
  <si>
    <t>Claudia Corona</t>
  </si>
  <si>
    <t>33-1337-3110</t>
  </si>
  <si>
    <t>Casiopea #3387 Col La Calma, Zapopan</t>
  </si>
  <si>
    <t>Sala 10 p t r, Sala 3 p t f, Coj, Senc</t>
  </si>
  <si>
    <t>Todo bien, pero aún mojado</t>
  </si>
  <si>
    <t>261/25</t>
  </si>
  <si>
    <t>Jaqueline Alejandra García López</t>
  </si>
  <si>
    <t>33-3779-8443</t>
  </si>
  <si>
    <t>Guillermo Baca #3439 Col Lomas de Polanco, Gdl</t>
  </si>
  <si>
    <t>Sala 3 p t f, Prem, PURT</t>
  </si>
  <si>
    <t>262/25</t>
  </si>
  <si>
    <t>Flor Carreón</t>
  </si>
  <si>
    <t>44-9224-2865</t>
  </si>
  <si>
    <t>Giosue Carducci #5623 Col Jardines Vallarta, Zapopan</t>
  </si>
  <si>
    <t>2 Sala 1 p r r, 6 cama para perro, Senc, PURT</t>
  </si>
  <si>
    <t>263/25</t>
  </si>
  <si>
    <t>Av Vallarta #3060 Col Vallarta Pte, Gdl</t>
  </si>
  <si>
    <t>Pasto sint, Gym, Senc</t>
  </si>
  <si>
    <t>264/25</t>
  </si>
  <si>
    <t>Esthela Goena Robles</t>
  </si>
  <si>
    <t>66-8247-8686</t>
  </si>
  <si>
    <t>Bahía de Acapulco #3319 Coto Arrayanes Int 18, Tlaque</t>
  </si>
  <si>
    <t>Sala 2 p t r, Coj, Eco, PURT</t>
  </si>
  <si>
    <t>Se manda WA, aún huele un poco</t>
  </si>
  <si>
    <t>265/25</t>
  </si>
  <si>
    <t>Alejandra Reynoso</t>
  </si>
  <si>
    <t>33-4409-7902</t>
  </si>
  <si>
    <t>López Mateos Sur #4255 Int 1306 Duo 24 New Living, Zapopan</t>
  </si>
  <si>
    <t>266/25</t>
  </si>
  <si>
    <t>Oscar Eduardo Ochoa Santana</t>
  </si>
  <si>
    <t>33-1895-6991</t>
  </si>
  <si>
    <t>Bahía de Matachén #3093 Col Parques del Bosque, Tlaque</t>
  </si>
  <si>
    <t>Sala 5 p t f, Senc, Colchón Ind, Eco, PURT</t>
  </si>
  <si>
    <t>267/25</t>
  </si>
  <si>
    <t>Ana Gómez</t>
  </si>
  <si>
    <t>33-1606-8291</t>
  </si>
  <si>
    <t>Camino al arenero #1052 Coto B casa 28 el Bajío Habitat, Zapopan</t>
  </si>
  <si>
    <t>2 tapete sint, Eco</t>
  </si>
  <si>
    <t>Se manda WA, no contesta, se quejó del precio su mama llamo</t>
  </si>
  <si>
    <t>268/25</t>
  </si>
  <si>
    <t>Silvina Benavidez García</t>
  </si>
  <si>
    <t>65-0290-4199</t>
  </si>
  <si>
    <t>Chimalpopoca #4462 Chapalita, Gdl</t>
  </si>
  <si>
    <t>269/25</t>
  </si>
  <si>
    <t>Estephanie Perdomo Zwanziger</t>
  </si>
  <si>
    <t>77-7136-5798</t>
  </si>
  <si>
    <t>Av Gral San Martín #578 Depto 10 Col Moderna, Gdl</t>
  </si>
  <si>
    <t>2 tapete sint, Healty</t>
  </si>
  <si>
    <t>Se madna WA, muy limpiecito y muy amables</t>
  </si>
  <si>
    <t>270/25</t>
  </si>
  <si>
    <t>Gabriela Balandrán</t>
  </si>
  <si>
    <t>33-1359-6057</t>
  </si>
  <si>
    <t>Circ Del Bosque #174 Coto Magnolia Col Bosques Vallarta, Zapopan</t>
  </si>
  <si>
    <t>2 tapete de lana Eco</t>
  </si>
  <si>
    <t>271/25</t>
  </si>
  <si>
    <t>Tapete de yute, Prem</t>
  </si>
  <si>
    <t>272/25</t>
  </si>
  <si>
    <t>Mayela Alonso / Sindicato de trabajadores académicos de la Ude G</t>
  </si>
  <si>
    <t>Av José Parrés Arias #555 Col Conjunto Belenes, Zapopan</t>
  </si>
  <si>
    <t>Sillas a y r, 2 Sala 2 p t f, 2 sala 1 p t f, Eco, Sala 6 p r r, Sala 3 p r r, Piel</t>
  </si>
  <si>
    <t>Muy bien, muy satisfechos</t>
  </si>
  <si>
    <t>gdl</t>
  </si>
  <si>
    <t>273/25</t>
  </si>
  <si>
    <t>Irma Vargas</t>
  </si>
  <si>
    <t>33-1063-0162</t>
  </si>
  <si>
    <t>33-1863-8983</t>
  </si>
  <si>
    <t>San Florencio #2039 Col Colomos Patria, Zapopan</t>
  </si>
  <si>
    <t>Cliente quejosa y medio pelma</t>
  </si>
  <si>
    <t>Se manda WA, quedo no muy contenta, el tapete grande seguia oliendo mal</t>
  </si>
  <si>
    <t>274/25</t>
  </si>
  <si>
    <t>Nadia Villaseñor Campa</t>
  </si>
  <si>
    <t>33-18624486</t>
  </si>
  <si>
    <t>Guadalupe Zuno #2195 Int 101 Col Americana, Gdl</t>
  </si>
  <si>
    <t>275/25</t>
  </si>
  <si>
    <t>Agustín Morales</t>
  </si>
  <si>
    <t>33-1323-7079</t>
  </si>
  <si>
    <t>Ermita #503 Col Guadalupana, Tlaque</t>
  </si>
  <si>
    <t>El coche en mal estado y se queja</t>
  </si>
  <si>
    <t>276/25</t>
  </si>
  <si>
    <t>Claudia Mayorquín</t>
  </si>
  <si>
    <t>62-4161-4950</t>
  </si>
  <si>
    <t>Av Pemex #260 Torre 10 Depto B Col Los Portales, Tlaque</t>
  </si>
  <si>
    <t>277/25</t>
  </si>
  <si>
    <t>Alma Viridiana López Cruz</t>
  </si>
  <si>
    <t>56-1174-7262</t>
  </si>
  <si>
    <t>J Alvarez del Castillo #4254 Col Lomas de Gpe, Zapopan</t>
  </si>
  <si>
    <t>278/25</t>
  </si>
  <si>
    <t>Ramiro Flores</t>
  </si>
  <si>
    <t>33-3441-6239</t>
  </si>
  <si>
    <t>Paseo de la cañada #3884-7 Col Lomas del Valle, Zapopan</t>
  </si>
  <si>
    <t>Sala 6 p t r, Prot</t>
  </si>
  <si>
    <t>279/25</t>
  </si>
  <si>
    <t>Silvia Trigueros</t>
  </si>
  <si>
    <t>33-1928-6960</t>
  </si>
  <si>
    <t>Rinc del fuego #2812 Int 4 Col Rinconada del Bosque, Gdl</t>
  </si>
  <si>
    <t xml:space="preserve">Sala 6 p t f, Eco PURT </t>
  </si>
  <si>
    <t>280/25</t>
  </si>
  <si>
    <t>Yazmín Liménez / Compo Expert México</t>
  </si>
  <si>
    <t>33-1600-4355</t>
  </si>
  <si>
    <t>Av Mariano Otero #1249 Int B2121 Piso 12 Col Rinconada del bosque, Gdl</t>
  </si>
  <si>
    <t>Alfombra, silla s a, Prem</t>
  </si>
  <si>
    <t>Se manda WA, no contestra</t>
  </si>
  <si>
    <t>Se manda WA, no lo ha puesto</t>
  </si>
  <si>
    <t>281/25</t>
  </si>
  <si>
    <t>Tapete de lana, Prot, PURT</t>
  </si>
  <si>
    <t>Se madna WA, muy bien, muy contentos</t>
  </si>
  <si>
    <t>282/25</t>
  </si>
  <si>
    <t>Raquel González Ávila</t>
  </si>
  <si>
    <t>33-1283-5302</t>
  </si>
  <si>
    <t>Bonifacio Topete #1284 Col Margarita Maza de Juarez, Gdl</t>
  </si>
  <si>
    <t>Muy bien, muy satisfecha</t>
  </si>
  <si>
    <t>283/25</t>
  </si>
  <si>
    <t>33-1205-1856</t>
  </si>
  <si>
    <t>Periférico #1065 Col La Tuzanía, Zapopan</t>
  </si>
  <si>
    <t>Colchón Ks, Eco</t>
  </si>
  <si>
    <t>284/25</t>
  </si>
  <si>
    <t>Enrique Montalvo</t>
  </si>
  <si>
    <t>33-1974-9071</t>
  </si>
  <si>
    <t>Puerto San Blas #1386 Col Miramar, Zapopan</t>
  </si>
  <si>
    <t>285/25</t>
  </si>
  <si>
    <t>14 tapete de algodón, Senc</t>
  </si>
  <si>
    <t>286/25</t>
  </si>
  <si>
    <t>Gaby Mendoza</t>
  </si>
  <si>
    <t>33-3486-0034</t>
  </si>
  <si>
    <t>Lisboa #280-A Col Independencia, Gdl</t>
  </si>
  <si>
    <t>Colchón Ind, Prem</t>
  </si>
  <si>
    <t>No contesta</t>
  </si>
  <si>
    <t>Se manda WA, se regresa a poner mas milgo</t>
  </si>
  <si>
    <t>Se manda WA, muy bien, muy satisfechos</t>
  </si>
  <si>
    <t>Se manda WA, quedaron manchas, pero la casera dice que se subio el perro de nuevo</t>
  </si>
  <si>
    <t>Se manda WA, no ha recogido el tapete</t>
  </si>
  <si>
    <t>Sala 7 p r r, Sala 3 p r r, Cama abajo, Silla a y r, 2 tapetes sint, Senc</t>
  </si>
  <si>
    <t>Sala 7 p t r, coj, Eco</t>
  </si>
  <si>
    <t>287/25</t>
  </si>
  <si>
    <t>Lucy Félix Uribe</t>
  </si>
  <si>
    <t>33-1567-6857</t>
  </si>
  <si>
    <t>Ballena #3043 Col Loma Bonita, Zapopan</t>
  </si>
  <si>
    <t>Sala 5 p t f, Sala 1 p r r, silla a y r, Coj, Senc</t>
  </si>
  <si>
    <t>No contaesta</t>
  </si>
  <si>
    <t>288/25</t>
  </si>
  <si>
    <t>Miriam Blancas Manriquez</t>
  </si>
  <si>
    <t>33-1670-5369</t>
  </si>
  <si>
    <t>Calle Clemente Orozco #5940 Col Jardines de los Belenes, Zapopan</t>
  </si>
  <si>
    <t>Sala 5 p t f, Coj, Tapete sint, Senc</t>
  </si>
  <si>
    <t>Ana Ma Valladolid / Luis Enrique Soto</t>
  </si>
  <si>
    <t>Se manda WA, muy bien, excelente servicio</t>
  </si>
  <si>
    <t>289/25</t>
  </si>
  <si>
    <t>Octavio Aguilar</t>
  </si>
  <si>
    <t>Mexicaltzingo #2314 Col Americana, Gdl</t>
  </si>
  <si>
    <t>Tapete de lana, tapete sint, Prot</t>
  </si>
  <si>
    <t>290/25</t>
  </si>
  <si>
    <t>Rebeca Rodríguez</t>
  </si>
  <si>
    <t>33-1605-2414</t>
  </si>
  <si>
    <t>Durango #1539-A Col Mezquitán Country, Zapopan</t>
  </si>
  <si>
    <t>Sala 1 p t f, Tapete sint, Prot</t>
  </si>
  <si>
    <t>291/25</t>
  </si>
  <si>
    <t>Patricio Ruiz</t>
  </si>
  <si>
    <t>33-3302-0189</t>
  </si>
  <si>
    <t>Montes Apalaches #138 Col Alcade Barranquitas, Gdl</t>
  </si>
  <si>
    <t>Colchón QS, Senc</t>
  </si>
  <si>
    <t>292/25</t>
  </si>
  <si>
    <t>Karla García</t>
  </si>
  <si>
    <t>33-3662-1348</t>
  </si>
  <si>
    <t>Camino Arenero #1051 Int 59 Fronda Res, Zapopan</t>
  </si>
  <si>
    <t>Silla a y r, Tapete sint, Eco, PURT</t>
  </si>
  <si>
    <t>Se manda WA, no conetesta</t>
  </si>
  <si>
    <t>293/25</t>
  </si>
  <si>
    <t>Mara Ferrari</t>
  </si>
  <si>
    <t>55-1455-3007</t>
  </si>
  <si>
    <t>VBlvd Asturias #300 Int C15 Parque Res Santillana Coto 5, Zapopan</t>
  </si>
  <si>
    <t>294/25</t>
  </si>
  <si>
    <t>Efrén Gómez Rodríguez</t>
  </si>
  <si>
    <t>33-3104-7587</t>
  </si>
  <si>
    <t>Tenochtitlán #473 Col Jardines del Sol, Zapopan</t>
  </si>
  <si>
    <t>Se manda WA, excelente todo</t>
  </si>
  <si>
    <t>295/25</t>
  </si>
  <si>
    <t>Martha Cervantes</t>
  </si>
  <si>
    <t>33-3008-8775</t>
  </si>
  <si>
    <t>Luis Pérez Brochett #1482 Col La Loma, Gdl</t>
  </si>
  <si>
    <t>Sala 4 p t f, Silla a y r, Eco</t>
  </si>
  <si>
    <t>296/25</t>
  </si>
  <si>
    <t>Cynthia Yolanda Zavala Zaragoza</t>
  </si>
  <si>
    <t>33-3955-7110</t>
  </si>
  <si>
    <t>Tierra de Fe #55 Coto San Rafael, Terralta, Tlaque</t>
  </si>
  <si>
    <t>Sala 5 p t r, coj, Senc</t>
  </si>
  <si>
    <t>297/25</t>
  </si>
  <si>
    <t>Alejandra Mancilla / Bookkeeping Centrum México</t>
  </si>
  <si>
    <t>22-8285-9136</t>
  </si>
  <si>
    <t>Eca Do Queiros #5043, Zapopan</t>
  </si>
  <si>
    <t>Silla a y r, Sala 4 p t f, Prem</t>
  </si>
  <si>
    <t>298/25</t>
  </si>
  <si>
    <t>Alejandra Rodríguez</t>
  </si>
  <si>
    <t>33-2496-8800</t>
  </si>
  <si>
    <t>Blvd Pte #846 Col Jardín Real, Zapopan</t>
  </si>
  <si>
    <t>Sala 3 p t f, Prot</t>
  </si>
  <si>
    <t>Se madna WA, muy amables y eficientes, 10/10</t>
  </si>
  <si>
    <t>299/25</t>
  </si>
  <si>
    <t>Aquiles Serdán #438 Col Oblatos, Gdl</t>
  </si>
  <si>
    <t>300/25</t>
  </si>
  <si>
    <t>Sergio González</t>
  </si>
  <si>
    <t>33-3389-2666</t>
  </si>
  <si>
    <t>Coto B Casa 85 La Cima, Zapopan</t>
  </si>
  <si>
    <t>242/25</t>
  </si>
  <si>
    <t>Sala 6 p r r, coj, silla a y r, Eco</t>
  </si>
  <si>
    <t>Se manda WA, satisfactorio</t>
  </si>
  <si>
    <t>301/25</t>
  </si>
  <si>
    <t>Torre Legacy Depto 2402-B Col Pta de Hierro, Zapopan</t>
  </si>
  <si>
    <t>2 Tapete de lana, Prot, PURT</t>
  </si>
  <si>
    <t>Se lava de nuevo</t>
  </si>
  <si>
    <t>302/25</t>
  </si>
  <si>
    <t>Colchón KS, Eco</t>
  </si>
  <si>
    <t>303/25</t>
  </si>
  <si>
    <t>Blanca Marina Peña</t>
  </si>
  <si>
    <t>66-4246-9108</t>
  </si>
  <si>
    <t>Pablo Neruda #3273 Int 192 Col Provi, Zapopan</t>
  </si>
  <si>
    <t>Sala 8 p t r, Tapte sint, Senc</t>
  </si>
  <si>
    <t>304/25</t>
  </si>
  <si>
    <t>Galup Lizárraga</t>
  </si>
  <si>
    <t>66-7105-8643</t>
  </si>
  <si>
    <t>Paseo de la Estrella #633 Int 46 Coto P aseo de los Eucaliptos Col Solares, Zapopan</t>
  </si>
  <si>
    <t xml:space="preserve">Sala 5 p t f, Prot </t>
  </si>
  <si>
    <t>305/25</t>
  </si>
  <si>
    <t>306/25</t>
  </si>
  <si>
    <t>Ma Fernanda Páez Del Río</t>
  </si>
  <si>
    <t>33-1964-5995</t>
  </si>
  <si>
    <t>Rinc de las Magnolias Pte #30 Col. San Isidro, Zapopan</t>
  </si>
  <si>
    <t>Sala 4 p r r, Eco, PURT</t>
  </si>
  <si>
    <t>se regresa  a poner PURT</t>
  </si>
  <si>
    <t>Se madna WA,  no contesta</t>
  </si>
  <si>
    <t>307/25</t>
  </si>
  <si>
    <t>Laura Estrada / Agiotech de México</t>
  </si>
  <si>
    <t>33-1194-6313</t>
  </si>
  <si>
    <t>Parque Industrial Gdl, Circ de la Produtividad Pte #117 col Las Pintas, El Salto</t>
  </si>
  <si>
    <t>Alfombra, Prot</t>
  </si>
  <si>
    <t>308/25</t>
  </si>
  <si>
    <t>Liliana Díaz Díaz</t>
  </si>
  <si>
    <t>33-3477-4823</t>
  </si>
  <si>
    <t>Paseo San Isidro #1120-4 Las cañadas, Zapopan</t>
  </si>
  <si>
    <t>Sala 5 p r r, Silla s a, Senc</t>
  </si>
  <si>
    <t>Super sucio, queria mas, tela desahaciendose</t>
  </si>
  <si>
    <t>309/25</t>
  </si>
  <si>
    <t xml:space="preserve">Pedro Vargas  </t>
  </si>
  <si>
    <t>55-3488-1429</t>
  </si>
  <si>
    <t>Calle Libra #478 Int C5 Col Lomas del Valle, Zapopan</t>
  </si>
  <si>
    <t>Sala 4 p t f, Colchón Ind Senc</t>
  </si>
  <si>
    <t>Pidió sin los cojines, y a la mera hora sí los quiso y se nejo, por que se le quisieron cobrar</t>
  </si>
  <si>
    <t>310/25</t>
  </si>
  <si>
    <t>Patricia Valle Echenique</t>
  </si>
  <si>
    <t>33-3028-5222</t>
  </si>
  <si>
    <t>Luis Aguirre #3759 Col Eliodoro Hernández Loza 1a Secc, Gdl</t>
  </si>
  <si>
    <t>311/25</t>
  </si>
  <si>
    <t>Andrea Juárez / Nancy Santana</t>
  </si>
  <si>
    <t>33-1527-9772</t>
  </si>
  <si>
    <t>Av Jesús Michel Gzlz #1275 Casa 37 Cond Terracota, Tlaque</t>
  </si>
  <si>
    <t>Sala 6 p t f, Silla a y r, Eco</t>
  </si>
  <si>
    <t>312/25</t>
  </si>
  <si>
    <t>Viridiana Castellanos</t>
  </si>
  <si>
    <t>33-1553-7699</t>
  </si>
  <si>
    <t>Armadura Ote #158 Coto 11 Col Jardín Real, Zapopan</t>
  </si>
  <si>
    <t>313/25</t>
  </si>
  <si>
    <t>Sala 2 p t f, Torre de gatos, Prot</t>
  </si>
  <si>
    <t>314/25</t>
  </si>
  <si>
    <t>Madre Sacristana</t>
  </si>
  <si>
    <t>33-3842-1215</t>
  </si>
  <si>
    <t>Bernardo de Balbuena #240 Col Ladrón de Guevara, Zapopan</t>
  </si>
  <si>
    <t>315/25</t>
  </si>
  <si>
    <t>Guadalupe Muñoz</t>
  </si>
  <si>
    <t>33-1254-4432</t>
  </si>
  <si>
    <t>Miguel Miramón #8 Col Héroes Nacionales, Zapopan</t>
  </si>
  <si>
    <t>Sala 1 p t f, Reposet, Colchón Mat, Senc</t>
  </si>
  <si>
    <t>316/25</t>
  </si>
  <si>
    <t>Pasto Sint, Senc</t>
  </si>
  <si>
    <t>317/25</t>
  </si>
  <si>
    <t>Virginia Bonilla</t>
  </si>
  <si>
    <t>37-3101-4627</t>
  </si>
  <si>
    <t>Valle de Sto Domingo #2339 Col Viveros del Valle, Zapopan</t>
  </si>
  <si>
    <t>Sala 2 p t f, Banca, Eco, Colchón QS, Senc, PURT</t>
  </si>
  <si>
    <t>Se manda WA, super bien</t>
  </si>
  <si>
    <t>Se manda WA, que no le quedaron al 100</t>
  </si>
  <si>
    <t>318/25</t>
  </si>
  <si>
    <t>Luis Sanchez</t>
  </si>
  <si>
    <t>33-3105-8437</t>
  </si>
  <si>
    <t>Av Vallarta #5145 Edif Iconia Torre Sur Depto 2004 Col Camino Real, Zapopan</t>
  </si>
  <si>
    <t>Sala 6 p t f, Silla a y r, Clchón mat, Senc, PURT</t>
  </si>
  <si>
    <t>Cliente sospechoso, Oliver tiró una estatua y hubo que pagar</t>
  </si>
  <si>
    <t>Se manda WA, no se llama, cliente abusiva</t>
  </si>
  <si>
    <t>Se manda WA, uno de los tapetes quedó oliendo mal</t>
  </si>
  <si>
    <t>319/25</t>
  </si>
  <si>
    <t>Ezequiel Hernández</t>
  </si>
  <si>
    <t>33-3167-8670</t>
  </si>
  <si>
    <t>Naciones Unidas #5863 Casa 23 Coto Oxford, Zapopan</t>
  </si>
  <si>
    <t>Sala 6 p r r, Coj, Tapete sint, Senc</t>
  </si>
  <si>
    <t>320/25</t>
  </si>
  <si>
    <t>Irma Guadalupe Ríos</t>
  </si>
  <si>
    <t>66-7254-1248</t>
  </si>
  <si>
    <t>Rinc, de los Setos #71 Coto Rinc. Del Valle, Zapopan</t>
  </si>
  <si>
    <t>Futón, Cama Abajo, Eco</t>
  </si>
  <si>
    <t>321/25</t>
  </si>
  <si>
    <t>Colchón Mat, Base y cabecera, Eco</t>
  </si>
  <si>
    <t>322/25</t>
  </si>
  <si>
    <t>Carmen Claudia Rosales Zuno</t>
  </si>
  <si>
    <t>33-1564-9824</t>
  </si>
  <si>
    <t>Río Altar #2419 Col El Rosario, Gdl</t>
  </si>
  <si>
    <t>Colchón mat, Prem</t>
  </si>
  <si>
    <t>323/25</t>
  </si>
  <si>
    <t>Sala 3 p t f, Prot, PURT</t>
  </si>
  <si>
    <t>Se manda WA, muy satisfactorio</t>
  </si>
  <si>
    <t>Se manda WA, muy bien, sequitaron las manchas y huele rico</t>
  </si>
  <si>
    <t>Se manda WA, muy complacidos</t>
  </si>
  <si>
    <t>324/25</t>
  </si>
  <si>
    <t>Alejandro Ponce De León Vidrio</t>
  </si>
  <si>
    <t>33-3405-5362</t>
  </si>
  <si>
    <t>Av Coyoacán #288 Col Cd del Sol, Zapopan</t>
  </si>
  <si>
    <t>Colchón Mat, Healty, PURT</t>
  </si>
  <si>
    <t>325/25</t>
  </si>
  <si>
    <t>2 tapete sint, Healty, PURT</t>
  </si>
  <si>
    <t>Se manda WA, superó las expectativas</t>
  </si>
  <si>
    <t>326/25</t>
  </si>
  <si>
    <t>33-1667-8659</t>
  </si>
  <si>
    <t>Coto B casa 85 La Cima, Zapopan</t>
  </si>
  <si>
    <t xml:space="preserve">Tapete sint, Eco </t>
  </si>
  <si>
    <t>327/25</t>
  </si>
  <si>
    <t>Carlos Vieyra / Biosimex</t>
  </si>
  <si>
    <t>33-1944-7141</t>
  </si>
  <si>
    <t>Av Vallarta #7345-B Col Cd Granja, Zapopan</t>
  </si>
  <si>
    <t>328/25</t>
  </si>
  <si>
    <t>Erika Karina Navarrete</t>
  </si>
  <si>
    <t>33-3452-7128</t>
  </si>
  <si>
    <t>Colón #6086 Col Sta Ma Tequepexpan, Tlaque</t>
  </si>
  <si>
    <t>Colchón Ind, Healty</t>
  </si>
  <si>
    <t>329/25</t>
  </si>
  <si>
    <t>ma del Socorro Merchena</t>
  </si>
  <si>
    <t>33-1004-6004</t>
  </si>
  <si>
    <t>Av Altavista Pte #272 Casa 58 Col Altavista Res, Zapopan</t>
  </si>
  <si>
    <t>Limpieza profunda</t>
  </si>
  <si>
    <t>Cliente MUY exigente, no pago lo real, muy quisquillosa y altanera</t>
  </si>
  <si>
    <t>330/25</t>
  </si>
  <si>
    <t>Sala 5 p t f, Respaldos, Senc, PURT</t>
  </si>
  <si>
    <t>331/25</t>
  </si>
  <si>
    <t>Adriana Menchaca Guerra</t>
  </si>
  <si>
    <t>33-1147-1109</t>
  </si>
  <si>
    <t>Bosque de San Isidro Nte #60 Casa 2, Las Cañadas, Zapopan</t>
  </si>
  <si>
    <t>Tapete de lana, Eco, PURT</t>
  </si>
  <si>
    <t>Se madna WA, muy bien, como siempre</t>
  </si>
  <si>
    <t>332/25</t>
  </si>
  <si>
    <t>Legacy Tower Andares Depto 2001A, Zapopan</t>
  </si>
  <si>
    <t>Tapete de lana, Senc, PURT</t>
  </si>
  <si>
    <t>333/25</t>
  </si>
  <si>
    <t>Agustín Macias Hernández</t>
  </si>
  <si>
    <t>33-1161-9350</t>
  </si>
  <si>
    <t>Hda Sta Lucía #130 Int 301 Col Altamira, Zapopan</t>
  </si>
  <si>
    <t>Silla a y r, Eco</t>
  </si>
  <si>
    <t>334/25</t>
  </si>
  <si>
    <t>Ma Dolores Carrillo</t>
  </si>
  <si>
    <t>33-5105-2038</t>
  </si>
  <si>
    <t>Monte Galera #276 Col Res San Elias, Gdl</t>
  </si>
  <si>
    <t>Sala 6 p t f, Silla a y r, Senc, PURT</t>
  </si>
  <si>
    <t>Se madna WA, muy bien como siempre</t>
  </si>
  <si>
    <t>Se madna WA, el tapete no quedó como ella quería</t>
  </si>
  <si>
    <t>Se madna WA, no quedaron muy bien</t>
  </si>
  <si>
    <t>335/25</t>
  </si>
  <si>
    <t>Odemaris Hubbard Hernández / Cervantes Primaria</t>
  </si>
  <si>
    <t>33-3250-7217</t>
  </si>
  <si>
    <t>Marcelino Champagnat #2845 Col Loma Bonita Sur, Zapopan</t>
  </si>
  <si>
    <t>336/25</t>
  </si>
  <si>
    <t>Av Paseo Nte #3350 Casa 38 Natura bosque Res, Zapopan</t>
  </si>
  <si>
    <t>337/25</t>
  </si>
  <si>
    <t>Silvia Carrillo Hernández</t>
  </si>
  <si>
    <t>33-2225-7396</t>
  </si>
  <si>
    <t>Circ Loma Sur #8043 Col Loma Dorada, Tonalá</t>
  </si>
  <si>
    <t>Reposet, Healty</t>
  </si>
  <si>
    <t>no se manda WA, muy lejos</t>
  </si>
  <si>
    <t>Se manda WA, parece que todo bien</t>
  </si>
  <si>
    <t>Se madna WA, como siempre, excelente</t>
  </si>
  <si>
    <t>338/25</t>
  </si>
  <si>
    <t>Nelly González</t>
  </si>
  <si>
    <t>33-1094-9499</t>
  </si>
  <si>
    <t>Av Coyoacán #355 Cd del Sol, Zapopan</t>
  </si>
  <si>
    <t>Sala 6 p t r, Silla s a, coj, senc, silla a y r, 2 tapete de lana, 2 tapete sint, Prot</t>
  </si>
  <si>
    <t>339/25</t>
  </si>
  <si>
    <t>Berenice Lizeth Esquivel Gtz</t>
  </si>
  <si>
    <t>33-3507-6345</t>
  </si>
  <si>
    <t>Orso Welles #12 Col Jardines de la Patria, Zapopan</t>
  </si>
  <si>
    <t>Sala 2 p t r, Tapete sint, Prot</t>
  </si>
  <si>
    <t>340/25</t>
  </si>
  <si>
    <t>Elba Ruiz</t>
  </si>
  <si>
    <t>33-1139-3498</t>
  </si>
  <si>
    <t>Calle Palmiras #2223 Col Jardines de la Cruz, Gdl</t>
  </si>
  <si>
    <t>Sala 8 p t f, Piel</t>
  </si>
  <si>
    <t>Se madna WA, super bien</t>
  </si>
  <si>
    <t>muy bien, a su entera satisfacción</t>
  </si>
  <si>
    <t>341/25</t>
  </si>
  <si>
    <t>Blanca Alicia Pérez</t>
  </si>
  <si>
    <t>33-1850-4137</t>
  </si>
  <si>
    <t>Valle del Balsas #2195 Col Jardines del Valle, Zapopan</t>
  </si>
  <si>
    <t>342/25</t>
  </si>
  <si>
    <t>Lourdes Sanchez</t>
  </si>
  <si>
    <t>33-3497-3652</t>
  </si>
  <si>
    <t>Jardines de los Geranios #1461 Col Jardines del Vergel, Zapopan</t>
  </si>
  <si>
    <t>Sala 6 p a r, Banca, Coj, Eco</t>
  </si>
  <si>
    <t>343/25</t>
  </si>
  <si>
    <t>Victoria Varela</t>
  </si>
  <si>
    <t>34-8180-5802</t>
  </si>
  <si>
    <t>Av Paseo de la Luna #500 Coto Elite Casa 300 Calle 7, Zapopan</t>
  </si>
  <si>
    <t>Sala 10 p t f, Coj, Eco</t>
  </si>
  <si>
    <t>344/25</t>
  </si>
  <si>
    <t>Deya Vargas</t>
  </si>
  <si>
    <t>33-3010-1209</t>
  </si>
  <si>
    <t>Prol Colón #155 Casa 142 Tossá Res, Tlaque</t>
  </si>
  <si>
    <t>Sala 5 p t r, Coj, Tapete sint, Eco</t>
  </si>
  <si>
    <t>Se manda WA, super bien, cotiza sillas</t>
  </si>
  <si>
    <t>345/25</t>
  </si>
  <si>
    <t>Ernesto Córdova / Sangary</t>
  </si>
  <si>
    <t>33-1417-2382</t>
  </si>
  <si>
    <t>Remanso de los crisantemos Nte #2299 Buga, 1a. Secc, Zapopan</t>
  </si>
  <si>
    <t>Colchón ks, Eco</t>
  </si>
  <si>
    <t>346/25</t>
  </si>
  <si>
    <t>Aurea Residencial Casa 143, Tlajo</t>
  </si>
  <si>
    <t>Silla a y r, Coj, Eco</t>
  </si>
  <si>
    <t>347/25</t>
  </si>
  <si>
    <t>Sandra Meza Hdez</t>
  </si>
  <si>
    <t>33-1422-4069</t>
  </si>
  <si>
    <t>Reyes Católicos #1641 Col. Colón, Gdl</t>
  </si>
  <si>
    <t>2 tapetes sint, Eco, PURT</t>
  </si>
  <si>
    <t>No se pregunta, sangrona, molvida un tapete y hay que regresar</t>
  </si>
  <si>
    <t>348/25</t>
  </si>
  <si>
    <t>349/25</t>
  </si>
  <si>
    <t>Luis Enrique Casillas Alvarez</t>
  </si>
  <si>
    <t>33-3809-7336</t>
  </si>
  <si>
    <t>Rinconada de Bejar #1690 Col Las Alamedas, Gdl</t>
  </si>
  <si>
    <t>2 Tapetes sint, Healty</t>
  </si>
  <si>
    <t>350/25</t>
  </si>
  <si>
    <t>Sala 2 p t f, Prot, PURT</t>
  </si>
  <si>
    <t>351/25</t>
  </si>
  <si>
    <t>Paseo de los Virreyes #250 Depto 2502 Torre Aura Attitude, Zapopan</t>
  </si>
  <si>
    <t>2 Colchón KS, Colchón Ind, Prem, PURT</t>
  </si>
  <si>
    <t>352/25</t>
  </si>
  <si>
    <t>33-3452-4364</t>
  </si>
  <si>
    <t>Sala 12 p t f, Eco</t>
  </si>
  <si>
    <t>353/25</t>
  </si>
  <si>
    <t>Priv de los Parques #1623 Col. Colinas de San Javier, Zapopan</t>
  </si>
  <si>
    <t>Alfombra, 2 colchones KS, 2 base y cabecera KS, Sala 7 p r r, Colchón ind, Coj, Galera, Healty, PURT</t>
  </si>
  <si>
    <t>354/25</t>
  </si>
  <si>
    <t>355/25</t>
  </si>
  <si>
    <t>33-2507-0901</t>
  </si>
  <si>
    <t>Herrera y Cairo #1809 Col Ladrón de Guevara, Zapopan</t>
  </si>
  <si>
    <t>Viri o Brenda Rodriguez / Despacho Sanchez Acosta</t>
  </si>
  <si>
    <t>Se manda wa, no contesta</t>
  </si>
  <si>
    <t>356/25</t>
  </si>
  <si>
    <t>Imelda Gpe Ramírez Camacho</t>
  </si>
  <si>
    <t>33-3844-2845</t>
  </si>
  <si>
    <t>Circ del Bosque #254 Col Bosques Vallarta, Zapopan</t>
  </si>
  <si>
    <t>Colchón ks, Sala 2 p t f, Senc, PURT</t>
  </si>
  <si>
    <t>357/25</t>
  </si>
  <si>
    <t>Palmiras #2223 Col Jardines de la Cruz, Gdl</t>
  </si>
  <si>
    <t>358/25</t>
  </si>
  <si>
    <t>Ma Cristina Becerra</t>
  </si>
  <si>
    <t>33-1072-9853</t>
  </si>
  <si>
    <t>Buenos Aires #2615 Col Provi, Zapopan</t>
  </si>
  <si>
    <t>Muy bien, pero le hace falta otra lavada</t>
  </si>
  <si>
    <t>359/25</t>
  </si>
  <si>
    <t>Alejandra Rosales</t>
  </si>
  <si>
    <t>33-3175-1795</t>
  </si>
  <si>
    <t>Camichines #4 Rinc Vallarta Casa 74, Zapopan</t>
  </si>
  <si>
    <t>Sala 6 p r r, Tab, Senc</t>
  </si>
  <si>
    <t>Sala 6 p t f, Silla a y r, Colchón mat, Senc, PURT</t>
  </si>
  <si>
    <t>Se manda wa no contesta</t>
  </si>
  <si>
    <t>360/25</t>
  </si>
  <si>
    <t>Marisa Buenrostro</t>
  </si>
  <si>
    <t>33-3171-2514</t>
  </si>
  <si>
    <t>Paseo de los virreyes #3964 Col San Wenseslao, Zapopan</t>
  </si>
  <si>
    <t>Sala 8 p t r, Fundas, Eco, Antiac</t>
  </si>
  <si>
    <t>361/25</t>
  </si>
  <si>
    <t>Alma Cárdenas Mendoza</t>
  </si>
  <si>
    <t>33-1184-6564</t>
  </si>
  <si>
    <t>Amado Aguirre #385 Col Constitución, Zapopan</t>
  </si>
  <si>
    <t>362/25</t>
  </si>
  <si>
    <t>363/25</t>
  </si>
  <si>
    <t>Esmeralda Sandoval</t>
  </si>
  <si>
    <t>33-1093-9342</t>
  </si>
  <si>
    <t>Jardín de las Flores #135 Coto 6 Jardín Real, Zapopan</t>
  </si>
  <si>
    <t>Sala 8 p t f, Coj, Prot</t>
  </si>
  <si>
    <t>364/25</t>
  </si>
  <si>
    <t>Av Vallarta #3060 Col Ladrón de Guevara, Gdl</t>
  </si>
  <si>
    <t>365/25</t>
  </si>
  <si>
    <t>33-1610-7725</t>
  </si>
  <si>
    <t>11 Tapetes de yute (sint), Senc</t>
  </si>
  <si>
    <t>Semanda WA, todo muy bien</t>
  </si>
  <si>
    <t>366/25</t>
  </si>
  <si>
    <t>Carolina Córdova</t>
  </si>
  <si>
    <t>68-6524-6327</t>
  </si>
  <si>
    <t>Colomos #2622 Int 301 Col Providencia 2a Secc, Zapopan</t>
  </si>
  <si>
    <t>Colchón mat, Senc</t>
  </si>
  <si>
    <t>Se mnada WA, uno de los tapetes quedó con doblez, se expica cómo quitarlo</t>
  </si>
  <si>
    <t>367/25</t>
  </si>
  <si>
    <t>Myrna Alarcón</t>
  </si>
  <si>
    <t>35-4543-2690</t>
  </si>
  <si>
    <t>Av Juan Palomar y Arias #1300 Int 93 Coto Alcazar Ote, Col Jardines Univesidad, Zapopan</t>
  </si>
  <si>
    <t>Sala 9 p t r, Senc</t>
  </si>
  <si>
    <t>368/25</t>
  </si>
  <si>
    <t>Erick Manzano Manzano</t>
  </si>
  <si>
    <t>33-3007-6747</t>
  </si>
  <si>
    <t>Santa Martha #407 Col Sta Margarita, Zapopan</t>
  </si>
  <si>
    <t>Colchón Mat, Ind, Eco</t>
  </si>
  <si>
    <t>Se manda WA, no conetasta</t>
  </si>
  <si>
    <t>369/25</t>
  </si>
  <si>
    <t>Gregorio Santillan</t>
  </si>
  <si>
    <t>33-1466-1506</t>
  </si>
  <si>
    <t>Fermín Riestra #3472 Col Guadalajarita, Zapopan</t>
  </si>
  <si>
    <t>Sala &amp; p t f, Senc</t>
  </si>
  <si>
    <t>370/25</t>
  </si>
  <si>
    <t>Luis Martínez</t>
  </si>
  <si>
    <t>33-1420-3454</t>
  </si>
  <si>
    <t>Alfredo Barba #152 Lomas del cuatro, Tlaque</t>
  </si>
  <si>
    <t>Sala 5 p r r, Silla a y  r, banca, Eco</t>
  </si>
  <si>
    <t>No se llama, muy lejos</t>
  </si>
  <si>
    <t>371/25</t>
  </si>
  <si>
    <t>Ma Teresa González</t>
  </si>
  <si>
    <t>33-1241-8976</t>
  </si>
  <si>
    <t>Calle Rayo #2561 Col Jardines del Bosque, Gdl</t>
  </si>
  <si>
    <t>Sala 3 p t r, Sala 2 p t r, Sala 2 p a r, Sala 1 p t f, Silla a y r, Prot</t>
  </si>
  <si>
    <t>372/25</t>
  </si>
  <si>
    <t>Ekaterina Beltrán y Puga</t>
  </si>
  <si>
    <t>33-1275-3599</t>
  </si>
  <si>
    <t>Paseo Vía Acueducto #4450 Int 1 Cond Loma de los Naranjos Col Lomas del Bosque, Zapopan</t>
  </si>
  <si>
    <t>Alfombra, Sala 7 p a r, Sala 4 p r r, Cama abajo, Colchón Ind, Senc</t>
  </si>
  <si>
    <t>373/25</t>
  </si>
  <si>
    <t>Gabriela Ponce</t>
  </si>
  <si>
    <t>33-1553-7939</t>
  </si>
  <si>
    <t>Av Río Blanco #1900 Casa 137 Cond Argenta Residencial, Zapopan</t>
  </si>
  <si>
    <t>Sala 5 p t f, Silla a y r, Senc</t>
  </si>
  <si>
    <t>374/25</t>
  </si>
  <si>
    <t>Circ de la productividad #117 Las Pintas, Parque Indus Gdl, El Salto</t>
  </si>
  <si>
    <t>2 Sala 5 p t f, Coj, 2 Sala 1 p t f, Silla a y r, Eco</t>
  </si>
  <si>
    <t>Todo bien. Se da un anticipo el 31/Oct, aunque la primera parte se hizo el 1/nov</t>
  </si>
  <si>
    <t>375/25</t>
  </si>
  <si>
    <t>3 Sala 1 p t f, Tab, Sala 2 p t f, Silla a y r, Eco, 3 Sala 4 p t f Piel</t>
  </si>
  <si>
    <t>376/25</t>
  </si>
  <si>
    <t>Abril Vega</t>
  </si>
  <si>
    <t>(+1)31-0269-7913</t>
  </si>
  <si>
    <t>Cuacuhtemoc #446 Col Analco, Gdl</t>
  </si>
  <si>
    <t>Tapete lana, Senc</t>
  </si>
  <si>
    <t>Se manda WA, estan felices con el resultado</t>
  </si>
  <si>
    <t>377/25</t>
  </si>
  <si>
    <t>Teatro de la República #240 Int 17 Col Villas de Sta Rita, Zapopan</t>
  </si>
  <si>
    <t>Futón, Silla a t y, Prot</t>
  </si>
  <si>
    <t>378/25</t>
  </si>
  <si>
    <t>Isela Mariana García Velazco</t>
  </si>
  <si>
    <t>33-3379-1284</t>
  </si>
  <si>
    <t>Béjar #1681 Col. Sta Elena de la Cruz, Gdl</t>
  </si>
  <si>
    <t>379/25</t>
  </si>
  <si>
    <t>33-389-7336</t>
  </si>
  <si>
    <t>Se manda WA, parece que en 2 sillas, olia a orina, pero no se puso PURT</t>
  </si>
  <si>
    <t>380/25</t>
  </si>
  <si>
    <t xml:space="preserve">Sala 6 p t f, Piel </t>
  </si>
  <si>
    <t>381/25</t>
  </si>
  <si>
    <t>Sanata Amelia#147 Col Riberas del Pilar, Chapala</t>
  </si>
  <si>
    <t>Sala 8 p r r, Piel, Tapete de lana, Prem, Viáticos</t>
  </si>
  <si>
    <t>Se manda WA, todo buien</t>
  </si>
  <si>
    <t>382/25</t>
  </si>
  <si>
    <t>María Gutiérrez</t>
  </si>
  <si>
    <t>33-2342-8520</t>
  </si>
  <si>
    <t>Coto Pino Casa 8 Col Bosques Vallarta, Zapopan</t>
  </si>
  <si>
    <t>383/25</t>
  </si>
  <si>
    <t>Ernesto Orana</t>
  </si>
  <si>
    <t>31-3329-0186</t>
  </si>
  <si>
    <t>Paseo Valle Real #4000 Int 501 Reserva Real, Zapopan</t>
  </si>
  <si>
    <t>Alfombra, Tapete lana, prot</t>
  </si>
  <si>
    <t>384/25</t>
  </si>
  <si>
    <t>Dora Rodríguez</t>
  </si>
  <si>
    <t>33-1256-5619</t>
  </si>
  <si>
    <t>Santa Sofía #4270 Int 3 Col El Palmar, Tlaque</t>
  </si>
  <si>
    <t>Sala 5 p t f, Silla a y r, Eco</t>
  </si>
  <si>
    <t>385/25</t>
  </si>
  <si>
    <t>Karla Sanchez</t>
  </si>
  <si>
    <t>33-3900-3944</t>
  </si>
  <si>
    <t>Francisco Huizar #755 A Col Joyas del Nilo, Tonalá</t>
  </si>
  <si>
    <t>Sala 7 p t f, Tapete sint, Senc</t>
  </si>
  <si>
    <t>Se manda WA, no cntesta</t>
  </si>
  <si>
    <t>386/25</t>
  </si>
  <si>
    <t>Ana Gabriela Flores Michel</t>
  </si>
  <si>
    <t>33-1146-7656</t>
  </si>
  <si>
    <t>Ostia #2576 Col Provi, Zapopan</t>
  </si>
  <si>
    <t>Sala 6 p t f, Sala 5 p r r, Senc</t>
  </si>
  <si>
    <t>387/25</t>
  </si>
  <si>
    <t>Thania Aradilla</t>
  </si>
  <si>
    <t>33-3446-3896</t>
  </si>
  <si>
    <t>Carabelas #1719 PA Col Colón, Gdl</t>
  </si>
  <si>
    <t>388/25</t>
  </si>
  <si>
    <t>Patricia Guardado / Above Pharma</t>
  </si>
  <si>
    <t>33-3074-5898</t>
  </si>
  <si>
    <t>AV Pablo Neruda #2886 Desp 2 C Col Provi, Zapopan</t>
  </si>
  <si>
    <t>Silla a y r, Senc</t>
  </si>
  <si>
    <t>Suèr bien, como nuevas</t>
  </si>
  <si>
    <t>Chapala</t>
  </si>
  <si>
    <t>389/25</t>
  </si>
  <si>
    <t>Griselda Dueñas</t>
  </si>
  <si>
    <t>33-1358-1363</t>
  </si>
  <si>
    <t>Naría Uribe #737 Casa 31 Fracc Orange Col Villas del Nilo, Gdl</t>
  </si>
  <si>
    <t>Sala 6 p r r, Coj, Tapete sint, Silla a y r, Eco, PURT</t>
  </si>
  <si>
    <t>Excelente trabajo</t>
  </si>
  <si>
    <t>390/25</t>
  </si>
  <si>
    <t>Elsa Vazquez Castro</t>
  </si>
  <si>
    <t>33-1395-4453</t>
  </si>
  <si>
    <t>Vasco de Quiroga #81A Col Arroyo Hondo, Zapopan</t>
  </si>
  <si>
    <t>Lugar super cutre</t>
  </si>
  <si>
    <t>391/25</t>
  </si>
  <si>
    <t>Ma de las Nieves Gutiérrez</t>
  </si>
  <si>
    <t>33-3662-8331</t>
  </si>
  <si>
    <t>Río de la Plata #2487 Depto 1002 Col Colomos Provi, Zapopan</t>
  </si>
  <si>
    <t>Sala 6 p t r, 2 Tapete de lana, Banca, Sala 4 p t f, 2 Sala 1 p t r, Senc</t>
  </si>
  <si>
    <t>392/25</t>
  </si>
  <si>
    <t>Guillermo Bravo Ramos</t>
  </si>
  <si>
    <t>33-058-0967</t>
  </si>
  <si>
    <t>Emilio Carranza #455 Int 4 Col Tlaque Centro, Tlaque</t>
  </si>
  <si>
    <t>Tapete sin, tapete de lana, Prem</t>
  </si>
  <si>
    <t>No los ha revisado</t>
  </si>
  <si>
    <t>393/25</t>
  </si>
  <si>
    <t>Carol Stella Flores Gómez</t>
  </si>
  <si>
    <t>32-2242-3304</t>
  </si>
  <si>
    <t>Jardín de la Tartana Casa 159 Coto 5 Col Jardín Real, Zapopan</t>
  </si>
  <si>
    <t>Sala 7 p r r, tab, coj, Senc</t>
  </si>
  <si>
    <t>No se manda WA, se traspapelo, y ya pasó mucho tiempo</t>
  </si>
  <si>
    <t>394/25</t>
  </si>
  <si>
    <t>Joaquín Manzanares</t>
  </si>
  <si>
    <t>33-3459-7561</t>
  </si>
  <si>
    <t>Volcán San Benedicto #210 Col Huentitán El Bajo, Zapopan</t>
  </si>
  <si>
    <t>Colchón Ks, Colchón Ind, Senc</t>
  </si>
  <si>
    <t>El KS quedó igual, el ind, bien</t>
  </si>
  <si>
    <t>395/25</t>
  </si>
  <si>
    <t>Gemma Solórzano</t>
  </si>
  <si>
    <t>33-1946-3130</t>
  </si>
  <si>
    <t>Mar Mediterráneo #1196 Col Country Club, Zapopan</t>
  </si>
  <si>
    <t>Tapete de lana Senc</t>
  </si>
  <si>
    <t>Se manda Wa, como nuevas, muy buen servicio</t>
  </si>
  <si>
    <t>396/25</t>
  </si>
  <si>
    <t>15/21/11/25</t>
  </si>
  <si>
    <t>Fabian Díaz / Sepak Communnications</t>
  </si>
  <si>
    <t>Torre Celtis Av Real Acueducto #240, Zapopan</t>
  </si>
  <si>
    <t>Alfombra, 5 tapetes de lana, Silla a y r, Prem</t>
  </si>
  <si>
    <t>397/25</t>
  </si>
  <si>
    <t>Mary Cruz Hernández</t>
  </si>
  <si>
    <t>33-1387-3209</t>
  </si>
  <si>
    <t>San Fernando #21 Col San Pablo, Tlajo</t>
  </si>
  <si>
    <t xml:space="preserve">Sala 3 p t f, Prem </t>
  </si>
  <si>
    <t>No se manda WA, Vieja conflictiva</t>
  </si>
  <si>
    <t>398/25</t>
  </si>
  <si>
    <t>Reyna Ortega Qiny</t>
  </si>
  <si>
    <t>55-7501-0066</t>
  </si>
  <si>
    <t>Rinconada del Calesero #1217 Fracc Alamedas, Zapopan</t>
  </si>
  <si>
    <t>Sala 5 p t f, Tapete sint, Senc</t>
  </si>
  <si>
    <t>Se manda WA, muy bien! Les encantó</t>
  </si>
  <si>
    <t>399/25</t>
  </si>
  <si>
    <t>Angélica Herrera</t>
  </si>
  <si>
    <t>33-1795-7016</t>
  </si>
  <si>
    <t>Valle de la Capilla #15 Col Parque Real, Zapopan</t>
  </si>
  <si>
    <t>400/25</t>
  </si>
  <si>
    <t>Francia Martínez</t>
  </si>
  <si>
    <t>33-1218-7738</t>
  </si>
  <si>
    <t>Sabino Delgado #658 Col San Isidro Ejidal, Zapopan</t>
  </si>
  <si>
    <t>Sala 5 p a r, Senc</t>
  </si>
  <si>
    <t>Le encantó, super satisfecha</t>
  </si>
  <si>
    <t>401/25</t>
  </si>
  <si>
    <t>Angel Cárdenas</t>
  </si>
  <si>
    <t>33-3167-9812</t>
  </si>
  <si>
    <t>Av Beethoven #5512 Piso 4 Col La Estancia, Zapopan</t>
  </si>
  <si>
    <t>Sala 6 p r r, Silla s a, Banca, Banco, Senc</t>
  </si>
  <si>
    <t xml:space="preserve">Excelente </t>
  </si>
  <si>
    <t>402/25</t>
  </si>
  <si>
    <t>Prol Colón #155 Int Reus 141 Tossá Res, Tlaque</t>
  </si>
  <si>
    <t>Sala 3 p t f, 2 reposet, Senc, PURT</t>
  </si>
  <si>
    <t>403/25</t>
  </si>
  <si>
    <t>Juan Barajas Valencia</t>
  </si>
  <si>
    <t>33-3115-8729</t>
  </si>
  <si>
    <t>Av Acueducto #6075 Edif Cosmocrat Depto 1106 A, Zapopan</t>
  </si>
  <si>
    <t>Silla a y r, silla s a, Prem</t>
  </si>
  <si>
    <t>404/25</t>
  </si>
  <si>
    <t>Laura Morales / Laboratorios Rio</t>
  </si>
  <si>
    <t>33-3808-0135</t>
  </si>
  <si>
    <t>Suc López Mateos #1042, Zapopan</t>
  </si>
  <si>
    <t>Alfombra, Tapete sint, 5 Sala 1 p t f, Eco</t>
  </si>
  <si>
    <t>405/25</t>
  </si>
  <si>
    <t>Itzel Iñiguez Briseño</t>
  </si>
  <si>
    <t>33-3496-3771</t>
  </si>
  <si>
    <t>Circ del Sol #134 Fracc Puerta Plata, Zapopan</t>
  </si>
  <si>
    <t>Sala 7 p t r, Tab, Senc</t>
  </si>
  <si>
    <t>406/25</t>
  </si>
  <si>
    <t>Jorge Ramírez Orozco</t>
  </si>
  <si>
    <t>33-2914-9455</t>
  </si>
  <si>
    <t>Av Guadalupe #680 Col Chapalita, Zapopan</t>
  </si>
  <si>
    <t>Colchón KS, 4 Mat, Prot</t>
  </si>
  <si>
    <t>407/25</t>
  </si>
  <si>
    <t>Callejón del Armadillo #173 Col Cd Bugambilias 2a Secc, Zapopan</t>
  </si>
  <si>
    <t>2 tapetes sint, Eco PURT</t>
  </si>
  <si>
    <t>Muy bien, como siempre</t>
  </si>
  <si>
    <t>Se manda wa, todo bien</t>
  </si>
  <si>
    <t>408/25</t>
  </si>
  <si>
    <t>Carlos Moreno</t>
  </si>
  <si>
    <t>33-1417-5208</t>
  </si>
  <si>
    <t>Alberta #2151 Casa 4 Col Colomos providencia, Zapopan</t>
  </si>
  <si>
    <t>Colchón Mat, QS, KS, 2 tapetes sint, tapete de lana Senc</t>
  </si>
  <si>
    <t>409/25</t>
  </si>
  <si>
    <t>Octavio Mojarro Dávila</t>
  </si>
  <si>
    <t>33-1845-5933</t>
  </si>
  <si>
    <t>Av Bosque de San Isidro Sur #87-1 Col Bosques de San Isidro, Zapopan</t>
  </si>
  <si>
    <t xml:space="preserve">Sala 6 p t r, Coj, Eco </t>
  </si>
  <si>
    <t>410/25</t>
  </si>
  <si>
    <t>Nohema Bautista</t>
  </si>
  <si>
    <t>33-1098-8002</t>
  </si>
  <si>
    <t>Av Aviación #4304 Casa 4 Fracc El Real I, Zapopan</t>
  </si>
  <si>
    <t>411/25</t>
  </si>
  <si>
    <t>Evelia Abundis</t>
  </si>
  <si>
    <t>33-1279-0758</t>
  </si>
  <si>
    <t>Industria textil #149 Col San Fco, Zapopan</t>
  </si>
  <si>
    <t>Sala 6 p t f, Reposet, Silla a y r, Senc</t>
  </si>
  <si>
    <t>412/25</t>
  </si>
  <si>
    <t>Ana Barreto</t>
  </si>
  <si>
    <t>33-1142-2780</t>
  </si>
  <si>
    <t>Coto Venecia Casa 11 Col Valle Real, Zapopan</t>
  </si>
  <si>
    <t>Sala 10 p t r, Prot, PURt</t>
  </si>
  <si>
    <t>413/25</t>
  </si>
  <si>
    <t>Edificio Legacy Andares Depto 2001 A, Zapopan</t>
  </si>
  <si>
    <t>Se manda WA, quedó bien, pero aún oliendo un poco a orina</t>
  </si>
  <si>
    <t>414/25</t>
  </si>
  <si>
    <t>Juan Palomar y Arias Torre Agave Depto 303, Zapopan</t>
  </si>
  <si>
    <t xml:space="preserve">Tapete de lana, Prot </t>
  </si>
  <si>
    <t>415/25</t>
  </si>
  <si>
    <t>Verónica Ruiz</t>
  </si>
  <si>
    <t>33-3821-2080</t>
  </si>
  <si>
    <t>Av Conchita #3052 Col Loma Bonita, Zapopan</t>
  </si>
  <si>
    <t>Sala 6 p r r, Sala 1 p t f, Sala 6 p t f, Tab, 2 tapetes sint, silla a y r, Senc</t>
  </si>
  <si>
    <t>416/25</t>
  </si>
  <si>
    <t>Ma Teresa López / Cristina</t>
  </si>
  <si>
    <t>33-1338-9154</t>
  </si>
  <si>
    <t>Gaspar Bolaños #741 Col Jardines Alcalde, Gdl</t>
  </si>
  <si>
    <t>Sala 1 p t f, Interior coche med, Senc</t>
  </si>
  <si>
    <t>417/25</t>
  </si>
  <si>
    <t>Ruben Rosales</t>
  </si>
  <si>
    <t>33-3809-5028</t>
  </si>
  <si>
    <t>Ricardo Palma #3066 Col Provi, Zapopan</t>
  </si>
  <si>
    <t>Se manda WA, quedó la mancha</t>
  </si>
  <si>
    <t>Se manda WA, como nuevos</t>
  </si>
  <si>
    <t>418/25</t>
  </si>
  <si>
    <t>Elva Mendoza</t>
  </si>
  <si>
    <t>33-2762-5321</t>
  </si>
  <si>
    <t>Paseo de las Aves #2442-129 Zoi Cañadas, Zapopan</t>
  </si>
  <si>
    <t>Quedo Bien</t>
  </si>
  <si>
    <t>419/25</t>
  </si>
  <si>
    <t>Perla Alejandra Andrade Avila</t>
  </si>
  <si>
    <t>33-2848-7745</t>
  </si>
  <si>
    <t>Av Inglaterra #3468 Int 55 Coto Bosquetto Col Bosques Vallarta, Zapopan</t>
  </si>
  <si>
    <t>Sala 3 p r r, 2 sala 1 p r r, Sala 3 p r r, cama abajo, Healty, PURT</t>
  </si>
  <si>
    <t>420/25</t>
  </si>
  <si>
    <t>Irene Barajas</t>
  </si>
  <si>
    <t>33-1848-4154</t>
  </si>
  <si>
    <t>Paseo de la estrella #1177 Int 56 Coto Althea II Col Solares, Zapopan</t>
  </si>
  <si>
    <t>Muy bien, muy buen servicio</t>
  </si>
  <si>
    <t>421/25</t>
  </si>
  <si>
    <t>José Antonio Martínez</t>
  </si>
  <si>
    <t>33-1335-6624</t>
  </si>
  <si>
    <t>Coto Las Rosas Casa 78 Valle Real, Zapopan</t>
  </si>
  <si>
    <t>2 Tapete sint, Senc, PURT</t>
  </si>
  <si>
    <t>422/25</t>
  </si>
  <si>
    <t>Gabriela Mendoza Farías</t>
  </si>
  <si>
    <t>paseo de los Fresnos #128 El Palomar, Tlajo</t>
  </si>
  <si>
    <t>33-1773-5364</t>
  </si>
  <si>
    <t>Sala 6 p t r, Coj, Silla a y r, Colchón de cuna, Healty, PURT</t>
  </si>
  <si>
    <t>Se manda WA, bien</t>
  </si>
  <si>
    <t>Se manda WA. Muy bien</t>
  </si>
  <si>
    <t>423/25</t>
  </si>
  <si>
    <t xml:space="preserve">2 tapete sint, Senc </t>
  </si>
  <si>
    <t>424/25</t>
  </si>
  <si>
    <t>Karla Chávez</t>
  </si>
  <si>
    <t>33-1394-1195</t>
  </si>
  <si>
    <t>Av Aviación #4304 Coto El Real I Casa 23, Zapopan</t>
  </si>
  <si>
    <t>425/25</t>
  </si>
  <si>
    <t>Alfombra, 5 tapetes de lana, 7 tapetes sint, Senc</t>
  </si>
  <si>
    <t>426/25</t>
  </si>
  <si>
    <t>Labna #1437 Torre 3 Depto 1701 Edif Eniti Col Jardines del Sol, Zapopan</t>
  </si>
  <si>
    <t>Tapete de lana, Prem, PURT</t>
  </si>
  <si>
    <t>427/25</t>
  </si>
  <si>
    <t>Alejandra Torres</t>
  </si>
  <si>
    <t>33-1178-0591</t>
  </si>
  <si>
    <t>Dr José Ma Gomez Villaseñor #1048 Col Villas de los Belenes, Zapopan</t>
  </si>
  <si>
    <t>428/25</t>
  </si>
  <si>
    <t>429/25</t>
  </si>
  <si>
    <t>Claudia Alvarado González</t>
  </si>
  <si>
    <t>33-3200-0945</t>
  </si>
  <si>
    <t>Circ Los Olivos #681 Casa 16 Res Pedregal del Bosque, Tlaque</t>
  </si>
  <si>
    <t>Sailla a y r, Eco</t>
  </si>
  <si>
    <t>430/25</t>
  </si>
  <si>
    <t>Maritza Lemus</t>
  </si>
  <si>
    <t>33-1042-4323</t>
  </si>
  <si>
    <t>Calle Tejocote #1784 Col Jardines de la Cruz, Gdl</t>
  </si>
  <si>
    <t>Sala 4 p t f, Eco</t>
  </si>
  <si>
    <t>431/25</t>
  </si>
  <si>
    <t>Erik Alejandro Cabañas Gutiérrez</t>
  </si>
  <si>
    <t>33-2944-7329</t>
  </si>
  <si>
    <t>Priv del guamúchil #179-1 Cond Villas de la tijera, Tlajo</t>
  </si>
  <si>
    <t>3 tapete sint, tapete de lana, Senc, PURT</t>
  </si>
  <si>
    <t>Muy satisfecho</t>
  </si>
  <si>
    <t>432/25</t>
  </si>
  <si>
    <t>Hilda Salcido</t>
  </si>
  <si>
    <t>33-1228-8814</t>
  </si>
  <si>
    <t>Isla Cozumel #3185 Col Jardines del Sur, Zapopan</t>
  </si>
  <si>
    <t>Sala 6 p t r, Senc</t>
  </si>
  <si>
    <t>433/25</t>
  </si>
  <si>
    <t>Gemma García</t>
  </si>
  <si>
    <t>Sala 3 p r r, Prem</t>
  </si>
  <si>
    <t>434/25</t>
  </si>
  <si>
    <t>Miguel González</t>
  </si>
  <si>
    <t>33-2255-5680</t>
  </si>
  <si>
    <t>Industria Textil #2000 Int San Gabriel 170 Col San Fco, Zapopan</t>
  </si>
  <si>
    <t>Sala 6 p a r, Silla a y r, Tapete sint, Senc, PURT</t>
  </si>
  <si>
    <t>No se llama, muy pesados</t>
  </si>
  <si>
    <t>435/25</t>
  </si>
  <si>
    <t>Astrid Contreras</t>
  </si>
  <si>
    <t>33-1915-0089</t>
  </si>
  <si>
    <t>Soare Acanthia Int 28 Fracc Solares</t>
  </si>
  <si>
    <t>3 tapetes de lana, Prem, PURT</t>
  </si>
  <si>
    <t>436/25</t>
  </si>
  <si>
    <t>Aldo Javier Lúevano Acosta</t>
  </si>
  <si>
    <t>33-1082-8126</t>
  </si>
  <si>
    <t>Río Independencia #575 Col Jardines del Rosario, Gdl</t>
  </si>
  <si>
    <t>No se llama, cliente se queja y no paga</t>
  </si>
  <si>
    <t>437/25</t>
  </si>
  <si>
    <t>Blvd Puerta de Hierro #5280 Cond Toledo Int 9, Zapopan</t>
  </si>
  <si>
    <t>Luis Olavarrieta</t>
  </si>
  <si>
    <t>33-3809-4245</t>
  </si>
  <si>
    <t>Sala 8 p r r, Silla a y r, coj, Reposet, Tapete de lana, Sala 2 p t r, Prot</t>
  </si>
  <si>
    <t>438/25</t>
  </si>
  <si>
    <t>Carlos Carrillo</t>
  </si>
  <si>
    <t>33-3058-2728</t>
  </si>
  <si>
    <t>Fermín Riestra #133 casa 7, Gdl</t>
  </si>
  <si>
    <t>muy bien, como siempre</t>
  </si>
  <si>
    <t>439/25</t>
  </si>
  <si>
    <t>Colchón QS, KS, Eco+Antiac</t>
  </si>
  <si>
    <t>440/25</t>
  </si>
  <si>
    <t>Yolanda Abundis</t>
  </si>
  <si>
    <t>33-1092-9384</t>
  </si>
  <si>
    <t>Bosque de Puente Viejo #140 Fracc Las Cañadas, Zapopan</t>
  </si>
  <si>
    <t>441/25</t>
  </si>
  <si>
    <t>Priv Parral #2-70 Col San Juan de Ocotán, Zapopan</t>
  </si>
  <si>
    <t>Se manda WA, muy bien, como siempre</t>
  </si>
  <si>
    <t>442/25</t>
  </si>
  <si>
    <t>Nancy Livier Alfaro</t>
  </si>
  <si>
    <t>33-1365-3951</t>
  </si>
  <si>
    <t>Arbolada #2 Casa 14-A Bosques de Santa Anita, Tlajomulco</t>
  </si>
  <si>
    <t>Sala 5 p r r, Colchón QS, Senc, PURT</t>
  </si>
  <si>
    <t>443/25</t>
  </si>
  <si>
    <t>Thomas Harris</t>
  </si>
  <si>
    <t>33-1535-6995</t>
  </si>
  <si>
    <t>Calle 8 #2256 Depto 4 Col Seattle, Zapopan</t>
  </si>
  <si>
    <t>Reposet, Healty, Silla a y r, Eco</t>
  </si>
  <si>
    <t>444/25</t>
  </si>
  <si>
    <t>Javier Herrera Vargas</t>
  </si>
  <si>
    <t>33-3359-6739</t>
  </si>
  <si>
    <t>Av Terranostra #400 Casa 92 Col Bellaterra Fracc Bosques de Sta Anita, Tlajo</t>
  </si>
  <si>
    <t>445/25</t>
  </si>
  <si>
    <t>No se manda WA, muy retrasada la entrega, no se quitó la mancha</t>
  </si>
  <si>
    <t>Tapete lana, Senc, PURT</t>
  </si>
  <si>
    <t>No se llama</t>
  </si>
  <si>
    <t>446/25</t>
  </si>
  <si>
    <t>Pláceres #1072 Col Chapalita, Gdl</t>
  </si>
  <si>
    <t>447/25</t>
  </si>
  <si>
    <t>Cecilia Valdivia</t>
  </si>
  <si>
    <t>33-1171-5479</t>
  </si>
  <si>
    <t>Izamal #5919 Col. Pinar de la calma, Zapopan</t>
  </si>
  <si>
    <t>Sala 4 p t f, colch cuna, Senc</t>
  </si>
  <si>
    <t>448/25</t>
  </si>
  <si>
    <t>Madre Sacristana / Madre ana Rosa García</t>
  </si>
  <si>
    <t>Bernardo de Balbuena #240 Col Ladrón de Guevara, Gdl</t>
  </si>
  <si>
    <t>Tapete de algodón, Senc</t>
  </si>
  <si>
    <t>450/25</t>
  </si>
  <si>
    <t>Rosa Ma Verdín Alvarez</t>
  </si>
  <si>
    <t>33-1151-5294</t>
  </si>
  <si>
    <t>Calz de los fresnos #7322 Depto A Col Cd Granja, Zapopan</t>
  </si>
  <si>
    <t>Quedaron algunas manchas</t>
  </si>
  <si>
    <t>449/25</t>
  </si>
  <si>
    <t>Sala 4 p t f, Coj, Tapete sint, Silla a y r, Colchón cuna, senc</t>
  </si>
  <si>
    <t>451/25</t>
  </si>
  <si>
    <t>Sala 5 p t r, Coj, Tapete sint, Eco, PURT</t>
  </si>
  <si>
    <t>tapete</t>
  </si>
  <si>
    <t>senc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</si>
</sst>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$-80A]* #,##0.00_-;\-[$$-80A]* #,##0.00_-;_-[$$-80A]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14" fontId="3" fillId="2" borderId="0" xfId="0" applyNumberFormat="1" applyFont="1" applyFill="1" applyAlignment="1">
      <alignment wrapText="1"/>
    </xf>
    <xf numFmtId="0" fontId="3" fillId="2" borderId="0" xfId="0" applyFont="1" applyFill="1"/>
    <xf numFmtId="9" fontId="3" fillId="2" borderId="0" xfId="2" applyFont="1" applyFill="1"/>
    <xf numFmtId="164" fontId="3" fillId="2" borderId="0" xfId="1" applyNumberFormat="1" applyFont="1" applyFill="1"/>
    <xf numFmtId="44" fontId="3" fillId="2" borderId="0" xfId="1" applyFont="1" applyFill="1" applyAlignment="1">
      <alignment wrapText="1"/>
    </xf>
    <xf numFmtId="0" fontId="3" fillId="2" borderId="0" xfId="0" applyFont="1" applyFill="1" applyAlignment="1">
      <alignment wrapText="1"/>
    </xf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Font="1"/>
    <xf numFmtId="0" fontId="0" fillId="0" borderId="1" xfId="0" applyFont="1" applyBorder="1"/>
    <xf numFmtId="9" fontId="0" fillId="0" borderId="2" xfId="2" applyFont="1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Font="1" applyBorder="1"/>
    <xf numFmtId="164" fontId="0" fillId="0" borderId="5" xfId="2" applyNumberFormat="1" applyFont="1" applyBorder="1"/>
    <xf numFmtId="0" fontId="0" fillId="0" borderId="0" xfId="0" applyBorder="1"/>
    <xf numFmtId="9" fontId="0" fillId="0" borderId="5" xfId="2" applyFont="1" applyBorder="1"/>
    <xf numFmtId="1" fontId="0" fillId="0" borderId="0" xfId="0" applyNumberFormat="1"/>
    <xf numFmtId="0" fontId="0" fillId="0" borderId="6" xfId="0" applyFont="1" applyBorder="1"/>
    <xf numFmtId="44" fontId="0" fillId="0" borderId="7" xfId="1" applyFont="1" applyBorder="1"/>
    <xf numFmtId="9" fontId="0" fillId="0" borderId="0" xfId="2" applyFont="1"/>
    <xf numFmtId="0" fontId="0" fillId="0" borderId="8" xfId="0" applyBorder="1"/>
    <xf numFmtId="9" fontId="0" fillId="0" borderId="7" xfId="2" applyFont="1" applyBorder="1"/>
    <xf numFmtId="0" fontId="0" fillId="0" borderId="4" xfId="0" applyBorder="1"/>
    <xf numFmtId="49" fontId="0" fillId="0" borderId="4" xfId="0" applyNumberFormat="1" applyBorder="1"/>
    <xf numFmtId="0" fontId="0" fillId="0" borderId="6" xfId="0" applyBorder="1"/>
    <xf numFmtId="0" fontId="0" fillId="0" borderId="0" xfId="0" applyFill="1" applyBorder="1"/>
    <xf numFmtId="49" fontId="0" fillId="0" borderId="6" xfId="0" applyNumberFormat="1" applyBorder="1"/>
    <xf numFmtId="0" fontId="0" fillId="0" borderId="4" xfId="0" applyFill="1" applyBorder="1"/>
    <xf numFmtId="49" fontId="0" fillId="0" borderId="1" xfId="0" applyNumberFormat="1" applyBorder="1"/>
    <xf numFmtId="0" fontId="0" fillId="0" borderId="6" xfId="0" applyFill="1" applyBorder="1"/>
    <xf numFmtId="49" fontId="0" fillId="0" borderId="4" xfId="0" applyNumberFormat="1" applyFont="1" applyBorder="1"/>
    <xf numFmtId="49" fontId="0" fillId="0" borderId="6" xfId="0" applyNumberFormat="1" applyFont="1" applyBorder="1"/>
    <xf numFmtId="49" fontId="0" fillId="0" borderId="0" xfId="0" applyNumberFormat="1" applyFont="1"/>
    <xf numFmtId="49" fontId="0" fillId="0" borderId="1" xfId="0" applyNumberFormat="1" applyFont="1" applyBorder="1"/>
    <xf numFmtId="49" fontId="0" fillId="0" borderId="0" xfId="0" applyNumberFormat="1" applyBorder="1"/>
    <xf numFmtId="9" fontId="0" fillId="0" borderId="0" xfId="2" applyFont="1" applyBorder="1"/>
    <xf numFmtId="0" fontId="0" fillId="4" borderId="4" xfId="0" applyFill="1" applyBorder="1"/>
    <xf numFmtId="0" fontId="0" fillId="4" borderId="6" xfId="0" applyFill="1" applyBorder="1"/>
    <xf numFmtId="49" fontId="0" fillId="0" borderId="9" xfId="0" applyNumberFormat="1" applyBorder="1"/>
    <xf numFmtId="49" fontId="0" fillId="0" borderId="11" xfId="0" applyNumberFormat="1" applyBorder="1"/>
    <xf numFmtId="164" fontId="0" fillId="0" borderId="12" xfId="0" applyNumberFormat="1" applyBorder="1"/>
    <xf numFmtId="44" fontId="0" fillId="0" borderId="12" xfId="1" applyFont="1" applyBorder="1"/>
    <xf numFmtId="0" fontId="0" fillId="0" borderId="13" xfId="0" applyBorder="1"/>
    <xf numFmtId="164" fontId="0" fillId="0" borderId="14" xfId="0" applyNumberFormat="1" applyBorder="1"/>
    <xf numFmtId="49" fontId="3" fillId="2" borderId="0" xfId="0" applyNumberFormat="1" applyFont="1" applyFill="1" applyAlignment="1">
      <alignment wrapText="1"/>
    </xf>
    <xf numFmtId="44" fontId="3" fillId="2" borderId="0" xfId="1" applyFont="1" applyFill="1"/>
    <xf numFmtId="0" fontId="0" fillId="3" borderId="15" xfId="0" applyFill="1" applyBorder="1"/>
    <xf numFmtId="44" fontId="4" fillId="3" borderId="15" xfId="1" applyFont="1" applyFill="1" applyBorder="1"/>
    <xf numFmtId="44" fontId="0" fillId="3" borderId="15" xfId="1" applyFont="1" applyFill="1" applyBorder="1"/>
    <xf numFmtId="1" fontId="0" fillId="3" borderId="15" xfId="1" applyNumberFormat="1" applyFont="1" applyFill="1" applyBorder="1"/>
    <xf numFmtId="9" fontId="0" fillId="3" borderId="15" xfId="2" applyFont="1" applyFill="1" applyBorder="1"/>
    <xf numFmtId="44" fontId="0" fillId="0" borderId="15" xfId="1" applyFont="1" applyBorder="1"/>
    <xf numFmtId="0" fontId="0" fillId="0" borderId="15" xfId="0" applyBorder="1"/>
    <xf numFmtId="9" fontId="0" fillId="0" borderId="15" xfId="2" applyFont="1" applyBorder="1"/>
    <xf numFmtId="44" fontId="0" fillId="0" borderId="0" xfId="1" applyFont="1"/>
    <xf numFmtId="44" fontId="0" fillId="0" borderId="15" xfId="0" applyNumberFormat="1" applyBorder="1"/>
    <xf numFmtId="9" fontId="0" fillId="0" borderId="15" xfId="0" applyNumberFormat="1" applyBorder="1"/>
    <xf numFmtId="0" fontId="0" fillId="3" borderId="12" xfId="0" applyFill="1" applyBorder="1"/>
    <xf numFmtId="0" fontId="0" fillId="3" borderId="11" xfId="0" applyFill="1" applyBorder="1"/>
    <xf numFmtId="9" fontId="0" fillId="0" borderId="12" xfId="2" applyFont="1" applyBorder="1"/>
    <xf numFmtId="0" fontId="0" fillId="3" borderId="13" xfId="0" applyFill="1" applyBorder="1"/>
    <xf numFmtId="9" fontId="0" fillId="0" borderId="18" xfId="2" applyFont="1" applyBorder="1"/>
    <xf numFmtId="9" fontId="0" fillId="0" borderId="14" xfId="2" applyFont="1" applyBorder="1"/>
    <xf numFmtId="1" fontId="0" fillId="3" borderId="11" xfId="0" applyNumberFormat="1" applyFill="1" applyBorder="1"/>
    <xf numFmtId="9" fontId="0" fillId="0" borderId="15" xfId="2" applyFont="1" applyFill="1" applyBorder="1"/>
    <xf numFmtId="1" fontId="0" fillId="3" borderId="13" xfId="0" applyNumberFormat="1" applyFill="1" applyBorder="1"/>
    <xf numFmtId="9" fontId="0" fillId="0" borderId="18" xfId="2" applyFont="1" applyFill="1" applyBorder="1"/>
    <xf numFmtId="0" fontId="0" fillId="3" borderId="11" xfId="0" applyFill="1" applyBorder="1" applyAlignment="1">
      <alignment horizontal="left"/>
    </xf>
    <xf numFmtId="9" fontId="0" fillId="4" borderId="15" xfId="2" applyFont="1" applyFill="1" applyBorder="1"/>
    <xf numFmtId="9" fontId="0" fillId="4" borderId="12" xfId="2" applyFont="1" applyFill="1" applyBorder="1"/>
    <xf numFmtId="9" fontId="0" fillId="0" borderId="15" xfId="2" applyNumberFormat="1" applyFont="1" applyBorder="1"/>
    <xf numFmtId="0" fontId="0" fillId="3" borderId="9" xfId="0" applyFill="1" applyBorder="1"/>
    <xf numFmtId="0" fontId="0" fillId="0" borderId="12" xfId="0" applyBorder="1"/>
    <xf numFmtId="49" fontId="0" fillId="3" borderId="11" xfId="0" applyNumberFormat="1" applyFill="1" applyBorder="1"/>
    <xf numFmtId="0" fontId="0" fillId="3" borderId="11" xfId="0" applyFont="1" applyFill="1" applyBorder="1"/>
    <xf numFmtId="0" fontId="0" fillId="3" borderId="13" xfId="0" applyFont="1" applyFill="1" applyBorder="1"/>
    <xf numFmtId="0" fontId="0" fillId="3" borderId="0" xfId="0" applyFill="1"/>
    <xf numFmtId="164" fontId="0" fillId="0" borderId="10" xfId="0" applyNumberFormat="1" applyBorder="1"/>
    <xf numFmtId="165" fontId="0" fillId="0" borderId="0" xfId="3" applyNumberFormat="1" applyFont="1"/>
    <xf numFmtId="44" fontId="0" fillId="0" borderId="5" xfId="1" applyFont="1" applyBorder="1"/>
    <xf numFmtId="0" fontId="0" fillId="0" borderId="21" xfId="0" applyBorder="1"/>
    <xf numFmtId="44" fontId="5" fillId="0" borderId="16" xfId="1" applyFont="1" applyBorder="1" applyAlignment="1">
      <alignment horizontal="center"/>
    </xf>
    <xf numFmtId="44" fontId="0" fillId="0" borderId="5" xfId="0" applyNumberFormat="1" applyBorder="1"/>
    <xf numFmtId="0" fontId="0" fillId="0" borderId="0" xfId="0" applyFill="1"/>
    <xf numFmtId="49" fontId="0" fillId="0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49" fontId="0" fillId="9" borderId="0" xfId="0" applyNumberFormat="1" applyFill="1"/>
    <xf numFmtId="49" fontId="0" fillId="10" borderId="0" xfId="0" applyNumberFormat="1" applyFill="1"/>
    <xf numFmtId="44" fontId="5" fillId="0" borderId="15" xfId="1" applyFont="1" applyBorder="1"/>
    <xf numFmtId="0" fontId="0" fillId="4" borderId="0" xfId="0" applyFill="1"/>
    <xf numFmtId="49" fontId="0" fillId="11" borderId="0" xfId="0" applyNumberFormat="1" applyFill="1"/>
    <xf numFmtId="0" fontId="0" fillId="3" borderId="0" xfId="0" applyFont="1" applyFill="1" applyAlignment="1">
      <alignment horizontal="center"/>
    </xf>
    <xf numFmtId="9" fontId="0" fillId="3" borderId="15" xfId="2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15" xfId="0" applyFill="1" applyBorder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 baseline="0"/>
              <a:t>% cliente residencial en venta bruta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90051.150000000023</c:v>
                </c:pt>
                <c:pt idx="1">
                  <c:v>87030.41</c:v>
                </c:pt>
                <c:pt idx="2">
                  <c:v>75085.94</c:v>
                </c:pt>
                <c:pt idx="3">
                  <c:v>110830.24</c:v>
                </c:pt>
                <c:pt idx="4">
                  <c:v>79101.97</c:v>
                </c:pt>
                <c:pt idx="5">
                  <c:v>98826.83</c:v>
                </c:pt>
                <c:pt idx="6">
                  <c:v>134537.76999999999</c:v>
                </c:pt>
                <c:pt idx="7">
                  <c:v>134636.19</c:v>
                </c:pt>
                <c:pt idx="8">
                  <c:v>90695.15</c:v>
                </c:pt>
                <c:pt idx="9">
                  <c:v>109108.46999999999</c:v>
                </c:pt>
                <c:pt idx="10">
                  <c:v>113421.42000000001</c:v>
                </c:pt>
                <c:pt idx="11">
                  <c:v>103123.47999999997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55C-42CB-9462-6D5FED1F9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358400"/>
        <c:axId val="204360320"/>
      </c:barChart>
      <c:lineChart>
        <c:grouping val="standard"/>
        <c:varyColors val="0"/>
        <c:ser>
          <c:idx val="1"/>
          <c:order val="1"/>
          <c:tx>
            <c:strRef>
              <c:f>'Estadísticas finales'!$H$1:$H$13</c:f>
              <c:strCache>
                <c:ptCount val="1"/>
                <c:pt idx="0">
                  <c:v>% Cliente Res 95% 90% 96% 89% 71% 89% 81% 76% 82% 78% 81% 98%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646-4F1F-BE49-A8A924148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58400"/>
        <c:axId val="204360320"/>
      </c:lineChart>
      <c:catAx>
        <c:axId val="20435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4360320"/>
        <c:crosses val="autoZero"/>
        <c:auto val="1"/>
        <c:lblAlgn val="ctr"/>
        <c:lblOffset val="100"/>
        <c:noMultiLvlLbl val="0"/>
      </c:catAx>
      <c:valAx>
        <c:axId val="2043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435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 de repetición en venta bruta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90051.150000000023</c:v>
                </c:pt>
                <c:pt idx="1">
                  <c:v>87030.41</c:v>
                </c:pt>
                <c:pt idx="2">
                  <c:v>75085.94</c:v>
                </c:pt>
                <c:pt idx="3">
                  <c:v>110830.24</c:v>
                </c:pt>
                <c:pt idx="4">
                  <c:v>79101.97</c:v>
                </c:pt>
                <c:pt idx="5">
                  <c:v>98826.83</c:v>
                </c:pt>
                <c:pt idx="6">
                  <c:v>134537.76999999999</c:v>
                </c:pt>
                <c:pt idx="7">
                  <c:v>134636.19</c:v>
                </c:pt>
                <c:pt idx="8">
                  <c:v>90695.15</c:v>
                </c:pt>
                <c:pt idx="9">
                  <c:v>109108.46999999999</c:v>
                </c:pt>
                <c:pt idx="10">
                  <c:v>113421.42000000001</c:v>
                </c:pt>
                <c:pt idx="11">
                  <c:v>103123.47999999997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DA-458A-BE5A-70D9FA567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2781312"/>
        <c:axId val="232782848"/>
      </c:barChart>
      <c:lineChart>
        <c:grouping val="standard"/>
        <c:varyColors val="0"/>
        <c:ser>
          <c:idx val="1"/>
          <c:order val="1"/>
          <c:tx>
            <c:strRef>
              <c:f>'Estadísticas finales'!$J$1:$J$13</c:f>
              <c:strCache>
                <c:ptCount val="1"/>
                <c:pt idx="0">
                  <c:v>% Rep 41% 64% 65% 65% 43% 49% 55% 44% 53% 58% 53% 68%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C3B-44E4-9976-1BEB67D5E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781312"/>
        <c:axId val="232782848"/>
      </c:lineChart>
      <c:catAx>
        <c:axId val="23278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2782848"/>
        <c:crosses val="autoZero"/>
        <c:auto val="1"/>
        <c:lblAlgn val="ctr"/>
        <c:lblOffset val="100"/>
        <c:noMultiLvlLbl val="0"/>
      </c:catAx>
      <c:valAx>
        <c:axId val="23278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278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tipo de mueble en venta bruta</a:t>
            </a:r>
            <a:endParaRPr lang="es-MX"/>
          </a:p>
        </c:rich>
      </c:tx>
      <c:layout>
        <c:manualLayout>
          <c:xMode val="edge"/>
          <c:yMode val="edge"/>
          <c:x val="0.12065966754155731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Sala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04-4DA9-AEFF-257CB087CF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90051.150000000023</c:v>
                </c:pt>
                <c:pt idx="1">
                  <c:v>87030.41</c:v>
                </c:pt>
                <c:pt idx="2">
                  <c:v>75085.94</c:v>
                </c:pt>
                <c:pt idx="3">
                  <c:v>110830.24</c:v>
                </c:pt>
                <c:pt idx="4">
                  <c:v>79101.97</c:v>
                </c:pt>
                <c:pt idx="5">
                  <c:v>98826.83</c:v>
                </c:pt>
                <c:pt idx="6">
                  <c:v>134537.76999999999</c:v>
                </c:pt>
                <c:pt idx="7">
                  <c:v>134636.19</c:v>
                </c:pt>
                <c:pt idx="8">
                  <c:v>90695.15</c:v>
                </c:pt>
                <c:pt idx="9">
                  <c:v>109108.46999999999</c:v>
                </c:pt>
                <c:pt idx="10">
                  <c:v>113421.42000000001</c:v>
                </c:pt>
                <c:pt idx="11">
                  <c:v>103123.47999999997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EC8-4130-B927-8230EAD251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2884864"/>
        <c:axId val="232886656"/>
      </c:barChart>
      <c:lineChart>
        <c:grouping val="standard"/>
        <c:varyColors val="0"/>
        <c:ser>
          <c:idx val="1"/>
          <c:order val="1"/>
          <c:tx>
            <c:strRef>
              <c:f>'Estadísticas finales'!$K$2:$K$13</c:f>
              <c:strCache>
                <c:ptCount val="1"/>
                <c:pt idx="0">
                  <c:v>Sala Tapete Tapete Tapete Sala Tapete Tapete Sala Tapete Sala Sala Tapete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B04-4DA9-AEFF-257CB087C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889728"/>
        <c:axId val="232888192"/>
      </c:lineChart>
      <c:catAx>
        <c:axId val="23288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2886656"/>
        <c:crosses val="autoZero"/>
        <c:auto val="1"/>
        <c:lblAlgn val="ctr"/>
        <c:lblOffset val="100"/>
        <c:noMultiLvlLbl val="0"/>
      </c:catAx>
      <c:valAx>
        <c:axId val="2328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2884864"/>
        <c:crosses val="autoZero"/>
        <c:crossBetween val="between"/>
      </c:valAx>
      <c:valAx>
        <c:axId val="2328881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2889728"/>
        <c:crosses val="max"/>
        <c:crossBetween val="between"/>
      </c:valAx>
      <c:catAx>
        <c:axId val="232889728"/>
        <c:scaling>
          <c:orientation val="minMax"/>
        </c:scaling>
        <c:delete val="1"/>
        <c:axPos val="b"/>
        <c:majorTickMark val="out"/>
        <c:minorTickMark val="none"/>
        <c:tickLblPos val="nextTo"/>
        <c:crossAx val="232888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tipo de paquete en venta bruta</a:t>
            </a:r>
            <a:endParaRPr lang="es-MX"/>
          </a:p>
        </c:rich>
      </c:tx>
      <c:layout>
        <c:manualLayout>
          <c:xMode val="edge"/>
          <c:yMode val="edge"/>
          <c:x val="0.12065966754155731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90051.150000000023</c:v>
                </c:pt>
                <c:pt idx="1">
                  <c:v>87030.41</c:v>
                </c:pt>
                <c:pt idx="2">
                  <c:v>75085.94</c:v>
                </c:pt>
                <c:pt idx="3">
                  <c:v>110830.24</c:v>
                </c:pt>
                <c:pt idx="4">
                  <c:v>79101.97</c:v>
                </c:pt>
                <c:pt idx="5">
                  <c:v>98826.83</c:v>
                </c:pt>
                <c:pt idx="6">
                  <c:v>134537.76999999999</c:v>
                </c:pt>
                <c:pt idx="7">
                  <c:v>134636.19</c:v>
                </c:pt>
                <c:pt idx="8">
                  <c:v>90695.15</c:v>
                </c:pt>
                <c:pt idx="9">
                  <c:v>109108.46999999999</c:v>
                </c:pt>
                <c:pt idx="10">
                  <c:v>113421.42000000001</c:v>
                </c:pt>
                <c:pt idx="11">
                  <c:v>103123.47999999997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AE-4678-A713-6784B4406C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2914304"/>
        <c:axId val="238273664"/>
      </c:barChart>
      <c:lineChart>
        <c:grouping val="standard"/>
        <c:varyColors val="0"/>
        <c:ser>
          <c:idx val="1"/>
          <c:order val="1"/>
          <c:tx>
            <c:strRef>
              <c:f>'Estadísticas finales'!$L$2:$L$13</c:f>
              <c:strCache>
                <c:ptCount val="1"/>
                <c:pt idx="0">
                  <c:v>30% 33% 38% 32% 31% 37% 34% 39% 29% 31% 33% 34%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6.5615764564862225E-3"/>
                  <c:y val="4.6296296296296294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30%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5.6587926509186343E-2"/>
                      <c:h val="9.2523330417031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BD5-4AEE-818E-FE4C137248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BD5-4AEE-818E-FE4C13724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369472"/>
        <c:axId val="238275200"/>
      </c:lineChart>
      <c:catAx>
        <c:axId val="23291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8273664"/>
        <c:crosses val="autoZero"/>
        <c:auto val="1"/>
        <c:lblAlgn val="ctr"/>
        <c:lblOffset val="100"/>
        <c:noMultiLvlLbl val="0"/>
      </c:catAx>
      <c:valAx>
        <c:axId val="23827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2914304"/>
        <c:crosses val="autoZero"/>
        <c:crossBetween val="between"/>
      </c:valAx>
      <c:valAx>
        <c:axId val="2382752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1369472"/>
        <c:crosses val="max"/>
        <c:crossBetween val="between"/>
      </c:valAx>
      <c:catAx>
        <c:axId val="241369472"/>
        <c:scaling>
          <c:orientation val="minMax"/>
        </c:scaling>
        <c:delete val="1"/>
        <c:axPos val="b"/>
        <c:majorTickMark val="out"/>
        <c:minorTickMark val="none"/>
        <c:tickLblPos val="nextTo"/>
        <c:crossAx val="238275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satisfacción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7"/>
          <c:order val="0"/>
          <c:tx>
            <c:strRef>
              <c:f>'Estadísticas finales'!$I$1</c:f>
              <c:strCache>
                <c:ptCount val="1"/>
                <c:pt idx="0">
                  <c:v>Satisfacción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'Estadísticas finales'!$I$2:$I$13</c:f>
              <c:numCache>
                <c:formatCode>0%</c:formatCode>
                <c:ptCount val="12"/>
                <c:pt idx="0">
                  <c:v>0.68</c:v>
                </c:pt>
                <c:pt idx="1">
                  <c:v>0.74</c:v>
                </c:pt>
                <c:pt idx="2">
                  <c:v>0.83</c:v>
                </c:pt>
                <c:pt idx="3">
                  <c:v>0.65</c:v>
                </c:pt>
                <c:pt idx="4">
                  <c:v>0.71</c:v>
                </c:pt>
                <c:pt idx="5">
                  <c:v>0.64</c:v>
                </c:pt>
                <c:pt idx="6">
                  <c:v>0.55000000000000004</c:v>
                </c:pt>
                <c:pt idx="7">
                  <c:v>0.62</c:v>
                </c:pt>
                <c:pt idx="8">
                  <c:v>0.68</c:v>
                </c:pt>
                <c:pt idx="9">
                  <c:v>0.64</c:v>
                </c:pt>
                <c:pt idx="10">
                  <c:v>0.75</c:v>
                </c:pt>
                <c:pt idx="11">
                  <c:v>0.73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E4-4790-BB3C-2C96396C5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1390336"/>
        <c:axId val="241391872"/>
      </c:barChart>
      <c:catAx>
        <c:axId val="24139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1391872"/>
        <c:crosses val="autoZero"/>
        <c:auto val="1"/>
        <c:lblAlgn val="ctr"/>
        <c:lblOffset val="100"/>
        <c:noMultiLvlLbl val="0"/>
      </c:catAx>
      <c:valAx>
        <c:axId val="2413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139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finales'!$B$1</c:f>
              <c:strCache>
                <c:ptCount val="1"/>
                <c:pt idx="0">
                  <c:v>Venta mensual bruta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finales'!$B$2:$B$13</c:f>
              <c:numCache>
                <c:formatCode>_("$"* #,##0.00_);_("$"* \(#,##0.00\);_("$"* "-"??_);_(@_)</c:formatCode>
                <c:ptCount val="12"/>
                <c:pt idx="0">
                  <c:v>90051.150000000023</c:v>
                </c:pt>
                <c:pt idx="1">
                  <c:v>87030.41</c:v>
                </c:pt>
                <c:pt idx="2">
                  <c:v>75085.94</c:v>
                </c:pt>
                <c:pt idx="3">
                  <c:v>110830.24</c:v>
                </c:pt>
                <c:pt idx="4">
                  <c:v>79101.97</c:v>
                </c:pt>
                <c:pt idx="5">
                  <c:v>98826.83</c:v>
                </c:pt>
                <c:pt idx="6">
                  <c:v>134537.76999999999</c:v>
                </c:pt>
                <c:pt idx="7">
                  <c:v>134636.19</c:v>
                </c:pt>
                <c:pt idx="8">
                  <c:v>90695.15</c:v>
                </c:pt>
                <c:pt idx="9">
                  <c:v>109108.46999999999</c:v>
                </c:pt>
                <c:pt idx="10">
                  <c:v>113421.42000000001</c:v>
                </c:pt>
                <c:pt idx="11">
                  <c:v>103123.47999999997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15-4C0A-86B1-964A0D662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1425024"/>
        <c:axId val="248586624"/>
      </c:barChart>
      <c:catAx>
        <c:axId val="24142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586624"/>
        <c:crosses val="autoZero"/>
        <c:auto val="1"/>
        <c:lblAlgn val="ctr"/>
        <c:lblOffset val="100"/>
        <c:noMultiLvlLbl val="0"/>
      </c:catAx>
      <c:valAx>
        <c:axId val="24858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142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'Estadísticas finales'!$D$1</c:f>
              <c:strCache>
                <c:ptCount val="1"/>
                <c:pt idx="0">
                  <c:v>Ganancia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finales'!$D$2:$D$13</c:f>
              <c:numCache>
                <c:formatCode>_("$"* #,##0.00_);_("$"* \(#,##0.00\);_("$"* "-"??_);_(@_)</c:formatCode>
                <c:ptCount val="12"/>
                <c:pt idx="0">
                  <c:v>27946.35000000002</c:v>
                </c:pt>
                <c:pt idx="1">
                  <c:v>20496.650000000009</c:v>
                </c:pt>
                <c:pt idx="2">
                  <c:v>12278.150000000001</c:v>
                </c:pt>
                <c:pt idx="3">
                  <c:v>56406.990000000005</c:v>
                </c:pt>
                <c:pt idx="4">
                  <c:v>2298.1500000000087</c:v>
                </c:pt>
                <c:pt idx="5">
                  <c:v>43720.700000000004</c:v>
                </c:pt>
                <c:pt idx="6">
                  <c:v>75269.439999999988</c:v>
                </c:pt>
                <c:pt idx="7">
                  <c:v>68195.47</c:v>
                </c:pt>
                <c:pt idx="8">
                  <c:v>35669.06</c:v>
                </c:pt>
                <c:pt idx="9">
                  <c:v>54893.439999999988</c:v>
                </c:pt>
                <c:pt idx="10">
                  <c:v>50625.160000000011</c:v>
                </c:pt>
                <c:pt idx="11">
                  <c:v>40427.329999999973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AC7-42E1-9AAD-03BD1C4E0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8611200"/>
        <c:axId val="24861273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'Estadísticas finales'!$B$1</c15:sqref>
                        </c15:formulaRef>
                      </c:ext>
                    </c:extLst>
                    <c:strCache>
                      <c:ptCount val="1"/>
                      <c:pt idx="0">
                        <c:v>Venta mensual bruta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'Estadísticas finales'!$B$2:$B$13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88815.959999999992</c:v>
                      </c:pt>
                      <c:pt idx="1">
                        <c:v>37145.35</c:v>
                      </c:pt>
                      <c:pt idx="2">
                        <c:v>43402.36</c:v>
                      </c:pt>
                      <c:pt idx="3">
                        <c:v>134285.45000000001</c:v>
                      </c:pt>
                      <c:pt idx="4">
                        <c:v>91981.860000000015</c:v>
                      </c:pt>
                      <c:pt idx="5">
                        <c:v>110810.4958108108</c:v>
                      </c:pt>
                      <c:pt idx="6">
                        <c:v>103431.78</c:v>
                      </c:pt>
                      <c:pt idx="7">
                        <c:v>82358.100000000006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AC7-42E1-9AAD-03BD1C4E0E8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finales'!$C$1</c15:sqref>
                        </c15:formulaRef>
                      </c:ext>
                    </c:extLst>
                    <c:strCache>
                      <c:ptCount val="1"/>
                      <c:pt idx="0">
                        <c:v>Gastos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finales'!$C$2:$C$13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46293.66</c:v>
                      </c:pt>
                      <c:pt idx="1">
                        <c:v>43359.66</c:v>
                      </c:pt>
                      <c:pt idx="2">
                        <c:v>52772.160000000003</c:v>
                      </c:pt>
                      <c:pt idx="3">
                        <c:v>68388.290000000008</c:v>
                      </c:pt>
                      <c:pt idx="4">
                        <c:v>60809.08</c:v>
                      </c:pt>
                      <c:pt idx="5">
                        <c:v>62295.479999999996</c:v>
                      </c:pt>
                      <c:pt idx="6">
                        <c:v>65012.78</c:v>
                      </c:pt>
                      <c:pt idx="7">
                        <c:v>72344.09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AC7-42E1-9AAD-03BD1C4E0E8D}"/>
                  </c:ext>
                </c:extLst>
              </c15:ser>
            </c15:filteredBarSeries>
          </c:ext>
        </c:extLst>
      </c:barChart>
      <c:catAx>
        <c:axId val="2486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612736"/>
        <c:crosses val="autoZero"/>
        <c:auto val="1"/>
        <c:lblAlgn val="ctr"/>
        <c:lblOffset val="100"/>
        <c:noMultiLvlLbl val="0"/>
      </c:catAx>
      <c:valAx>
        <c:axId val="2486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61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strRef>
              <c:f>'Estadísticas finales'!$G$1</c:f>
              <c:strCache>
                <c:ptCount val="1"/>
                <c:pt idx="0">
                  <c:v>No. Servicios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finales'!$G$2:$G$13</c:f>
              <c:numCache>
                <c:formatCode>General</c:formatCode>
                <c:ptCount val="12"/>
                <c:pt idx="0">
                  <c:v>41</c:v>
                </c:pt>
                <c:pt idx="1">
                  <c:v>39</c:v>
                </c:pt>
                <c:pt idx="2">
                  <c:v>23</c:v>
                </c:pt>
                <c:pt idx="3">
                  <c:v>37</c:v>
                </c:pt>
                <c:pt idx="4">
                  <c:v>28</c:v>
                </c:pt>
                <c:pt idx="5">
                  <c:v>45</c:v>
                </c:pt>
                <c:pt idx="6">
                  <c:v>42</c:v>
                </c:pt>
                <c:pt idx="7">
                  <c:v>50</c:v>
                </c:pt>
                <c:pt idx="8">
                  <c:v>38</c:v>
                </c:pt>
                <c:pt idx="9">
                  <c:v>36</c:v>
                </c:pt>
                <c:pt idx="10">
                  <c:v>36</c:v>
                </c:pt>
                <c:pt idx="11">
                  <c:v>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463-45F7-A1B5-EB7543864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8641792"/>
        <c:axId val="24903680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'Estadísticas finales'!$B$1</c15:sqref>
                        </c15:formulaRef>
                      </c:ext>
                    </c:extLst>
                    <c:strCache>
                      <c:ptCount val="1"/>
                      <c:pt idx="0">
                        <c:v>Venta mensual bruta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'Estadísticas finales'!$B$2:$B$13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88815.959999999992</c:v>
                      </c:pt>
                      <c:pt idx="1">
                        <c:v>37145.35</c:v>
                      </c:pt>
                      <c:pt idx="2">
                        <c:v>43402.36</c:v>
                      </c:pt>
                      <c:pt idx="3">
                        <c:v>134285.45000000001</c:v>
                      </c:pt>
                      <c:pt idx="4">
                        <c:v>91981.860000000015</c:v>
                      </c:pt>
                      <c:pt idx="5">
                        <c:v>110810.4958108108</c:v>
                      </c:pt>
                      <c:pt idx="6">
                        <c:v>103431.78</c:v>
                      </c:pt>
                      <c:pt idx="7">
                        <c:v>82358.100000000006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463-45F7-A1B5-EB754386414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finales'!$C$1</c15:sqref>
                        </c15:formulaRef>
                      </c:ext>
                    </c:extLst>
                    <c:strCache>
                      <c:ptCount val="1"/>
                      <c:pt idx="0">
                        <c:v>Gastos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finales'!$C$2:$C$13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46293.66</c:v>
                      </c:pt>
                      <c:pt idx="1">
                        <c:v>43359.66</c:v>
                      </c:pt>
                      <c:pt idx="2">
                        <c:v>52772.160000000003</c:v>
                      </c:pt>
                      <c:pt idx="3">
                        <c:v>68388.290000000008</c:v>
                      </c:pt>
                      <c:pt idx="4">
                        <c:v>60809.08</c:v>
                      </c:pt>
                      <c:pt idx="5">
                        <c:v>62295.479999999996</c:v>
                      </c:pt>
                      <c:pt idx="6">
                        <c:v>65012.78</c:v>
                      </c:pt>
                      <c:pt idx="7">
                        <c:v>72344.09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463-45F7-A1B5-EB754386414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finales'!$D$1</c15:sqref>
                        </c15:formulaRef>
                      </c:ext>
                    </c:extLst>
                    <c:strCache>
                      <c:ptCount val="1"/>
                      <c:pt idx="0">
                        <c:v>Ganancia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finales'!$D$2:$D$13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42522.299999999988</c:v>
                      </c:pt>
                      <c:pt idx="1">
                        <c:v>-6214.3100000000049</c:v>
                      </c:pt>
                      <c:pt idx="2">
                        <c:v>-9369.8000000000029</c:v>
                      </c:pt>
                      <c:pt idx="3">
                        <c:v>65897.16</c:v>
                      </c:pt>
                      <c:pt idx="4">
                        <c:v>31172.780000000013</c:v>
                      </c:pt>
                      <c:pt idx="5">
                        <c:v>48515.015810810801</c:v>
                      </c:pt>
                      <c:pt idx="6">
                        <c:v>38419</c:v>
                      </c:pt>
                      <c:pt idx="7">
                        <c:v>10014.010000000009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463-45F7-A1B5-EB754386414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finales'!$E$1</c15:sqref>
                        </c15:formulaRef>
                      </c:ext>
                    </c:extLst>
                    <c:strCache>
                      <c:ptCount val="1"/>
                      <c:pt idx="0">
                        <c:v>Venta diaria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finales'!$E$2:$E$13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3415.998461538461</c:v>
                      </c:pt>
                      <c:pt idx="1">
                        <c:v>1547.7229166666666</c:v>
                      </c:pt>
                      <c:pt idx="2">
                        <c:v>1887.0591304347827</c:v>
                      </c:pt>
                      <c:pt idx="3">
                        <c:v>5164.8250000000007</c:v>
                      </c:pt>
                      <c:pt idx="4">
                        <c:v>3537.7638461538468</c:v>
                      </c:pt>
                      <c:pt idx="5">
                        <c:v>4432.4198324324316</c:v>
                      </c:pt>
                      <c:pt idx="6">
                        <c:v>3830.8066666666659</c:v>
                      </c:pt>
                      <c:pt idx="7">
                        <c:v>3050.3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463-45F7-A1B5-EB754386414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finales'!$F$1</c15:sqref>
                        </c15:formulaRef>
                      </c:ext>
                    </c:extLst>
                    <c:strCache>
                      <c:ptCount val="1"/>
                      <c:pt idx="0">
                        <c:v>Venta promedio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finales'!$A$2:$A$13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'Estadísticas finales'!$F$2:$F$13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2"/>
                      <c:pt idx="0">
                        <c:v>2166.2429268292681</c:v>
                      </c:pt>
                      <c:pt idx="1">
                        <c:v>2063.6305555555555</c:v>
                      </c:pt>
                      <c:pt idx="2">
                        <c:v>1887.0591304347827</c:v>
                      </c:pt>
                      <c:pt idx="3">
                        <c:v>3443.2166666666672</c:v>
                      </c:pt>
                      <c:pt idx="4">
                        <c:v>2628.0531428571435</c:v>
                      </c:pt>
                      <c:pt idx="5">
                        <c:v>2638.3451383526381</c:v>
                      </c:pt>
                      <c:pt idx="6">
                        <c:v>2248.5169565217393</c:v>
                      </c:pt>
                      <c:pt idx="7">
                        <c:v>2353.0885714285714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463-45F7-A1B5-EB754386414E}"/>
                  </c:ext>
                </c:extLst>
              </c15:ser>
            </c15:filteredBarSeries>
          </c:ext>
        </c:extLst>
      </c:barChart>
      <c:catAx>
        <c:axId val="24864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036800"/>
        <c:crosses val="autoZero"/>
        <c:auto val="1"/>
        <c:lblAlgn val="ctr"/>
        <c:lblOffset val="100"/>
        <c:noMultiLvlLbl val="0"/>
      </c:catAx>
      <c:valAx>
        <c:axId val="2490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64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mueble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D20-4D65-87EE-7C2BDA408BC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D20-4D65-87EE-7C2BDA408BC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D20-4D65-87EE-7C2BDA408BC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D20-4D65-87EE-7C2BDA408BC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D20-4D65-87EE-7C2BDA408BC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D20-4D65-87EE-7C2BDA408BC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0D20-4D65-87EE-7C2BDA408BC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0D20-4D65-87EE-7C2BDA408BC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0D20-4D65-87EE-7C2BDA408BC7}"/>
              </c:ext>
            </c:extLst>
          </c:dPt>
          <c:cat>
            <c:strRef>
              <c:f>'Estadísticas Específicas'!$N$3:$N$11</c:f>
              <c:strCache>
                <c:ptCount val="9"/>
                <c:pt idx="0">
                  <c:v>Alfombra</c:v>
                </c:pt>
                <c:pt idx="1">
                  <c:v>Tapete</c:v>
                </c:pt>
                <c:pt idx="2">
                  <c:v>Sala</c:v>
                </c:pt>
                <c:pt idx="3">
                  <c:v>Sala piel</c:v>
                </c:pt>
                <c:pt idx="4">
                  <c:v>Sillas</c:v>
                </c:pt>
                <c:pt idx="5">
                  <c:v>Autos</c:v>
                </c:pt>
                <c:pt idx="6">
                  <c:v>Colchones</c:v>
                </c:pt>
                <c:pt idx="7">
                  <c:v>Futón</c:v>
                </c:pt>
                <c:pt idx="8">
                  <c:v>Otro</c:v>
                </c:pt>
              </c:strCache>
            </c:strRef>
          </c:cat>
          <c:val>
            <c:numRef>
              <c:f>'Estadísticas Específicas'!$O$3:$O$11</c:f>
              <c:numCache>
                <c:formatCode>0%</c:formatCode>
                <c:ptCount val="9"/>
                <c:pt idx="0">
                  <c:v>3.0869066765146006E-2</c:v>
                </c:pt>
                <c:pt idx="1">
                  <c:v>0.29420194809330874</c:v>
                </c:pt>
                <c:pt idx="2">
                  <c:v>0.28620085738193562</c:v>
                </c:pt>
                <c:pt idx="3">
                  <c:v>1.039211951943511E-2</c:v>
                </c:pt>
                <c:pt idx="4">
                  <c:v>0.11244996198665773</c:v>
                </c:pt>
                <c:pt idx="5">
                  <c:v>1.0457706178520749E-2</c:v>
                </c:pt>
                <c:pt idx="6">
                  <c:v>0.11440382981725146</c:v>
                </c:pt>
                <c:pt idx="7">
                  <c:v>4.9608047051005353E-3</c:v>
                </c:pt>
                <c:pt idx="8">
                  <c:v>0.13606370555264405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0D20-4D65-87EE-7C2BDA408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servicio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4A0-4658-88EB-6D48775FB63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4A0-4658-88EB-6D48775FB63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4A0-4658-88EB-6D48775FB63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4A0-4658-88EB-6D48775FB63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4A0-4658-88EB-6D48775FB63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4A0-4658-88EB-6D48775FB63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4A0-4658-88EB-6D48775FB63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4A0-4658-88EB-6D48775FB63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4A0-4658-88EB-6D48775FB63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4A0-4658-88EB-6D48775FB634}"/>
              </c:ext>
            </c:extLst>
          </c:dPt>
          <c:cat>
            <c:strRef>
              <c:f>'Estadísticas Específicas'!$N$15:$N$24</c:f>
              <c:strCache>
                <c:ptCount val="10"/>
                <c:pt idx="0">
                  <c:v>Senc</c:v>
                </c:pt>
                <c:pt idx="1">
                  <c:v>Eco</c:v>
                </c:pt>
                <c:pt idx="2">
                  <c:v>Prot</c:v>
                </c:pt>
                <c:pt idx="3">
                  <c:v>Prem</c:v>
                </c:pt>
                <c:pt idx="4">
                  <c:v>Healty</c:v>
                </c:pt>
                <c:pt idx="5">
                  <c:v>Protex</c:v>
                </c:pt>
                <c:pt idx="6">
                  <c:v>Aspirado</c:v>
                </c:pt>
                <c:pt idx="7">
                  <c:v>Extracción</c:v>
                </c:pt>
                <c:pt idx="8">
                  <c:v>Piel</c:v>
                </c:pt>
                <c:pt idx="9">
                  <c:v>PURT</c:v>
                </c:pt>
              </c:strCache>
            </c:strRef>
          </c:cat>
          <c:val>
            <c:numRef>
              <c:f>'Estadísticas Específicas'!$O$15:$O$24</c:f>
              <c:numCache>
                <c:formatCode>0%</c:formatCode>
                <c:ptCount val="10"/>
                <c:pt idx="0">
                  <c:v>0.37290484549929498</c:v>
                </c:pt>
                <c:pt idx="1">
                  <c:v>0.21893568235946437</c:v>
                </c:pt>
                <c:pt idx="2">
                  <c:v>0.13491515092117934</c:v>
                </c:pt>
                <c:pt idx="3">
                  <c:v>8.8567093086141246E-2</c:v>
                </c:pt>
                <c:pt idx="4">
                  <c:v>6.8196440244383608E-2</c:v>
                </c:pt>
                <c:pt idx="5">
                  <c:v>6.7085953878406714E-3</c:v>
                </c:pt>
                <c:pt idx="6">
                  <c:v>0</c:v>
                </c:pt>
                <c:pt idx="7">
                  <c:v>9.2592592592592596E-4</c:v>
                </c:pt>
                <c:pt idx="8">
                  <c:v>1.1323083065676651E-2</c:v>
                </c:pt>
                <c:pt idx="9">
                  <c:v>9.7523183510093203E-2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F4A0-4658-88EB-6D48775F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sala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22C-46D4-9CE5-E72D2AC6925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22C-46D4-9CE5-E72D2AC6925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22C-46D4-9CE5-E72D2AC6925F}"/>
              </c:ext>
            </c:extLst>
          </c:dPt>
          <c:cat>
            <c:strRef>
              <c:f>'Estadísticas Específicas'!$N$28:$N$30</c:f>
              <c:strCache>
                <c:ptCount val="3"/>
                <c:pt idx="0">
                  <c:v>Todo fijo</c:v>
                </c:pt>
                <c:pt idx="1">
                  <c:v>A o R removible</c:v>
                </c:pt>
                <c:pt idx="2">
                  <c:v>Todo Removible</c:v>
                </c:pt>
              </c:strCache>
            </c:strRef>
          </c:cat>
          <c:val>
            <c:numRef>
              <c:f>'Estadísticas Específicas'!$O$28:$O$30</c:f>
              <c:numCache>
                <c:formatCode>0%</c:formatCode>
                <c:ptCount val="3"/>
                <c:pt idx="0">
                  <c:v>0.54584269087752058</c:v>
                </c:pt>
                <c:pt idx="1">
                  <c:v>0.2819941861544028</c:v>
                </c:pt>
                <c:pt idx="2">
                  <c:v>0.18689376269871627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D22C-46D4-9CE5-E72D2AC69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</a:t>
            </a:r>
            <a:r>
              <a:rPr lang="es-MX" baseline="0"/>
              <a:t> de sala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48E-48D3-B300-65013B7F7D1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48E-48D3-B300-65013B7F7D1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48E-48D3-B300-65013B7F7D1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48E-48D3-B300-65013B7F7D1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48E-48D3-B300-65013B7F7D1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348E-48D3-B300-65013B7F7D1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348E-48D3-B300-65013B7F7D15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348E-48D3-B300-65013B7F7D15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348E-48D3-B300-65013B7F7D15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348E-48D3-B300-65013B7F7D15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348E-48D3-B300-65013B7F7D15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348E-48D3-B300-65013B7F7D15}"/>
              </c:ext>
            </c:extLst>
          </c:dPt>
          <c:cat>
            <c:strRef>
              <c:f>'Estadísticas Específicas'!$N$34:$N$45</c:f>
              <c:strCache>
                <c:ptCount val="12"/>
                <c:pt idx="0">
                  <c:v>1 Plaza</c:v>
                </c:pt>
                <c:pt idx="1">
                  <c:v>2 Plazas</c:v>
                </c:pt>
                <c:pt idx="2">
                  <c:v>3 Plazas</c:v>
                </c:pt>
                <c:pt idx="3">
                  <c:v>4 Plazas</c:v>
                </c:pt>
                <c:pt idx="4">
                  <c:v>5 Plazas</c:v>
                </c:pt>
                <c:pt idx="5">
                  <c:v>6 Plazas</c:v>
                </c:pt>
                <c:pt idx="6">
                  <c:v>7 Plazas</c:v>
                </c:pt>
                <c:pt idx="7">
                  <c:v>8 Plazas</c:v>
                </c:pt>
                <c:pt idx="8">
                  <c:v>9 Plazas</c:v>
                </c:pt>
                <c:pt idx="9">
                  <c:v>10 Plazas</c:v>
                </c:pt>
                <c:pt idx="10">
                  <c:v>11 Plazas</c:v>
                </c:pt>
                <c:pt idx="11">
                  <c:v>12 Plazas</c:v>
                </c:pt>
              </c:strCache>
            </c:strRef>
          </c:cat>
          <c:val>
            <c:numRef>
              <c:f>'Estadísticas Específicas'!$O$34:$O$45</c:f>
              <c:numCache>
                <c:formatCode>0%</c:formatCode>
                <c:ptCount val="12"/>
                <c:pt idx="0">
                  <c:v>0.1116871069438149</c:v>
                </c:pt>
                <c:pt idx="1">
                  <c:v>0.1299055105350255</c:v>
                </c:pt>
                <c:pt idx="2">
                  <c:v>0.13207788995585693</c:v>
                </c:pt>
                <c:pt idx="3">
                  <c:v>9.5960527881322519E-2</c:v>
                </c:pt>
                <c:pt idx="4">
                  <c:v>0.1685340160546559</c:v>
                </c:pt>
                <c:pt idx="5">
                  <c:v>0.25362140014745793</c:v>
                </c:pt>
                <c:pt idx="6">
                  <c:v>3.0493672993672994E-2</c:v>
                </c:pt>
                <c:pt idx="7">
                  <c:v>3.915080428496321E-2</c:v>
                </c:pt>
                <c:pt idx="8">
                  <c:v>1.5435347628330084E-2</c:v>
                </c:pt>
                <c:pt idx="9">
                  <c:v>8.7605042016806727E-3</c:v>
                </c:pt>
                <c:pt idx="10">
                  <c:v>4.6296296296296294E-3</c:v>
                </c:pt>
                <c:pt idx="11">
                  <c:v>9.743589743589744E-3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348E-48D3-B300-65013B7F7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tapete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283-40CB-9B66-815C42C81AD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283-40CB-9B66-815C42C81AD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283-40CB-9B66-815C42C81ADD}"/>
              </c:ext>
            </c:extLst>
          </c:dPt>
          <c:cat>
            <c:strRef>
              <c:f>'Estadísticas Específicas'!$N$49:$N$51</c:f>
              <c:strCache>
                <c:ptCount val="3"/>
                <c:pt idx="0">
                  <c:v>Lana</c:v>
                </c:pt>
                <c:pt idx="1">
                  <c:v>Sintético</c:v>
                </c:pt>
                <c:pt idx="2">
                  <c:v>Seda</c:v>
                </c:pt>
              </c:strCache>
            </c:strRef>
          </c:cat>
          <c:val>
            <c:numRef>
              <c:f>'Estadísticas Específicas'!$O$49:$O$51</c:f>
              <c:numCache>
                <c:formatCode>0%</c:formatCode>
                <c:ptCount val="3"/>
                <c:pt idx="0">
                  <c:v>0.25719587919342818</c:v>
                </c:pt>
                <c:pt idx="1">
                  <c:v>0.70019564222995589</c:v>
                </c:pt>
                <c:pt idx="2">
                  <c:v>4.6576732544869798E-2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283-40CB-9B66-815C42C81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silla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389-4A4B-8C35-49744E38F5F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389-4A4B-8C35-49744E38F5FB}"/>
              </c:ext>
            </c:extLst>
          </c:dPt>
          <c:cat>
            <c:strRef>
              <c:f>'Estadísticas Específicas'!$N$55:$N$56</c:f>
              <c:strCache>
                <c:ptCount val="2"/>
                <c:pt idx="0">
                  <c:v>Asiento</c:v>
                </c:pt>
                <c:pt idx="1">
                  <c:v>Asiento y respaldo</c:v>
                </c:pt>
              </c:strCache>
            </c:strRef>
          </c:cat>
          <c:val>
            <c:numRef>
              <c:f>'Estadísticas Específicas'!$O$55:$O$56</c:f>
              <c:numCache>
                <c:formatCode>0%</c:formatCode>
                <c:ptCount val="2"/>
                <c:pt idx="0">
                  <c:v>0.15904761904761902</c:v>
                </c:pt>
                <c:pt idx="1">
                  <c:v>0.84178571428571425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389-4A4B-8C35-49744E38F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</a:t>
            </a:r>
            <a:r>
              <a:rPr lang="es-MX" baseline="0"/>
              <a:t> de colchón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AD6-4976-A981-E5A435B2D07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AD6-4976-A981-E5A435B2D07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AD6-4976-A981-E5A435B2D07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AD6-4976-A981-E5A435B2D07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AD6-4976-A981-E5A435B2D07B}"/>
              </c:ext>
            </c:extLst>
          </c:dPt>
          <c:cat>
            <c:strRef>
              <c:f>'Estadísticas Específicas'!$N$60:$N$64</c:f>
              <c:strCache>
                <c:ptCount val="5"/>
                <c:pt idx="0">
                  <c:v>Cuna</c:v>
                </c:pt>
                <c:pt idx="1">
                  <c:v>Ind</c:v>
                </c:pt>
                <c:pt idx="2">
                  <c:v>Mat</c:v>
                </c:pt>
                <c:pt idx="3">
                  <c:v>QS</c:v>
                </c:pt>
                <c:pt idx="4">
                  <c:v>KS</c:v>
                </c:pt>
              </c:strCache>
            </c:strRef>
          </c:cat>
          <c:val>
            <c:numRef>
              <c:f>'Estadísticas Específicas'!$O$60:$O$64</c:f>
              <c:numCache>
                <c:formatCode>0%</c:formatCode>
                <c:ptCount val="5"/>
                <c:pt idx="0">
                  <c:v>2.0833333333333332E-2</c:v>
                </c:pt>
                <c:pt idx="1">
                  <c:v>0.18549783549783549</c:v>
                </c:pt>
                <c:pt idx="2">
                  <c:v>0.28711519961519955</c:v>
                </c:pt>
                <c:pt idx="3">
                  <c:v>0.1866161616161616</c:v>
                </c:pt>
                <c:pt idx="4">
                  <c:v>0.33184223184223183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4AD6-4976-A981-E5A435B2D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Otro</a:t>
            </a:r>
            <a:r>
              <a:rPr lang="es-MX" baseline="0"/>
              <a:t>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8FA-4E4A-958A-8BCC95F3F77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8FA-4E4A-958A-8BCC95F3F77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8FA-4E4A-958A-8BCC95F3F77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8FA-4E4A-958A-8BCC95F3F77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8FA-4E4A-958A-8BCC95F3F77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8FA-4E4A-958A-8BCC95F3F77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8FA-4E4A-958A-8BCC95F3F775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8FA-4E4A-958A-8BCC95F3F775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68FA-4E4A-958A-8BCC95F3F775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68FA-4E4A-958A-8BCC95F3F775}"/>
              </c:ext>
            </c:extLst>
          </c:dPt>
          <c:cat>
            <c:strRef>
              <c:f>'Estadísticas Específicas'!$N$68:$N$77</c:f>
              <c:strCache>
                <c:ptCount val="10"/>
                <c:pt idx="0">
                  <c:v>Taburete</c:v>
                </c:pt>
                <c:pt idx="1">
                  <c:v>Cabecera</c:v>
                </c:pt>
                <c:pt idx="2">
                  <c:v>Carriola y porta bebé</c:v>
                </c:pt>
                <c:pt idx="3">
                  <c:v>Piso</c:v>
                </c:pt>
                <c:pt idx="4">
                  <c:v>Cojines</c:v>
                </c:pt>
                <c:pt idx="5">
                  <c:v>Banca</c:v>
                </c:pt>
                <c:pt idx="6">
                  <c:v>Banco</c:v>
                </c:pt>
                <c:pt idx="7">
                  <c:v>Reposet</c:v>
                </c:pt>
                <c:pt idx="8">
                  <c:v>Colchón interno</c:v>
                </c:pt>
                <c:pt idx="9">
                  <c:v>Torre de gatos</c:v>
                </c:pt>
              </c:strCache>
            </c:strRef>
          </c:cat>
          <c:val>
            <c:numRef>
              <c:f>'Estadísticas Específicas'!$O$68:$O$77</c:f>
              <c:numCache>
                <c:formatCode>0%</c:formatCode>
                <c:ptCount val="10"/>
                <c:pt idx="0">
                  <c:v>0.13331467007937595</c:v>
                </c:pt>
                <c:pt idx="1">
                  <c:v>0.13165954415954415</c:v>
                </c:pt>
                <c:pt idx="2">
                  <c:v>0</c:v>
                </c:pt>
                <c:pt idx="3">
                  <c:v>7.2308859441212389E-2</c:v>
                </c:pt>
                <c:pt idx="4">
                  <c:v>0.27045456585897759</c:v>
                </c:pt>
                <c:pt idx="5">
                  <c:v>9.7804544311897237E-2</c:v>
                </c:pt>
                <c:pt idx="6">
                  <c:v>6.1546704929057866E-2</c:v>
                </c:pt>
                <c:pt idx="7">
                  <c:v>0.11598945716592775</c:v>
                </c:pt>
                <c:pt idx="8">
                  <c:v>4.0041820924173861E-2</c:v>
                </c:pt>
                <c:pt idx="9">
                  <c:v>6.5768722018722012E-2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68FA-4E4A-958A-8BCC95F3F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mueble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Específicas'!$A$3</c:f>
              <c:strCache>
                <c:ptCount val="1"/>
                <c:pt idx="0">
                  <c:v>Alfombra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Específicas'!$B$3:$M$3</c:f>
              <c:numCache>
                <c:formatCode>0%</c:formatCode>
                <c:ptCount val="12"/>
                <c:pt idx="0">
                  <c:v>5.4794520547945202E-2</c:v>
                </c:pt>
                <c:pt idx="1">
                  <c:v>2.4390243902439025E-2</c:v>
                </c:pt>
                <c:pt idx="2">
                  <c:v>0</c:v>
                </c:pt>
                <c:pt idx="3">
                  <c:v>1.4705882352941176E-2</c:v>
                </c:pt>
                <c:pt idx="4">
                  <c:v>8.4745762711864403E-2</c:v>
                </c:pt>
                <c:pt idx="5">
                  <c:v>2.197802197802198E-2</c:v>
                </c:pt>
                <c:pt idx="6">
                  <c:v>3.1914893617021274E-2</c:v>
                </c:pt>
                <c:pt idx="7">
                  <c:v>2.2727272727272728E-2</c:v>
                </c:pt>
                <c:pt idx="8">
                  <c:v>2.8571428571428571E-2</c:v>
                </c:pt>
                <c:pt idx="9">
                  <c:v>2.4691358024691357E-2</c:v>
                </c:pt>
                <c:pt idx="10">
                  <c:v>4.0404040404040407E-2</c:v>
                </c:pt>
                <c:pt idx="11">
                  <c:v>2.1505376344086023E-2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2E4-4F8A-A47D-02B6DC746E44}"/>
            </c:ext>
          </c:extLst>
        </c:ser>
        <c:ser>
          <c:idx val="1"/>
          <c:order val="1"/>
          <c:tx>
            <c:strRef>
              <c:f>'Estadísticas Específicas'!$A$4</c:f>
              <c:strCache>
                <c:ptCount val="1"/>
                <c:pt idx="0">
                  <c:v>Tapete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Específicas'!$B$4:$M$4</c:f>
              <c:numCache>
                <c:formatCode>0%</c:formatCode>
                <c:ptCount val="12"/>
                <c:pt idx="0">
                  <c:v>0.28767123287671231</c:v>
                </c:pt>
                <c:pt idx="1">
                  <c:v>0.32926829268292684</c:v>
                </c:pt>
                <c:pt idx="2">
                  <c:v>0.3783783783783784</c:v>
                </c:pt>
                <c:pt idx="3">
                  <c:v>0.3235294117647059</c:v>
                </c:pt>
                <c:pt idx="4">
                  <c:v>0.16949152542372881</c:v>
                </c:pt>
                <c:pt idx="5">
                  <c:v>0.37362637362637363</c:v>
                </c:pt>
                <c:pt idx="6">
                  <c:v>0.34042553191489361</c:v>
                </c:pt>
                <c:pt idx="7">
                  <c:v>0.19318181818181818</c:v>
                </c:pt>
                <c:pt idx="8">
                  <c:v>0.2857142857142857</c:v>
                </c:pt>
                <c:pt idx="9">
                  <c:v>0.22222222222222221</c:v>
                </c:pt>
                <c:pt idx="10">
                  <c:v>0.28282828282828282</c:v>
                </c:pt>
                <c:pt idx="11">
                  <c:v>0.34408602150537637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2E4-4F8A-A47D-02B6DC746E44}"/>
            </c:ext>
          </c:extLst>
        </c:ser>
        <c:ser>
          <c:idx val="2"/>
          <c:order val="2"/>
          <c:tx>
            <c:strRef>
              <c:f>'Estadísticas Específicas'!$A$5</c:f>
              <c:strCache>
                <c:ptCount val="1"/>
                <c:pt idx="0">
                  <c:v>Sala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Específicas'!$B$5:$M$5</c:f>
              <c:numCache>
                <c:formatCode>0%</c:formatCode>
                <c:ptCount val="12"/>
                <c:pt idx="0">
                  <c:v>0.30136986301369861</c:v>
                </c:pt>
                <c:pt idx="1">
                  <c:v>0.15853658536585366</c:v>
                </c:pt>
                <c:pt idx="2">
                  <c:v>0.21621621621621623</c:v>
                </c:pt>
                <c:pt idx="3">
                  <c:v>0.27941176470588236</c:v>
                </c:pt>
                <c:pt idx="4">
                  <c:v>0.30508474576271188</c:v>
                </c:pt>
                <c:pt idx="5">
                  <c:v>0.2857142857142857</c:v>
                </c:pt>
                <c:pt idx="6">
                  <c:v>0.28723404255319152</c:v>
                </c:pt>
                <c:pt idx="7">
                  <c:v>0.38636363636363635</c:v>
                </c:pt>
                <c:pt idx="8">
                  <c:v>0.27142857142857141</c:v>
                </c:pt>
                <c:pt idx="9">
                  <c:v>0.30864197530864196</c:v>
                </c:pt>
                <c:pt idx="10">
                  <c:v>0.33333333333333331</c:v>
                </c:pt>
                <c:pt idx="11">
                  <c:v>0.30107526881720431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2E4-4F8A-A47D-02B6DC746E44}"/>
            </c:ext>
          </c:extLst>
        </c:ser>
        <c:ser>
          <c:idx val="3"/>
          <c:order val="3"/>
          <c:tx>
            <c:strRef>
              <c:f>'Estadísticas Específicas'!$A$6</c:f>
              <c:strCache>
                <c:ptCount val="1"/>
                <c:pt idx="0">
                  <c:v>Sala piel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Específicas'!$B$6:$M$6</c:f>
              <c:numCache>
                <c:formatCode>0%</c:formatCode>
                <c:ptCount val="12"/>
                <c:pt idx="0">
                  <c:v>1.3698630136986301E-2</c:v>
                </c:pt>
                <c:pt idx="1">
                  <c:v>1.2195121951219513E-2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1.098901098901099E-2</c:v>
                </c:pt>
                <c:pt idx="6">
                  <c:v>0</c:v>
                </c:pt>
                <c:pt idx="7">
                  <c:v>2.2727272727272728E-2</c:v>
                </c:pt>
                <c:pt idx="8">
                  <c:v>0</c:v>
                </c:pt>
                <c:pt idx="9">
                  <c:v>2.4691358024691357E-2</c:v>
                </c:pt>
                <c:pt idx="10">
                  <c:v>4.0404040404040407E-2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2E4-4F8A-A47D-02B6DC746E44}"/>
            </c:ext>
          </c:extLst>
        </c:ser>
        <c:ser>
          <c:idx val="4"/>
          <c:order val="4"/>
          <c:tx>
            <c:strRef>
              <c:f>'Estadísticas Específicas'!$A$7</c:f>
              <c:strCache>
                <c:ptCount val="1"/>
                <c:pt idx="0">
                  <c:v>Sillas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Específicas'!$B$7:$M$7</c:f>
              <c:numCache>
                <c:formatCode>0%</c:formatCode>
                <c:ptCount val="12"/>
                <c:pt idx="0">
                  <c:v>9.5890410958904104E-2</c:v>
                </c:pt>
                <c:pt idx="1">
                  <c:v>0.14634146341463414</c:v>
                </c:pt>
                <c:pt idx="2">
                  <c:v>0.13513513513513514</c:v>
                </c:pt>
                <c:pt idx="3">
                  <c:v>0.19117647058823528</c:v>
                </c:pt>
                <c:pt idx="4">
                  <c:v>0.13559322033898305</c:v>
                </c:pt>
                <c:pt idx="5">
                  <c:v>7.6923076923076927E-2</c:v>
                </c:pt>
                <c:pt idx="6">
                  <c:v>8.5106382978723402E-2</c:v>
                </c:pt>
                <c:pt idx="7">
                  <c:v>0.10227272727272728</c:v>
                </c:pt>
                <c:pt idx="8">
                  <c:v>8.5714285714285715E-2</c:v>
                </c:pt>
                <c:pt idx="9">
                  <c:v>9.8765432098765427E-2</c:v>
                </c:pt>
                <c:pt idx="10">
                  <c:v>0.12121212121212122</c:v>
                </c:pt>
                <c:pt idx="11">
                  <c:v>7.5268817204301078E-2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2E4-4F8A-A47D-02B6DC746E44}"/>
            </c:ext>
          </c:extLst>
        </c:ser>
        <c:ser>
          <c:idx val="5"/>
          <c:order val="5"/>
          <c:tx>
            <c:strRef>
              <c:f>'Estadísticas Específicas'!$A$8</c:f>
              <c:strCache>
                <c:ptCount val="1"/>
                <c:pt idx="0">
                  <c:v>Autos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Específicas'!$B$8:$M$8</c:f>
              <c:numCache>
                <c:formatCode>0%</c:formatCode>
                <c:ptCount val="12"/>
                <c:pt idx="0">
                  <c:v>4.1095890410958902E-2</c:v>
                </c:pt>
                <c:pt idx="1">
                  <c:v>3.6585365853658534E-2</c:v>
                </c:pt>
                <c:pt idx="2">
                  <c:v>0</c:v>
                </c:pt>
                <c:pt idx="3">
                  <c:v>1.4705882352941176E-2</c:v>
                </c:pt>
                <c:pt idx="4">
                  <c:v>0</c:v>
                </c:pt>
                <c:pt idx="5">
                  <c:v>1.098901098901099E-2</c:v>
                </c:pt>
                <c:pt idx="6">
                  <c:v>0</c:v>
                </c:pt>
                <c:pt idx="7">
                  <c:v>1.1363636363636364E-2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1.0752688172043012E-2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2E4-4F8A-A47D-02B6DC746E44}"/>
            </c:ext>
          </c:extLst>
        </c:ser>
        <c:ser>
          <c:idx val="6"/>
          <c:order val="6"/>
          <c:tx>
            <c:strRef>
              <c:f>'Estadísticas Específicas'!$A$9</c:f>
              <c:strCache>
                <c:ptCount val="1"/>
                <c:pt idx="0">
                  <c:v>Colchones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Específicas'!$B$9:$M$9</c:f>
              <c:numCache>
                <c:formatCode>0%</c:formatCode>
                <c:ptCount val="12"/>
                <c:pt idx="0">
                  <c:v>0.15068493150684931</c:v>
                </c:pt>
                <c:pt idx="1">
                  <c:v>0.12195121951219512</c:v>
                </c:pt>
                <c:pt idx="2">
                  <c:v>0.1891891891891892</c:v>
                </c:pt>
                <c:pt idx="3">
                  <c:v>7.3529411764705885E-2</c:v>
                </c:pt>
                <c:pt idx="4">
                  <c:v>0.15254237288135594</c:v>
                </c:pt>
                <c:pt idx="5">
                  <c:v>7.6923076923076927E-2</c:v>
                </c:pt>
                <c:pt idx="6">
                  <c:v>7.4468085106382975E-2</c:v>
                </c:pt>
                <c:pt idx="7">
                  <c:v>7.9545454545454544E-2</c:v>
                </c:pt>
                <c:pt idx="8">
                  <c:v>0.12857142857142856</c:v>
                </c:pt>
                <c:pt idx="9">
                  <c:v>0.13580246913580246</c:v>
                </c:pt>
                <c:pt idx="10">
                  <c:v>6.0606060606060608E-2</c:v>
                </c:pt>
                <c:pt idx="11">
                  <c:v>0.12903225806451613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2E4-4F8A-A47D-02B6DC746E44}"/>
            </c:ext>
          </c:extLst>
        </c:ser>
        <c:ser>
          <c:idx val="7"/>
          <c:order val="7"/>
          <c:tx>
            <c:strRef>
              <c:f>'Estadísticas Específicas'!$A$10</c:f>
              <c:strCache>
                <c:ptCount val="1"/>
                <c:pt idx="0">
                  <c:v>Futón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Específicas'!$B$10:$M$10</c:f>
              <c:numCache>
                <c:formatCode>0%</c:formatCode>
                <c:ptCount val="12"/>
                <c:pt idx="0">
                  <c:v>0</c:v>
                </c:pt>
                <c:pt idx="1">
                  <c:v>2.4390243902439025E-2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1.4285714285714285E-2</c:v>
                </c:pt>
                <c:pt idx="9">
                  <c:v>0</c:v>
                </c:pt>
                <c:pt idx="10">
                  <c:v>1.0101010101010102E-2</c:v>
                </c:pt>
                <c:pt idx="11">
                  <c:v>1.0752688172043012E-2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2E4-4F8A-A47D-02B6DC746E44}"/>
            </c:ext>
          </c:extLst>
        </c:ser>
        <c:ser>
          <c:idx val="8"/>
          <c:order val="8"/>
          <c:tx>
            <c:strRef>
              <c:f>'Estadísticas Específicas'!$A$11</c:f>
              <c:strCache>
                <c:ptCount val="1"/>
                <c:pt idx="0">
                  <c:v>Otro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Específicas'!$B$11:$M$11</c:f>
              <c:numCache>
                <c:formatCode>0%</c:formatCode>
                <c:ptCount val="12"/>
                <c:pt idx="0">
                  <c:v>5.4794520547945202E-2</c:v>
                </c:pt>
                <c:pt idx="1">
                  <c:v>0.14634146341463414</c:v>
                </c:pt>
                <c:pt idx="2">
                  <c:v>8.1081081081081086E-2</c:v>
                </c:pt>
                <c:pt idx="3">
                  <c:v>0.10294117647058823</c:v>
                </c:pt>
                <c:pt idx="4">
                  <c:v>0.15254237288135594</c:v>
                </c:pt>
                <c:pt idx="5">
                  <c:v>0.14285714285714285</c:v>
                </c:pt>
                <c:pt idx="6">
                  <c:v>0.18085106382978725</c:v>
                </c:pt>
                <c:pt idx="7">
                  <c:v>0.18181818181818182</c:v>
                </c:pt>
                <c:pt idx="8">
                  <c:v>0.18571428571428572</c:v>
                </c:pt>
                <c:pt idx="9">
                  <c:v>0.18518518518518517</c:v>
                </c:pt>
                <c:pt idx="10">
                  <c:v>0.1111111111111111</c:v>
                </c:pt>
                <c:pt idx="11">
                  <c:v>0.10752688172043011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E4-4F8A-A47D-02B6DC746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2030976"/>
        <c:axId val="252032512"/>
      </c:barChart>
      <c:catAx>
        <c:axId val="25203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2032512"/>
        <c:crosses val="autoZero"/>
        <c:auto val="1"/>
        <c:lblAlgn val="ctr"/>
        <c:lblOffset val="100"/>
        <c:noMultiLvlLbl val="0"/>
      </c:catAx>
      <c:valAx>
        <c:axId val="25203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203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Servicio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Específicas'!$A$15</c:f>
              <c:strCache>
                <c:ptCount val="1"/>
                <c:pt idx="0">
                  <c:v>Senc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Específicas'!$B$15:$M$15</c:f>
              <c:numCache>
                <c:formatCode>0%</c:formatCode>
                <c:ptCount val="12"/>
                <c:pt idx="0">
                  <c:v>0.16867469879518071</c:v>
                </c:pt>
                <c:pt idx="1">
                  <c:v>0.58888888888888891</c:v>
                </c:pt>
                <c:pt idx="2">
                  <c:v>0.5</c:v>
                </c:pt>
                <c:pt idx="3">
                  <c:v>0.27631578947368424</c:v>
                </c:pt>
                <c:pt idx="4">
                  <c:v>0.19047619047619047</c:v>
                </c:pt>
                <c:pt idx="5">
                  <c:v>0.60194174757281549</c:v>
                </c:pt>
                <c:pt idx="6">
                  <c:v>0.23584905660377359</c:v>
                </c:pt>
                <c:pt idx="7">
                  <c:v>0.34653465346534651</c:v>
                </c:pt>
                <c:pt idx="8">
                  <c:v>0.28749999999999998</c:v>
                </c:pt>
                <c:pt idx="9">
                  <c:v>0.2988505747126437</c:v>
                </c:pt>
                <c:pt idx="10">
                  <c:v>0.52884615384615385</c:v>
                </c:pt>
                <c:pt idx="11">
                  <c:v>0.45098039215686275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9-4463-9525-F6A04446DF8E}"/>
            </c:ext>
          </c:extLst>
        </c:ser>
        <c:ser>
          <c:idx val="1"/>
          <c:order val="1"/>
          <c:tx>
            <c:strRef>
              <c:f>'Estadísticas Específicas'!$A$16</c:f>
              <c:strCache>
                <c:ptCount val="1"/>
                <c:pt idx="0">
                  <c:v>Eco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Específicas'!$B$16:$M$16</c:f>
              <c:numCache>
                <c:formatCode>0%</c:formatCode>
                <c:ptCount val="12"/>
                <c:pt idx="0">
                  <c:v>0.2289156626506024</c:v>
                </c:pt>
                <c:pt idx="1">
                  <c:v>0.12222222222222222</c:v>
                </c:pt>
                <c:pt idx="2">
                  <c:v>0.125</c:v>
                </c:pt>
                <c:pt idx="3">
                  <c:v>0.17105263157894737</c:v>
                </c:pt>
                <c:pt idx="4">
                  <c:v>0.34920634920634919</c:v>
                </c:pt>
                <c:pt idx="5">
                  <c:v>5.8252427184466021E-2</c:v>
                </c:pt>
                <c:pt idx="6">
                  <c:v>0.31132075471698112</c:v>
                </c:pt>
                <c:pt idx="7">
                  <c:v>0.31683168316831684</c:v>
                </c:pt>
                <c:pt idx="8">
                  <c:v>0.33750000000000002</c:v>
                </c:pt>
                <c:pt idx="9">
                  <c:v>0.28735632183908044</c:v>
                </c:pt>
                <c:pt idx="10">
                  <c:v>0.20192307692307693</c:v>
                </c:pt>
                <c:pt idx="11">
                  <c:v>0.11764705882352941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D39-4463-9525-F6A04446DF8E}"/>
            </c:ext>
          </c:extLst>
        </c:ser>
        <c:ser>
          <c:idx val="2"/>
          <c:order val="2"/>
          <c:tx>
            <c:strRef>
              <c:f>'Estadísticas Específicas'!$A$17</c:f>
              <c:strCache>
                <c:ptCount val="1"/>
                <c:pt idx="0">
                  <c:v>Prot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Específicas'!$B$17:$M$17</c:f>
              <c:numCache>
                <c:formatCode>0%</c:formatCode>
                <c:ptCount val="12"/>
                <c:pt idx="0">
                  <c:v>0.20481927710843373</c:v>
                </c:pt>
                <c:pt idx="1">
                  <c:v>7.7777777777777779E-2</c:v>
                </c:pt>
                <c:pt idx="2">
                  <c:v>0</c:v>
                </c:pt>
                <c:pt idx="3">
                  <c:v>0.19736842105263158</c:v>
                </c:pt>
                <c:pt idx="4">
                  <c:v>0.34920634920634919</c:v>
                </c:pt>
                <c:pt idx="5">
                  <c:v>7.7669902912621352E-2</c:v>
                </c:pt>
                <c:pt idx="6">
                  <c:v>0.11320754716981132</c:v>
                </c:pt>
                <c:pt idx="7">
                  <c:v>9.9009900990099015E-2</c:v>
                </c:pt>
                <c:pt idx="8">
                  <c:v>0.16250000000000001</c:v>
                </c:pt>
                <c:pt idx="9">
                  <c:v>0.10344827586206896</c:v>
                </c:pt>
                <c:pt idx="10">
                  <c:v>6.7307692307692304E-2</c:v>
                </c:pt>
                <c:pt idx="11">
                  <c:v>0.16666666666666666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D39-4463-9525-F6A04446DF8E}"/>
            </c:ext>
          </c:extLst>
        </c:ser>
        <c:ser>
          <c:idx val="3"/>
          <c:order val="3"/>
          <c:tx>
            <c:strRef>
              <c:f>'Estadísticas Específicas'!$A$18</c:f>
              <c:strCache>
                <c:ptCount val="1"/>
                <c:pt idx="0">
                  <c:v>Prem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Específicas'!$B$18:$M$18</c:f>
              <c:numCache>
                <c:formatCode>0%</c:formatCode>
                <c:ptCount val="12"/>
                <c:pt idx="0">
                  <c:v>0.16867469879518071</c:v>
                </c:pt>
                <c:pt idx="1">
                  <c:v>3.3333333333333333E-2</c:v>
                </c:pt>
                <c:pt idx="2">
                  <c:v>0.15</c:v>
                </c:pt>
                <c:pt idx="3">
                  <c:v>0.15789473684210525</c:v>
                </c:pt>
                <c:pt idx="4">
                  <c:v>4.7619047619047616E-2</c:v>
                </c:pt>
                <c:pt idx="5">
                  <c:v>9.7087378640776698E-2</c:v>
                </c:pt>
                <c:pt idx="6">
                  <c:v>8.4905660377358486E-2</c:v>
                </c:pt>
                <c:pt idx="7">
                  <c:v>6.9306930693069313E-2</c:v>
                </c:pt>
                <c:pt idx="8">
                  <c:v>1.2500000000000001E-2</c:v>
                </c:pt>
                <c:pt idx="9">
                  <c:v>5.7471264367816091E-2</c:v>
                </c:pt>
                <c:pt idx="10">
                  <c:v>0.11538461538461539</c:v>
                </c:pt>
                <c:pt idx="11">
                  <c:v>6.8627450980392163E-2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D39-4463-9525-F6A04446DF8E}"/>
            </c:ext>
          </c:extLst>
        </c:ser>
        <c:ser>
          <c:idx val="4"/>
          <c:order val="4"/>
          <c:tx>
            <c:strRef>
              <c:f>'Estadísticas Específicas'!$A$19</c:f>
              <c:strCache>
                <c:ptCount val="1"/>
                <c:pt idx="0">
                  <c:v>Healty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Específicas'!$B$19:$M$19</c:f>
              <c:numCache>
                <c:formatCode>0%</c:formatCode>
                <c:ptCount val="12"/>
                <c:pt idx="0">
                  <c:v>8.4337349397590355E-2</c:v>
                </c:pt>
                <c:pt idx="1">
                  <c:v>3.3333333333333333E-2</c:v>
                </c:pt>
                <c:pt idx="2">
                  <c:v>0.15</c:v>
                </c:pt>
                <c:pt idx="3">
                  <c:v>7.8947368421052627E-2</c:v>
                </c:pt>
                <c:pt idx="4">
                  <c:v>0</c:v>
                </c:pt>
                <c:pt idx="5">
                  <c:v>3.8834951456310676E-2</c:v>
                </c:pt>
                <c:pt idx="6">
                  <c:v>9.4339622641509441E-2</c:v>
                </c:pt>
                <c:pt idx="7">
                  <c:v>1.9801980198019802E-2</c:v>
                </c:pt>
                <c:pt idx="8">
                  <c:v>0.05</c:v>
                </c:pt>
                <c:pt idx="9">
                  <c:v>0.16091954022988506</c:v>
                </c:pt>
                <c:pt idx="10">
                  <c:v>0</c:v>
                </c:pt>
                <c:pt idx="11">
                  <c:v>0.10784313725490197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D39-4463-9525-F6A04446DF8E}"/>
            </c:ext>
          </c:extLst>
        </c:ser>
        <c:ser>
          <c:idx val="5"/>
          <c:order val="5"/>
          <c:tx>
            <c:strRef>
              <c:f>'Estadísticas Específicas'!$A$20</c:f>
              <c:strCache>
                <c:ptCount val="1"/>
                <c:pt idx="0">
                  <c:v>Protex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Específicas'!$B$20:$M$20</c:f>
              <c:numCache>
                <c:formatCode>0%</c:formatCode>
                <c:ptCount val="12"/>
                <c:pt idx="0">
                  <c:v>0</c:v>
                </c:pt>
                <c:pt idx="1">
                  <c:v>3.3333333333333333E-2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4.716981132075472E-2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D39-4463-9525-F6A04446DF8E}"/>
            </c:ext>
          </c:extLst>
        </c:ser>
        <c:ser>
          <c:idx val="6"/>
          <c:order val="6"/>
          <c:tx>
            <c:strRef>
              <c:f>'Estadísticas Específicas'!$A$21</c:f>
              <c:strCache>
                <c:ptCount val="1"/>
                <c:pt idx="0">
                  <c:v>Aspirado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Específicas'!$B$21:$M$21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D39-4463-9525-F6A04446DF8E}"/>
            </c:ext>
          </c:extLst>
        </c:ser>
        <c:ser>
          <c:idx val="7"/>
          <c:order val="7"/>
          <c:tx>
            <c:strRef>
              <c:f>'Estadísticas Específicas'!$A$22</c:f>
              <c:strCache>
                <c:ptCount val="1"/>
                <c:pt idx="0">
                  <c:v>Extracción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Específicas'!$B$22:$M$22</c:f>
              <c:numCache>
                <c:formatCode>0%</c:formatCode>
                <c:ptCount val="12"/>
                <c:pt idx="0">
                  <c:v>0</c:v>
                </c:pt>
                <c:pt idx="1">
                  <c:v>1.1111111111111112E-2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D39-4463-9525-F6A04446DF8E}"/>
            </c:ext>
          </c:extLst>
        </c:ser>
        <c:ser>
          <c:idx val="8"/>
          <c:order val="8"/>
          <c:tx>
            <c:strRef>
              <c:f>'Estadísticas Específicas'!$A$23</c:f>
              <c:strCache>
                <c:ptCount val="1"/>
                <c:pt idx="0">
                  <c:v>Piel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Específicas'!$B$23:$M$23</c:f>
              <c:numCache>
                <c:formatCode>0%</c:formatCode>
                <c:ptCount val="12"/>
                <c:pt idx="0">
                  <c:v>2.4096385542168676E-2</c:v>
                </c:pt>
                <c:pt idx="1">
                  <c:v>1.1111111111111112E-2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1.9417475728155338E-2</c:v>
                </c:pt>
                <c:pt idx="6">
                  <c:v>0</c:v>
                </c:pt>
                <c:pt idx="7">
                  <c:v>1.9801980198019802E-2</c:v>
                </c:pt>
                <c:pt idx="8">
                  <c:v>0</c:v>
                </c:pt>
                <c:pt idx="9">
                  <c:v>2.2988505747126436E-2</c:v>
                </c:pt>
                <c:pt idx="10">
                  <c:v>3.8461538461538464E-2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D39-4463-9525-F6A04446DF8E}"/>
            </c:ext>
          </c:extLst>
        </c:ser>
        <c:ser>
          <c:idx val="9"/>
          <c:order val="9"/>
          <c:tx>
            <c:strRef>
              <c:f>'Estadísticas Específicas'!$A$24</c:f>
              <c:strCache>
                <c:ptCount val="1"/>
                <c:pt idx="0">
                  <c:v>PURT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Específicas'!$B$24:$M$24</c:f>
              <c:numCache>
                <c:formatCode>0%</c:formatCode>
                <c:ptCount val="12"/>
                <c:pt idx="0">
                  <c:v>0.12048192771084337</c:v>
                </c:pt>
                <c:pt idx="1">
                  <c:v>8.8888888888888892E-2</c:v>
                </c:pt>
                <c:pt idx="2">
                  <c:v>7.4999999999999997E-2</c:v>
                </c:pt>
                <c:pt idx="3">
                  <c:v>0.11842105263157894</c:v>
                </c:pt>
                <c:pt idx="4">
                  <c:v>6.3492063492063489E-2</c:v>
                </c:pt>
                <c:pt idx="5">
                  <c:v>0.10679611650485436</c:v>
                </c:pt>
                <c:pt idx="6">
                  <c:v>0.11320754716981132</c:v>
                </c:pt>
                <c:pt idx="7">
                  <c:v>0.12871287128712872</c:v>
                </c:pt>
                <c:pt idx="8">
                  <c:v>0.15</c:v>
                </c:pt>
                <c:pt idx="9">
                  <c:v>6.8965517241379309E-2</c:v>
                </c:pt>
                <c:pt idx="10">
                  <c:v>4.807692307692308E-2</c:v>
                </c:pt>
                <c:pt idx="11">
                  <c:v>8.8235294117647065E-2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D39-4463-9525-F6A04446D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5501056"/>
        <c:axId val="255502592"/>
      </c:barChart>
      <c:catAx>
        <c:axId val="25550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5502592"/>
        <c:crosses val="autoZero"/>
        <c:auto val="1"/>
        <c:lblAlgn val="ctr"/>
        <c:lblOffset val="100"/>
        <c:noMultiLvlLbl val="0"/>
      </c:catAx>
      <c:valAx>
        <c:axId val="2555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550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 de sala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Específicas'!$A$28</c:f>
              <c:strCache>
                <c:ptCount val="1"/>
                <c:pt idx="0">
                  <c:v>Todo fijo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Específicas'!$B$28:$M$28</c:f>
              <c:numCache>
                <c:formatCode>0%</c:formatCode>
                <c:ptCount val="12"/>
                <c:pt idx="0">
                  <c:v>0.5</c:v>
                </c:pt>
                <c:pt idx="1">
                  <c:v>0.53846153846153844</c:v>
                </c:pt>
                <c:pt idx="2">
                  <c:v>0.375</c:v>
                </c:pt>
                <c:pt idx="3">
                  <c:v>0.57894736842105265</c:v>
                </c:pt>
                <c:pt idx="4">
                  <c:v>0.61111111111111116</c:v>
                </c:pt>
                <c:pt idx="5">
                  <c:v>0.46153846153846156</c:v>
                </c:pt>
                <c:pt idx="6">
                  <c:v>0.66666666666666663</c:v>
                </c:pt>
                <c:pt idx="7">
                  <c:v>0.6470588235294118</c:v>
                </c:pt>
                <c:pt idx="8">
                  <c:v>0.57894736842105265</c:v>
                </c:pt>
                <c:pt idx="9">
                  <c:v>0.64</c:v>
                </c:pt>
                <c:pt idx="10">
                  <c:v>0.66666666666666663</c:v>
                </c:pt>
                <c:pt idx="11">
                  <c:v>0.2857142857142857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C08-4100-B263-3A3528693150}"/>
            </c:ext>
          </c:extLst>
        </c:ser>
        <c:ser>
          <c:idx val="1"/>
          <c:order val="1"/>
          <c:tx>
            <c:strRef>
              <c:f>'Estadísticas Específicas'!$A$29</c:f>
              <c:strCache>
                <c:ptCount val="1"/>
                <c:pt idx="0">
                  <c:v>A o R removible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Específicas'!$B$29:$M$29</c:f>
              <c:numCache>
                <c:formatCode>0%</c:formatCode>
                <c:ptCount val="12"/>
                <c:pt idx="0">
                  <c:v>0.22727272727272727</c:v>
                </c:pt>
                <c:pt idx="1">
                  <c:v>0.23076923076923078</c:v>
                </c:pt>
                <c:pt idx="2">
                  <c:v>0.375</c:v>
                </c:pt>
                <c:pt idx="3">
                  <c:v>0.26315789473684209</c:v>
                </c:pt>
                <c:pt idx="4">
                  <c:v>0.22222222222222221</c:v>
                </c:pt>
                <c:pt idx="5">
                  <c:v>0.34615384615384615</c:v>
                </c:pt>
                <c:pt idx="6">
                  <c:v>0.44444444444444442</c:v>
                </c:pt>
                <c:pt idx="7">
                  <c:v>0.17647058823529413</c:v>
                </c:pt>
                <c:pt idx="8">
                  <c:v>0.26315789473684209</c:v>
                </c:pt>
                <c:pt idx="9">
                  <c:v>0.2</c:v>
                </c:pt>
                <c:pt idx="10">
                  <c:v>0.24242424242424243</c:v>
                </c:pt>
                <c:pt idx="11">
                  <c:v>0.39285714285714285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C08-4100-B263-3A3528693150}"/>
            </c:ext>
          </c:extLst>
        </c:ser>
        <c:ser>
          <c:idx val="2"/>
          <c:order val="2"/>
          <c:tx>
            <c:strRef>
              <c:f>'Estadísticas Específicas'!$A$30</c:f>
              <c:strCache>
                <c:ptCount val="1"/>
                <c:pt idx="0">
                  <c:v>Todo Removible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Específicas'!$B$30:$M$30</c:f>
              <c:numCache>
                <c:formatCode>0%</c:formatCode>
                <c:ptCount val="12"/>
                <c:pt idx="0">
                  <c:v>0.22727272727272727</c:v>
                </c:pt>
                <c:pt idx="1">
                  <c:v>0.23076923076923078</c:v>
                </c:pt>
                <c:pt idx="2">
                  <c:v>0.25</c:v>
                </c:pt>
                <c:pt idx="3">
                  <c:v>0.15789473684210525</c:v>
                </c:pt>
                <c:pt idx="4">
                  <c:v>0.16666666666666666</c:v>
                </c:pt>
                <c:pt idx="5">
                  <c:v>0.19230769230769232</c:v>
                </c:pt>
                <c:pt idx="6">
                  <c:v>0.1111111111111111</c:v>
                </c:pt>
                <c:pt idx="7">
                  <c:v>0.17647058823529413</c:v>
                </c:pt>
                <c:pt idx="8">
                  <c:v>0.15789473684210525</c:v>
                </c:pt>
                <c:pt idx="9">
                  <c:v>0.16</c:v>
                </c:pt>
                <c:pt idx="10">
                  <c:v>9.0909090909090912E-2</c:v>
                </c:pt>
                <c:pt idx="11">
                  <c:v>0.32142857142857145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C08-4100-B263-3A3528693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5558784"/>
        <c:axId val="255560320"/>
      </c:barChart>
      <c:catAx>
        <c:axId val="25555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5560320"/>
        <c:crosses val="autoZero"/>
        <c:auto val="1"/>
        <c:lblAlgn val="ctr"/>
        <c:lblOffset val="100"/>
        <c:noMultiLvlLbl val="0"/>
      </c:catAx>
      <c:valAx>
        <c:axId val="2555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555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 de sala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Específicas'!$A$34</c:f>
              <c:strCache>
                <c:ptCount val="1"/>
                <c:pt idx="0">
                  <c:v>1 Plaza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Específicas'!$B$34:$M$34</c:f>
              <c:numCache>
                <c:formatCode>0%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0.125</c:v>
                </c:pt>
                <c:pt idx="3">
                  <c:v>0</c:v>
                </c:pt>
                <c:pt idx="4">
                  <c:v>0.1111111111111111</c:v>
                </c:pt>
                <c:pt idx="5">
                  <c:v>3.8461538461538464E-2</c:v>
                </c:pt>
                <c:pt idx="6">
                  <c:v>0.18518518518518517</c:v>
                </c:pt>
                <c:pt idx="7">
                  <c:v>0.17647058823529413</c:v>
                </c:pt>
                <c:pt idx="8">
                  <c:v>5.2631578947368418E-2</c:v>
                </c:pt>
                <c:pt idx="9">
                  <c:v>0.12</c:v>
                </c:pt>
                <c:pt idx="10">
                  <c:v>0.33333333333333331</c:v>
                </c:pt>
                <c:pt idx="11">
                  <c:v>0.10714285714285714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39E-4358-AE07-F0750777055D}"/>
            </c:ext>
          </c:extLst>
        </c:ser>
        <c:ser>
          <c:idx val="1"/>
          <c:order val="1"/>
          <c:tx>
            <c:strRef>
              <c:f>'Estadísticas Específicas'!$A$35</c:f>
              <c:strCache>
                <c:ptCount val="1"/>
                <c:pt idx="0">
                  <c:v>2 Plazas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Específicas'!$B$35:$M$35</c:f>
              <c:numCache>
                <c:formatCode>0%</c:formatCode>
                <c:ptCount val="12"/>
                <c:pt idx="0">
                  <c:v>4.5454545454545456E-2</c:v>
                </c:pt>
                <c:pt idx="1">
                  <c:v>7.6923076923076927E-2</c:v>
                </c:pt>
                <c:pt idx="2">
                  <c:v>0.25</c:v>
                </c:pt>
                <c:pt idx="3">
                  <c:v>0.47368421052631576</c:v>
                </c:pt>
                <c:pt idx="4">
                  <c:v>0</c:v>
                </c:pt>
                <c:pt idx="5">
                  <c:v>0.11538461538461539</c:v>
                </c:pt>
                <c:pt idx="6">
                  <c:v>3.7037037037037035E-2</c:v>
                </c:pt>
                <c:pt idx="7">
                  <c:v>0.17647058823529413</c:v>
                </c:pt>
                <c:pt idx="8">
                  <c:v>0.15789473684210525</c:v>
                </c:pt>
                <c:pt idx="9">
                  <c:v>0.16</c:v>
                </c:pt>
                <c:pt idx="10">
                  <c:v>3.0303030303030304E-2</c:v>
                </c:pt>
                <c:pt idx="11">
                  <c:v>3.5714285714285712E-2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39E-4358-AE07-F0750777055D}"/>
            </c:ext>
          </c:extLst>
        </c:ser>
        <c:ser>
          <c:idx val="2"/>
          <c:order val="2"/>
          <c:tx>
            <c:strRef>
              <c:f>'Estadísticas Específicas'!$A$36</c:f>
              <c:strCache>
                <c:ptCount val="1"/>
                <c:pt idx="0">
                  <c:v>3 Plazas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Específicas'!$B$36:$M$36</c:f>
              <c:numCache>
                <c:formatCode>0%</c:formatCode>
                <c:ptCount val="12"/>
                <c:pt idx="0">
                  <c:v>9.0909090909090912E-2</c:v>
                </c:pt>
                <c:pt idx="1">
                  <c:v>0.38461538461538464</c:v>
                </c:pt>
                <c:pt idx="2">
                  <c:v>0.125</c:v>
                </c:pt>
                <c:pt idx="3">
                  <c:v>5.2631578947368418E-2</c:v>
                </c:pt>
                <c:pt idx="4">
                  <c:v>0.33333333333333331</c:v>
                </c:pt>
                <c:pt idx="5">
                  <c:v>3.8461538461538464E-2</c:v>
                </c:pt>
                <c:pt idx="6">
                  <c:v>0.14814814814814814</c:v>
                </c:pt>
                <c:pt idx="7">
                  <c:v>5.8823529411764705E-2</c:v>
                </c:pt>
                <c:pt idx="8">
                  <c:v>0.10526315789473684</c:v>
                </c:pt>
                <c:pt idx="9">
                  <c:v>0.08</c:v>
                </c:pt>
                <c:pt idx="10">
                  <c:v>6.0606060606060608E-2</c:v>
                </c:pt>
                <c:pt idx="11">
                  <c:v>0.10714285714285714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39E-4358-AE07-F0750777055D}"/>
            </c:ext>
          </c:extLst>
        </c:ser>
        <c:ser>
          <c:idx val="3"/>
          <c:order val="3"/>
          <c:tx>
            <c:strRef>
              <c:f>'Estadísticas Específicas'!$A$37</c:f>
              <c:strCache>
                <c:ptCount val="1"/>
                <c:pt idx="0">
                  <c:v>4 Plazas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Específicas'!$B$37:$M$37</c:f>
              <c:numCache>
                <c:formatCode>0%</c:formatCode>
                <c:ptCount val="12"/>
                <c:pt idx="0">
                  <c:v>9.0909090909090912E-2</c:v>
                </c:pt>
                <c:pt idx="1">
                  <c:v>7.6923076923076927E-2</c:v>
                </c:pt>
                <c:pt idx="2">
                  <c:v>0.125</c:v>
                </c:pt>
                <c:pt idx="3">
                  <c:v>0.10526315789473684</c:v>
                </c:pt>
                <c:pt idx="4">
                  <c:v>5.5555555555555552E-2</c:v>
                </c:pt>
                <c:pt idx="5">
                  <c:v>0.11538461538461539</c:v>
                </c:pt>
                <c:pt idx="6">
                  <c:v>7.407407407407407E-2</c:v>
                </c:pt>
                <c:pt idx="7">
                  <c:v>0.14705882352941177</c:v>
                </c:pt>
                <c:pt idx="8">
                  <c:v>0.15789473684210525</c:v>
                </c:pt>
                <c:pt idx="9">
                  <c:v>0</c:v>
                </c:pt>
                <c:pt idx="10">
                  <c:v>6.0606060606060608E-2</c:v>
                </c:pt>
                <c:pt idx="11">
                  <c:v>0.14285714285714285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39E-4358-AE07-F0750777055D}"/>
            </c:ext>
          </c:extLst>
        </c:ser>
        <c:ser>
          <c:idx val="4"/>
          <c:order val="4"/>
          <c:tx>
            <c:strRef>
              <c:f>'Estadísticas Específicas'!$A$38</c:f>
              <c:strCache>
                <c:ptCount val="1"/>
                <c:pt idx="0">
                  <c:v>5 Plazas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Específicas'!$B$38:$M$38</c:f>
              <c:numCache>
                <c:formatCode>0%</c:formatCode>
                <c:ptCount val="12"/>
                <c:pt idx="0">
                  <c:v>0.18181818181818182</c:v>
                </c:pt>
                <c:pt idx="1">
                  <c:v>0</c:v>
                </c:pt>
                <c:pt idx="2">
                  <c:v>0</c:v>
                </c:pt>
                <c:pt idx="3">
                  <c:v>0.10526315789473684</c:v>
                </c:pt>
                <c:pt idx="4">
                  <c:v>0.27777777777777779</c:v>
                </c:pt>
                <c:pt idx="5">
                  <c:v>0.34615384615384615</c:v>
                </c:pt>
                <c:pt idx="6">
                  <c:v>0.18518518518518517</c:v>
                </c:pt>
                <c:pt idx="7">
                  <c:v>0.23529411764705882</c:v>
                </c:pt>
                <c:pt idx="8">
                  <c:v>0.21052631578947367</c:v>
                </c:pt>
                <c:pt idx="9">
                  <c:v>0.12</c:v>
                </c:pt>
                <c:pt idx="10">
                  <c:v>0.18181818181818182</c:v>
                </c:pt>
                <c:pt idx="11">
                  <c:v>0.17857142857142858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39E-4358-AE07-F0750777055D}"/>
            </c:ext>
          </c:extLst>
        </c:ser>
        <c:ser>
          <c:idx val="5"/>
          <c:order val="5"/>
          <c:tx>
            <c:strRef>
              <c:f>'Estadísticas Específicas'!$A$39</c:f>
              <c:strCache>
                <c:ptCount val="1"/>
                <c:pt idx="0">
                  <c:v>6 Plazas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Específicas'!$B$39:$M$39</c:f>
              <c:numCache>
                <c:formatCode>0%</c:formatCode>
                <c:ptCount val="12"/>
                <c:pt idx="0">
                  <c:v>0.40909090909090912</c:v>
                </c:pt>
                <c:pt idx="1">
                  <c:v>0.15384615384615385</c:v>
                </c:pt>
                <c:pt idx="2">
                  <c:v>0.375</c:v>
                </c:pt>
                <c:pt idx="3">
                  <c:v>0.15789473684210525</c:v>
                </c:pt>
                <c:pt idx="4">
                  <c:v>0.1111111111111111</c:v>
                </c:pt>
                <c:pt idx="5">
                  <c:v>0.26923076923076922</c:v>
                </c:pt>
                <c:pt idx="6">
                  <c:v>0.29629629629629628</c:v>
                </c:pt>
                <c:pt idx="7">
                  <c:v>0.14705882352941177</c:v>
                </c:pt>
                <c:pt idx="8">
                  <c:v>0.31578947368421051</c:v>
                </c:pt>
                <c:pt idx="9">
                  <c:v>0.28000000000000003</c:v>
                </c:pt>
                <c:pt idx="10">
                  <c:v>0.24242424242424243</c:v>
                </c:pt>
                <c:pt idx="11">
                  <c:v>0.2857142857142857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139E-4358-AE07-F0750777055D}"/>
            </c:ext>
          </c:extLst>
        </c:ser>
        <c:ser>
          <c:idx val="6"/>
          <c:order val="6"/>
          <c:tx>
            <c:strRef>
              <c:f>'Estadísticas Específicas'!$A$40</c:f>
              <c:strCache>
                <c:ptCount val="1"/>
                <c:pt idx="0">
                  <c:v>7 Plazas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Específicas'!$B$40:$M$40</c:f>
              <c:numCache>
                <c:formatCode>0%</c:formatCode>
                <c:ptCount val="12"/>
                <c:pt idx="0">
                  <c:v>4.5454545454545456E-2</c:v>
                </c:pt>
                <c:pt idx="1">
                  <c:v>7.6923076923076927E-2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7.6923076923076927E-2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0.04</c:v>
                </c:pt>
                <c:pt idx="10">
                  <c:v>9.0909090909090912E-2</c:v>
                </c:pt>
                <c:pt idx="11">
                  <c:v>3.5714285714285712E-2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139E-4358-AE07-F0750777055D}"/>
            </c:ext>
          </c:extLst>
        </c:ser>
        <c:ser>
          <c:idx val="7"/>
          <c:order val="7"/>
          <c:tx>
            <c:strRef>
              <c:f>'Estadísticas Específicas'!$A$41</c:f>
              <c:strCache>
                <c:ptCount val="1"/>
                <c:pt idx="0">
                  <c:v>8 Plazas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Específicas'!$B$41:$M$41</c:f>
              <c:numCache>
                <c:formatCode>0%</c:formatCode>
                <c:ptCount val="12"/>
                <c:pt idx="0">
                  <c:v>4.5454545454545456E-2</c:v>
                </c:pt>
                <c:pt idx="1">
                  <c:v>0.15384615384615385</c:v>
                </c:pt>
                <c:pt idx="2">
                  <c:v>0</c:v>
                </c:pt>
                <c:pt idx="3">
                  <c:v>5.2631578947368418E-2</c:v>
                </c:pt>
                <c:pt idx="4">
                  <c:v>0</c:v>
                </c:pt>
                <c:pt idx="5">
                  <c:v>0</c:v>
                </c:pt>
                <c:pt idx="6">
                  <c:v>3.7037037037037035E-2</c:v>
                </c:pt>
                <c:pt idx="7">
                  <c:v>2.9411764705882353E-2</c:v>
                </c:pt>
                <c:pt idx="8">
                  <c:v>0</c:v>
                </c:pt>
                <c:pt idx="9">
                  <c:v>0.08</c:v>
                </c:pt>
                <c:pt idx="10">
                  <c:v>0</c:v>
                </c:pt>
                <c:pt idx="11">
                  <c:v>7.1428571428571425E-2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139E-4358-AE07-F0750777055D}"/>
            </c:ext>
          </c:extLst>
        </c:ser>
        <c:ser>
          <c:idx val="8"/>
          <c:order val="8"/>
          <c:tx>
            <c:strRef>
              <c:f>'Estadísticas Específicas'!$A$42</c:f>
              <c:strCache>
                <c:ptCount val="1"/>
                <c:pt idx="0">
                  <c:v>9 Plazas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Específicas'!$B$42:$M$42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5.2631578947368418E-2</c:v>
                </c:pt>
                <c:pt idx="4">
                  <c:v>5.5555555555555552E-2</c:v>
                </c:pt>
                <c:pt idx="5">
                  <c:v>0</c:v>
                </c:pt>
                <c:pt idx="6">
                  <c:v>3.7037037037037035E-2</c:v>
                </c:pt>
                <c:pt idx="7">
                  <c:v>0</c:v>
                </c:pt>
                <c:pt idx="8">
                  <c:v>0</c:v>
                </c:pt>
                <c:pt idx="9">
                  <c:v>0.04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139E-4358-AE07-F0750777055D}"/>
            </c:ext>
          </c:extLst>
        </c:ser>
        <c:ser>
          <c:idx val="9"/>
          <c:order val="9"/>
          <c:tx>
            <c:strRef>
              <c:f>'Estadísticas Específicas'!$A$43</c:f>
              <c:strCache>
                <c:ptCount val="1"/>
                <c:pt idx="0">
                  <c:v>10 Plazas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Específicas'!$B$43:$M$43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2.9411764705882353E-2</c:v>
                </c:pt>
                <c:pt idx="8">
                  <c:v>0</c:v>
                </c:pt>
                <c:pt idx="9">
                  <c:v>0.04</c:v>
                </c:pt>
                <c:pt idx="10">
                  <c:v>0</c:v>
                </c:pt>
                <c:pt idx="11">
                  <c:v>3.5714285714285712E-2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139E-4358-AE07-F0750777055D}"/>
            </c:ext>
          </c:extLst>
        </c:ser>
        <c:ser>
          <c:idx val="10"/>
          <c:order val="10"/>
          <c:tx>
            <c:strRef>
              <c:f>'Estadísticas Específicas'!$A$44</c:f>
              <c:strCache>
                <c:ptCount val="1"/>
                <c:pt idx="0">
                  <c:v>11 Plazas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Específicas'!$B$44:$M$44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5.5555555555555552E-2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39E-4358-AE07-F0750777055D}"/>
            </c:ext>
          </c:extLst>
        </c:ser>
        <c:ser>
          <c:idx val="11"/>
          <c:order val="11"/>
          <c:tx>
            <c:strRef>
              <c:f>'Estadísticas Específicas'!$A$45</c:f>
              <c:strCache>
                <c:ptCount val="1"/>
                <c:pt idx="0">
                  <c:v>12 Plazas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Específicas'!$B$45:$M$45</c:f>
              <c:numCache>
                <c:formatCode>0%</c:formatCode>
                <c:ptCount val="12"/>
                <c:pt idx="0">
                  <c:v>0</c:v>
                </c:pt>
                <c:pt idx="1">
                  <c:v>7.6923076923076927E-2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139E-4358-AE07-F07507770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378240"/>
        <c:axId val="48379776"/>
      </c:barChart>
      <c:catAx>
        <c:axId val="4837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379776"/>
        <c:crosses val="autoZero"/>
        <c:auto val="1"/>
        <c:lblAlgn val="ctr"/>
        <c:lblOffset val="100"/>
        <c:noMultiLvlLbl val="0"/>
      </c:catAx>
      <c:valAx>
        <c:axId val="4837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37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 de tapete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Específicas'!$A$49</c:f>
              <c:strCache>
                <c:ptCount val="1"/>
                <c:pt idx="0">
                  <c:v>Lana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Específicas'!$B$49:$M$49</c:f>
              <c:numCache>
                <c:formatCode>0%</c:formatCode>
                <c:ptCount val="12"/>
                <c:pt idx="0">
                  <c:v>0.23809523809523808</c:v>
                </c:pt>
                <c:pt idx="1">
                  <c:v>3.7037037037037035E-2</c:v>
                </c:pt>
                <c:pt idx="2">
                  <c:v>0.21428571428571427</c:v>
                </c:pt>
                <c:pt idx="3">
                  <c:v>0.18181818181818182</c:v>
                </c:pt>
                <c:pt idx="4">
                  <c:v>0.2</c:v>
                </c:pt>
                <c:pt idx="5">
                  <c:v>0.17647058823529413</c:v>
                </c:pt>
                <c:pt idx="6">
                  <c:v>0.46875</c:v>
                </c:pt>
                <c:pt idx="7">
                  <c:v>0.47058823529411764</c:v>
                </c:pt>
                <c:pt idx="8">
                  <c:v>0.2</c:v>
                </c:pt>
                <c:pt idx="9">
                  <c:v>5.5555555555555552E-2</c:v>
                </c:pt>
                <c:pt idx="10">
                  <c:v>0.5</c:v>
                </c:pt>
                <c:pt idx="11">
                  <c:v>0.34375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B28-49D7-B4AC-C5D867524596}"/>
            </c:ext>
          </c:extLst>
        </c:ser>
        <c:ser>
          <c:idx val="1"/>
          <c:order val="1"/>
          <c:tx>
            <c:strRef>
              <c:f>'Estadísticas Específicas'!$A$50</c:f>
              <c:strCache>
                <c:ptCount val="1"/>
                <c:pt idx="0">
                  <c:v>Sintético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Específicas'!$B$50:$M$50</c:f>
              <c:numCache>
                <c:formatCode>0%</c:formatCode>
                <c:ptCount val="12"/>
                <c:pt idx="0">
                  <c:v>0.76190476190476186</c:v>
                </c:pt>
                <c:pt idx="1">
                  <c:v>0.92592592592592593</c:v>
                </c:pt>
                <c:pt idx="2">
                  <c:v>0.7857142857142857</c:v>
                </c:pt>
                <c:pt idx="3">
                  <c:v>0.81818181818181823</c:v>
                </c:pt>
                <c:pt idx="4">
                  <c:v>0.8</c:v>
                </c:pt>
                <c:pt idx="5">
                  <c:v>0.41176470588235292</c:v>
                </c:pt>
                <c:pt idx="6">
                  <c:v>0.5</c:v>
                </c:pt>
                <c:pt idx="7">
                  <c:v>0.52941176470588236</c:v>
                </c:pt>
                <c:pt idx="8">
                  <c:v>0.8</c:v>
                </c:pt>
                <c:pt idx="9">
                  <c:v>0.94444444444444442</c:v>
                </c:pt>
                <c:pt idx="10">
                  <c:v>0.5</c:v>
                </c:pt>
                <c:pt idx="11">
                  <c:v>0.625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B28-49D7-B4AC-C5D867524596}"/>
            </c:ext>
          </c:extLst>
        </c:ser>
        <c:ser>
          <c:idx val="2"/>
          <c:order val="2"/>
          <c:tx>
            <c:strRef>
              <c:f>'Estadísticas Específicas'!$A$51</c:f>
              <c:strCache>
                <c:ptCount val="1"/>
                <c:pt idx="0">
                  <c:v>Seda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Específicas'!$B$51:$M$51</c:f>
              <c:numCache>
                <c:formatCode>0%</c:formatCode>
                <c:ptCount val="12"/>
                <c:pt idx="0">
                  <c:v>4.7619047619047616E-2</c:v>
                </c:pt>
                <c:pt idx="1">
                  <c:v>3.7037037037037035E-2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0.41176470588235292</c:v>
                </c:pt>
                <c:pt idx="6">
                  <c:v>3.125E-2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3.125E-2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B28-49D7-B4AC-C5D867524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411776"/>
        <c:axId val="48413312"/>
      </c:barChart>
      <c:catAx>
        <c:axId val="484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413312"/>
        <c:crosses val="autoZero"/>
        <c:auto val="1"/>
        <c:lblAlgn val="ctr"/>
        <c:lblOffset val="100"/>
        <c:noMultiLvlLbl val="0"/>
      </c:catAx>
      <c:valAx>
        <c:axId val="4841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41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 de silla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Específicas'!$A$55</c:f>
              <c:strCache>
                <c:ptCount val="1"/>
                <c:pt idx="0">
                  <c:v>Asiento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Específicas'!$B$53:$M$54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Específicas'!$B$55:$M$55</c:f>
              <c:numCache>
                <c:formatCode>0%</c:formatCode>
                <c:ptCount val="12"/>
                <c:pt idx="0">
                  <c:v>0.42857142857142855</c:v>
                </c:pt>
                <c:pt idx="1">
                  <c:v>0.25</c:v>
                </c:pt>
                <c:pt idx="2">
                  <c:v>0.2</c:v>
                </c:pt>
                <c:pt idx="3">
                  <c:v>0.15</c:v>
                </c:pt>
                <c:pt idx="4">
                  <c:v>0.13</c:v>
                </c:pt>
                <c:pt idx="5">
                  <c:v>0</c:v>
                </c:pt>
                <c:pt idx="6">
                  <c:v>0</c:v>
                </c:pt>
                <c:pt idx="7">
                  <c:v>0.11</c:v>
                </c:pt>
                <c:pt idx="8">
                  <c:v>0.33</c:v>
                </c:pt>
                <c:pt idx="9">
                  <c:v>0</c:v>
                </c:pt>
                <c:pt idx="10">
                  <c:v>0.17</c:v>
                </c:pt>
                <c:pt idx="11">
                  <c:v>0.14000000000000001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C2-4804-82BD-A7F112016BF9}"/>
            </c:ext>
          </c:extLst>
        </c:ser>
        <c:ser>
          <c:idx val="1"/>
          <c:order val="1"/>
          <c:tx>
            <c:strRef>
              <c:f>'Estadísticas Específicas'!$A$56</c:f>
              <c:strCache>
                <c:ptCount val="1"/>
                <c:pt idx="0">
                  <c:v>Asiento y respaldo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Específicas'!$B$53:$M$54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Específicas'!$B$56:$M$56</c:f>
              <c:numCache>
                <c:formatCode>0%</c:formatCode>
                <c:ptCount val="12"/>
                <c:pt idx="0">
                  <c:v>0.5714285714285714</c:v>
                </c:pt>
                <c:pt idx="1">
                  <c:v>0.75</c:v>
                </c:pt>
                <c:pt idx="2">
                  <c:v>0.8</c:v>
                </c:pt>
                <c:pt idx="3">
                  <c:v>0.85</c:v>
                </c:pt>
                <c:pt idx="4">
                  <c:v>0.88</c:v>
                </c:pt>
                <c:pt idx="5">
                  <c:v>1</c:v>
                </c:pt>
                <c:pt idx="6">
                  <c:v>1</c:v>
                </c:pt>
                <c:pt idx="7">
                  <c:v>0.89</c:v>
                </c:pt>
                <c:pt idx="8">
                  <c:v>0.67</c:v>
                </c:pt>
                <c:pt idx="9">
                  <c:v>1</c:v>
                </c:pt>
                <c:pt idx="10">
                  <c:v>0.83</c:v>
                </c:pt>
                <c:pt idx="11">
                  <c:v>0.86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EC2-4804-82BD-A7F112016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9065856"/>
        <c:axId val="249067392"/>
      </c:barChart>
      <c:catAx>
        <c:axId val="2490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067392"/>
        <c:crosses val="autoZero"/>
        <c:auto val="1"/>
        <c:lblAlgn val="ctr"/>
        <c:lblOffset val="100"/>
        <c:noMultiLvlLbl val="0"/>
      </c:catAx>
      <c:valAx>
        <c:axId val="24906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06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 de colchón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Específicas'!$A$60</c:f>
              <c:strCache>
                <c:ptCount val="1"/>
                <c:pt idx="0">
                  <c:v>Cuna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Específicas'!$B$60:$M$60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805-43F5-9BB9-61FBFA85F1DD}"/>
            </c:ext>
          </c:extLst>
        </c:ser>
        <c:ser>
          <c:idx val="1"/>
          <c:order val="1"/>
          <c:tx>
            <c:strRef>
              <c:f>'Estadísticas Específicas'!$A$61</c:f>
              <c:strCache>
                <c:ptCount val="1"/>
                <c:pt idx="0">
                  <c:v>Ind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Específicas'!$B$61:$M$61</c:f>
              <c:numCache>
                <c:formatCode>0%</c:formatCode>
                <c:ptCount val="12"/>
                <c:pt idx="0">
                  <c:v>0.18181818181818182</c:v>
                </c:pt>
                <c:pt idx="1">
                  <c:v>0.2</c:v>
                </c:pt>
                <c:pt idx="2">
                  <c:v>0.14285714285714285</c:v>
                </c:pt>
                <c:pt idx="3">
                  <c:v>0</c:v>
                </c:pt>
                <c:pt idx="4">
                  <c:v>0.44444444444444442</c:v>
                </c:pt>
                <c:pt idx="5">
                  <c:v>0.2857142857142857</c:v>
                </c:pt>
                <c:pt idx="6">
                  <c:v>0</c:v>
                </c:pt>
                <c:pt idx="7">
                  <c:v>0.14285714285714285</c:v>
                </c:pt>
                <c:pt idx="8">
                  <c:v>0.22222222222222221</c:v>
                </c:pt>
                <c:pt idx="9">
                  <c:v>0.27272727272727271</c:v>
                </c:pt>
                <c:pt idx="10">
                  <c:v>0.33333333333333331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805-43F5-9BB9-61FBFA85F1DD}"/>
            </c:ext>
          </c:extLst>
        </c:ser>
        <c:ser>
          <c:idx val="2"/>
          <c:order val="2"/>
          <c:tx>
            <c:strRef>
              <c:f>'Estadísticas Específicas'!$A$62</c:f>
              <c:strCache>
                <c:ptCount val="1"/>
                <c:pt idx="0">
                  <c:v>Mat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Específicas'!$B$62:$M$62</c:f>
              <c:numCache>
                <c:formatCode>0%</c:formatCode>
                <c:ptCount val="12"/>
                <c:pt idx="0">
                  <c:v>0.18181818181818182</c:v>
                </c:pt>
                <c:pt idx="1">
                  <c:v>0.2</c:v>
                </c:pt>
                <c:pt idx="2">
                  <c:v>0.42857142857142855</c:v>
                </c:pt>
                <c:pt idx="3">
                  <c:v>0.6</c:v>
                </c:pt>
                <c:pt idx="4">
                  <c:v>0</c:v>
                </c:pt>
                <c:pt idx="5">
                  <c:v>0.2857142857142857</c:v>
                </c:pt>
                <c:pt idx="6">
                  <c:v>0.2857142857142857</c:v>
                </c:pt>
                <c:pt idx="7">
                  <c:v>0.14285714285714285</c:v>
                </c:pt>
                <c:pt idx="8">
                  <c:v>0.55555555555555558</c:v>
                </c:pt>
                <c:pt idx="9">
                  <c:v>0.18181818181818182</c:v>
                </c:pt>
                <c:pt idx="10">
                  <c:v>0.16666666666666666</c:v>
                </c:pt>
                <c:pt idx="11">
                  <c:v>0.41666666666666669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805-43F5-9BB9-61FBFA85F1DD}"/>
            </c:ext>
          </c:extLst>
        </c:ser>
        <c:ser>
          <c:idx val="3"/>
          <c:order val="3"/>
          <c:tx>
            <c:strRef>
              <c:f>'Estadísticas Específicas'!$A$63</c:f>
              <c:strCache>
                <c:ptCount val="1"/>
                <c:pt idx="0">
                  <c:v>QS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Específicas'!$B$63:$M$63</c:f>
              <c:numCache>
                <c:formatCode>0%</c:formatCode>
                <c:ptCount val="12"/>
                <c:pt idx="0">
                  <c:v>0.27272727272727271</c:v>
                </c:pt>
                <c:pt idx="1">
                  <c:v>0.1</c:v>
                </c:pt>
                <c:pt idx="2">
                  <c:v>0.2857142857142857</c:v>
                </c:pt>
                <c:pt idx="3">
                  <c:v>0.2</c:v>
                </c:pt>
                <c:pt idx="4">
                  <c:v>0.22222222222222221</c:v>
                </c:pt>
                <c:pt idx="5">
                  <c:v>0.14285714285714285</c:v>
                </c:pt>
                <c:pt idx="6">
                  <c:v>0.14285714285714285</c:v>
                </c:pt>
                <c:pt idx="7">
                  <c:v>0.42857142857142855</c:v>
                </c:pt>
                <c:pt idx="8">
                  <c:v>0.1111111111111111</c:v>
                </c:pt>
                <c:pt idx="9">
                  <c:v>0</c:v>
                </c:pt>
                <c:pt idx="10">
                  <c:v>0.16666666666666666</c:v>
                </c:pt>
                <c:pt idx="11">
                  <c:v>0.16666666666666666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805-43F5-9BB9-61FBFA85F1DD}"/>
            </c:ext>
          </c:extLst>
        </c:ser>
        <c:ser>
          <c:idx val="4"/>
          <c:order val="4"/>
          <c:tx>
            <c:strRef>
              <c:f>'Estadísticas Específicas'!$A$64</c:f>
              <c:strCache>
                <c:ptCount val="1"/>
                <c:pt idx="0">
                  <c:v>KS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Específicas'!$B$64:$M$64</c:f>
              <c:numCache>
                <c:formatCode>0%</c:formatCode>
                <c:ptCount val="12"/>
                <c:pt idx="0">
                  <c:v>0.36363636363636365</c:v>
                </c:pt>
                <c:pt idx="1">
                  <c:v>0.5</c:v>
                </c:pt>
                <c:pt idx="2">
                  <c:v>0.14285714285714285</c:v>
                </c:pt>
                <c:pt idx="3">
                  <c:v>0.2</c:v>
                </c:pt>
                <c:pt idx="4">
                  <c:v>0.33333333333333331</c:v>
                </c:pt>
                <c:pt idx="5">
                  <c:v>0.42857142857142855</c:v>
                </c:pt>
                <c:pt idx="6">
                  <c:v>0.5714285714285714</c:v>
                </c:pt>
                <c:pt idx="7">
                  <c:v>0.2857142857142857</c:v>
                </c:pt>
                <c:pt idx="8">
                  <c:v>0.1111111111111111</c:v>
                </c:pt>
                <c:pt idx="9">
                  <c:v>0.54545454545454541</c:v>
                </c:pt>
                <c:pt idx="10">
                  <c:v>0.33333333333333331</c:v>
                </c:pt>
                <c:pt idx="11">
                  <c:v>0.16666666666666666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805-43F5-9BB9-61FBFA85F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606208"/>
        <c:axId val="48608000"/>
      </c:barChart>
      <c:catAx>
        <c:axId val="4860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608000"/>
        <c:crosses val="autoZero"/>
        <c:auto val="1"/>
        <c:lblAlgn val="ctr"/>
        <c:lblOffset val="100"/>
        <c:noMultiLvlLbl val="0"/>
      </c:catAx>
      <c:valAx>
        <c:axId val="4860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60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Otro tipo de mueble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Específicas'!$A$68</c:f>
              <c:strCache>
                <c:ptCount val="1"/>
                <c:pt idx="0">
                  <c:v>Taburete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Específicas'!$B$68:$M$68</c:f>
              <c:numCache>
                <c:formatCode>0%</c:formatCode>
                <c:ptCount val="12"/>
                <c:pt idx="0">
                  <c:v>0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</c:v>
                </c:pt>
                <c:pt idx="4">
                  <c:v>0.22222222222222221</c:v>
                </c:pt>
                <c:pt idx="5">
                  <c:v>0.15384615384615385</c:v>
                </c:pt>
                <c:pt idx="6">
                  <c:v>0.11764705882352941</c:v>
                </c:pt>
                <c:pt idx="7">
                  <c:v>0</c:v>
                </c:pt>
                <c:pt idx="8">
                  <c:v>0</c:v>
                </c:pt>
                <c:pt idx="9">
                  <c:v>6.6666666666666666E-2</c:v>
                </c:pt>
                <c:pt idx="10">
                  <c:v>0.27272727272727271</c:v>
                </c:pt>
                <c:pt idx="11">
                  <c:v>0.1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58F-497E-842D-A5C460ED459D}"/>
            </c:ext>
          </c:extLst>
        </c:ser>
        <c:ser>
          <c:idx val="1"/>
          <c:order val="1"/>
          <c:tx>
            <c:strRef>
              <c:f>'Estadísticas Específicas'!$A$69</c:f>
              <c:strCache>
                <c:ptCount val="1"/>
                <c:pt idx="0">
                  <c:v>Cabecera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Específicas'!$B$69:$M$69</c:f>
              <c:numCache>
                <c:formatCode>0%</c:formatCode>
                <c:ptCount val="12"/>
                <c:pt idx="0">
                  <c:v>0.5</c:v>
                </c:pt>
                <c:pt idx="1">
                  <c:v>8.3333333333333329E-2</c:v>
                </c:pt>
                <c:pt idx="2">
                  <c:v>0.33333333333333331</c:v>
                </c:pt>
                <c:pt idx="3">
                  <c:v>0</c:v>
                </c:pt>
                <c:pt idx="4">
                  <c:v>0.22222222222222221</c:v>
                </c:pt>
                <c:pt idx="5">
                  <c:v>0.15384615384615385</c:v>
                </c:pt>
                <c:pt idx="6">
                  <c:v>0</c:v>
                </c:pt>
                <c:pt idx="7">
                  <c:v>0</c:v>
                </c:pt>
                <c:pt idx="8">
                  <c:v>0.15384615384615385</c:v>
                </c:pt>
                <c:pt idx="9">
                  <c:v>0.13333333333333333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58F-497E-842D-A5C460ED459D}"/>
            </c:ext>
          </c:extLst>
        </c:ser>
        <c:ser>
          <c:idx val="2"/>
          <c:order val="2"/>
          <c:tx>
            <c:strRef>
              <c:f>'Estadísticas Específicas'!$A$70</c:f>
              <c:strCache>
                <c:ptCount val="1"/>
                <c:pt idx="0">
                  <c:v>Carriola y porta bebé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Específicas'!$B$70:$M$70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58F-497E-842D-A5C460ED459D}"/>
            </c:ext>
          </c:extLst>
        </c:ser>
        <c:ser>
          <c:idx val="3"/>
          <c:order val="3"/>
          <c:tx>
            <c:strRef>
              <c:f>'Estadísticas Específicas'!$A$71</c:f>
              <c:strCache>
                <c:ptCount val="1"/>
                <c:pt idx="0">
                  <c:v>Piso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Específicas'!$B$71:$M$71</c:f>
              <c:numCache>
                <c:formatCode>0%</c:formatCode>
                <c:ptCount val="12"/>
                <c:pt idx="0">
                  <c:v>0</c:v>
                </c:pt>
                <c:pt idx="1">
                  <c:v>0.16666666666666666</c:v>
                </c:pt>
                <c:pt idx="2">
                  <c:v>0</c:v>
                </c:pt>
                <c:pt idx="3">
                  <c:v>0.14285714285714285</c:v>
                </c:pt>
                <c:pt idx="4">
                  <c:v>0</c:v>
                </c:pt>
                <c:pt idx="5">
                  <c:v>0.23076923076923078</c:v>
                </c:pt>
                <c:pt idx="6">
                  <c:v>5.8823529411764705E-2</c:v>
                </c:pt>
                <c:pt idx="7">
                  <c:v>0.125</c:v>
                </c:pt>
                <c:pt idx="8">
                  <c:v>7.6923076923076927E-2</c:v>
                </c:pt>
                <c:pt idx="9">
                  <c:v>6.6666666666666666E-2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58F-497E-842D-A5C460ED459D}"/>
            </c:ext>
          </c:extLst>
        </c:ser>
        <c:ser>
          <c:idx val="4"/>
          <c:order val="4"/>
          <c:tx>
            <c:strRef>
              <c:f>'Estadísticas Específicas'!$A$72</c:f>
              <c:strCache>
                <c:ptCount val="1"/>
                <c:pt idx="0">
                  <c:v>Cojines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Específicas'!$B$72:$M$72</c:f>
              <c:numCache>
                <c:formatCode>0%</c:formatCode>
                <c:ptCount val="12"/>
                <c:pt idx="0">
                  <c:v>0.25</c:v>
                </c:pt>
                <c:pt idx="1">
                  <c:v>8.3333333333333329E-2</c:v>
                </c:pt>
                <c:pt idx="2">
                  <c:v>0</c:v>
                </c:pt>
                <c:pt idx="3">
                  <c:v>0.2857142857142857</c:v>
                </c:pt>
                <c:pt idx="4">
                  <c:v>0.33333333333333331</c:v>
                </c:pt>
                <c:pt idx="5">
                  <c:v>0.23076923076923078</c:v>
                </c:pt>
                <c:pt idx="6">
                  <c:v>0.23529411764705882</c:v>
                </c:pt>
                <c:pt idx="7">
                  <c:v>0.4375</c:v>
                </c:pt>
                <c:pt idx="8">
                  <c:v>0.30769230769230771</c:v>
                </c:pt>
                <c:pt idx="9">
                  <c:v>0.4</c:v>
                </c:pt>
                <c:pt idx="10">
                  <c:v>0.18181818181818182</c:v>
                </c:pt>
                <c:pt idx="11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58F-497E-842D-A5C460ED459D}"/>
            </c:ext>
          </c:extLst>
        </c:ser>
        <c:ser>
          <c:idx val="5"/>
          <c:order val="5"/>
          <c:tx>
            <c:strRef>
              <c:f>'Estadísticas Específicas'!$A$73</c:f>
              <c:strCache>
                <c:ptCount val="1"/>
                <c:pt idx="0">
                  <c:v>Banca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Específicas'!$B$73:$M$73</c:f>
              <c:numCache>
                <c:formatCode>0%</c:formatCode>
                <c:ptCount val="12"/>
                <c:pt idx="0">
                  <c:v>0.25</c:v>
                </c:pt>
                <c:pt idx="1">
                  <c:v>0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7.6923076923076927E-2</c:v>
                </c:pt>
                <c:pt idx="6">
                  <c:v>5.8823529411764705E-2</c:v>
                </c:pt>
                <c:pt idx="7">
                  <c:v>6.25E-2</c:v>
                </c:pt>
                <c:pt idx="8">
                  <c:v>7.6923076923076927E-2</c:v>
                </c:pt>
                <c:pt idx="9">
                  <c:v>0.13333333333333333</c:v>
                </c:pt>
                <c:pt idx="10">
                  <c:v>0.18181818181818182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58F-497E-842D-A5C460ED459D}"/>
            </c:ext>
          </c:extLst>
        </c:ser>
        <c:ser>
          <c:idx val="6"/>
          <c:order val="6"/>
          <c:tx>
            <c:strRef>
              <c:f>'Estadísticas Específicas'!$A$74</c:f>
              <c:strCache>
                <c:ptCount val="1"/>
                <c:pt idx="0">
                  <c:v>Banco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Específicas'!$B$74:$M$74</c:f>
              <c:numCache>
                <c:formatCode>0%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0.42857142857142855</c:v>
                </c:pt>
                <c:pt idx="4">
                  <c:v>0</c:v>
                </c:pt>
                <c:pt idx="5">
                  <c:v>7.6923076923076927E-2</c:v>
                </c:pt>
                <c:pt idx="6">
                  <c:v>5.8823529411764705E-2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9.0909090909090912E-2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58F-497E-842D-A5C460ED459D}"/>
            </c:ext>
          </c:extLst>
        </c:ser>
        <c:ser>
          <c:idx val="7"/>
          <c:order val="7"/>
          <c:tx>
            <c:strRef>
              <c:f>'Estadísticas Específicas'!$A$75</c:f>
              <c:strCache>
                <c:ptCount val="1"/>
                <c:pt idx="0">
                  <c:v>Reposet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Específicas'!$B$75:$M$75</c:f>
              <c:numCache>
                <c:formatCode>0%</c:formatCode>
                <c:ptCount val="12"/>
                <c:pt idx="0">
                  <c:v>0</c:v>
                </c:pt>
                <c:pt idx="1">
                  <c:v>0.16666666666666666</c:v>
                </c:pt>
                <c:pt idx="2">
                  <c:v>0</c:v>
                </c:pt>
                <c:pt idx="3">
                  <c:v>0</c:v>
                </c:pt>
                <c:pt idx="4">
                  <c:v>0.1111111111111111</c:v>
                </c:pt>
                <c:pt idx="5">
                  <c:v>7.6923076923076927E-2</c:v>
                </c:pt>
                <c:pt idx="6">
                  <c:v>0.41176470588235292</c:v>
                </c:pt>
                <c:pt idx="7">
                  <c:v>0</c:v>
                </c:pt>
                <c:pt idx="8">
                  <c:v>7.6923076923076927E-2</c:v>
                </c:pt>
                <c:pt idx="9">
                  <c:v>6.6666666666666666E-2</c:v>
                </c:pt>
                <c:pt idx="10">
                  <c:v>0.18181818181818182</c:v>
                </c:pt>
                <c:pt idx="11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958F-497E-842D-A5C460ED459D}"/>
            </c:ext>
          </c:extLst>
        </c:ser>
        <c:ser>
          <c:idx val="8"/>
          <c:order val="8"/>
          <c:tx>
            <c:strRef>
              <c:f>'Estadísticas Específicas'!$A$76</c:f>
              <c:strCache>
                <c:ptCount val="1"/>
                <c:pt idx="0">
                  <c:v>Colchón interno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Específicas'!$B$76:$M$76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0.15384615384615385</c:v>
                </c:pt>
                <c:pt idx="6">
                  <c:v>5.8823529411764705E-2</c:v>
                </c:pt>
                <c:pt idx="7">
                  <c:v>0</c:v>
                </c:pt>
                <c:pt idx="8">
                  <c:v>7.6923076923076927E-2</c:v>
                </c:pt>
                <c:pt idx="9">
                  <c:v>0</c:v>
                </c:pt>
                <c:pt idx="10">
                  <c:v>9.0909090909090912E-2</c:v>
                </c:pt>
                <c:pt idx="11">
                  <c:v>0.1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58F-497E-842D-A5C460ED459D}"/>
            </c:ext>
          </c:extLst>
        </c:ser>
        <c:ser>
          <c:idx val="9"/>
          <c:order val="9"/>
          <c:tx>
            <c:strRef>
              <c:f>'Estadísticas Específicas'!$A$77</c:f>
              <c:strCache>
                <c:ptCount val="1"/>
                <c:pt idx="0">
                  <c:v>Torre de gatos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Específicas'!$B$77:$M$77</c:f>
              <c:numCache>
                <c:formatCode>0%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0.14285714285714285</c:v>
                </c:pt>
                <c:pt idx="4">
                  <c:v>0.1111111111111111</c:v>
                </c:pt>
                <c:pt idx="5">
                  <c:v>0</c:v>
                </c:pt>
                <c:pt idx="6">
                  <c:v>0</c:v>
                </c:pt>
                <c:pt idx="7">
                  <c:v>0.375</c:v>
                </c:pt>
                <c:pt idx="8">
                  <c:v>7.6923076923076927E-2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958F-497E-842D-A5C460ED4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8791040"/>
        <c:axId val="248792576"/>
      </c:barChart>
      <c:catAx>
        <c:axId val="2487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792576"/>
        <c:crosses val="autoZero"/>
        <c:auto val="1"/>
        <c:lblAlgn val="ctr"/>
        <c:lblOffset val="100"/>
        <c:noMultiLvlLbl val="0"/>
      </c:catAx>
      <c:valAx>
        <c:axId val="24879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79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Específicas'!$A$81</c:f>
              <c:strCache>
                <c:ptCount val="1"/>
                <c:pt idx="0">
                  <c:v>PURT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Específicas'!$B$79:$M$80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Específicas'!$B$81:$M$81</c:f>
              <c:numCache>
                <c:formatCode>0%</c:formatCode>
                <c:ptCount val="12"/>
                <c:pt idx="0">
                  <c:v>0.12</c:v>
                </c:pt>
                <c:pt idx="1">
                  <c:v>0.09</c:v>
                </c:pt>
                <c:pt idx="2">
                  <c:v>0.08</c:v>
                </c:pt>
                <c:pt idx="3">
                  <c:v>0.12</c:v>
                </c:pt>
                <c:pt idx="4">
                  <c:v>0.06</c:v>
                </c:pt>
                <c:pt idx="5">
                  <c:v>0.11</c:v>
                </c:pt>
                <c:pt idx="6">
                  <c:v>0.11</c:v>
                </c:pt>
                <c:pt idx="7">
                  <c:v>0.13</c:v>
                </c:pt>
                <c:pt idx="8">
                  <c:v>0.15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0.09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C5A-4890-9D9F-5DA153065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8809344"/>
        <c:axId val="248810880"/>
      </c:barChart>
      <c:catAx>
        <c:axId val="2488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810880"/>
        <c:crosses val="autoZero"/>
        <c:auto val="1"/>
        <c:lblAlgn val="ctr"/>
        <c:lblOffset val="100"/>
        <c:noMultiLvlLbl val="0"/>
      </c:catAx>
      <c:valAx>
        <c:axId val="2488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80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 de venta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'Estadísticas Específicas'!$A$86</c:f>
              <c:strCache>
                <c:ptCount val="1"/>
                <c:pt idx="0">
                  <c:v>Internet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Específicas'!$B$86:$M$86</c:f>
              <c:numCache>
                <c:formatCode>0%</c:formatCode>
                <c:ptCount val="12"/>
                <c:pt idx="0">
                  <c:v>0.48780487804878048</c:v>
                </c:pt>
                <c:pt idx="1">
                  <c:v>0.25641025641025639</c:v>
                </c:pt>
                <c:pt idx="2">
                  <c:v>0.30434782608695654</c:v>
                </c:pt>
                <c:pt idx="3">
                  <c:v>0.24324324324324326</c:v>
                </c:pt>
                <c:pt idx="4">
                  <c:v>0.5</c:v>
                </c:pt>
                <c:pt idx="5">
                  <c:v>0.35555555555555557</c:v>
                </c:pt>
                <c:pt idx="6">
                  <c:v>0.40476190476190477</c:v>
                </c:pt>
                <c:pt idx="7">
                  <c:v>0.42</c:v>
                </c:pt>
                <c:pt idx="8">
                  <c:v>0.42105263157894735</c:v>
                </c:pt>
                <c:pt idx="9">
                  <c:v>0.25</c:v>
                </c:pt>
                <c:pt idx="10">
                  <c:v>0.41666666666666669</c:v>
                </c:pt>
                <c:pt idx="11">
                  <c:v>0.2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BB-41AA-A824-C0489E0A8EFF}"/>
            </c:ext>
          </c:extLst>
        </c:ser>
        <c:ser>
          <c:idx val="2"/>
          <c:order val="2"/>
          <c:tx>
            <c:strRef>
              <c:f>'Estadísticas Específicas'!$A$87</c:f>
              <c:strCache>
                <c:ptCount val="1"/>
                <c:pt idx="0">
                  <c:v>Recomendación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Específicas'!$B$87:$M$87</c:f>
              <c:numCache>
                <c:formatCode>0%</c:formatCode>
                <c:ptCount val="12"/>
                <c:pt idx="0">
                  <c:v>7.3170731707317069E-2</c:v>
                </c:pt>
                <c:pt idx="1">
                  <c:v>0.10256410256410256</c:v>
                </c:pt>
                <c:pt idx="2">
                  <c:v>4.3478260869565216E-2</c:v>
                </c:pt>
                <c:pt idx="3">
                  <c:v>5.4054054054054057E-2</c:v>
                </c:pt>
                <c:pt idx="4">
                  <c:v>7.1428571428571425E-2</c:v>
                </c:pt>
                <c:pt idx="5">
                  <c:v>8.8888888888888892E-2</c:v>
                </c:pt>
                <c:pt idx="6">
                  <c:v>4.7619047619047616E-2</c:v>
                </c:pt>
                <c:pt idx="7">
                  <c:v>0.08</c:v>
                </c:pt>
                <c:pt idx="8">
                  <c:v>5.2631578947368418E-2</c:v>
                </c:pt>
                <c:pt idx="9">
                  <c:v>0.1388888888888889</c:v>
                </c:pt>
                <c:pt idx="10">
                  <c:v>2.7777777777777776E-2</c:v>
                </c:pt>
                <c:pt idx="11">
                  <c:v>0.125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0BB-41AA-A824-C0489E0A8EFF}"/>
            </c:ext>
          </c:extLst>
        </c:ser>
        <c:ser>
          <c:idx val="3"/>
          <c:order val="3"/>
          <c:tx>
            <c:strRef>
              <c:f>'Estadísticas Específicas'!$A$88</c:f>
              <c:strCache>
                <c:ptCount val="1"/>
                <c:pt idx="0">
                  <c:v>Folletos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Específicas'!$B$88:$M$88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0BB-41AA-A824-C0489E0A8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0798464"/>
        <c:axId val="250800000"/>
        <c:extLst xmlns:c16r2="http://schemas.microsoft.com/office/drawing/2015/06/chart"/>
      </c:barChart>
      <c:lineChart>
        <c:grouping val="standard"/>
        <c:varyColors val="0"/>
        <c:ser>
          <c:idx val="4"/>
          <c:order val="4"/>
          <c:tx>
            <c:strRef>
              <c:f>'Estadísticas Específicas'!$A$89</c:f>
              <c:strCache>
                <c:ptCount val="1"/>
                <c:pt idx="0">
                  <c:v>Vendedores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Específicas'!$B$89:$M$89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5.5555555555555552E-2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0BB-41AA-A824-C0489E0A8EFF}"/>
            </c:ext>
          </c:extLst>
        </c:ser>
        <c:ser>
          <c:idx val="5"/>
          <c:order val="5"/>
          <c:tx>
            <c:strRef>
              <c:f>'Estadísticas Específicas'!$A$90</c:f>
              <c:strCache>
                <c:ptCount val="1"/>
                <c:pt idx="0">
                  <c:v>Repetición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Específicas'!$B$90:$M$90</c:f>
              <c:numCache>
                <c:formatCode>0%</c:formatCode>
                <c:ptCount val="12"/>
                <c:pt idx="0">
                  <c:v>0.41463414634146339</c:v>
                </c:pt>
                <c:pt idx="1">
                  <c:v>0.64102564102564108</c:v>
                </c:pt>
                <c:pt idx="2">
                  <c:v>0.65217391304347827</c:v>
                </c:pt>
                <c:pt idx="3">
                  <c:v>0.64864864864864868</c:v>
                </c:pt>
                <c:pt idx="4">
                  <c:v>0.42857142857142855</c:v>
                </c:pt>
                <c:pt idx="5">
                  <c:v>0.48888888888888887</c:v>
                </c:pt>
                <c:pt idx="6">
                  <c:v>0.54761904761904767</c:v>
                </c:pt>
                <c:pt idx="7">
                  <c:v>0.44</c:v>
                </c:pt>
                <c:pt idx="8">
                  <c:v>0.52631578947368418</c:v>
                </c:pt>
                <c:pt idx="9">
                  <c:v>0.58333333333333337</c:v>
                </c:pt>
                <c:pt idx="10">
                  <c:v>0.52777777777777779</c:v>
                </c:pt>
                <c:pt idx="11">
                  <c:v>0.67500000000000004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E0BB-41AA-A824-C0489E0A8EFF}"/>
            </c:ext>
          </c:extLst>
        </c:ser>
        <c:ser>
          <c:idx val="6"/>
          <c:order val="6"/>
          <c:tx>
            <c:strRef>
              <c:f>'Estadísticas Específicas'!$A$91</c:f>
              <c:strCache>
                <c:ptCount val="1"/>
                <c:pt idx="0">
                  <c:v>Otro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Específicas'!$B$91:$M$91</c:f>
              <c:numCache>
                <c:formatCode>0%</c:formatCode>
                <c:ptCount val="12"/>
                <c:pt idx="0">
                  <c:v>2.4390243902439025E-2</c:v>
                </c:pt>
                <c:pt idx="1">
                  <c:v>0</c:v>
                </c:pt>
                <c:pt idx="2">
                  <c:v>0</c:v>
                </c:pt>
                <c:pt idx="3">
                  <c:v>5.4054054054054057E-2</c:v>
                </c:pt>
                <c:pt idx="4">
                  <c:v>0</c:v>
                </c:pt>
                <c:pt idx="5">
                  <c:v>6.6666666666666666E-2</c:v>
                </c:pt>
                <c:pt idx="6">
                  <c:v>0</c:v>
                </c:pt>
                <c:pt idx="7">
                  <c:v>0.06</c:v>
                </c:pt>
                <c:pt idx="8">
                  <c:v>0</c:v>
                </c:pt>
                <c:pt idx="9">
                  <c:v>2.7777777777777776E-2</c:v>
                </c:pt>
                <c:pt idx="10">
                  <c:v>2.7777777777777776E-2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E0BB-41AA-A824-C0489E0A8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798464"/>
        <c:axId val="250800000"/>
      </c:lineChart>
      <c:lineChart>
        <c:grouping val="standard"/>
        <c:varyColors val="0"/>
        <c:ser>
          <c:idx val="0"/>
          <c:order val="0"/>
          <c:tx>
            <c:strRef>
              <c:f>'Estadísticas Específicas'!$A$85</c:f>
              <c:strCache>
                <c:ptCount val="1"/>
                <c:pt idx="0">
                  <c:v>num de Serv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'Estadísticas Específicas'!$B$83:$M$84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'Estadísticas Específicas'!$B$85:$M$85</c:f>
              <c:numCache>
                <c:formatCode>General</c:formatCode>
                <c:ptCount val="12"/>
                <c:pt idx="0">
                  <c:v>41</c:v>
                </c:pt>
                <c:pt idx="1">
                  <c:v>39</c:v>
                </c:pt>
                <c:pt idx="2">
                  <c:v>23</c:v>
                </c:pt>
                <c:pt idx="3">
                  <c:v>37</c:v>
                </c:pt>
                <c:pt idx="4">
                  <c:v>28</c:v>
                </c:pt>
                <c:pt idx="5">
                  <c:v>45</c:v>
                </c:pt>
                <c:pt idx="6">
                  <c:v>42</c:v>
                </c:pt>
                <c:pt idx="7">
                  <c:v>50</c:v>
                </c:pt>
                <c:pt idx="8">
                  <c:v>38</c:v>
                </c:pt>
                <c:pt idx="9">
                  <c:v>36</c:v>
                </c:pt>
                <c:pt idx="10">
                  <c:v>36</c:v>
                </c:pt>
                <c:pt idx="11">
                  <c:v>40</c:v>
                </c:pt>
              </c:numCache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6-E0BB-41AA-A824-C0489E0A8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123712"/>
        <c:axId val="250801536"/>
      </c:lineChart>
      <c:catAx>
        <c:axId val="25079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800000"/>
        <c:crosses val="autoZero"/>
        <c:auto val="1"/>
        <c:lblAlgn val="ctr"/>
        <c:lblOffset val="100"/>
        <c:noMultiLvlLbl val="0"/>
      </c:catAx>
      <c:valAx>
        <c:axId val="25080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798464"/>
        <c:crosses val="autoZero"/>
        <c:crossBetween val="between"/>
      </c:valAx>
      <c:valAx>
        <c:axId val="2508015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21123712"/>
        <c:crosses val="max"/>
        <c:crossBetween val="between"/>
      </c:valAx>
      <c:catAx>
        <c:axId val="221123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0801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18" Type="http://schemas.openxmlformats.org/officeDocument/2006/relationships/chart" Target="../charts/chart2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2" Type="http://schemas.openxmlformats.org/officeDocument/2006/relationships/chart" Target="../charts/chart10.xml"/><Relationship Id="rId16" Type="http://schemas.openxmlformats.org/officeDocument/2006/relationships/chart" Target="../charts/chart24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33</xdr:row>
      <xdr:rowOff>109537</xdr:rowOff>
    </xdr:from>
    <xdr:to>
      <xdr:col>12</xdr:col>
      <xdr:colOff>133350</xdr:colOff>
      <xdr:row>47</xdr:row>
      <xdr:rowOff>185737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49</xdr:row>
      <xdr:rowOff>109537</xdr:rowOff>
    </xdr:from>
    <xdr:to>
      <xdr:col>5</xdr:col>
      <xdr:colOff>657225</xdr:colOff>
      <xdr:row>63</xdr:row>
      <xdr:rowOff>185737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</xdr:colOff>
      <xdr:row>49</xdr:row>
      <xdr:rowOff>109537</xdr:rowOff>
    </xdr:from>
    <xdr:to>
      <xdr:col>12</xdr:col>
      <xdr:colOff>95250</xdr:colOff>
      <xdr:row>63</xdr:row>
      <xdr:rowOff>185737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66</xdr:row>
      <xdr:rowOff>19050</xdr:rowOff>
    </xdr:from>
    <xdr:to>
      <xdr:col>5</xdr:col>
      <xdr:colOff>666750</xdr:colOff>
      <xdr:row>80</xdr:row>
      <xdr:rowOff>95250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142875</xdr:colOff>
      <xdr:row>66</xdr:row>
      <xdr:rowOff>14287</xdr:rowOff>
    </xdr:from>
    <xdr:to>
      <xdr:col>12</xdr:col>
      <xdr:colOff>142875</xdr:colOff>
      <xdr:row>80</xdr:row>
      <xdr:rowOff>90487</xdr:rowOff>
    </xdr:to>
    <xdr:graphicFrame macro="">
      <xdr:nvGraphicFramePr>
        <xdr:cNvPr id="17" name="Grá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17</xdr:row>
      <xdr:rowOff>114300</xdr:rowOff>
    </xdr:from>
    <xdr:to>
      <xdr:col>5</xdr:col>
      <xdr:colOff>390525</xdr:colOff>
      <xdr:row>32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133350</xdr:colOff>
      <xdr:row>17</xdr:row>
      <xdr:rowOff>142875</xdr:rowOff>
    </xdr:from>
    <xdr:to>
      <xdr:col>12</xdr:col>
      <xdr:colOff>133350</xdr:colOff>
      <xdr:row>32</xdr:row>
      <xdr:rowOff>28575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33</xdr:row>
      <xdr:rowOff>57150</xdr:rowOff>
    </xdr:from>
    <xdr:to>
      <xdr:col>5</xdr:col>
      <xdr:colOff>390525</xdr:colOff>
      <xdr:row>47</xdr:row>
      <xdr:rowOff>133350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352425</xdr:colOff>
      <xdr:row>0</xdr:row>
      <xdr:rowOff>80962</xdr:rowOff>
    </xdr:from>
    <xdr:to>
      <xdr:col>21</xdr:col>
      <xdr:colOff>352425</xdr:colOff>
      <xdr:row>14</xdr:row>
      <xdr:rowOff>147637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19050</xdr:colOff>
      <xdr:row>0</xdr:row>
      <xdr:rowOff>61912</xdr:rowOff>
    </xdr:from>
    <xdr:to>
      <xdr:col>28</xdr:col>
      <xdr:colOff>19050</xdr:colOff>
      <xdr:row>14</xdr:row>
      <xdr:rowOff>128587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371475</xdr:colOff>
      <xdr:row>15</xdr:row>
      <xdr:rowOff>90487</xdr:rowOff>
    </xdr:from>
    <xdr:to>
      <xdr:col>21</xdr:col>
      <xdr:colOff>371475</xdr:colOff>
      <xdr:row>29</xdr:row>
      <xdr:rowOff>157162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15</xdr:row>
      <xdr:rowOff>109537</xdr:rowOff>
    </xdr:from>
    <xdr:to>
      <xdr:col>28</xdr:col>
      <xdr:colOff>0</xdr:colOff>
      <xdr:row>29</xdr:row>
      <xdr:rowOff>176212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304800</xdr:colOff>
      <xdr:row>32</xdr:row>
      <xdr:rowOff>109537</xdr:rowOff>
    </xdr:from>
    <xdr:to>
      <xdr:col>21</xdr:col>
      <xdr:colOff>304800</xdr:colOff>
      <xdr:row>46</xdr:row>
      <xdr:rowOff>166687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76200</xdr:colOff>
      <xdr:row>32</xdr:row>
      <xdr:rowOff>128587</xdr:rowOff>
    </xdr:from>
    <xdr:to>
      <xdr:col>28</xdr:col>
      <xdr:colOff>76200</xdr:colOff>
      <xdr:row>46</xdr:row>
      <xdr:rowOff>185737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276225</xdr:colOff>
      <xdr:row>48</xdr:row>
      <xdr:rowOff>23812</xdr:rowOff>
    </xdr:from>
    <xdr:to>
      <xdr:col>21</xdr:col>
      <xdr:colOff>276225</xdr:colOff>
      <xdr:row>62</xdr:row>
      <xdr:rowOff>61912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552450</xdr:colOff>
      <xdr:row>48</xdr:row>
      <xdr:rowOff>23812</xdr:rowOff>
    </xdr:from>
    <xdr:to>
      <xdr:col>27</xdr:col>
      <xdr:colOff>552450</xdr:colOff>
      <xdr:row>62</xdr:row>
      <xdr:rowOff>61912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92</xdr:row>
      <xdr:rowOff>166686</xdr:rowOff>
    </xdr:from>
    <xdr:to>
      <xdr:col>8</xdr:col>
      <xdr:colOff>723900</xdr:colOff>
      <xdr:row>110</xdr:row>
      <xdr:rowOff>190499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142874</xdr:colOff>
      <xdr:row>92</xdr:row>
      <xdr:rowOff>147636</xdr:rowOff>
    </xdr:from>
    <xdr:to>
      <xdr:col>17</xdr:col>
      <xdr:colOff>761999</xdr:colOff>
      <xdr:row>110</xdr:row>
      <xdr:rowOff>171449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112</xdr:row>
      <xdr:rowOff>147637</xdr:rowOff>
    </xdr:from>
    <xdr:to>
      <xdr:col>8</xdr:col>
      <xdr:colOff>733424</xdr:colOff>
      <xdr:row>132</xdr:row>
      <xdr:rowOff>9525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142874</xdr:colOff>
      <xdr:row>112</xdr:row>
      <xdr:rowOff>147637</xdr:rowOff>
    </xdr:from>
    <xdr:to>
      <xdr:col>17</xdr:col>
      <xdr:colOff>761999</xdr:colOff>
      <xdr:row>132</xdr:row>
      <xdr:rowOff>9525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9525</xdr:colOff>
      <xdr:row>133</xdr:row>
      <xdr:rowOff>14287</xdr:rowOff>
    </xdr:from>
    <xdr:to>
      <xdr:col>8</xdr:col>
      <xdr:colOff>714375</xdr:colOff>
      <xdr:row>153</xdr:row>
      <xdr:rowOff>161925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133349</xdr:colOff>
      <xdr:row>133</xdr:row>
      <xdr:rowOff>33337</xdr:rowOff>
    </xdr:from>
    <xdr:to>
      <xdr:col>17</xdr:col>
      <xdr:colOff>752474</xdr:colOff>
      <xdr:row>153</xdr:row>
      <xdr:rowOff>161925</xdr:rowOff>
    </xdr:to>
    <xdr:graphicFrame macro="">
      <xdr:nvGraphicFramePr>
        <xdr:cNvPr id="15" name="Grá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156</xdr:row>
      <xdr:rowOff>23812</xdr:rowOff>
    </xdr:from>
    <xdr:to>
      <xdr:col>8</xdr:col>
      <xdr:colOff>704850</xdr:colOff>
      <xdr:row>177</xdr:row>
      <xdr:rowOff>0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161924</xdr:colOff>
      <xdr:row>156</xdr:row>
      <xdr:rowOff>4761</xdr:rowOff>
    </xdr:from>
    <xdr:to>
      <xdr:col>17</xdr:col>
      <xdr:colOff>761999</xdr:colOff>
      <xdr:row>176</xdr:row>
      <xdr:rowOff>180974</xdr:rowOff>
    </xdr:to>
    <xdr:graphicFrame macro="">
      <xdr:nvGraphicFramePr>
        <xdr:cNvPr id="17" name="Grá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178</xdr:row>
      <xdr:rowOff>176211</xdr:rowOff>
    </xdr:from>
    <xdr:to>
      <xdr:col>8</xdr:col>
      <xdr:colOff>676274</xdr:colOff>
      <xdr:row>200</xdr:row>
      <xdr:rowOff>9524</xdr:rowOff>
    </xdr:to>
    <xdr:graphicFrame macro="">
      <xdr:nvGraphicFramePr>
        <xdr:cNvPr id="18" name="Grá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142874</xdr:colOff>
      <xdr:row>179</xdr:row>
      <xdr:rowOff>4762</xdr:rowOff>
    </xdr:from>
    <xdr:to>
      <xdr:col>18</xdr:col>
      <xdr:colOff>38099</xdr:colOff>
      <xdr:row>200</xdr:row>
      <xdr:rowOff>19050</xdr:rowOff>
    </xdr:to>
    <xdr:graphicFrame macro="">
      <xdr:nvGraphicFramePr>
        <xdr:cNvPr id="19" name="Grá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0"/>
  <sheetViews>
    <sheetView tabSelected="1" topLeftCell="B61" workbookViewId="0">
      <selection activeCell="M100" sqref="M72:M100"/>
    </sheetView>
  </sheetViews>
  <sheetFormatPr baseColWidth="10" defaultRowHeight="15" x14ac:dyDescent="0.25"/>
  <cols>
    <col min="1" max="1" width="5.7109375" customWidth="1"/>
    <col min="2" max="2" width="11.7109375" style="8" customWidth="1"/>
    <col min="4" max="4" width="38.140625" customWidth="1"/>
    <col min="5" max="5" width="12.42578125" customWidth="1"/>
    <col min="6" max="6" width="45.85546875" customWidth="1"/>
    <col min="7" max="7" width="7.7109375" customWidth="1"/>
    <col min="8" max="8" width="11.42578125" style="59"/>
    <col min="9" max="9" width="45.5703125" customWidth="1"/>
  </cols>
  <sheetData>
    <row r="1" spans="1:13" ht="15" customHeight="1" x14ac:dyDescent="0.25">
      <c r="A1" s="6" t="s">
        <v>120</v>
      </c>
      <c r="B1" s="49" t="s">
        <v>121</v>
      </c>
      <c r="C1" s="1" t="s">
        <v>0</v>
      </c>
      <c r="D1" s="2" t="s">
        <v>1</v>
      </c>
      <c r="E1" s="2" t="s">
        <v>122</v>
      </c>
      <c r="F1" s="2" t="s">
        <v>2</v>
      </c>
      <c r="G1" s="2" t="s">
        <v>4</v>
      </c>
      <c r="H1" s="50" t="s">
        <v>5</v>
      </c>
      <c r="I1" s="5" t="s">
        <v>6</v>
      </c>
      <c r="J1" s="6" t="s">
        <v>7</v>
      </c>
      <c r="K1" s="2" t="s">
        <v>123</v>
      </c>
      <c r="L1" s="2" t="s">
        <v>124</v>
      </c>
      <c r="M1" s="2" t="s">
        <v>125</v>
      </c>
    </row>
    <row r="2" spans="1:13" x14ac:dyDescent="0.25">
      <c r="A2" s="88">
        <v>1</v>
      </c>
      <c r="B2" s="89" t="s">
        <v>186</v>
      </c>
      <c r="C2" s="9">
        <v>45659</v>
      </c>
      <c r="D2" t="s">
        <v>187</v>
      </c>
      <c r="E2" t="s">
        <v>188</v>
      </c>
      <c r="F2" t="s">
        <v>189</v>
      </c>
      <c r="G2" t="s">
        <v>190</v>
      </c>
      <c r="H2" s="59">
        <v>1398</v>
      </c>
      <c r="I2" t="s">
        <v>191</v>
      </c>
      <c r="J2" t="s">
        <v>192</v>
      </c>
      <c r="K2" s="11" t="s">
        <v>715</v>
      </c>
      <c r="L2" s="11" t="s">
        <v>715</v>
      </c>
      <c r="M2" s="11" t="s">
        <v>715</v>
      </c>
    </row>
    <row r="3" spans="1:13" x14ac:dyDescent="0.25">
      <c r="A3" s="90">
        <f>A2+1</f>
        <v>2</v>
      </c>
      <c r="B3" s="89" t="s">
        <v>193</v>
      </c>
      <c r="C3" s="9">
        <v>45660</v>
      </c>
      <c r="D3" t="s">
        <v>194</v>
      </c>
      <c r="E3" t="s">
        <v>195</v>
      </c>
      <c r="F3" t="s">
        <v>196</v>
      </c>
      <c r="G3" t="s">
        <v>118</v>
      </c>
      <c r="H3" s="59">
        <v>952</v>
      </c>
      <c r="I3" t="s">
        <v>197</v>
      </c>
      <c r="J3" t="s">
        <v>198</v>
      </c>
      <c r="K3" s="11" t="s">
        <v>715</v>
      </c>
      <c r="L3" s="11" t="s">
        <v>715</v>
      </c>
      <c r="M3" s="11" t="s">
        <v>715</v>
      </c>
    </row>
    <row r="4" spans="1:13" x14ac:dyDescent="0.25">
      <c r="A4" s="88">
        <f t="shared" ref="A4:A67" si="0">A3+1</f>
        <v>3</v>
      </c>
      <c r="B4" s="89" t="s">
        <v>199</v>
      </c>
      <c r="C4" s="9">
        <v>45660</v>
      </c>
      <c r="D4" s="9" t="s">
        <v>200</v>
      </c>
      <c r="E4" t="s">
        <v>201</v>
      </c>
      <c r="F4" t="s">
        <v>202</v>
      </c>
      <c r="G4" t="s">
        <v>119</v>
      </c>
      <c r="H4" s="59">
        <v>1037</v>
      </c>
      <c r="I4" t="s">
        <v>203</v>
      </c>
      <c r="J4" t="s">
        <v>222</v>
      </c>
      <c r="K4" s="11" t="s">
        <v>715</v>
      </c>
      <c r="L4" s="11" t="s">
        <v>715</v>
      </c>
      <c r="M4" s="11" t="s">
        <v>715</v>
      </c>
    </row>
    <row r="5" spans="1:13" x14ac:dyDescent="0.25">
      <c r="A5" s="90">
        <f t="shared" si="0"/>
        <v>4</v>
      </c>
      <c r="B5" s="89" t="s">
        <v>204</v>
      </c>
      <c r="C5" s="9">
        <v>45661</v>
      </c>
      <c r="D5" t="s">
        <v>205</v>
      </c>
      <c r="E5" t="s">
        <v>206</v>
      </c>
      <c r="F5" t="s">
        <v>207</v>
      </c>
      <c r="G5" t="s">
        <v>118</v>
      </c>
      <c r="H5" s="59">
        <v>1414</v>
      </c>
      <c r="I5" t="s">
        <v>208</v>
      </c>
      <c r="J5" t="s">
        <v>223</v>
      </c>
      <c r="K5" s="11" t="s">
        <v>715</v>
      </c>
      <c r="L5" s="11" t="s">
        <v>715</v>
      </c>
      <c r="M5" s="11" t="s">
        <v>715</v>
      </c>
    </row>
    <row r="6" spans="1:13" x14ac:dyDescent="0.25">
      <c r="A6" s="88">
        <f t="shared" si="0"/>
        <v>5</v>
      </c>
      <c r="B6" s="89" t="s">
        <v>209</v>
      </c>
      <c r="C6" s="9">
        <v>45661</v>
      </c>
      <c r="D6" t="s">
        <v>210</v>
      </c>
      <c r="E6" t="s">
        <v>211</v>
      </c>
      <c r="F6" t="s">
        <v>212</v>
      </c>
      <c r="G6" t="s">
        <v>213</v>
      </c>
      <c r="H6" s="59">
        <v>1825.9</v>
      </c>
      <c r="I6" t="s">
        <v>214</v>
      </c>
      <c r="J6" t="s">
        <v>215</v>
      </c>
      <c r="K6" s="11" t="s">
        <v>715</v>
      </c>
      <c r="L6" s="11" t="s">
        <v>715</v>
      </c>
      <c r="M6" s="11" t="s">
        <v>715</v>
      </c>
    </row>
    <row r="7" spans="1:13" x14ac:dyDescent="0.25">
      <c r="A7" s="90">
        <f t="shared" si="0"/>
        <v>6</v>
      </c>
      <c r="B7" s="89" t="s">
        <v>216</v>
      </c>
      <c r="C7" s="9">
        <v>45663</v>
      </c>
      <c r="D7" t="s">
        <v>217</v>
      </c>
      <c r="E7" t="s">
        <v>218</v>
      </c>
      <c r="F7" t="s">
        <v>219</v>
      </c>
      <c r="G7" t="s">
        <v>118</v>
      </c>
      <c r="H7" s="59">
        <v>1594</v>
      </c>
      <c r="I7" t="s">
        <v>220</v>
      </c>
      <c r="J7" t="s">
        <v>221</v>
      </c>
      <c r="K7" s="11" t="s">
        <v>715</v>
      </c>
      <c r="L7" s="11" t="s">
        <v>715</v>
      </c>
      <c r="M7" s="11" t="s">
        <v>715</v>
      </c>
    </row>
    <row r="8" spans="1:13" x14ac:dyDescent="0.25">
      <c r="A8" s="88">
        <f t="shared" si="0"/>
        <v>7</v>
      </c>
      <c r="B8" s="89" t="s">
        <v>224</v>
      </c>
      <c r="C8" s="9">
        <v>45664</v>
      </c>
      <c r="D8" t="s">
        <v>225</v>
      </c>
      <c r="E8" t="s">
        <v>226</v>
      </c>
      <c r="F8" t="s">
        <v>227</v>
      </c>
      <c r="G8" t="s">
        <v>190</v>
      </c>
      <c r="H8" s="59">
        <v>1816</v>
      </c>
      <c r="I8" t="s">
        <v>228</v>
      </c>
      <c r="J8" t="s">
        <v>229</v>
      </c>
      <c r="K8" s="11" t="s">
        <v>715</v>
      </c>
      <c r="L8" s="11" t="s">
        <v>715</v>
      </c>
      <c r="M8" s="11" t="s">
        <v>715</v>
      </c>
    </row>
    <row r="9" spans="1:13" x14ac:dyDescent="0.25">
      <c r="A9" s="90">
        <f t="shared" si="0"/>
        <v>8</v>
      </c>
      <c r="B9" s="89" t="s">
        <v>230</v>
      </c>
      <c r="C9" s="9">
        <v>45666</v>
      </c>
      <c r="D9" t="s">
        <v>231</v>
      </c>
      <c r="E9" t="s">
        <v>232</v>
      </c>
      <c r="F9" t="s">
        <v>233</v>
      </c>
      <c r="G9" t="s">
        <v>118</v>
      </c>
      <c r="H9" s="59">
        <v>4062</v>
      </c>
      <c r="I9" t="s">
        <v>234</v>
      </c>
      <c r="J9" t="s">
        <v>223</v>
      </c>
      <c r="K9" s="11" t="s">
        <v>715</v>
      </c>
      <c r="L9" s="11" t="s">
        <v>715</v>
      </c>
      <c r="M9" s="11" t="s">
        <v>715</v>
      </c>
    </row>
    <row r="10" spans="1:13" x14ac:dyDescent="0.25">
      <c r="A10" s="88">
        <f t="shared" si="0"/>
        <v>9</v>
      </c>
      <c r="B10" s="89" t="s">
        <v>235</v>
      </c>
      <c r="C10" s="9">
        <v>45663</v>
      </c>
      <c r="D10" t="s">
        <v>236</v>
      </c>
      <c r="E10" t="s">
        <v>237</v>
      </c>
      <c r="F10" t="s">
        <v>238</v>
      </c>
      <c r="G10" t="s">
        <v>190</v>
      </c>
      <c r="H10" s="59">
        <v>3266.83</v>
      </c>
      <c r="I10" t="s">
        <v>239</v>
      </c>
      <c r="J10" t="s">
        <v>223</v>
      </c>
      <c r="K10" s="11" t="s">
        <v>715</v>
      </c>
      <c r="L10" s="11" t="s">
        <v>715</v>
      </c>
      <c r="M10" s="11" t="s">
        <v>715</v>
      </c>
    </row>
    <row r="11" spans="1:13" x14ac:dyDescent="0.25">
      <c r="A11" s="91">
        <f t="shared" si="0"/>
        <v>10</v>
      </c>
      <c r="B11" s="89" t="s">
        <v>240</v>
      </c>
      <c r="C11" s="9">
        <v>45670</v>
      </c>
      <c r="D11" t="s">
        <v>241</v>
      </c>
      <c r="E11" t="s">
        <v>242</v>
      </c>
      <c r="F11" t="s">
        <v>243</v>
      </c>
      <c r="G11" t="s">
        <v>190</v>
      </c>
      <c r="H11" s="59">
        <v>1083</v>
      </c>
      <c r="I11" t="s">
        <v>244</v>
      </c>
      <c r="J11" t="s">
        <v>245</v>
      </c>
      <c r="K11" s="11" t="s">
        <v>715</v>
      </c>
      <c r="L11" s="11" t="s">
        <v>715</v>
      </c>
      <c r="M11" s="11" t="s">
        <v>715</v>
      </c>
    </row>
    <row r="12" spans="1:13" x14ac:dyDescent="0.25">
      <c r="A12" s="90">
        <f t="shared" si="0"/>
        <v>11</v>
      </c>
      <c r="B12" s="89" t="s">
        <v>246</v>
      </c>
      <c r="C12" s="9">
        <v>45664</v>
      </c>
      <c r="D12" t="s">
        <v>248</v>
      </c>
      <c r="E12" t="s">
        <v>247</v>
      </c>
      <c r="F12" t="s">
        <v>249</v>
      </c>
      <c r="G12" t="s">
        <v>118</v>
      </c>
      <c r="H12" s="59">
        <v>2684.5</v>
      </c>
      <c r="I12" t="s">
        <v>250</v>
      </c>
      <c r="J12" t="s">
        <v>273</v>
      </c>
      <c r="K12" s="11" t="s">
        <v>715</v>
      </c>
      <c r="L12" s="11" t="s">
        <v>715</v>
      </c>
      <c r="M12" s="11" t="s">
        <v>715</v>
      </c>
    </row>
    <row r="13" spans="1:13" x14ac:dyDescent="0.25">
      <c r="A13" s="90">
        <f t="shared" si="0"/>
        <v>12</v>
      </c>
      <c r="B13" s="89" t="s">
        <v>251</v>
      </c>
      <c r="C13" s="9">
        <v>45667</v>
      </c>
      <c r="D13" t="s">
        <v>252</v>
      </c>
      <c r="E13" t="s">
        <v>253</v>
      </c>
      <c r="F13" t="s">
        <v>254</v>
      </c>
      <c r="G13" t="s">
        <v>118</v>
      </c>
      <c r="H13" s="59">
        <v>1101.5999999999999</v>
      </c>
      <c r="I13" t="s">
        <v>255</v>
      </c>
      <c r="J13" t="s">
        <v>223</v>
      </c>
      <c r="K13" s="11" t="s">
        <v>715</v>
      </c>
      <c r="L13" s="11" t="s">
        <v>715</v>
      </c>
      <c r="M13" s="11" t="s">
        <v>715</v>
      </c>
    </row>
    <row r="14" spans="1:13" x14ac:dyDescent="0.25">
      <c r="A14" s="90">
        <f t="shared" si="0"/>
        <v>13</v>
      </c>
      <c r="B14" s="89" t="s">
        <v>256</v>
      </c>
      <c r="C14" s="9">
        <v>45672</v>
      </c>
      <c r="D14" t="s">
        <v>257</v>
      </c>
      <c r="E14" t="s">
        <v>258</v>
      </c>
      <c r="F14" t="s">
        <v>259</v>
      </c>
      <c r="G14" t="s">
        <v>118</v>
      </c>
      <c r="H14" s="59">
        <v>2762</v>
      </c>
      <c r="I14" t="s">
        <v>260</v>
      </c>
      <c r="J14" t="s">
        <v>261</v>
      </c>
      <c r="K14" s="11" t="s">
        <v>715</v>
      </c>
      <c r="L14" s="11" t="s">
        <v>715</v>
      </c>
      <c r="M14" s="11" t="s">
        <v>715</v>
      </c>
    </row>
    <row r="15" spans="1:13" x14ac:dyDescent="0.25">
      <c r="A15" s="90">
        <f t="shared" si="0"/>
        <v>14</v>
      </c>
      <c r="B15" s="89" t="s">
        <v>262</v>
      </c>
      <c r="C15" s="9">
        <v>45307</v>
      </c>
      <c r="D15" t="s">
        <v>263</v>
      </c>
      <c r="E15" t="s">
        <v>264</v>
      </c>
      <c r="F15" t="s">
        <v>265</v>
      </c>
      <c r="G15" t="s">
        <v>118</v>
      </c>
      <c r="H15" s="59">
        <v>1151</v>
      </c>
      <c r="I15" t="s">
        <v>266</v>
      </c>
      <c r="J15" t="s">
        <v>267</v>
      </c>
      <c r="K15" s="11" t="s">
        <v>715</v>
      </c>
      <c r="L15" s="11" t="s">
        <v>715</v>
      </c>
      <c r="M15" s="11" t="s">
        <v>715</v>
      </c>
    </row>
    <row r="16" spans="1:13" x14ac:dyDescent="0.25">
      <c r="A16" s="90">
        <f t="shared" si="0"/>
        <v>15</v>
      </c>
      <c r="B16" s="89" t="s">
        <v>268</v>
      </c>
      <c r="C16" s="9">
        <v>45666</v>
      </c>
      <c r="D16" t="s">
        <v>269</v>
      </c>
      <c r="E16" t="s">
        <v>270</v>
      </c>
      <c r="F16" t="s">
        <v>271</v>
      </c>
      <c r="G16" t="s">
        <v>118</v>
      </c>
      <c r="H16" s="59">
        <v>3466.7</v>
      </c>
      <c r="I16" t="s">
        <v>272</v>
      </c>
      <c r="J16" t="s">
        <v>223</v>
      </c>
      <c r="K16" s="11" t="s">
        <v>715</v>
      </c>
      <c r="L16" s="11" t="s">
        <v>715</v>
      </c>
      <c r="M16" s="11" t="s">
        <v>715</v>
      </c>
    </row>
    <row r="17" spans="1:13" x14ac:dyDescent="0.25">
      <c r="A17" s="90">
        <f t="shared" si="0"/>
        <v>16</v>
      </c>
      <c r="B17" s="89" t="s">
        <v>274</v>
      </c>
      <c r="C17" s="9">
        <v>45668</v>
      </c>
      <c r="D17" t="s">
        <v>275</v>
      </c>
      <c r="E17" t="s">
        <v>276</v>
      </c>
      <c r="F17" t="s">
        <v>277</v>
      </c>
      <c r="G17" t="s">
        <v>118</v>
      </c>
      <c r="H17" s="59">
        <v>2526</v>
      </c>
      <c r="I17" t="s">
        <v>278</v>
      </c>
      <c r="J17" t="s">
        <v>279</v>
      </c>
      <c r="K17" s="11" t="s">
        <v>715</v>
      </c>
      <c r="L17" s="11" t="s">
        <v>715</v>
      </c>
      <c r="M17" s="11" t="s">
        <v>715</v>
      </c>
    </row>
    <row r="18" spans="1:13" x14ac:dyDescent="0.25">
      <c r="A18" s="92">
        <f t="shared" si="0"/>
        <v>17</v>
      </c>
      <c r="B18" s="89" t="s">
        <v>280</v>
      </c>
      <c r="C18" s="9">
        <v>45674</v>
      </c>
      <c r="D18" t="s">
        <v>281</v>
      </c>
      <c r="E18" t="s">
        <v>282</v>
      </c>
      <c r="F18" t="s">
        <v>283</v>
      </c>
      <c r="G18" t="s">
        <v>190</v>
      </c>
      <c r="H18" s="59">
        <v>5113.28</v>
      </c>
      <c r="I18" t="s">
        <v>284</v>
      </c>
      <c r="J18" t="s">
        <v>295</v>
      </c>
      <c r="K18" s="11" t="s">
        <v>715</v>
      </c>
      <c r="L18" s="11" t="s">
        <v>715</v>
      </c>
      <c r="M18" s="11" t="s">
        <v>715</v>
      </c>
    </row>
    <row r="19" spans="1:13" x14ac:dyDescent="0.25">
      <c r="A19" s="88">
        <f t="shared" si="0"/>
        <v>18</v>
      </c>
      <c r="B19" s="89" t="s">
        <v>285</v>
      </c>
      <c r="C19" s="9">
        <v>45677</v>
      </c>
      <c r="D19" t="s">
        <v>286</v>
      </c>
      <c r="E19" t="s">
        <v>287</v>
      </c>
      <c r="F19" t="s">
        <v>288</v>
      </c>
      <c r="G19" t="s">
        <v>190</v>
      </c>
      <c r="H19" s="59">
        <v>1134</v>
      </c>
      <c r="I19" t="s">
        <v>289</v>
      </c>
      <c r="J19" s="11" t="s">
        <v>296</v>
      </c>
      <c r="K19" s="11" t="s">
        <v>715</v>
      </c>
      <c r="L19" s="11" t="s">
        <v>715</v>
      </c>
      <c r="M19" s="11" t="s">
        <v>715</v>
      </c>
    </row>
    <row r="20" spans="1:13" x14ac:dyDescent="0.25">
      <c r="A20" s="90">
        <f t="shared" si="0"/>
        <v>19</v>
      </c>
      <c r="B20" s="89" t="s">
        <v>290</v>
      </c>
      <c r="C20" s="9">
        <v>45663</v>
      </c>
      <c r="D20" t="s">
        <v>291</v>
      </c>
      <c r="E20" t="s">
        <v>292</v>
      </c>
      <c r="F20" t="s">
        <v>293</v>
      </c>
      <c r="G20" t="s">
        <v>118</v>
      </c>
      <c r="H20" s="59">
        <v>1801.48</v>
      </c>
      <c r="I20" t="s">
        <v>294</v>
      </c>
      <c r="J20" s="11" t="s">
        <v>309</v>
      </c>
      <c r="K20" s="11" t="s">
        <v>715</v>
      </c>
      <c r="L20" s="11" t="s">
        <v>715</v>
      </c>
      <c r="M20" s="11" t="s">
        <v>715</v>
      </c>
    </row>
    <row r="21" spans="1:13" x14ac:dyDescent="0.25">
      <c r="A21" s="90">
        <f t="shared" si="0"/>
        <v>20</v>
      </c>
      <c r="B21" s="89" t="s">
        <v>297</v>
      </c>
      <c r="C21" s="9">
        <v>45678</v>
      </c>
      <c r="D21" t="s">
        <v>298</v>
      </c>
      <c r="E21" t="s">
        <v>299</v>
      </c>
      <c r="F21" t="s">
        <v>300</v>
      </c>
      <c r="G21" t="s">
        <v>118</v>
      </c>
      <c r="H21" s="59">
        <v>2698</v>
      </c>
      <c r="I21" t="s">
        <v>301</v>
      </c>
      <c r="J21" s="11" t="s">
        <v>310</v>
      </c>
      <c r="K21" s="11" t="s">
        <v>715</v>
      </c>
      <c r="L21" s="11" t="s">
        <v>715</v>
      </c>
      <c r="M21" s="11" t="s">
        <v>715</v>
      </c>
    </row>
    <row r="22" spans="1:13" x14ac:dyDescent="0.25">
      <c r="A22" s="88">
        <f t="shared" si="0"/>
        <v>21</v>
      </c>
      <c r="B22" s="89" t="s">
        <v>302</v>
      </c>
      <c r="C22" s="9">
        <v>45678</v>
      </c>
      <c r="D22" t="s">
        <v>303</v>
      </c>
      <c r="E22" t="s">
        <v>304</v>
      </c>
      <c r="F22" t="s">
        <v>305</v>
      </c>
      <c r="G22" t="s">
        <v>190</v>
      </c>
      <c r="H22" s="59">
        <v>1135</v>
      </c>
      <c r="I22" t="s">
        <v>306</v>
      </c>
      <c r="J22" s="11" t="s">
        <v>295</v>
      </c>
      <c r="K22" s="11" t="s">
        <v>715</v>
      </c>
      <c r="L22" s="11" t="s">
        <v>715</v>
      </c>
      <c r="M22" s="11" t="s">
        <v>715</v>
      </c>
    </row>
    <row r="23" spans="1:13" x14ac:dyDescent="0.25">
      <c r="A23" s="90">
        <f t="shared" si="0"/>
        <v>22</v>
      </c>
      <c r="B23" s="89" t="s">
        <v>307</v>
      </c>
      <c r="C23" s="9">
        <v>45679</v>
      </c>
      <c r="D23" t="s">
        <v>275</v>
      </c>
      <c r="E23" t="s">
        <v>276</v>
      </c>
      <c r="F23" t="s">
        <v>277</v>
      </c>
      <c r="G23" t="s">
        <v>118</v>
      </c>
      <c r="H23" s="59">
        <v>1178</v>
      </c>
      <c r="I23" t="s">
        <v>308</v>
      </c>
      <c r="J23" s="11" t="s">
        <v>316</v>
      </c>
      <c r="K23" s="11" t="s">
        <v>715</v>
      </c>
      <c r="L23" s="11" t="s">
        <v>715</v>
      </c>
      <c r="M23" s="11" t="s">
        <v>715</v>
      </c>
    </row>
    <row r="24" spans="1:13" x14ac:dyDescent="0.25">
      <c r="A24" s="90">
        <f t="shared" si="0"/>
        <v>23</v>
      </c>
      <c r="B24" s="89" t="s">
        <v>311</v>
      </c>
      <c r="C24" s="9">
        <v>45677</v>
      </c>
      <c r="D24" t="s">
        <v>312</v>
      </c>
      <c r="E24" t="s">
        <v>313</v>
      </c>
      <c r="F24" t="s">
        <v>314</v>
      </c>
      <c r="G24" t="s">
        <v>118</v>
      </c>
      <c r="H24" s="59">
        <v>2916.75</v>
      </c>
      <c r="I24" t="s">
        <v>315</v>
      </c>
      <c r="J24" s="11" t="s">
        <v>192</v>
      </c>
      <c r="K24" s="11" t="s">
        <v>715</v>
      </c>
      <c r="L24" s="11" t="s">
        <v>715</v>
      </c>
      <c r="M24" s="11" t="s">
        <v>715</v>
      </c>
    </row>
    <row r="25" spans="1:13" x14ac:dyDescent="0.25">
      <c r="A25" s="88">
        <f t="shared" si="0"/>
        <v>24</v>
      </c>
      <c r="B25" s="89" t="s">
        <v>317</v>
      </c>
      <c r="C25" s="9">
        <v>45681</v>
      </c>
      <c r="D25" t="s">
        <v>318</v>
      </c>
      <c r="E25" t="s">
        <v>319</v>
      </c>
      <c r="F25" t="s">
        <v>320</v>
      </c>
      <c r="G25" t="s">
        <v>190</v>
      </c>
      <c r="H25" s="59">
        <v>1050</v>
      </c>
      <c r="I25" t="s">
        <v>321</v>
      </c>
      <c r="J25" s="11" t="s">
        <v>322</v>
      </c>
      <c r="K25" s="11" t="s">
        <v>715</v>
      </c>
      <c r="L25" s="11" t="s">
        <v>715</v>
      </c>
      <c r="M25" s="11" t="s">
        <v>715</v>
      </c>
    </row>
    <row r="26" spans="1:13" x14ac:dyDescent="0.25">
      <c r="A26" s="88">
        <f t="shared" si="0"/>
        <v>25</v>
      </c>
      <c r="B26" s="89" t="s">
        <v>323</v>
      </c>
      <c r="C26" s="9">
        <v>45680</v>
      </c>
      <c r="D26" t="s">
        <v>324</v>
      </c>
      <c r="E26" t="s">
        <v>325</v>
      </c>
      <c r="F26" t="s">
        <v>326</v>
      </c>
      <c r="G26" t="s">
        <v>190</v>
      </c>
      <c r="H26" s="59">
        <v>1417</v>
      </c>
      <c r="I26" t="s">
        <v>327</v>
      </c>
      <c r="J26" s="11" t="s">
        <v>339</v>
      </c>
      <c r="K26" s="11" t="s">
        <v>715</v>
      </c>
      <c r="L26" s="11" t="s">
        <v>715</v>
      </c>
      <c r="M26" s="11" t="s">
        <v>715</v>
      </c>
    </row>
    <row r="27" spans="1:13" x14ac:dyDescent="0.25">
      <c r="A27" s="93">
        <f t="shared" si="0"/>
        <v>26</v>
      </c>
      <c r="B27" s="89" t="s">
        <v>328</v>
      </c>
      <c r="C27" s="9">
        <v>45681</v>
      </c>
      <c r="D27" t="s">
        <v>329</v>
      </c>
      <c r="E27" t="s">
        <v>330</v>
      </c>
      <c r="F27" t="s">
        <v>331</v>
      </c>
      <c r="G27" t="s">
        <v>118</v>
      </c>
      <c r="H27" s="59">
        <v>14055.72</v>
      </c>
      <c r="I27" t="s">
        <v>332</v>
      </c>
      <c r="J27" s="11" t="s">
        <v>333</v>
      </c>
      <c r="K27" s="11" t="s">
        <v>715</v>
      </c>
      <c r="L27" s="11" t="s">
        <v>715</v>
      </c>
      <c r="M27" s="11" t="s">
        <v>715</v>
      </c>
    </row>
    <row r="28" spans="1:13" x14ac:dyDescent="0.25">
      <c r="A28" s="93">
        <f t="shared" si="0"/>
        <v>27</v>
      </c>
      <c r="B28" s="89" t="s">
        <v>334</v>
      </c>
      <c r="C28" s="9">
        <v>45684</v>
      </c>
      <c r="D28" t="s">
        <v>335</v>
      </c>
      <c r="E28" t="s">
        <v>336</v>
      </c>
      <c r="F28" t="s">
        <v>337</v>
      </c>
      <c r="G28" t="s">
        <v>118</v>
      </c>
      <c r="H28" s="59">
        <v>3634.17</v>
      </c>
      <c r="I28" t="s">
        <v>203</v>
      </c>
      <c r="J28" s="11" t="s">
        <v>338</v>
      </c>
      <c r="K28" s="11" t="s">
        <v>715</v>
      </c>
      <c r="L28" s="11" t="s">
        <v>715</v>
      </c>
      <c r="M28" s="11" t="s">
        <v>715</v>
      </c>
    </row>
    <row r="29" spans="1:13" x14ac:dyDescent="0.25">
      <c r="A29" s="88">
        <f t="shared" si="0"/>
        <v>28</v>
      </c>
      <c r="B29" s="89" t="s">
        <v>340</v>
      </c>
      <c r="C29" s="9">
        <v>45684</v>
      </c>
      <c r="D29" t="s">
        <v>714</v>
      </c>
      <c r="E29" t="s">
        <v>342</v>
      </c>
      <c r="F29" t="s">
        <v>343</v>
      </c>
      <c r="G29" t="s">
        <v>190</v>
      </c>
      <c r="H29" s="59">
        <v>1383.6</v>
      </c>
      <c r="I29" t="s">
        <v>344</v>
      </c>
      <c r="J29" s="11" t="s">
        <v>192</v>
      </c>
      <c r="K29" s="11" t="s">
        <v>715</v>
      </c>
      <c r="L29" s="11" t="s">
        <v>715</v>
      </c>
      <c r="M29" s="11" t="s">
        <v>715</v>
      </c>
    </row>
    <row r="30" spans="1:13" x14ac:dyDescent="0.25">
      <c r="A30" s="90">
        <f t="shared" si="0"/>
        <v>29</v>
      </c>
      <c r="B30" s="89" t="s">
        <v>345</v>
      </c>
      <c r="C30" s="9">
        <v>45672</v>
      </c>
      <c r="D30" t="s">
        <v>346</v>
      </c>
      <c r="E30" t="s">
        <v>348</v>
      </c>
      <c r="F30" t="s">
        <v>347</v>
      </c>
      <c r="G30" t="s">
        <v>118</v>
      </c>
      <c r="H30" s="59">
        <v>1560.05</v>
      </c>
      <c r="I30" t="s">
        <v>349</v>
      </c>
      <c r="J30" s="11" t="s">
        <v>365</v>
      </c>
      <c r="K30" s="11" t="s">
        <v>715</v>
      </c>
      <c r="L30" s="11" t="s">
        <v>715</v>
      </c>
      <c r="M30" s="11" t="s">
        <v>715</v>
      </c>
    </row>
    <row r="31" spans="1:13" x14ac:dyDescent="0.25">
      <c r="A31" s="88">
        <f t="shared" si="0"/>
        <v>30</v>
      </c>
      <c r="B31" s="89" t="s">
        <v>350</v>
      </c>
      <c r="C31" s="9">
        <v>45685</v>
      </c>
      <c r="D31" t="s">
        <v>351</v>
      </c>
      <c r="E31" t="s">
        <v>352</v>
      </c>
      <c r="F31" t="s">
        <v>353</v>
      </c>
      <c r="G31" t="s">
        <v>190</v>
      </c>
      <c r="H31" s="59">
        <v>3339</v>
      </c>
      <c r="I31" t="s">
        <v>354</v>
      </c>
      <c r="J31" s="11" t="s">
        <v>366</v>
      </c>
      <c r="K31" s="11" t="s">
        <v>715</v>
      </c>
      <c r="L31" s="11" t="s">
        <v>715</v>
      </c>
      <c r="M31" s="11" t="s">
        <v>715</v>
      </c>
    </row>
    <row r="32" spans="1:13" x14ac:dyDescent="0.25">
      <c r="A32" s="90">
        <f t="shared" si="0"/>
        <v>31</v>
      </c>
      <c r="B32" s="89" t="s">
        <v>355</v>
      </c>
      <c r="C32" s="9">
        <v>45686</v>
      </c>
      <c r="D32" t="s">
        <v>356</v>
      </c>
      <c r="E32" t="s">
        <v>357</v>
      </c>
      <c r="F32" t="s">
        <v>358</v>
      </c>
      <c r="G32" t="s">
        <v>118</v>
      </c>
      <c r="H32" s="59">
        <v>1741</v>
      </c>
      <c r="I32" t="s">
        <v>359</v>
      </c>
      <c r="J32" s="11" t="s">
        <v>221</v>
      </c>
      <c r="K32" s="11" t="s">
        <v>715</v>
      </c>
      <c r="L32" s="11" t="s">
        <v>715</v>
      </c>
      <c r="M32" s="11" t="s">
        <v>715</v>
      </c>
    </row>
    <row r="33" spans="1:13" x14ac:dyDescent="0.25">
      <c r="A33" s="88">
        <f t="shared" si="0"/>
        <v>32</v>
      </c>
      <c r="B33" s="89" t="s">
        <v>360</v>
      </c>
      <c r="C33" s="9">
        <v>45688</v>
      </c>
      <c r="D33" t="s">
        <v>361</v>
      </c>
      <c r="E33" t="s">
        <v>362</v>
      </c>
      <c r="F33" t="s">
        <v>363</v>
      </c>
      <c r="G33" t="s">
        <v>190</v>
      </c>
      <c r="H33" s="59">
        <v>1729</v>
      </c>
      <c r="I33" t="s">
        <v>364</v>
      </c>
      <c r="J33" s="11" t="s">
        <v>223</v>
      </c>
      <c r="K33" s="11" t="s">
        <v>715</v>
      </c>
      <c r="L33" s="11" t="s">
        <v>715</v>
      </c>
      <c r="M33" s="11" t="s">
        <v>715</v>
      </c>
    </row>
    <row r="34" spans="1:13" x14ac:dyDescent="0.25">
      <c r="A34" s="90">
        <f t="shared" si="0"/>
        <v>33</v>
      </c>
      <c r="B34" s="89" t="s">
        <v>367</v>
      </c>
      <c r="C34" s="9">
        <v>45688</v>
      </c>
      <c r="D34" t="s">
        <v>381</v>
      </c>
      <c r="E34" t="s">
        <v>368</v>
      </c>
      <c r="F34" t="s">
        <v>369</v>
      </c>
      <c r="G34" t="s">
        <v>118</v>
      </c>
      <c r="H34" s="59">
        <v>2557.8000000000002</v>
      </c>
      <c r="I34" t="s">
        <v>370</v>
      </c>
      <c r="J34" s="11" t="s">
        <v>192</v>
      </c>
      <c r="K34" s="11" t="s">
        <v>715</v>
      </c>
      <c r="L34" s="11" t="s">
        <v>715</v>
      </c>
      <c r="M34" s="11" t="s">
        <v>715</v>
      </c>
    </row>
    <row r="35" spans="1:13" x14ac:dyDescent="0.25">
      <c r="A35" s="90">
        <f t="shared" si="0"/>
        <v>34</v>
      </c>
      <c r="B35" s="89" t="s">
        <v>371</v>
      </c>
      <c r="C35" s="9">
        <v>45689</v>
      </c>
      <c r="D35" t="s">
        <v>372</v>
      </c>
      <c r="E35" t="s">
        <v>373</v>
      </c>
      <c r="F35" t="s">
        <v>374</v>
      </c>
      <c r="G35" t="s">
        <v>118</v>
      </c>
      <c r="H35" s="59">
        <v>1122</v>
      </c>
      <c r="I35" t="s">
        <v>375</v>
      </c>
      <c r="J35" s="11" t="s">
        <v>388</v>
      </c>
      <c r="K35" s="11" t="s">
        <v>715</v>
      </c>
      <c r="L35" s="11" t="s">
        <v>715</v>
      </c>
      <c r="M35" s="11" t="s">
        <v>715</v>
      </c>
    </row>
    <row r="36" spans="1:13" x14ac:dyDescent="0.25">
      <c r="A36" s="91">
        <f t="shared" si="0"/>
        <v>35</v>
      </c>
      <c r="B36" s="89" t="s">
        <v>376</v>
      </c>
      <c r="C36" s="9">
        <v>45692</v>
      </c>
      <c r="D36" t="s">
        <v>377</v>
      </c>
      <c r="E36" t="s">
        <v>378</v>
      </c>
      <c r="F36" t="s">
        <v>379</v>
      </c>
      <c r="G36" t="s">
        <v>190</v>
      </c>
      <c r="H36" s="59">
        <v>1183</v>
      </c>
      <c r="I36" t="s">
        <v>380</v>
      </c>
      <c r="J36" s="11" t="s">
        <v>387</v>
      </c>
      <c r="K36" s="11" t="s">
        <v>715</v>
      </c>
      <c r="L36" s="11" t="s">
        <v>715</v>
      </c>
      <c r="M36" s="11" t="s">
        <v>715</v>
      </c>
    </row>
    <row r="37" spans="1:13" x14ac:dyDescent="0.25">
      <c r="A37" s="93">
        <f t="shared" si="0"/>
        <v>36</v>
      </c>
      <c r="B37" s="89" t="s">
        <v>382</v>
      </c>
      <c r="C37" s="9">
        <v>45692</v>
      </c>
      <c r="D37" t="s">
        <v>383</v>
      </c>
      <c r="E37" t="s">
        <v>384</v>
      </c>
      <c r="F37" t="s">
        <v>385</v>
      </c>
      <c r="G37" t="s">
        <v>118</v>
      </c>
      <c r="H37" s="59">
        <v>1595</v>
      </c>
      <c r="I37" t="s">
        <v>386</v>
      </c>
      <c r="J37" s="11" t="s">
        <v>295</v>
      </c>
      <c r="K37" s="11" t="s">
        <v>715</v>
      </c>
      <c r="L37" s="11" t="s">
        <v>715</v>
      </c>
      <c r="M37" s="11" t="s">
        <v>715</v>
      </c>
    </row>
    <row r="38" spans="1:13" x14ac:dyDescent="0.25">
      <c r="A38" s="91">
        <f t="shared" si="0"/>
        <v>37</v>
      </c>
      <c r="B38" s="89" t="s">
        <v>389</v>
      </c>
      <c r="C38" s="9">
        <v>45693</v>
      </c>
      <c r="D38" t="s">
        <v>377</v>
      </c>
      <c r="E38" t="s">
        <v>378</v>
      </c>
      <c r="F38" t="s">
        <v>379</v>
      </c>
      <c r="G38" t="s">
        <v>118</v>
      </c>
      <c r="H38" s="59">
        <v>2118.17</v>
      </c>
      <c r="I38" t="s">
        <v>390</v>
      </c>
      <c r="J38" s="11" t="s">
        <v>387</v>
      </c>
      <c r="K38" s="11" t="s">
        <v>715</v>
      </c>
      <c r="L38" s="11" t="s">
        <v>715</v>
      </c>
      <c r="M38" s="11" t="s">
        <v>715</v>
      </c>
    </row>
    <row r="39" spans="1:13" x14ac:dyDescent="0.25">
      <c r="A39" s="91">
        <f t="shared" si="0"/>
        <v>38</v>
      </c>
      <c r="B39" s="89" t="s">
        <v>391</v>
      </c>
      <c r="C39" s="9">
        <v>45693</v>
      </c>
      <c r="D39" t="s">
        <v>392</v>
      </c>
      <c r="E39" t="s">
        <v>393</v>
      </c>
      <c r="F39" t="s">
        <v>394</v>
      </c>
      <c r="G39" t="s">
        <v>190</v>
      </c>
      <c r="H39" s="59">
        <v>1852</v>
      </c>
      <c r="I39" t="s">
        <v>395</v>
      </c>
      <c r="J39" s="11" t="s">
        <v>396</v>
      </c>
      <c r="K39" s="11" t="s">
        <v>715</v>
      </c>
      <c r="L39" s="11" t="s">
        <v>715</v>
      </c>
      <c r="M39" s="11" t="s">
        <v>715</v>
      </c>
    </row>
    <row r="40" spans="1:13" x14ac:dyDescent="0.25">
      <c r="A40" s="88">
        <f t="shared" si="0"/>
        <v>39</v>
      </c>
      <c r="B40" s="94" t="s">
        <v>397</v>
      </c>
      <c r="C40" s="9">
        <v>45695</v>
      </c>
      <c r="D40" t="s">
        <v>398</v>
      </c>
      <c r="E40" t="s">
        <v>399</v>
      </c>
      <c r="F40" t="s">
        <v>400</v>
      </c>
      <c r="G40" t="s">
        <v>190</v>
      </c>
      <c r="H40" s="59">
        <v>1083</v>
      </c>
      <c r="I40" t="s">
        <v>401</v>
      </c>
      <c r="J40" s="11" t="s">
        <v>402</v>
      </c>
      <c r="K40" s="11" t="s">
        <v>715</v>
      </c>
      <c r="L40" s="11" t="s">
        <v>715</v>
      </c>
      <c r="M40" s="11" t="s">
        <v>715</v>
      </c>
    </row>
    <row r="41" spans="1:13" x14ac:dyDescent="0.25">
      <c r="A41" s="90">
        <f t="shared" si="0"/>
        <v>40</v>
      </c>
      <c r="B41" s="89" t="s">
        <v>403</v>
      </c>
      <c r="C41" s="9">
        <v>45695</v>
      </c>
      <c r="D41" t="s">
        <v>404</v>
      </c>
      <c r="E41" t="s">
        <v>405</v>
      </c>
      <c r="F41" t="s">
        <v>406</v>
      </c>
      <c r="G41" t="s">
        <v>118</v>
      </c>
      <c r="H41" s="59">
        <v>1528</v>
      </c>
      <c r="I41" t="s">
        <v>407</v>
      </c>
      <c r="J41" s="11" t="s">
        <v>408</v>
      </c>
      <c r="K41" s="11" t="s">
        <v>715</v>
      </c>
      <c r="L41" s="11" t="s">
        <v>715</v>
      </c>
      <c r="M41" s="11" t="s">
        <v>715</v>
      </c>
    </row>
    <row r="42" spans="1:13" x14ac:dyDescent="0.25">
      <c r="A42" s="90">
        <f t="shared" si="0"/>
        <v>41</v>
      </c>
      <c r="B42" s="89" t="s">
        <v>409</v>
      </c>
      <c r="C42" s="9">
        <v>45696</v>
      </c>
      <c r="D42" t="s">
        <v>410</v>
      </c>
      <c r="E42" t="s">
        <v>411</v>
      </c>
      <c r="F42" t="s">
        <v>412</v>
      </c>
      <c r="G42" t="s">
        <v>413</v>
      </c>
      <c r="H42" s="59">
        <v>2456</v>
      </c>
      <c r="I42" t="s">
        <v>414</v>
      </c>
      <c r="J42" s="11" t="s">
        <v>223</v>
      </c>
      <c r="K42" s="11" t="s">
        <v>715</v>
      </c>
      <c r="L42" s="11" t="s">
        <v>715</v>
      </c>
      <c r="M42" s="11" t="s">
        <v>715</v>
      </c>
    </row>
    <row r="43" spans="1:13" x14ac:dyDescent="0.25">
      <c r="A43" s="88">
        <f t="shared" si="0"/>
        <v>42</v>
      </c>
      <c r="B43" s="89" t="s">
        <v>415</v>
      </c>
      <c r="C43" s="9">
        <v>45699</v>
      </c>
      <c r="D43" t="s">
        <v>416</v>
      </c>
      <c r="E43" t="s">
        <v>417</v>
      </c>
      <c r="F43" t="s">
        <v>418</v>
      </c>
      <c r="G43" t="s">
        <v>119</v>
      </c>
      <c r="H43" s="59">
        <v>950</v>
      </c>
      <c r="I43" t="s">
        <v>419</v>
      </c>
      <c r="J43" s="11" t="s">
        <v>430</v>
      </c>
      <c r="K43" s="11" t="s">
        <v>715</v>
      </c>
      <c r="L43" s="11" t="s">
        <v>715</v>
      </c>
      <c r="M43" s="11" t="s">
        <v>715</v>
      </c>
    </row>
    <row r="44" spans="1:13" x14ac:dyDescent="0.25">
      <c r="A44" s="90">
        <f t="shared" si="0"/>
        <v>43</v>
      </c>
      <c r="B44" s="89" t="s">
        <v>420</v>
      </c>
      <c r="C44" s="9">
        <v>45699</v>
      </c>
      <c r="D44" t="s">
        <v>421</v>
      </c>
      <c r="E44" t="s">
        <v>422</v>
      </c>
      <c r="F44" t="s">
        <v>423</v>
      </c>
      <c r="G44" t="s">
        <v>118</v>
      </c>
      <c r="H44" s="59">
        <v>5816</v>
      </c>
      <c r="I44" t="s">
        <v>424</v>
      </c>
      <c r="J44" s="11" t="s">
        <v>223</v>
      </c>
      <c r="K44" s="11" t="s">
        <v>715</v>
      </c>
      <c r="L44" s="11" t="s">
        <v>715</v>
      </c>
      <c r="M44" s="11" t="s">
        <v>715</v>
      </c>
    </row>
    <row r="45" spans="1:13" x14ac:dyDescent="0.25">
      <c r="A45" s="88">
        <f t="shared" si="0"/>
        <v>44</v>
      </c>
      <c r="B45" s="89" t="s">
        <v>425</v>
      </c>
      <c r="C45" s="9">
        <v>45687</v>
      </c>
      <c r="D45" t="s">
        <v>426</v>
      </c>
      <c r="E45" t="s">
        <v>427</v>
      </c>
      <c r="F45" t="s">
        <v>428</v>
      </c>
      <c r="G45" t="s">
        <v>190</v>
      </c>
      <c r="H45" s="59">
        <v>1795.6</v>
      </c>
      <c r="I45" t="s">
        <v>429</v>
      </c>
      <c r="J45" s="11" t="s">
        <v>295</v>
      </c>
      <c r="K45" s="11" t="s">
        <v>715</v>
      </c>
      <c r="L45" s="11" t="s">
        <v>715</v>
      </c>
      <c r="M45" s="11" t="s">
        <v>715</v>
      </c>
    </row>
    <row r="46" spans="1:13" x14ac:dyDescent="0.25">
      <c r="A46" s="90">
        <f t="shared" si="0"/>
        <v>45</v>
      </c>
      <c r="B46" s="89" t="s">
        <v>431</v>
      </c>
      <c r="C46" s="9">
        <v>45698</v>
      </c>
      <c r="D46" t="s">
        <v>432</v>
      </c>
      <c r="E46" t="s">
        <v>433</v>
      </c>
      <c r="F46" t="s">
        <v>434</v>
      </c>
      <c r="G46" t="s">
        <v>118</v>
      </c>
      <c r="H46" s="59">
        <v>1053</v>
      </c>
      <c r="I46" t="s">
        <v>435</v>
      </c>
      <c r="J46" s="11" t="s">
        <v>322</v>
      </c>
      <c r="K46" s="11" t="s">
        <v>715</v>
      </c>
      <c r="L46" s="11" t="s">
        <v>715</v>
      </c>
      <c r="M46" s="11" t="s">
        <v>715</v>
      </c>
    </row>
    <row r="47" spans="1:13" x14ac:dyDescent="0.25">
      <c r="A47" s="90">
        <f t="shared" si="0"/>
        <v>46</v>
      </c>
      <c r="B47" s="89" t="s">
        <v>436</v>
      </c>
      <c r="C47" s="9">
        <v>45700</v>
      </c>
      <c r="D47" t="s">
        <v>437</v>
      </c>
      <c r="E47" t="s">
        <v>438</v>
      </c>
      <c r="F47" t="s">
        <v>439</v>
      </c>
      <c r="G47" t="s">
        <v>118</v>
      </c>
      <c r="H47" s="59">
        <v>1788</v>
      </c>
      <c r="I47" t="s">
        <v>440</v>
      </c>
      <c r="J47" s="11" t="s">
        <v>446</v>
      </c>
      <c r="K47" s="11" t="s">
        <v>715</v>
      </c>
      <c r="L47" s="11" t="s">
        <v>715</v>
      </c>
      <c r="M47" s="11" t="s">
        <v>715</v>
      </c>
    </row>
    <row r="48" spans="1:13" x14ac:dyDescent="0.25">
      <c r="A48" s="88">
        <f t="shared" si="0"/>
        <v>47</v>
      </c>
      <c r="B48" s="89" t="s">
        <v>441</v>
      </c>
      <c r="C48" s="9">
        <v>45701</v>
      </c>
      <c r="D48" t="s">
        <v>442</v>
      </c>
      <c r="E48" t="s">
        <v>443</v>
      </c>
      <c r="F48" t="s">
        <v>444</v>
      </c>
      <c r="G48" t="s">
        <v>119</v>
      </c>
      <c r="H48" s="59">
        <v>2240</v>
      </c>
      <c r="I48" t="s">
        <v>445</v>
      </c>
      <c r="J48" s="11" t="s">
        <v>447</v>
      </c>
      <c r="K48" s="11" t="s">
        <v>715</v>
      </c>
      <c r="L48" s="11" t="s">
        <v>715</v>
      </c>
      <c r="M48" s="11" t="s">
        <v>715</v>
      </c>
    </row>
    <row r="49" spans="1:13" x14ac:dyDescent="0.25">
      <c r="A49" s="88">
        <f t="shared" si="0"/>
        <v>48</v>
      </c>
      <c r="B49" s="89" t="s">
        <v>448</v>
      </c>
      <c r="C49" s="9">
        <v>45694</v>
      </c>
      <c r="D49" t="s">
        <v>449</v>
      </c>
      <c r="E49" t="s">
        <v>450</v>
      </c>
      <c r="F49" t="s">
        <v>451</v>
      </c>
      <c r="G49" t="s">
        <v>190</v>
      </c>
      <c r="H49" s="59">
        <v>6282</v>
      </c>
      <c r="I49" t="s">
        <v>452</v>
      </c>
      <c r="J49" s="11" t="s">
        <v>316</v>
      </c>
      <c r="K49" s="11" t="s">
        <v>715</v>
      </c>
      <c r="L49" s="11" t="s">
        <v>715</v>
      </c>
      <c r="M49" s="11" t="s">
        <v>715</v>
      </c>
    </row>
    <row r="50" spans="1:13" x14ac:dyDescent="0.25">
      <c r="A50" s="90">
        <f t="shared" si="0"/>
        <v>49</v>
      </c>
      <c r="B50" s="89" t="s">
        <v>453</v>
      </c>
      <c r="C50" s="9">
        <v>45702</v>
      </c>
      <c r="D50" t="s">
        <v>275</v>
      </c>
      <c r="E50" t="s">
        <v>276</v>
      </c>
      <c r="F50" t="s">
        <v>277</v>
      </c>
      <c r="G50" t="s">
        <v>118</v>
      </c>
      <c r="H50" s="59">
        <v>1091.72</v>
      </c>
      <c r="I50" t="s">
        <v>454</v>
      </c>
      <c r="J50" s="11" t="s">
        <v>470</v>
      </c>
      <c r="K50" s="11" t="s">
        <v>715</v>
      </c>
      <c r="L50" s="11" t="s">
        <v>715</v>
      </c>
      <c r="M50" s="11" t="s">
        <v>715</v>
      </c>
    </row>
    <row r="51" spans="1:13" x14ac:dyDescent="0.25">
      <c r="A51" s="90">
        <f t="shared" si="0"/>
        <v>50</v>
      </c>
      <c r="B51" s="89" t="s">
        <v>455</v>
      </c>
      <c r="C51" s="9">
        <v>45701</v>
      </c>
      <c r="D51" t="s">
        <v>456</v>
      </c>
      <c r="E51" t="s">
        <v>457</v>
      </c>
      <c r="F51" t="s">
        <v>458</v>
      </c>
      <c r="G51" t="s">
        <v>118</v>
      </c>
      <c r="H51" s="59">
        <v>704.74</v>
      </c>
      <c r="I51" t="s">
        <v>459</v>
      </c>
      <c r="J51" s="11" t="s">
        <v>295</v>
      </c>
      <c r="K51" s="11" t="s">
        <v>715</v>
      </c>
      <c r="L51" s="11" t="s">
        <v>715</v>
      </c>
      <c r="M51" s="11" t="s">
        <v>715</v>
      </c>
    </row>
    <row r="52" spans="1:13" x14ac:dyDescent="0.25">
      <c r="A52" s="92">
        <f t="shared" si="0"/>
        <v>51</v>
      </c>
      <c r="B52" s="95" t="s">
        <v>460</v>
      </c>
      <c r="C52" s="9">
        <v>45705</v>
      </c>
      <c r="D52" t="s">
        <v>461</v>
      </c>
      <c r="E52" t="s">
        <v>462</v>
      </c>
      <c r="F52" t="s">
        <v>463</v>
      </c>
      <c r="G52" t="s">
        <v>190</v>
      </c>
      <c r="H52" s="59">
        <v>7238.4</v>
      </c>
      <c r="I52" t="s">
        <v>464</v>
      </c>
      <c r="J52" s="11" t="s">
        <v>471</v>
      </c>
      <c r="K52" s="11" t="s">
        <v>715</v>
      </c>
      <c r="L52" s="11" t="s">
        <v>715</v>
      </c>
      <c r="M52" s="11" t="s">
        <v>715</v>
      </c>
    </row>
    <row r="53" spans="1:13" x14ac:dyDescent="0.25">
      <c r="A53" s="88">
        <f t="shared" si="0"/>
        <v>52</v>
      </c>
      <c r="B53" s="89" t="s">
        <v>465</v>
      </c>
      <c r="C53" s="9">
        <v>45692</v>
      </c>
      <c r="D53" t="s">
        <v>466</v>
      </c>
      <c r="E53" t="s">
        <v>467</v>
      </c>
      <c r="F53" t="s">
        <v>468</v>
      </c>
      <c r="G53" t="s">
        <v>190</v>
      </c>
      <c r="H53" s="59">
        <v>1574.4</v>
      </c>
      <c r="I53" t="s">
        <v>469</v>
      </c>
      <c r="J53" s="11" t="s">
        <v>316</v>
      </c>
      <c r="K53" s="11" t="s">
        <v>715</v>
      </c>
      <c r="L53" s="11" t="s">
        <v>715</v>
      </c>
      <c r="M53" s="11" t="s">
        <v>715</v>
      </c>
    </row>
    <row r="54" spans="1:13" x14ac:dyDescent="0.25">
      <c r="A54" s="93">
        <f t="shared" si="0"/>
        <v>53</v>
      </c>
      <c r="B54" s="89" t="s">
        <v>472</v>
      </c>
      <c r="C54" s="9">
        <v>45706</v>
      </c>
      <c r="D54" t="s">
        <v>383</v>
      </c>
      <c r="E54" t="s">
        <v>384</v>
      </c>
      <c r="F54" t="s">
        <v>473</v>
      </c>
      <c r="G54" t="s">
        <v>118</v>
      </c>
      <c r="H54" s="59">
        <v>5104</v>
      </c>
      <c r="I54" t="s">
        <v>474</v>
      </c>
      <c r="J54" s="11" t="s">
        <v>322</v>
      </c>
      <c r="K54" s="11" t="s">
        <v>715</v>
      </c>
      <c r="L54" s="11" t="s">
        <v>715</v>
      </c>
      <c r="M54" s="11" t="s">
        <v>715</v>
      </c>
    </row>
    <row r="55" spans="1:13" x14ac:dyDescent="0.25">
      <c r="A55" s="91">
        <f t="shared" si="0"/>
        <v>54</v>
      </c>
      <c r="B55" s="89" t="s">
        <v>475</v>
      </c>
      <c r="C55" s="9">
        <v>45695</v>
      </c>
      <c r="D55" t="s">
        <v>476</v>
      </c>
      <c r="E55" t="s">
        <v>477</v>
      </c>
      <c r="F55" t="s">
        <v>478</v>
      </c>
      <c r="G55" t="s">
        <v>119</v>
      </c>
      <c r="H55" s="59">
        <v>3198</v>
      </c>
      <c r="I55" t="s">
        <v>479</v>
      </c>
      <c r="J55" s="11" t="s">
        <v>480</v>
      </c>
      <c r="K55" s="11" t="s">
        <v>715</v>
      </c>
      <c r="L55" s="11" t="s">
        <v>715</v>
      </c>
      <c r="M55" s="11" t="s">
        <v>715</v>
      </c>
    </row>
    <row r="56" spans="1:13" x14ac:dyDescent="0.25">
      <c r="A56" s="90">
        <f t="shared" si="0"/>
        <v>55</v>
      </c>
      <c r="B56" s="89" t="s">
        <v>481</v>
      </c>
      <c r="C56" s="9">
        <v>45701</v>
      </c>
      <c r="D56" t="s">
        <v>482</v>
      </c>
      <c r="E56" t="s">
        <v>483</v>
      </c>
      <c r="F56" t="s">
        <v>484</v>
      </c>
      <c r="G56" t="s">
        <v>118</v>
      </c>
      <c r="H56" s="59">
        <v>4207.8</v>
      </c>
      <c r="I56" t="s">
        <v>485</v>
      </c>
      <c r="J56" s="11" t="s">
        <v>491</v>
      </c>
      <c r="K56" s="11" t="s">
        <v>715</v>
      </c>
      <c r="L56" s="11" t="s">
        <v>715</v>
      </c>
      <c r="M56" s="11" t="s">
        <v>715</v>
      </c>
    </row>
    <row r="57" spans="1:13" x14ac:dyDescent="0.25">
      <c r="A57" s="90">
        <f t="shared" si="0"/>
        <v>56</v>
      </c>
      <c r="B57" s="89" t="s">
        <v>486</v>
      </c>
      <c r="C57" s="9">
        <v>45693</v>
      </c>
      <c r="D57" t="s">
        <v>487</v>
      </c>
      <c r="E57" s="9" t="s">
        <v>488</v>
      </c>
      <c r="F57" t="s">
        <v>489</v>
      </c>
      <c r="G57" t="s">
        <v>118</v>
      </c>
      <c r="H57" s="59">
        <v>3213</v>
      </c>
      <c r="I57" t="s">
        <v>490</v>
      </c>
      <c r="J57" s="11" t="s">
        <v>223</v>
      </c>
      <c r="K57" s="11" t="s">
        <v>715</v>
      </c>
      <c r="L57" s="11" t="s">
        <v>715</v>
      </c>
      <c r="M57" s="11" t="s">
        <v>715</v>
      </c>
    </row>
    <row r="58" spans="1:13" x14ac:dyDescent="0.25">
      <c r="A58" s="90">
        <f t="shared" si="0"/>
        <v>57</v>
      </c>
      <c r="B58" s="89" t="s">
        <v>492</v>
      </c>
      <c r="C58" s="9">
        <v>45708</v>
      </c>
      <c r="D58" t="s">
        <v>404</v>
      </c>
      <c r="E58" t="s">
        <v>405</v>
      </c>
      <c r="F58" t="s">
        <v>493</v>
      </c>
      <c r="G58" t="s">
        <v>118</v>
      </c>
      <c r="H58" s="59">
        <v>1122</v>
      </c>
      <c r="I58" t="s">
        <v>375</v>
      </c>
      <c r="J58" s="11" t="s">
        <v>494</v>
      </c>
      <c r="K58" s="11" t="s">
        <v>715</v>
      </c>
      <c r="L58" s="11" t="s">
        <v>715</v>
      </c>
      <c r="M58" s="11" t="s">
        <v>715</v>
      </c>
    </row>
    <row r="59" spans="1:13" x14ac:dyDescent="0.25">
      <c r="A59" s="90">
        <f t="shared" si="0"/>
        <v>58</v>
      </c>
      <c r="B59" s="89" t="s">
        <v>495</v>
      </c>
      <c r="C59" s="9">
        <v>45708</v>
      </c>
      <c r="D59" t="s">
        <v>404</v>
      </c>
      <c r="E59" t="s">
        <v>405</v>
      </c>
      <c r="F59" t="s">
        <v>406</v>
      </c>
      <c r="G59" t="s">
        <v>118</v>
      </c>
      <c r="H59" s="59">
        <v>384</v>
      </c>
      <c r="I59" t="s">
        <v>440</v>
      </c>
      <c r="J59" s="11" t="s">
        <v>494</v>
      </c>
      <c r="K59" s="11" t="s">
        <v>715</v>
      </c>
      <c r="L59" s="11" t="s">
        <v>715</v>
      </c>
      <c r="M59" s="11" t="s">
        <v>715</v>
      </c>
    </row>
    <row r="60" spans="1:13" x14ac:dyDescent="0.25">
      <c r="A60" s="88">
        <f t="shared" si="0"/>
        <v>59</v>
      </c>
      <c r="B60" s="89" t="s">
        <v>496</v>
      </c>
      <c r="C60" s="9">
        <v>45708</v>
      </c>
      <c r="D60" t="s">
        <v>497</v>
      </c>
      <c r="E60" t="s">
        <v>498</v>
      </c>
      <c r="F60" t="s">
        <v>499</v>
      </c>
      <c r="G60" t="s">
        <v>190</v>
      </c>
      <c r="H60" s="59">
        <v>957.6</v>
      </c>
      <c r="I60" t="s">
        <v>500</v>
      </c>
      <c r="J60" s="11" t="s">
        <v>526</v>
      </c>
      <c r="K60" s="11" t="s">
        <v>715</v>
      </c>
      <c r="L60" s="11" t="s">
        <v>715</v>
      </c>
      <c r="M60" s="11" t="s">
        <v>715</v>
      </c>
    </row>
    <row r="61" spans="1:13" x14ac:dyDescent="0.25">
      <c r="A61" s="90">
        <f t="shared" si="0"/>
        <v>60</v>
      </c>
      <c r="B61" s="89" t="s">
        <v>501</v>
      </c>
      <c r="C61" s="9">
        <v>45705</v>
      </c>
      <c r="D61" t="s">
        <v>275</v>
      </c>
      <c r="E61" t="s">
        <v>502</v>
      </c>
      <c r="F61" t="s">
        <v>277</v>
      </c>
      <c r="G61" t="s">
        <v>118</v>
      </c>
      <c r="H61" s="59">
        <v>1877.5</v>
      </c>
      <c r="I61" t="s">
        <v>503</v>
      </c>
      <c r="J61" s="11" t="s">
        <v>322</v>
      </c>
      <c r="K61" s="11" t="s">
        <v>715</v>
      </c>
      <c r="L61" s="11" t="s">
        <v>715</v>
      </c>
      <c r="M61" s="11" t="s">
        <v>715</v>
      </c>
    </row>
    <row r="62" spans="1:13" x14ac:dyDescent="0.25">
      <c r="A62" s="88">
        <f t="shared" si="0"/>
        <v>61</v>
      </c>
      <c r="B62" s="89" t="s">
        <v>504</v>
      </c>
      <c r="C62" s="9">
        <v>45705</v>
      </c>
      <c r="D62" t="s">
        <v>505</v>
      </c>
      <c r="E62" t="s">
        <v>506</v>
      </c>
      <c r="F62" t="s">
        <v>507</v>
      </c>
      <c r="G62" t="s">
        <v>118</v>
      </c>
      <c r="H62" s="59">
        <v>1138.48</v>
      </c>
      <c r="I62" t="s">
        <v>508</v>
      </c>
      <c r="J62" s="11" t="s">
        <v>509</v>
      </c>
      <c r="K62" s="11" t="s">
        <v>715</v>
      </c>
      <c r="L62" s="11" t="s">
        <v>715</v>
      </c>
      <c r="M62" s="11" t="s">
        <v>715</v>
      </c>
    </row>
    <row r="63" spans="1:13" x14ac:dyDescent="0.25">
      <c r="A63" s="90">
        <f t="shared" si="0"/>
        <v>62</v>
      </c>
      <c r="B63" s="89" t="s">
        <v>510</v>
      </c>
      <c r="C63" s="9">
        <v>45709</v>
      </c>
      <c r="D63" t="s">
        <v>511</v>
      </c>
      <c r="E63" t="s">
        <v>512</v>
      </c>
      <c r="F63" t="s">
        <v>513</v>
      </c>
      <c r="G63" t="s">
        <v>118</v>
      </c>
      <c r="H63" s="59">
        <v>2508</v>
      </c>
      <c r="I63" t="s">
        <v>514</v>
      </c>
      <c r="J63" s="11" t="s">
        <v>215</v>
      </c>
      <c r="K63" s="11" t="s">
        <v>715</v>
      </c>
      <c r="L63" s="11" t="s">
        <v>715</v>
      </c>
      <c r="M63" s="11" t="s">
        <v>715</v>
      </c>
    </row>
    <row r="64" spans="1:13" x14ac:dyDescent="0.25">
      <c r="A64" s="92">
        <f t="shared" si="0"/>
        <v>63</v>
      </c>
      <c r="B64" s="89" t="s">
        <v>515</v>
      </c>
      <c r="C64" s="9">
        <v>45709</v>
      </c>
      <c r="D64" t="s">
        <v>516</v>
      </c>
      <c r="E64" t="s">
        <v>517</v>
      </c>
      <c r="F64" t="s">
        <v>518</v>
      </c>
      <c r="G64" t="s">
        <v>190</v>
      </c>
      <c r="H64" s="59">
        <v>3485.8</v>
      </c>
      <c r="I64" t="s">
        <v>519</v>
      </c>
      <c r="J64" s="11" t="s">
        <v>215</v>
      </c>
      <c r="K64" s="11" t="s">
        <v>715</v>
      </c>
      <c r="L64" s="11" t="s">
        <v>715</v>
      </c>
      <c r="M64" s="11" t="s">
        <v>715</v>
      </c>
    </row>
    <row r="65" spans="1:13" x14ac:dyDescent="0.25">
      <c r="A65" s="90">
        <f t="shared" si="0"/>
        <v>64</v>
      </c>
      <c r="B65" s="89" t="s">
        <v>520</v>
      </c>
      <c r="C65" s="9">
        <v>45713</v>
      </c>
      <c r="D65" t="s">
        <v>521</v>
      </c>
      <c r="E65" t="s">
        <v>522</v>
      </c>
      <c r="F65" t="s">
        <v>523</v>
      </c>
      <c r="G65" t="s">
        <v>118</v>
      </c>
      <c r="H65" s="59">
        <v>1263</v>
      </c>
      <c r="I65" t="s">
        <v>524</v>
      </c>
      <c r="J65" s="11" t="s">
        <v>525</v>
      </c>
      <c r="K65" s="11" t="s">
        <v>715</v>
      </c>
      <c r="L65" s="11" t="s">
        <v>715</v>
      </c>
      <c r="M65" s="11" t="s">
        <v>715</v>
      </c>
    </row>
    <row r="66" spans="1:13" x14ac:dyDescent="0.25">
      <c r="A66" s="90">
        <f t="shared" si="0"/>
        <v>65</v>
      </c>
      <c r="B66" s="89" t="s">
        <v>527</v>
      </c>
      <c r="C66" s="9">
        <v>45714</v>
      </c>
      <c r="D66" t="s">
        <v>528</v>
      </c>
      <c r="E66" t="s">
        <v>529</v>
      </c>
      <c r="F66" t="s">
        <v>530</v>
      </c>
      <c r="G66" t="s">
        <v>118</v>
      </c>
      <c r="H66" s="59">
        <v>1446.4</v>
      </c>
      <c r="I66" t="s">
        <v>531</v>
      </c>
      <c r="J66" s="11" t="s">
        <v>316</v>
      </c>
      <c r="K66" s="11" t="s">
        <v>715</v>
      </c>
      <c r="L66" s="11" t="s">
        <v>715</v>
      </c>
      <c r="M66" s="11" t="s">
        <v>715</v>
      </c>
    </row>
    <row r="67" spans="1:13" x14ac:dyDescent="0.25">
      <c r="A67" s="88">
        <f t="shared" si="0"/>
        <v>66</v>
      </c>
      <c r="B67" s="89" t="s">
        <v>532</v>
      </c>
      <c r="C67" s="9">
        <v>45714</v>
      </c>
      <c r="D67" t="s">
        <v>533</v>
      </c>
      <c r="E67" t="s">
        <v>534</v>
      </c>
      <c r="F67" t="s">
        <v>535</v>
      </c>
      <c r="G67" t="s">
        <v>119</v>
      </c>
      <c r="H67" s="59">
        <v>1210</v>
      </c>
      <c r="I67" t="s">
        <v>536</v>
      </c>
      <c r="J67" s="11" t="s">
        <v>223</v>
      </c>
      <c r="K67" s="11" t="s">
        <v>715</v>
      </c>
      <c r="L67" s="11" t="s">
        <v>715</v>
      </c>
      <c r="M67" s="11" t="s">
        <v>715</v>
      </c>
    </row>
    <row r="68" spans="1:13" x14ac:dyDescent="0.25">
      <c r="A68" s="90">
        <f t="shared" ref="A68:A131" si="1">A67+1</f>
        <v>67</v>
      </c>
      <c r="B68" s="89" t="s">
        <v>537</v>
      </c>
      <c r="C68" s="9">
        <v>45715</v>
      </c>
      <c r="D68" t="s">
        <v>538</v>
      </c>
      <c r="E68" t="s">
        <v>539</v>
      </c>
      <c r="F68" t="s">
        <v>540</v>
      </c>
      <c r="G68" t="s">
        <v>118</v>
      </c>
      <c r="H68" s="59">
        <v>2992</v>
      </c>
      <c r="I68" t="s">
        <v>541</v>
      </c>
      <c r="J68" s="11" t="s">
        <v>229</v>
      </c>
      <c r="K68" s="11" t="s">
        <v>715</v>
      </c>
      <c r="L68" s="11" t="s">
        <v>715</v>
      </c>
      <c r="M68" s="11" t="s">
        <v>715</v>
      </c>
    </row>
    <row r="69" spans="1:13" x14ac:dyDescent="0.25">
      <c r="A69" s="90">
        <f t="shared" si="1"/>
        <v>68</v>
      </c>
      <c r="B69" s="89" t="s">
        <v>542</v>
      </c>
      <c r="C69" s="9">
        <v>45715</v>
      </c>
      <c r="D69" t="s">
        <v>528</v>
      </c>
      <c r="E69" t="s">
        <v>529</v>
      </c>
      <c r="F69" t="s">
        <v>530</v>
      </c>
      <c r="G69" t="s">
        <v>118</v>
      </c>
      <c r="H69" s="59">
        <v>1438</v>
      </c>
      <c r="I69" t="s">
        <v>543</v>
      </c>
      <c r="J69" s="11" t="s">
        <v>316</v>
      </c>
      <c r="K69" s="11" t="s">
        <v>715</v>
      </c>
      <c r="L69" s="11" t="s">
        <v>715</v>
      </c>
      <c r="M69" s="11" t="s">
        <v>715</v>
      </c>
    </row>
    <row r="70" spans="1:13" x14ac:dyDescent="0.25">
      <c r="A70" s="90">
        <f t="shared" si="1"/>
        <v>69</v>
      </c>
      <c r="B70" s="89" t="s">
        <v>544</v>
      </c>
      <c r="C70" s="9">
        <v>45716</v>
      </c>
      <c r="D70" t="s">
        <v>505</v>
      </c>
      <c r="E70" t="s">
        <v>506</v>
      </c>
      <c r="F70" t="s">
        <v>507</v>
      </c>
      <c r="G70" t="s">
        <v>118</v>
      </c>
      <c r="H70" s="59">
        <v>1061</v>
      </c>
      <c r="I70" t="s">
        <v>545</v>
      </c>
      <c r="J70" s="11" t="s">
        <v>316</v>
      </c>
      <c r="K70" s="11" t="s">
        <v>715</v>
      </c>
      <c r="L70" s="11" t="s">
        <v>715</v>
      </c>
      <c r="M70" s="11" t="s">
        <v>715</v>
      </c>
    </row>
    <row r="71" spans="1:13" x14ac:dyDescent="0.25">
      <c r="A71" s="90">
        <f t="shared" si="1"/>
        <v>70</v>
      </c>
      <c r="B71" s="89" t="s">
        <v>546</v>
      </c>
      <c r="C71" s="9">
        <v>45716</v>
      </c>
      <c r="D71" t="s">
        <v>547</v>
      </c>
      <c r="E71" t="s">
        <v>548</v>
      </c>
      <c r="F71" t="s">
        <v>549</v>
      </c>
      <c r="G71" t="s">
        <v>118</v>
      </c>
      <c r="H71" s="59">
        <v>2755</v>
      </c>
      <c r="I71" t="s">
        <v>550</v>
      </c>
      <c r="J71" s="11" t="s">
        <v>556</v>
      </c>
      <c r="K71" s="11" t="s">
        <v>715</v>
      </c>
      <c r="L71" s="11" t="s">
        <v>715</v>
      </c>
      <c r="M71" s="11" t="s">
        <v>715</v>
      </c>
    </row>
    <row r="72" spans="1:13" x14ac:dyDescent="0.25">
      <c r="A72" s="90">
        <f t="shared" si="1"/>
        <v>71</v>
      </c>
      <c r="B72" s="89" t="s">
        <v>551</v>
      </c>
      <c r="C72" s="9">
        <v>45717</v>
      </c>
      <c r="D72" t="s">
        <v>552</v>
      </c>
      <c r="E72" t="s">
        <v>553</v>
      </c>
      <c r="F72" t="s">
        <v>554</v>
      </c>
      <c r="G72" t="s">
        <v>118</v>
      </c>
      <c r="H72" s="59">
        <v>1309</v>
      </c>
      <c r="I72" t="s">
        <v>555</v>
      </c>
      <c r="J72" s="11" t="s">
        <v>557</v>
      </c>
      <c r="K72" s="11" t="s">
        <v>715</v>
      </c>
      <c r="L72" s="11" t="s">
        <v>715</v>
      </c>
      <c r="M72" t="s">
        <v>715</v>
      </c>
    </row>
    <row r="73" spans="1:13" x14ac:dyDescent="0.25">
      <c r="A73" s="88">
        <f t="shared" si="1"/>
        <v>72</v>
      </c>
      <c r="B73" s="89" t="s">
        <v>558</v>
      </c>
      <c r="C73" s="9">
        <v>45719</v>
      </c>
      <c r="D73" t="s">
        <v>559</v>
      </c>
      <c r="E73" t="s">
        <v>560</v>
      </c>
      <c r="F73" t="s">
        <v>561</v>
      </c>
      <c r="G73" t="s">
        <v>190</v>
      </c>
      <c r="H73" s="59">
        <v>1360</v>
      </c>
      <c r="I73" t="s">
        <v>562</v>
      </c>
      <c r="J73" s="11" t="s">
        <v>338</v>
      </c>
      <c r="K73" s="11" t="s">
        <v>715</v>
      </c>
      <c r="L73" s="11" t="s">
        <v>715</v>
      </c>
      <c r="M73" t="s">
        <v>715</v>
      </c>
    </row>
    <row r="74" spans="1:13" x14ac:dyDescent="0.25">
      <c r="A74" s="90">
        <f t="shared" si="1"/>
        <v>73</v>
      </c>
      <c r="B74" s="89" t="s">
        <v>563</v>
      </c>
      <c r="C74" s="9">
        <v>45715</v>
      </c>
      <c r="D74" t="s">
        <v>564</v>
      </c>
      <c r="E74" t="s">
        <v>565</v>
      </c>
      <c r="F74" t="s">
        <v>566</v>
      </c>
      <c r="G74" t="s">
        <v>118</v>
      </c>
      <c r="H74" s="59">
        <v>2518.1</v>
      </c>
      <c r="I74" t="s">
        <v>567</v>
      </c>
      <c r="J74" s="11" t="s">
        <v>223</v>
      </c>
      <c r="K74" s="11" t="s">
        <v>715</v>
      </c>
      <c r="L74" s="11" t="s">
        <v>715</v>
      </c>
      <c r="M74" t="s">
        <v>715</v>
      </c>
    </row>
    <row r="75" spans="1:13" x14ac:dyDescent="0.25">
      <c r="A75" s="88">
        <f t="shared" si="1"/>
        <v>74</v>
      </c>
      <c r="B75" s="89" t="s">
        <v>569</v>
      </c>
      <c r="C75" s="9">
        <v>45716</v>
      </c>
      <c r="D75" t="s">
        <v>570</v>
      </c>
      <c r="E75" t="s">
        <v>571</v>
      </c>
      <c r="F75" t="s">
        <v>572</v>
      </c>
      <c r="G75" t="s">
        <v>190</v>
      </c>
      <c r="H75" s="59">
        <v>1640.3</v>
      </c>
      <c r="I75" t="s">
        <v>573</v>
      </c>
      <c r="J75" s="11" t="s">
        <v>322</v>
      </c>
      <c r="K75" s="11" t="s">
        <v>715</v>
      </c>
      <c r="L75" s="11" t="s">
        <v>715</v>
      </c>
      <c r="M75" t="s">
        <v>715</v>
      </c>
    </row>
    <row r="76" spans="1:13" x14ac:dyDescent="0.25">
      <c r="A76" s="90">
        <f t="shared" si="1"/>
        <v>75</v>
      </c>
      <c r="B76" s="89" t="s">
        <v>574</v>
      </c>
      <c r="C76" s="9">
        <v>45721</v>
      </c>
      <c r="D76" t="s">
        <v>575</v>
      </c>
      <c r="E76" t="s">
        <v>576</v>
      </c>
      <c r="F76" t="s">
        <v>577</v>
      </c>
      <c r="G76" t="s">
        <v>118</v>
      </c>
      <c r="H76" s="59">
        <v>1650</v>
      </c>
      <c r="I76" t="s">
        <v>578</v>
      </c>
      <c r="J76" s="11" t="s">
        <v>215</v>
      </c>
      <c r="K76" s="11" t="s">
        <v>715</v>
      </c>
      <c r="L76" t="s">
        <v>715</v>
      </c>
      <c r="M76" t="s">
        <v>715</v>
      </c>
    </row>
    <row r="77" spans="1:13" x14ac:dyDescent="0.25">
      <c r="A77" s="88">
        <f t="shared" si="1"/>
        <v>76</v>
      </c>
      <c r="B77" s="89" t="s">
        <v>579</v>
      </c>
      <c r="C77" s="9">
        <v>45722</v>
      </c>
      <c r="D77" t="s">
        <v>580</v>
      </c>
      <c r="E77" t="s">
        <v>581</v>
      </c>
      <c r="F77" t="s">
        <v>582</v>
      </c>
      <c r="G77" t="s">
        <v>190</v>
      </c>
      <c r="H77" s="59">
        <v>3979.97</v>
      </c>
      <c r="I77" t="s">
        <v>583</v>
      </c>
      <c r="J77" s="11" t="s">
        <v>223</v>
      </c>
      <c r="K77" s="11" t="s">
        <v>715</v>
      </c>
      <c r="L77" t="s">
        <v>715</v>
      </c>
      <c r="M77" t="s">
        <v>715</v>
      </c>
    </row>
    <row r="78" spans="1:13" x14ac:dyDescent="0.25">
      <c r="A78" s="92">
        <f t="shared" si="1"/>
        <v>77</v>
      </c>
      <c r="B78" s="89" t="s">
        <v>584</v>
      </c>
      <c r="C78" s="9">
        <v>45724</v>
      </c>
      <c r="D78" t="s">
        <v>585</v>
      </c>
      <c r="E78" t="s">
        <v>586</v>
      </c>
      <c r="F78" t="s">
        <v>587</v>
      </c>
      <c r="G78" t="s">
        <v>190</v>
      </c>
      <c r="H78" s="59">
        <v>11044.55</v>
      </c>
      <c r="I78" t="s">
        <v>588</v>
      </c>
      <c r="J78" s="11" t="s">
        <v>192</v>
      </c>
      <c r="K78" s="11" t="s">
        <v>715</v>
      </c>
      <c r="L78" t="s">
        <v>715</v>
      </c>
      <c r="M78" t="s">
        <v>715</v>
      </c>
    </row>
    <row r="79" spans="1:13" x14ac:dyDescent="0.25">
      <c r="A79" s="90">
        <f t="shared" si="1"/>
        <v>78</v>
      </c>
      <c r="B79" s="89" t="s">
        <v>589</v>
      </c>
      <c r="C79" s="9">
        <v>45664</v>
      </c>
      <c r="D79" t="s">
        <v>590</v>
      </c>
      <c r="E79" t="s">
        <v>591</v>
      </c>
      <c r="F79" t="s">
        <v>592</v>
      </c>
      <c r="G79" t="s">
        <v>118</v>
      </c>
      <c r="H79" s="59">
        <v>7671.17</v>
      </c>
      <c r="I79" t="s">
        <v>593</v>
      </c>
      <c r="J79" s="11" t="s">
        <v>629</v>
      </c>
      <c r="K79" s="11" t="s">
        <v>715</v>
      </c>
      <c r="L79" t="s">
        <v>715</v>
      </c>
      <c r="M79" t="s">
        <v>715</v>
      </c>
    </row>
    <row r="80" spans="1:13" x14ac:dyDescent="0.25">
      <c r="A80" s="90">
        <f t="shared" si="1"/>
        <v>79</v>
      </c>
      <c r="B80" s="89" t="s">
        <v>594</v>
      </c>
      <c r="C80" s="9">
        <v>45724</v>
      </c>
      <c r="D80" t="s">
        <v>595</v>
      </c>
      <c r="E80" t="s">
        <v>596</v>
      </c>
      <c r="F80" t="s">
        <v>597</v>
      </c>
      <c r="G80" t="s">
        <v>118</v>
      </c>
      <c r="H80" s="59">
        <v>4998.6000000000004</v>
      </c>
      <c r="I80" t="s">
        <v>598</v>
      </c>
      <c r="J80" s="11" t="s">
        <v>295</v>
      </c>
      <c r="K80" s="11" t="s">
        <v>715</v>
      </c>
      <c r="L80" t="s">
        <v>715</v>
      </c>
      <c r="M80" t="s">
        <v>715</v>
      </c>
    </row>
    <row r="81" spans="1:13" x14ac:dyDescent="0.25">
      <c r="A81" s="88">
        <f t="shared" si="1"/>
        <v>80</v>
      </c>
      <c r="B81" s="89" t="s">
        <v>599</v>
      </c>
      <c r="C81" s="9">
        <v>45715</v>
      </c>
      <c r="D81" t="s">
        <v>600</v>
      </c>
      <c r="E81" t="s">
        <v>601</v>
      </c>
      <c r="F81" t="s">
        <v>602</v>
      </c>
      <c r="G81" t="s">
        <v>190</v>
      </c>
      <c r="H81" s="59">
        <v>1835</v>
      </c>
      <c r="I81" t="s">
        <v>603</v>
      </c>
      <c r="J81" s="11" t="s">
        <v>192</v>
      </c>
      <c r="K81" s="11" t="s">
        <v>715</v>
      </c>
      <c r="L81" t="s">
        <v>715</v>
      </c>
      <c r="M81" t="s">
        <v>715</v>
      </c>
    </row>
    <row r="82" spans="1:13" x14ac:dyDescent="0.25">
      <c r="A82" s="90">
        <f t="shared" si="1"/>
        <v>81</v>
      </c>
      <c r="B82" s="89" t="s">
        <v>604</v>
      </c>
      <c r="C82" s="9">
        <v>45722</v>
      </c>
      <c r="D82" t="s">
        <v>605</v>
      </c>
      <c r="E82" t="s">
        <v>606</v>
      </c>
      <c r="F82" t="s">
        <v>607</v>
      </c>
      <c r="G82" t="s">
        <v>118</v>
      </c>
      <c r="H82" s="59">
        <v>1434.68</v>
      </c>
      <c r="I82" t="s">
        <v>608</v>
      </c>
      <c r="J82" s="11" t="s">
        <v>630</v>
      </c>
      <c r="K82" s="11" t="s">
        <v>715</v>
      </c>
      <c r="L82" t="s">
        <v>715</v>
      </c>
      <c r="M82" t="s">
        <v>715</v>
      </c>
    </row>
    <row r="83" spans="1:13" x14ac:dyDescent="0.25">
      <c r="A83" s="88">
        <f t="shared" si="1"/>
        <v>82</v>
      </c>
      <c r="B83" s="89" t="s">
        <v>609</v>
      </c>
      <c r="C83" s="9">
        <v>45723</v>
      </c>
      <c r="D83" t="s">
        <v>610</v>
      </c>
      <c r="E83" t="s">
        <v>611</v>
      </c>
      <c r="F83" t="s">
        <v>612</v>
      </c>
      <c r="G83" t="s">
        <v>190</v>
      </c>
      <c r="H83" s="59">
        <v>3430.6</v>
      </c>
      <c r="I83" t="s">
        <v>613</v>
      </c>
      <c r="J83" s="11" t="s">
        <v>192</v>
      </c>
      <c r="K83" s="11" t="s">
        <v>715</v>
      </c>
      <c r="L83" t="s">
        <v>715</v>
      </c>
      <c r="M83" t="s">
        <v>715</v>
      </c>
    </row>
    <row r="84" spans="1:13" x14ac:dyDescent="0.25">
      <c r="A84" s="90">
        <f t="shared" si="1"/>
        <v>83</v>
      </c>
      <c r="B84" s="89" t="s">
        <v>614</v>
      </c>
      <c r="C84" s="9">
        <v>45728</v>
      </c>
      <c r="D84" t="s">
        <v>615</v>
      </c>
      <c r="E84" t="s">
        <v>616</v>
      </c>
      <c r="F84" t="s">
        <v>617</v>
      </c>
      <c r="G84" t="s">
        <v>118</v>
      </c>
      <c r="H84" s="59">
        <v>1596</v>
      </c>
      <c r="I84" t="s">
        <v>618</v>
      </c>
      <c r="J84" s="11" t="s">
        <v>192</v>
      </c>
      <c r="K84" s="11" t="s">
        <v>715</v>
      </c>
      <c r="L84" t="s">
        <v>715</v>
      </c>
      <c r="M84" t="s">
        <v>715</v>
      </c>
    </row>
    <row r="85" spans="1:13" x14ac:dyDescent="0.25">
      <c r="A85" s="90">
        <f t="shared" si="1"/>
        <v>84</v>
      </c>
      <c r="B85" s="89" t="s">
        <v>619</v>
      </c>
      <c r="C85" s="9">
        <v>45729</v>
      </c>
      <c r="D85" t="s">
        <v>620</v>
      </c>
      <c r="E85" t="s">
        <v>621</v>
      </c>
      <c r="F85" t="s">
        <v>622</v>
      </c>
      <c r="G85" t="s">
        <v>118</v>
      </c>
      <c r="H85" s="59">
        <v>2334</v>
      </c>
      <c r="I85" t="s">
        <v>623</v>
      </c>
      <c r="J85" s="11" t="s">
        <v>631</v>
      </c>
      <c r="K85" s="11" t="s">
        <v>715</v>
      </c>
      <c r="L85" t="s">
        <v>715</v>
      </c>
      <c r="M85" t="s">
        <v>715</v>
      </c>
    </row>
    <row r="86" spans="1:13" x14ac:dyDescent="0.25">
      <c r="A86" s="90">
        <f t="shared" si="1"/>
        <v>85</v>
      </c>
      <c r="B86" s="89" t="s">
        <v>624</v>
      </c>
      <c r="C86" s="9">
        <v>45729</v>
      </c>
      <c r="D86" t="s">
        <v>625</v>
      </c>
      <c r="E86" t="s">
        <v>626</v>
      </c>
      <c r="F86" t="s">
        <v>627</v>
      </c>
      <c r="G86" t="s">
        <v>118</v>
      </c>
      <c r="H86" s="59">
        <v>1589</v>
      </c>
      <c r="I86" t="s">
        <v>628</v>
      </c>
      <c r="J86" s="11" t="s">
        <v>632</v>
      </c>
      <c r="K86" s="11" t="s">
        <v>715</v>
      </c>
      <c r="L86" t="s">
        <v>715</v>
      </c>
      <c r="M86" t="s">
        <v>715</v>
      </c>
    </row>
    <row r="87" spans="1:13" x14ac:dyDescent="0.25">
      <c r="A87" s="90">
        <f t="shared" si="1"/>
        <v>86</v>
      </c>
      <c r="B87" s="89" t="s">
        <v>633</v>
      </c>
      <c r="C87" s="9">
        <v>45727</v>
      </c>
      <c r="D87" t="s">
        <v>634</v>
      </c>
      <c r="E87" t="s">
        <v>635</v>
      </c>
      <c r="F87" t="s">
        <v>636</v>
      </c>
      <c r="G87" t="s">
        <v>118</v>
      </c>
      <c r="H87" s="59">
        <v>1519.2</v>
      </c>
      <c r="I87" t="s">
        <v>637</v>
      </c>
      <c r="J87" s="11" t="s">
        <v>646</v>
      </c>
      <c r="K87" s="11" t="s">
        <v>715</v>
      </c>
      <c r="L87" t="s">
        <v>715</v>
      </c>
      <c r="M87" t="s">
        <v>715</v>
      </c>
    </row>
    <row r="88" spans="1:13" x14ac:dyDescent="0.25">
      <c r="A88" s="90">
        <f t="shared" si="1"/>
        <v>87</v>
      </c>
      <c r="B88" s="89" t="s">
        <v>641</v>
      </c>
      <c r="C88" s="9">
        <v>45734</v>
      </c>
      <c r="D88" t="s">
        <v>642</v>
      </c>
      <c r="E88" t="s">
        <v>643</v>
      </c>
      <c r="F88" t="s">
        <v>644</v>
      </c>
      <c r="G88" t="s">
        <v>118</v>
      </c>
      <c r="H88" s="59">
        <v>7261.74</v>
      </c>
      <c r="I88" t="s">
        <v>645</v>
      </c>
      <c r="J88" s="11" t="s">
        <v>192</v>
      </c>
      <c r="K88" s="11" t="s">
        <v>715</v>
      </c>
      <c r="L88" t="s">
        <v>715</v>
      </c>
      <c r="M88" t="s">
        <v>715</v>
      </c>
    </row>
    <row r="89" spans="1:13" x14ac:dyDescent="0.25">
      <c r="A89" s="88">
        <f t="shared" si="1"/>
        <v>88</v>
      </c>
      <c r="B89" s="89" t="s">
        <v>647</v>
      </c>
      <c r="C89" s="9">
        <v>45734</v>
      </c>
      <c r="D89" t="s">
        <v>648</v>
      </c>
      <c r="E89" t="s">
        <v>649</v>
      </c>
      <c r="F89" t="s">
        <v>650</v>
      </c>
      <c r="G89" t="s">
        <v>119</v>
      </c>
      <c r="H89" s="59">
        <v>1359</v>
      </c>
      <c r="I89" t="s">
        <v>651</v>
      </c>
      <c r="J89" s="11" t="s">
        <v>657</v>
      </c>
      <c r="K89" s="11" t="s">
        <v>715</v>
      </c>
      <c r="L89" t="s">
        <v>715</v>
      </c>
      <c r="M89" t="s">
        <v>715</v>
      </c>
    </row>
    <row r="90" spans="1:13" x14ac:dyDescent="0.25">
      <c r="A90" s="92">
        <f t="shared" si="1"/>
        <v>89</v>
      </c>
      <c r="B90" s="89" t="s">
        <v>652</v>
      </c>
      <c r="C90" s="9">
        <v>45735</v>
      </c>
      <c r="D90" t="s">
        <v>653</v>
      </c>
      <c r="E90" t="s">
        <v>654</v>
      </c>
      <c r="F90" t="s">
        <v>655</v>
      </c>
      <c r="G90" t="s">
        <v>190</v>
      </c>
      <c r="H90" s="59">
        <v>1521.92</v>
      </c>
      <c r="I90" t="s">
        <v>656</v>
      </c>
      <c r="J90" s="11" t="s">
        <v>668</v>
      </c>
      <c r="K90" s="11" t="s">
        <v>715</v>
      </c>
      <c r="L90" t="s">
        <v>715</v>
      </c>
      <c r="M90" t="s">
        <v>715</v>
      </c>
    </row>
    <row r="91" spans="1:13" x14ac:dyDescent="0.25">
      <c r="A91" s="90">
        <f t="shared" si="1"/>
        <v>90</v>
      </c>
      <c r="B91" s="89" t="s">
        <v>658</v>
      </c>
      <c r="C91" s="9">
        <v>45735</v>
      </c>
      <c r="D91" t="s">
        <v>659</v>
      </c>
      <c r="E91" t="s">
        <v>660</v>
      </c>
      <c r="F91" t="s">
        <v>661</v>
      </c>
      <c r="G91" t="s">
        <v>118</v>
      </c>
      <c r="H91" s="59">
        <v>1703</v>
      </c>
      <c r="I91" t="s">
        <v>662</v>
      </c>
      <c r="J91" s="11" t="s">
        <v>669</v>
      </c>
      <c r="K91" s="11" t="s">
        <v>715</v>
      </c>
      <c r="L91" t="s">
        <v>715</v>
      </c>
      <c r="M91" t="s">
        <v>715</v>
      </c>
    </row>
    <row r="92" spans="1:13" x14ac:dyDescent="0.25">
      <c r="A92" s="90">
        <f t="shared" si="1"/>
        <v>91</v>
      </c>
      <c r="B92" s="89" t="s">
        <v>663</v>
      </c>
      <c r="C92" s="9">
        <v>45736</v>
      </c>
      <c r="D92" t="s">
        <v>664</v>
      </c>
      <c r="E92" t="s">
        <v>665</v>
      </c>
      <c r="F92" t="s">
        <v>666</v>
      </c>
      <c r="G92" t="s">
        <v>118</v>
      </c>
      <c r="H92" s="59">
        <v>1203</v>
      </c>
      <c r="I92" t="s">
        <v>667</v>
      </c>
      <c r="J92" s="11" t="s">
        <v>295</v>
      </c>
      <c r="K92" s="11" t="s">
        <v>715</v>
      </c>
      <c r="L92" t="s">
        <v>715</v>
      </c>
      <c r="M92" t="s">
        <v>715</v>
      </c>
    </row>
    <row r="93" spans="1:13" x14ac:dyDescent="0.25">
      <c r="A93" s="88">
        <f t="shared" si="1"/>
        <v>92</v>
      </c>
      <c r="B93" s="89" t="s">
        <v>670</v>
      </c>
      <c r="C93" s="9">
        <v>45736</v>
      </c>
      <c r="D93" t="s">
        <v>671</v>
      </c>
      <c r="E93" t="s">
        <v>672</v>
      </c>
      <c r="F93" t="s">
        <v>673</v>
      </c>
      <c r="G93" t="s">
        <v>190</v>
      </c>
      <c r="H93" s="59">
        <v>950</v>
      </c>
      <c r="I93" t="s">
        <v>674</v>
      </c>
      <c r="J93" s="11" t="s">
        <v>192</v>
      </c>
      <c r="K93" s="11" t="s">
        <v>715</v>
      </c>
      <c r="L93" t="s">
        <v>715</v>
      </c>
      <c r="M93" t="s">
        <v>715</v>
      </c>
    </row>
    <row r="94" spans="1:13" x14ac:dyDescent="0.25">
      <c r="A94" s="91">
        <f t="shared" si="1"/>
        <v>93</v>
      </c>
      <c r="B94" s="95" t="s">
        <v>670</v>
      </c>
      <c r="C94" s="9">
        <v>45736</v>
      </c>
      <c r="D94" t="s">
        <v>675</v>
      </c>
      <c r="E94" t="s">
        <v>676</v>
      </c>
      <c r="F94" t="s">
        <v>677</v>
      </c>
      <c r="G94" t="s">
        <v>119</v>
      </c>
      <c r="H94" s="59">
        <v>1122</v>
      </c>
      <c r="I94" t="s">
        <v>375</v>
      </c>
      <c r="J94" s="11" t="s">
        <v>678</v>
      </c>
      <c r="K94" s="11" t="s">
        <v>715</v>
      </c>
      <c r="L94" t="s">
        <v>715</v>
      </c>
      <c r="M94" t="s">
        <v>715</v>
      </c>
    </row>
    <row r="95" spans="1:13" x14ac:dyDescent="0.25">
      <c r="A95" s="90">
        <f t="shared" si="1"/>
        <v>94</v>
      </c>
      <c r="B95" s="89" t="s">
        <v>679</v>
      </c>
      <c r="C95" s="9">
        <v>45735</v>
      </c>
      <c r="D95" t="s">
        <v>680</v>
      </c>
      <c r="E95" t="s">
        <v>681</v>
      </c>
      <c r="F95" t="s">
        <v>682</v>
      </c>
      <c r="G95" t="s">
        <v>118</v>
      </c>
      <c r="H95" s="59">
        <v>2459.96</v>
      </c>
      <c r="I95" t="s">
        <v>683</v>
      </c>
      <c r="J95" s="11" t="s">
        <v>223</v>
      </c>
      <c r="K95" s="11" t="s">
        <v>715</v>
      </c>
      <c r="L95" t="s">
        <v>715</v>
      </c>
      <c r="M95" t="s">
        <v>715</v>
      </c>
    </row>
    <row r="96" spans="1:13" x14ac:dyDescent="0.25">
      <c r="A96" s="90">
        <f t="shared" si="1"/>
        <v>95</v>
      </c>
      <c r="B96" s="89" t="s">
        <v>684</v>
      </c>
      <c r="C96" s="9">
        <v>45741</v>
      </c>
      <c r="D96" t="s">
        <v>685</v>
      </c>
      <c r="E96" t="s">
        <v>686</v>
      </c>
      <c r="F96" t="s">
        <v>687</v>
      </c>
      <c r="G96" t="s">
        <v>118</v>
      </c>
      <c r="H96" s="59">
        <v>1922</v>
      </c>
      <c r="I96" t="s">
        <v>688</v>
      </c>
      <c r="J96" s="11" t="s">
        <v>221</v>
      </c>
      <c r="K96" s="11" t="s">
        <v>715</v>
      </c>
      <c r="L96" t="s">
        <v>715</v>
      </c>
      <c r="M96" t="s">
        <v>715</v>
      </c>
    </row>
    <row r="97" spans="1:13" x14ac:dyDescent="0.25">
      <c r="A97" s="88">
        <f t="shared" si="1"/>
        <v>96</v>
      </c>
      <c r="B97" s="89" t="s">
        <v>689</v>
      </c>
      <c r="C97" s="9">
        <v>45741</v>
      </c>
      <c r="D97" t="s">
        <v>690</v>
      </c>
      <c r="E97" t="s">
        <v>691</v>
      </c>
      <c r="F97" t="s">
        <v>692</v>
      </c>
      <c r="G97" t="s">
        <v>190</v>
      </c>
      <c r="H97" s="59">
        <v>1624.5</v>
      </c>
      <c r="I97" t="s">
        <v>693</v>
      </c>
      <c r="J97" s="11" t="s">
        <v>223</v>
      </c>
      <c r="K97" s="11" t="s">
        <v>715</v>
      </c>
      <c r="L97" t="s">
        <v>715</v>
      </c>
      <c r="M97" t="s">
        <v>715</v>
      </c>
    </row>
    <row r="98" spans="1:13" x14ac:dyDescent="0.25">
      <c r="A98" s="91">
        <f t="shared" si="1"/>
        <v>97</v>
      </c>
      <c r="B98" s="89" t="s">
        <v>694</v>
      </c>
      <c r="C98" s="9">
        <v>45742</v>
      </c>
      <c r="D98" t="s">
        <v>695</v>
      </c>
      <c r="E98" t="s">
        <v>696</v>
      </c>
      <c r="F98" t="s">
        <v>697</v>
      </c>
      <c r="G98" t="s">
        <v>119</v>
      </c>
      <c r="H98" s="59">
        <v>2070</v>
      </c>
      <c r="I98" t="s">
        <v>698</v>
      </c>
      <c r="J98" s="11" t="s">
        <v>699</v>
      </c>
      <c r="K98" s="11" t="s">
        <v>715</v>
      </c>
      <c r="L98" t="s">
        <v>715</v>
      </c>
      <c r="M98" t="s">
        <v>715</v>
      </c>
    </row>
    <row r="99" spans="1:13" x14ac:dyDescent="0.25">
      <c r="A99" s="93">
        <f t="shared" si="1"/>
        <v>98</v>
      </c>
      <c r="B99" s="95" t="s">
        <v>700</v>
      </c>
      <c r="C99" s="9">
        <v>45744</v>
      </c>
      <c r="D99" t="s">
        <v>701</v>
      </c>
      <c r="F99" t="s">
        <v>702</v>
      </c>
      <c r="G99" t="s">
        <v>119</v>
      </c>
      <c r="H99" s="59">
        <v>10702.68</v>
      </c>
      <c r="I99" t="s">
        <v>703</v>
      </c>
      <c r="J99" s="11" t="s">
        <v>704</v>
      </c>
      <c r="K99" s="11" t="s">
        <v>715</v>
      </c>
      <c r="L99" t="s">
        <v>715</v>
      </c>
      <c r="M99" t="s">
        <v>715</v>
      </c>
    </row>
    <row r="100" spans="1:13" x14ac:dyDescent="0.25">
      <c r="A100" s="88">
        <f t="shared" si="1"/>
        <v>99</v>
      </c>
      <c r="B100" s="89" t="s">
        <v>705</v>
      </c>
      <c r="C100" s="9">
        <v>45745</v>
      </c>
      <c r="D100" t="s">
        <v>706</v>
      </c>
      <c r="E100" t="s">
        <v>707</v>
      </c>
      <c r="F100" t="s">
        <v>708</v>
      </c>
      <c r="G100" t="s">
        <v>119</v>
      </c>
      <c r="H100" s="59">
        <v>2445.3000000000002</v>
      </c>
      <c r="I100" t="s">
        <v>709</v>
      </c>
      <c r="J100" s="11" t="s">
        <v>713</v>
      </c>
      <c r="K100" s="11" t="s">
        <v>715</v>
      </c>
      <c r="L100" t="s">
        <v>715</v>
      </c>
      <c r="M100" t="s">
        <v>715</v>
      </c>
    </row>
    <row r="101" spans="1:13" x14ac:dyDescent="0.25">
      <c r="A101" s="90">
        <f t="shared" si="1"/>
        <v>100</v>
      </c>
      <c r="B101" s="89" t="s">
        <v>710</v>
      </c>
      <c r="C101" s="9">
        <v>45748</v>
      </c>
      <c r="D101" t="s">
        <v>711</v>
      </c>
      <c r="E101" t="s">
        <v>601</v>
      </c>
      <c r="F101" t="s">
        <v>597</v>
      </c>
      <c r="G101" t="s">
        <v>118</v>
      </c>
      <c r="H101" s="59">
        <v>4000</v>
      </c>
      <c r="I101" t="s">
        <v>712</v>
      </c>
      <c r="J101" s="11" t="s">
        <v>215</v>
      </c>
      <c r="K101" t="s">
        <v>715</v>
      </c>
      <c r="L101" t="s">
        <v>715</v>
      </c>
    </row>
    <row r="102" spans="1:13" x14ac:dyDescent="0.25">
      <c r="A102" s="88">
        <f t="shared" si="1"/>
        <v>101</v>
      </c>
      <c r="B102" s="89" t="s">
        <v>716</v>
      </c>
      <c r="C102" s="9">
        <v>45747</v>
      </c>
      <c r="D102" t="s">
        <v>717</v>
      </c>
      <c r="E102" t="s">
        <v>718</v>
      </c>
      <c r="F102" t="s">
        <v>719</v>
      </c>
      <c r="G102" t="s">
        <v>190</v>
      </c>
      <c r="H102" s="59">
        <v>2495.2399999999998</v>
      </c>
      <c r="I102" t="s">
        <v>720</v>
      </c>
      <c r="J102" s="11" t="s">
        <v>733</v>
      </c>
      <c r="K102" t="s">
        <v>715</v>
      </c>
      <c r="L102" t="s">
        <v>715</v>
      </c>
    </row>
    <row r="103" spans="1:13" x14ac:dyDescent="0.25">
      <c r="A103" s="88">
        <f t="shared" si="1"/>
        <v>102</v>
      </c>
      <c r="B103" s="89" t="s">
        <v>721</v>
      </c>
      <c r="C103" s="9">
        <v>45752</v>
      </c>
      <c r="D103" t="s">
        <v>722</v>
      </c>
      <c r="E103" t="s">
        <v>723</v>
      </c>
      <c r="F103" t="s">
        <v>724</v>
      </c>
      <c r="G103" t="s">
        <v>190</v>
      </c>
      <c r="H103" s="59">
        <v>2422</v>
      </c>
      <c r="I103" t="s">
        <v>725</v>
      </c>
      <c r="J103" s="11" t="s">
        <v>322</v>
      </c>
      <c r="K103" t="s">
        <v>715</v>
      </c>
      <c r="L103" t="s">
        <v>715</v>
      </c>
    </row>
    <row r="104" spans="1:13" x14ac:dyDescent="0.25">
      <c r="A104" s="90">
        <f t="shared" si="1"/>
        <v>103</v>
      </c>
      <c r="B104" s="89" t="s">
        <v>726</v>
      </c>
      <c r="C104" s="9">
        <v>45752</v>
      </c>
      <c r="D104" t="s">
        <v>690</v>
      </c>
      <c r="E104" t="s">
        <v>691</v>
      </c>
      <c r="F104" t="s">
        <v>692</v>
      </c>
      <c r="G104" t="s">
        <v>118</v>
      </c>
      <c r="H104" s="59">
        <v>1290</v>
      </c>
      <c r="I104" t="s">
        <v>727</v>
      </c>
      <c r="J104" s="11" t="s">
        <v>734</v>
      </c>
      <c r="K104" t="s">
        <v>715</v>
      </c>
      <c r="L104" t="s">
        <v>715</v>
      </c>
    </row>
    <row r="105" spans="1:13" x14ac:dyDescent="0.25">
      <c r="A105" s="90">
        <f t="shared" si="1"/>
        <v>104</v>
      </c>
      <c r="B105" s="89" t="s">
        <v>728</v>
      </c>
      <c r="C105" s="9">
        <v>45748</v>
      </c>
      <c r="D105" t="s">
        <v>729</v>
      </c>
      <c r="E105" t="s">
        <v>730</v>
      </c>
      <c r="F105" t="s">
        <v>731</v>
      </c>
      <c r="G105" t="s">
        <v>118</v>
      </c>
      <c r="H105" s="59">
        <v>2371.1999999999998</v>
      </c>
      <c r="I105" t="s">
        <v>732</v>
      </c>
      <c r="J105" s="11" t="s">
        <v>743</v>
      </c>
      <c r="K105" t="s">
        <v>715</v>
      </c>
      <c r="L105" t="s">
        <v>715</v>
      </c>
    </row>
    <row r="106" spans="1:13" x14ac:dyDescent="0.25">
      <c r="A106" s="91">
        <f t="shared" si="1"/>
        <v>105</v>
      </c>
      <c r="B106" s="89" t="s">
        <v>735</v>
      </c>
      <c r="C106" s="9">
        <v>45749</v>
      </c>
      <c r="D106" t="s">
        <v>736</v>
      </c>
      <c r="F106" t="s">
        <v>737</v>
      </c>
      <c r="G106" t="s">
        <v>118</v>
      </c>
      <c r="H106" s="59">
        <v>3133.7</v>
      </c>
      <c r="I106" t="s">
        <v>765</v>
      </c>
      <c r="J106" s="11" t="s">
        <v>766</v>
      </c>
      <c r="K106" t="s">
        <v>715</v>
      </c>
      <c r="L106" t="s">
        <v>715</v>
      </c>
    </row>
    <row r="107" spans="1:13" x14ac:dyDescent="0.25">
      <c r="A107" s="90">
        <f t="shared" si="1"/>
        <v>106</v>
      </c>
      <c r="B107" s="89" t="s">
        <v>738</v>
      </c>
      <c r="C107" s="9">
        <v>45751</v>
      </c>
      <c r="D107" t="s">
        <v>739</v>
      </c>
      <c r="E107" t="s">
        <v>740</v>
      </c>
      <c r="F107" t="s">
        <v>741</v>
      </c>
      <c r="G107" t="s">
        <v>118</v>
      </c>
      <c r="H107" s="59">
        <v>1084</v>
      </c>
      <c r="I107" t="s">
        <v>742</v>
      </c>
      <c r="J107" t="s">
        <v>755</v>
      </c>
      <c r="K107" t="s">
        <v>715</v>
      </c>
      <c r="L107" t="s">
        <v>715</v>
      </c>
    </row>
    <row r="108" spans="1:13" x14ac:dyDescent="0.25">
      <c r="A108" s="90">
        <f t="shared" si="1"/>
        <v>107</v>
      </c>
      <c r="B108" s="89" t="s">
        <v>744</v>
      </c>
      <c r="C108" s="9">
        <v>45756</v>
      </c>
      <c r="D108" t="s">
        <v>745</v>
      </c>
      <c r="E108" t="s">
        <v>746</v>
      </c>
      <c r="F108" t="s">
        <v>747</v>
      </c>
      <c r="G108" t="s">
        <v>118</v>
      </c>
      <c r="H108" s="59">
        <v>1755</v>
      </c>
      <c r="I108" t="s">
        <v>748</v>
      </c>
      <c r="J108" t="s">
        <v>295</v>
      </c>
      <c r="K108" t="s">
        <v>715</v>
      </c>
      <c r="L108" t="s">
        <v>715</v>
      </c>
    </row>
    <row r="109" spans="1:13" x14ac:dyDescent="0.25">
      <c r="A109" s="88">
        <f t="shared" si="1"/>
        <v>108</v>
      </c>
      <c r="B109" s="89" t="s">
        <v>749</v>
      </c>
      <c r="C109" s="9">
        <v>45754</v>
      </c>
      <c r="D109" t="s">
        <v>750</v>
      </c>
      <c r="E109" t="s">
        <v>751</v>
      </c>
      <c r="F109" t="s">
        <v>752</v>
      </c>
      <c r="G109" t="s">
        <v>119</v>
      </c>
      <c r="H109" s="59">
        <v>3322.76</v>
      </c>
      <c r="I109" t="s">
        <v>753</v>
      </c>
      <c r="J109" t="s">
        <v>754</v>
      </c>
      <c r="K109" t="s">
        <v>715</v>
      </c>
      <c r="L109" t="s">
        <v>715</v>
      </c>
    </row>
    <row r="110" spans="1:13" x14ac:dyDescent="0.25">
      <c r="A110" s="90">
        <f t="shared" si="1"/>
        <v>109</v>
      </c>
      <c r="B110" s="89" t="s">
        <v>756</v>
      </c>
      <c r="C110" s="9">
        <v>45758</v>
      </c>
      <c r="D110" t="s">
        <v>757</v>
      </c>
      <c r="E110" t="s">
        <v>758</v>
      </c>
      <c r="F110" t="s">
        <v>759</v>
      </c>
      <c r="G110" t="s">
        <v>118</v>
      </c>
      <c r="H110" s="59">
        <v>1122</v>
      </c>
      <c r="I110" t="s">
        <v>375</v>
      </c>
      <c r="J110" t="s">
        <v>773</v>
      </c>
      <c r="K110" t="s">
        <v>715</v>
      </c>
      <c r="L110" t="s">
        <v>715</v>
      </c>
    </row>
    <row r="111" spans="1:13" x14ac:dyDescent="0.25">
      <c r="A111" s="92">
        <f t="shared" si="1"/>
        <v>110</v>
      </c>
      <c r="B111" s="89" t="s">
        <v>760</v>
      </c>
      <c r="C111" s="9">
        <v>45759</v>
      </c>
      <c r="D111" t="s">
        <v>761</v>
      </c>
      <c r="E111" t="s">
        <v>762</v>
      </c>
      <c r="F111" t="s">
        <v>763</v>
      </c>
      <c r="G111" t="s">
        <v>190</v>
      </c>
      <c r="H111" s="59">
        <v>1531.2</v>
      </c>
      <c r="I111" t="s">
        <v>764</v>
      </c>
      <c r="J111" t="s">
        <v>388</v>
      </c>
      <c r="K111" t="s">
        <v>715</v>
      </c>
      <c r="L111" t="s">
        <v>715</v>
      </c>
    </row>
    <row r="112" spans="1:13" x14ac:dyDescent="0.25">
      <c r="A112" s="88">
        <f t="shared" si="1"/>
        <v>111</v>
      </c>
      <c r="B112" s="95" t="s">
        <v>767</v>
      </c>
      <c r="C112" s="9">
        <v>45761</v>
      </c>
      <c r="D112" t="s">
        <v>768</v>
      </c>
      <c r="E112" t="s">
        <v>769</v>
      </c>
      <c r="F112" t="s">
        <v>770</v>
      </c>
      <c r="G112" t="s">
        <v>190</v>
      </c>
      <c r="H112" s="59">
        <v>1403</v>
      </c>
      <c r="I112" t="s">
        <v>771</v>
      </c>
      <c r="J112" t="s">
        <v>772</v>
      </c>
      <c r="K112" t="s">
        <v>715</v>
      </c>
      <c r="L112" t="s">
        <v>715</v>
      </c>
    </row>
    <row r="113" spans="1:12" x14ac:dyDescent="0.25">
      <c r="A113" s="88">
        <f t="shared" si="1"/>
        <v>112</v>
      </c>
      <c r="B113" s="89" t="s">
        <v>774</v>
      </c>
      <c r="C113" s="9">
        <v>45762</v>
      </c>
      <c r="D113" t="s">
        <v>775</v>
      </c>
      <c r="E113" t="s">
        <v>776</v>
      </c>
      <c r="F113" t="s">
        <v>777</v>
      </c>
      <c r="G113" t="s">
        <v>190</v>
      </c>
      <c r="H113" s="59">
        <v>2400</v>
      </c>
      <c r="I113" t="s">
        <v>778</v>
      </c>
      <c r="J113" t="s">
        <v>261</v>
      </c>
      <c r="K113" t="s">
        <v>715</v>
      </c>
      <c r="L113" t="s">
        <v>715</v>
      </c>
    </row>
    <row r="114" spans="1:12" x14ac:dyDescent="0.25">
      <c r="A114" s="90">
        <f t="shared" si="1"/>
        <v>113</v>
      </c>
      <c r="B114" s="89" t="s">
        <v>779</v>
      </c>
      <c r="C114" s="9">
        <v>45763</v>
      </c>
      <c r="D114" t="s">
        <v>482</v>
      </c>
      <c r="E114" t="s">
        <v>483</v>
      </c>
      <c r="F114" t="s">
        <v>484</v>
      </c>
      <c r="G114" t="s">
        <v>118</v>
      </c>
      <c r="H114" s="59">
        <v>1650</v>
      </c>
      <c r="I114" t="s">
        <v>780</v>
      </c>
      <c r="J114" t="s">
        <v>229</v>
      </c>
      <c r="K114" t="s">
        <v>715</v>
      </c>
      <c r="L114" t="s">
        <v>715</v>
      </c>
    </row>
    <row r="115" spans="1:12" x14ac:dyDescent="0.25">
      <c r="A115" s="90">
        <f t="shared" si="1"/>
        <v>114</v>
      </c>
      <c r="B115" s="89" t="s">
        <v>781</v>
      </c>
      <c r="C115" s="9">
        <v>45763</v>
      </c>
      <c r="D115" t="s">
        <v>782</v>
      </c>
      <c r="E115" t="s">
        <v>783</v>
      </c>
      <c r="F115" t="s">
        <v>784</v>
      </c>
      <c r="G115" t="s">
        <v>118</v>
      </c>
      <c r="H115" s="59">
        <v>1476</v>
      </c>
      <c r="I115" t="s">
        <v>785</v>
      </c>
      <c r="J115" t="s">
        <v>223</v>
      </c>
      <c r="K115" t="s">
        <v>715</v>
      </c>
      <c r="L115" t="s">
        <v>715</v>
      </c>
    </row>
    <row r="116" spans="1:12" x14ac:dyDescent="0.25">
      <c r="A116" s="90">
        <f t="shared" si="1"/>
        <v>115</v>
      </c>
      <c r="B116" s="89" t="s">
        <v>786</v>
      </c>
      <c r="C116" s="9">
        <v>45764</v>
      </c>
      <c r="D116" t="s">
        <v>787</v>
      </c>
      <c r="E116" t="s">
        <v>788</v>
      </c>
      <c r="F116" t="s">
        <v>789</v>
      </c>
      <c r="G116" t="s">
        <v>118</v>
      </c>
      <c r="H116" s="59">
        <v>1640</v>
      </c>
      <c r="I116" t="s">
        <v>790</v>
      </c>
      <c r="J116" t="s">
        <v>322</v>
      </c>
      <c r="K116" t="s">
        <v>715</v>
      </c>
      <c r="L116" t="s">
        <v>715</v>
      </c>
    </row>
    <row r="117" spans="1:12" x14ac:dyDescent="0.25">
      <c r="A117" s="90">
        <f t="shared" si="1"/>
        <v>116</v>
      </c>
      <c r="B117" s="89" t="s">
        <v>791</v>
      </c>
      <c r="C117" s="9">
        <v>45757</v>
      </c>
      <c r="D117" t="s">
        <v>792</v>
      </c>
      <c r="E117" t="s">
        <v>793</v>
      </c>
      <c r="F117" t="s">
        <v>794</v>
      </c>
      <c r="G117" t="s">
        <v>118</v>
      </c>
      <c r="H117" s="59">
        <v>4581.8999999999996</v>
      </c>
      <c r="I117" t="s">
        <v>795</v>
      </c>
      <c r="J117" t="s">
        <v>815</v>
      </c>
      <c r="K117" t="s">
        <v>715</v>
      </c>
      <c r="L117" t="s">
        <v>715</v>
      </c>
    </row>
    <row r="118" spans="1:12" x14ac:dyDescent="0.25">
      <c r="A118" s="93">
        <f t="shared" si="1"/>
        <v>117</v>
      </c>
      <c r="B118" s="89" t="s">
        <v>796</v>
      </c>
      <c r="C118" s="9">
        <v>45764</v>
      </c>
      <c r="D118" t="s">
        <v>798</v>
      </c>
      <c r="E118" t="s">
        <v>797</v>
      </c>
      <c r="F118" t="s">
        <v>816</v>
      </c>
      <c r="G118" t="s">
        <v>118</v>
      </c>
      <c r="H118" s="59">
        <v>4914.32</v>
      </c>
      <c r="I118" t="s">
        <v>799</v>
      </c>
      <c r="J118" t="s">
        <v>817</v>
      </c>
      <c r="K118" t="s">
        <v>715</v>
      </c>
      <c r="L118" t="s">
        <v>715</v>
      </c>
    </row>
    <row r="119" spans="1:12" x14ac:dyDescent="0.25">
      <c r="A119" s="88">
        <f t="shared" si="1"/>
        <v>118</v>
      </c>
      <c r="B119" s="89" t="s">
        <v>800</v>
      </c>
      <c r="C119" s="9">
        <v>45768</v>
      </c>
      <c r="D119" t="s">
        <v>801</v>
      </c>
      <c r="E119" t="s">
        <v>802</v>
      </c>
      <c r="F119" t="s">
        <v>803</v>
      </c>
      <c r="G119" t="s">
        <v>190</v>
      </c>
      <c r="H119" s="59">
        <v>1196</v>
      </c>
      <c r="I119" t="s">
        <v>804</v>
      </c>
      <c r="J119" t="s">
        <v>734</v>
      </c>
      <c r="K119" t="s">
        <v>715</v>
      </c>
      <c r="L119" t="s">
        <v>715</v>
      </c>
    </row>
    <row r="120" spans="1:12" x14ac:dyDescent="0.25">
      <c r="A120" s="88">
        <f t="shared" si="1"/>
        <v>119</v>
      </c>
      <c r="B120" s="89" t="s">
        <v>805</v>
      </c>
      <c r="C120" s="9">
        <v>45769</v>
      </c>
      <c r="D120" t="s">
        <v>806</v>
      </c>
      <c r="E120" t="s">
        <v>807</v>
      </c>
      <c r="F120" t="s">
        <v>808</v>
      </c>
      <c r="G120" t="s">
        <v>190</v>
      </c>
      <c r="H120" s="59">
        <v>1510</v>
      </c>
      <c r="I120" t="s">
        <v>809</v>
      </c>
      <c r="J120" t="s">
        <v>818</v>
      </c>
      <c r="K120" t="s">
        <v>715</v>
      </c>
      <c r="L120" t="s">
        <v>715</v>
      </c>
    </row>
    <row r="121" spans="1:12" x14ac:dyDescent="0.25">
      <c r="A121" s="92">
        <f t="shared" si="1"/>
        <v>120</v>
      </c>
      <c r="B121" s="89" t="s">
        <v>810</v>
      </c>
      <c r="C121" s="9">
        <v>45772</v>
      </c>
      <c r="D121" t="s">
        <v>811</v>
      </c>
      <c r="E121" t="s">
        <v>812</v>
      </c>
      <c r="F121" t="s">
        <v>813</v>
      </c>
      <c r="G121" t="s">
        <v>119</v>
      </c>
      <c r="H121" s="59">
        <v>1837.4</v>
      </c>
      <c r="I121" t="s">
        <v>814</v>
      </c>
      <c r="J121" t="s">
        <v>279</v>
      </c>
      <c r="K121" t="s">
        <v>715</v>
      </c>
      <c r="L121" t="s">
        <v>715</v>
      </c>
    </row>
    <row r="122" spans="1:12" x14ac:dyDescent="0.25">
      <c r="A122" s="90">
        <f t="shared" si="1"/>
        <v>121</v>
      </c>
      <c r="B122" s="89" t="s">
        <v>819</v>
      </c>
      <c r="C122" s="9">
        <v>45762</v>
      </c>
      <c r="D122" t="s">
        <v>820</v>
      </c>
      <c r="E122" t="s">
        <v>821</v>
      </c>
      <c r="F122" t="s">
        <v>822</v>
      </c>
      <c r="G122" t="s">
        <v>118</v>
      </c>
      <c r="H122" s="59">
        <v>1068</v>
      </c>
      <c r="I122" t="s">
        <v>823</v>
      </c>
      <c r="J122" t="s">
        <v>734</v>
      </c>
      <c r="K122" t="s">
        <v>715</v>
      </c>
      <c r="L122" t="s">
        <v>715</v>
      </c>
    </row>
    <row r="123" spans="1:12" x14ac:dyDescent="0.25">
      <c r="A123" s="88">
        <f t="shared" si="1"/>
        <v>122</v>
      </c>
      <c r="B123" s="89" t="s">
        <v>824</v>
      </c>
      <c r="C123" s="9">
        <v>45771</v>
      </c>
      <c r="D123" t="s">
        <v>825</v>
      </c>
      <c r="E123" t="s">
        <v>826</v>
      </c>
      <c r="F123" t="s">
        <v>827</v>
      </c>
      <c r="G123" t="s">
        <v>190</v>
      </c>
      <c r="H123" s="59">
        <v>3341.72</v>
      </c>
      <c r="I123" t="s">
        <v>828</v>
      </c>
      <c r="J123" t="s">
        <v>223</v>
      </c>
      <c r="K123" t="s">
        <v>715</v>
      </c>
      <c r="L123" t="s">
        <v>715</v>
      </c>
    </row>
    <row r="124" spans="1:12" x14ac:dyDescent="0.25">
      <c r="A124" s="93">
        <f t="shared" si="1"/>
        <v>123</v>
      </c>
      <c r="B124" s="89" t="s">
        <v>829</v>
      </c>
      <c r="C124" s="9">
        <v>45770</v>
      </c>
      <c r="D124" t="s">
        <v>275</v>
      </c>
      <c r="E124" t="s">
        <v>276</v>
      </c>
      <c r="F124" t="s">
        <v>830</v>
      </c>
      <c r="G124" t="s">
        <v>118</v>
      </c>
      <c r="H124" s="59">
        <v>1197.5</v>
      </c>
      <c r="I124" t="s">
        <v>831</v>
      </c>
      <c r="J124" t="s">
        <v>215</v>
      </c>
      <c r="K124" t="s">
        <v>715</v>
      </c>
      <c r="L124" t="s">
        <v>715</v>
      </c>
    </row>
    <row r="125" spans="1:12" x14ac:dyDescent="0.25">
      <c r="A125" s="88">
        <f t="shared" si="1"/>
        <v>124</v>
      </c>
      <c r="B125" s="89" t="s">
        <v>832</v>
      </c>
      <c r="C125" s="9">
        <v>45776</v>
      </c>
      <c r="D125" t="s">
        <v>833</v>
      </c>
      <c r="E125" t="s">
        <v>834</v>
      </c>
      <c r="F125" t="s">
        <v>835</v>
      </c>
      <c r="G125" t="s">
        <v>190</v>
      </c>
      <c r="H125" s="59">
        <v>3186</v>
      </c>
      <c r="I125" t="s">
        <v>836</v>
      </c>
      <c r="J125" t="s">
        <v>223</v>
      </c>
      <c r="K125" t="s">
        <v>715</v>
      </c>
      <c r="L125" t="s">
        <v>715</v>
      </c>
    </row>
    <row r="126" spans="1:12" x14ac:dyDescent="0.25">
      <c r="A126" s="90">
        <f t="shared" si="1"/>
        <v>125</v>
      </c>
      <c r="B126" s="89" t="s">
        <v>837</v>
      </c>
      <c r="C126" s="9">
        <v>45776</v>
      </c>
      <c r="D126" t="s">
        <v>432</v>
      </c>
      <c r="E126" t="s">
        <v>433</v>
      </c>
      <c r="F126" t="s">
        <v>434</v>
      </c>
      <c r="G126" t="s">
        <v>118</v>
      </c>
      <c r="H126" s="59">
        <v>1053</v>
      </c>
      <c r="I126" t="s">
        <v>435</v>
      </c>
      <c r="J126" t="s">
        <v>838</v>
      </c>
      <c r="K126" t="s">
        <v>715</v>
      </c>
      <c r="L126" t="s">
        <v>715</v>
      </c>
    </row>
    <row r="127" spans="1:12" x14ac:dyDescent="0.25">
      <c r="A127" s="88">
        <f t="shared" si="1"/>
        <v>126</v>
      </c>
      <c r="B127" s="89" t="s">
        <v>839</v>
      </c>
      <c r="C127" s="9">
        <v>45776</v>
      </c>
      <c r="D127" t="s">
        <v>840</v>
      </c>
      <c r="E127" t="s">
        <v>841</v>
      </c>
      <c r="F127" t="s">
        <v>842</v>
      </c>
      <c r="G127" t="s">
        <v>190</v>
      </c>
      <c r="H127" s="59">
        <v>2325</v>
      </c>
      <c r="I127" t="s">
        <v>843</v>
      </c>
      <c r="J127" t="s">
        <v>734</v>
      </c>
      <c r="K127" t="s">
        <v>715</v>
      </c>
      <c r="L127" t="s">
        <v>715</v>
      </c>
    </row>
    <row r="128" spans="1:12" x14ac:dyDescent="0.25">
      <c r="A128" s="90">
        <f t="shared" si="1"/>
        <v>127</v>
      </c>
      <c r="B128" s="89" t="s">
        <v>844</v>
      </c>
      <c r="C128" s="9">
        <v>45761</v>
      </c>
      <c r="D128" t="s">
        <v>851</v>
      </c>
      <c r="F128" t="s">
        <v>852</v>
      </c>
      <c r="G128" t="s">
        <v>118</v>
      </c>
      <c r="H128" s="59">
        <v>6675.65</v>
      </c>
      <c r="I128" t="s">
        <v>859</v>
      </c>
      <c r="K128" t="s">
        <v>715</v>
      </c>
      <c r="L128" t="s">
        <v>715</v>
      </c>
    </row>
    <row r="129" spans="1:12" x14ac:dyDescent="0.25">
      <c r="A129" s="90">
        <f t="shared" si="1"/>
        <v>128</v>
      </c>
      <c r="B129" s="89" t="s">
        <v>845</v>
      </c>
      <c r="C129" s="9">
        <v>45762</v>
      </c>
      <c r="D129" t="s">
        <v>851</v>
      </c>
      <c r="F129" t="s">
        <v>853</v>
      </c>
      <c r="G129" t="s">
        <v>118</v>
      </c>
      <c r="H129" s="59">
        <v>6105.65</v>
      </c>
      <c r="I129" t="s">
        <v>859</v>
      </c>
      <c r="K129" t="s">
        <v>715</v>
      </c>
      <c r="L129" t="s">
        <v>715</v>
      </c>
    </row>
    <row r="130" spans="1:12" x14ac:dyDescent="0.25">
      <c r="A130" s="90">
        <f t="shared" si="1"/>
        <v>129</v>
      </c>
      <c r="B130" s="89" t="s">
        <v>846</v>
      </c>
      <c r="C130" s="9">
        <v>45763</v>
      </c>
      <c r="D130" t="s">
        <v>851</v>
      </c>
      <c r="F130" t="s">
        <v>854</v>
      </c>
      <c r="G130" t="s">
        <v>118</v>
      </c>
      <c r="H130" s="59">
        <v>6624.35</v>
      </c>
      <c r="I130" t="s">
        <v>859</v>
      </c>
      <c r="K130" t="s">
        <v>715</v>
      </c>
      <c r="L130" t="s">
        <v>715</v>
      </c>
    </row>
    <row r="131" spans="1:12" x14ac:dyDescent="0.25">
      <c r="A131" s="90">
        <f t="shared" si="1"/>
        <v>130</v>
      </c>
      <c r="B131" s="89" t="s">
        <v>847</v>
      </c>
      <c r="C131" s="9">
        <v>45768</v>
      </c>
      <c r="D131" t="s">
        <v>851</v>
      </c>
      <c r="F131" t="s">
        <v>855</v>
      </c>
      <c r="G131" t="s">
        <v>118</v>
      </c>
      <c r="H131" s="59">
        <v>5593.6</v>
      </c>
      <c r="I131" t="s">
        <v>859</v>
      </c>
      <c r="K131" t="s">
        <v>715</v>
      </c>
      <c r="L131" t="s">
        <v>715</v>
      </c>
    </row>
    <row r="132" spans="1:12" x14ac:dyDescent="0.25">
      <c r="A132" s="90">
        <f t="shared" ref="A132:A195" si="2">A131+1</f>
        <v>131</v>
      </c>
      <c r="B132" s="89" t="s">
        <v>848</v>
      </c>
      <c r="C132" s="9">
        <v>45769</v>
      </c>
      <c r="D132" t="s">
        <v>851</v>
      </c>
      <c r="F132" t="s">
        <v>856</v>
      </c>
      <c r="G132" t="s">
        <v>118</v>
      </c>
      <c r="H132" s="59">
        <v>5241.1499999999996</v>
      </c>
      <c r="I132" t="s">
        <v>859</v>
      </c>
      <c r="K132" t="s">
        <v>715</v>
      </c>
      <c r="L132" t="s">
        <v>715</v>
      </c>
    </row>
    <row r="133" spans="1:12" x14ac:dyDescent="0.25">
      <c r="A133" s="90">
        <f t="shared" si="2"/>
        <v>132</v>
      </c>
      <c r="B133" s="89" t="s">
        <v>849</v>
      </c>
      <c r="C133" s="9">
        <v>45771</v>
      </c>
      <c r="D133" t="s">
        <v>851</v>
      </c>
      <c r="F133" t="s">
        <v>857</v>
      </c>
      <c r="G133" t="s">
        <v>118</v>
      </c>
      <c r="H133" s="59">
        <v>6423.9</v>
      </c>
      <c r="I133" t="s">
        <v>859</v>
      </c>
      <c r="K133" t="s">
        <v>715</v>
      </c>
      <c r="L133" t="s">
        <v>715</v>
      </c>
    </row>
    <row r="134" spans="1:12" x14ac:dyDescent="0.25">
      <c r="A134" s="90">
        <f t="shared" si="2"/>
        <v>133</v>
      </c>
      <c r="B134" s="89" t="s">
        <v>850</v>
      </c>
      <c r="C134" s="9">
        <v>45772</v>
      </c>
      <c r="D134" t="s">
        <v>851</v>
      </c>
      <c r="F134" t="s">
        <v>858</v>
      </c>
      <c r="G134" t="s">
        <v>118</v>
      </c>
      <c r="H134" s="59">
        <v>5618.3</v>
      </c>
      <c r="I134" t="s">
        <v>859</v>
      </c>
      <c r="K134" t="s">
        <v>715</v>
      </c>
      <c r="L134" t="s">
        <v>715</v>
      </c>
    </row>
    <row r="135" spans="1:12" x14ac:dyDescent="0.25">
      <c r="A135" s="91">
        <f t="shared" si="2"/>
        <v>134</v>
      </c>
      <c r="B135" s="89" t="s">
        <v>860</v>
      </c>
      <c r="C135" s="9">
        <v>45777</v>
      </c>
      <c r="D135" t="s">
        <v>861</v>
      </c>
      <c r="E135" t="s">
        <v>862</v>
      </c>
      <c r="F135" t="s">
        <v>863</v>
      </c>
      <c r="G135" t="s">
        <v>213</v>
      </c>
      <c r="H135" s="59">
        <v>1794</v>
      </c>
      <c r="I135" t="s">
        <v>864</v>
      </c>
      <c r="J135" t="s">
        <v>865</v>
      </c>
      <c r="K135" t="s">
        <v>715</v>
      </c>
      <c r="L135" t="s">
        <v>715</v>
      </c>
    </row>
    <row r="136" spans="1:12" x14ac:dyDescent="0.25">
      <c r="A136" s="90">
        <f t="shared" si="2"/>
        <v>135</v>
      </c>
      <c r="B136" s="89" t="s">
        <v>866</v>
      </c>
      <c r="C136" s="9">
        <v>45769</v>
      </c>
      <c r="D136" t="s">
        <v>867</v>
      </c>
      <c r="E136" t="s">
        <v>868</v>
      </c>
      <c r="F136" t="s">
        <v>869</v>
      </c>
      <c r="G136" t="s">
        <v>118</v>
      </c>
      <c r="H136" s="59">
        <v>3950.6</v>
      </c>
      <c r="I136" t="s">
        <v>870</v>
      </c>
      <c r="J136" t="s">
        <v>322</v>
      </c>
      <c r="K136" t="s">
        <v>715</v>
      </c>
      <c r="L136" t="s">
        <v>715</v>
      </c>
    </row>
    <row r="137" spans="1:12" x14ac:dyDescent="0.25">
      <c r="A137" s="88">
        <f t="shared" si="2"/>
        <v>136</v>
      </c>
      <c r="B137" s="89" t="s">
        <v>871</v>
      </c>
      <c r="C137" s="9">
        <v>45780</v>
      </c>
      <c r="D137" t="s">
        <v>872</v>
      </c>
      <c r="E137" t="s">
        <v>873</v>
      </c>
      <c r="F137" t="s">
        <v>874</v>
      </c>
      <c r="G137" t="s">
        <v>213</v>
      </c>
      <c r="H137" s="59">
        <v>1263.5</v>
      </c>
      <c r="I137" t="s">
        <v>875</v>
      </c>
      <c r="J137" t="s">
        <v>880</v>
      </c>
      <c r="K137" t="s">
        <v>715</v>
      </c>
      <c r="L137" t="s">
        <v>715</v>
      </c>
    </row>
    <row r="138" spans="1:12" x14ac:dyDescent="0.25">
      <c r="A138" s="92">
        <f t="shared" si="2"/>
        <v>137</v>
      </c>
      <c r="B138" s="89" t="s">
        <v>876</v>
      </c>
      <c r="C138" s="9">
        <v>45782</v>
      </c>
      <c r="D138" t="s">
        <v>877</v>
      </c>
      <c r="E138" t="s">
        <v>878</v>
      </c>
      <c r="F138" t="s">
        <v>879</v>
      </c>
      <c r="G138" t="s">
        <v>190</v>
      </c>
      <c r="H138" s="59">
        <v>3528.77</v>
      </c>
      <c r="I138" t="s">
        <v>203</v>
      </c>
      <c r="J138" t="s">
        <v>192</v>
      </c>
      <c r="K138" t="s">
        <v>715</v>
      </c>
      <c r="L138" t="s">
        <v>715</v>
      </c>
    </row>
    <row r="139" spans="1:12" x14ac:dyDescent="0.25">
      <c r="A139" s="88">
        <f t="shared" si="2"/>
        <v>138</v>
      </c>
      <c r="B139" s="89" t="s">
        <v>881</v>
      </c>
      <c r="C139" s="9">
        <v>45782</v>
      </c>
      <c r="D139" t="s">
        <v>882</v>
      </c>
      <c r="E139" t="s">
        <v>883</v>
      </c>
      <c r="F139" t="s">
        <v>884</v>
      </c>
      <c r="G139" t="s">
        <v>190</v>
      </c>
      <c r="H139" s="59">
        <v>1122</v>
      </c>
      <c r="I139" t="s">
        <v>375</v>
      </c>
      <c r="J139" t="s">
        <v>894</v>
      </c>
      <c r="K139" t="s">
        <v>715</v>
      </c>
      <c r="L139" t="s">
        <v>715</v>
      </c>
    </row>
    <row r="140" spans="1:12" x14ac:dyDescent="0.25">
      <c r="A140" s="92">
        <f t="shared" si="2"/>
        <v>139</v>
      </c>
      <c r="B140" s="89" t="s">
        <v>885</v>
      </c>
      <c r="C140" s="9">
        <v>45782</v>
      </c>
      <c r="D140" t="s">
        <v>886</v>
      </c>
      <c r="E140" t="s">
        <v>887</v>
      </c>
      <c r="F140" t="s">
        <v>888</v>
      </c>
      <c r="G140" t="s">
        <v>190</v>
      </c>
      <c r="H140" s="59">
        <v>1632.64</v>
      </c>
      <c r="I140" t="s">
        <v>889</v>
      </c>
      <c r="J140" t="s">
        <v>895</v>
      </c>
      <c r="K140" t="s">
        <v>715</v>
      </c>
      <c r="L140" t="s">
        <v>715</v>
      </c>
    </row>
    <row r="141" spans="1:12" x14ac:dyDescent="0.25">
      <c r="A141" s="88">
        <f t="shared" si="2"/>
        <v>140</v>
      </c>
      <c r="B141" s="89" t="s">
        <v>890</v>
      </c>
      <c r="C141" s="9">
        <v>45762</v>
      </c>
      <c r="D141" t="s">
        <v>898</v>
      </c>
      <c r="E141" t="s">
        <v>892</v>
      </c>
      <c r="F141" t="s">
        <v>893</v>
      </c>
      <c r="G141" t="s">
        <v>213</v>
      </c>
      <c r="H141" s="59">
        <v>2133.5500000000002</v>
      </c>
      <c r="I141" t="s">
        <v>454</v>
      </c>
      <c r="J141" t="s">
        <v>192</v>
      </c>
      <c r="K141" t="s">
        <v>715</v>
      </c>
      <c r="L141" t="s">
        <v>715</v>
      </c>
    </row>
    <row r="142" spans="1:12" x14ac:dyDescent="0.25">
      <c r="A142" s="90">
        <f t="shared" si="2"/>
        <v>141</v>
      </c>
      <c r="B142" s="89" t="s">
        <v>896</v>
      </c>
      <c r="C142" s="9">
        <v>45783</v>
      </c>
      <c r="D142" t="s">
        <v>620</v>
      </c>
      <c r="E142" t="s">
        <v>621</v>
      </c>
      <c r="F142" t="s">
        <v>622</v>
      </c>
      <c r="G142" t="s">
        <v>118</v>
      </c>
      <c r="H142" s="59">
        <v>1592</v>
      </c>
      <c r="I142" t="s">
        <v>897</v>
      </c>
      <c r="J142" t="s">
        <v>223</v>
      </c>
      <c r="K142" t="s">
        <v>715</v>
      </c>
      <c r="L142" t="s">
        <v>715</v>
      </c>
    </row>
    <row r="143" spans="1:12" x14ac:dyDescent="0.25">
      <c r="A143" s="92">
        <f t="shared" si="2"/>
        <v>142</v>
      </c>
      <c r="B143" s="89" t="s">
        <v>899</v>
      </c>
      <c r="C143" s="9">
        <v>45784</v>
      </c>
      <c r="D143" t="s">
        <v>900</v>
      </c>
      <c r="E143" t="s">
        <v>901</v>
      </c>
      <c r="F143" t="s">
        <v>902</v>
      </c>
      <c r="G143" t="s">
        <v>190</v>
      </c>
      <c r="H143" s="59">
        <v>7911.2</v>
      </c>
      <c r="I143" t="s">
        <v>903</v>
      </c>
      <c r="J143" t="s">
        <v>296</v>
      </c>
      <c r="K143" t="s">
        <v>715</v>
      </c>
      <c r="L143" t="s">
        <v>715</v>
      </c>
    </row>
    <row r="144" spans="1:12" x14ac:dyDescent="0.25">
      <c r="A144" s="90">
        <f t="shared" si="2"/>
        <v>143</v>
      </c>
      <c r="B144" s="89" t="s">
        <v>899</v>
      </c>
      <c r="C144" s="9">
        <v>45773</v>
      </c>
      <c r="D144" t="s">
        <v>904</v>
      </c>
      <c r="E144" t="s">
        <v>905</v>
      </c>
      <c r="F144" t="s">
        <v>906</v>
      </c>
      <c r="G144" t="s">
        <v>118</v>
      </c>
      <c r="H144" s="59">
        <v>3857.79</v>
      </c>
      <c r="I144" t="s">
        <v>907</v>
      </c>
      <c r="J144" t="s">
        <v>388</v>
      </c>
      <c r="K144" t="s">
        <v>715</v>
      </c>
      <c r="L144" t="s">
        <v>715</v>
      </c>
    </row>
    <row r="145" spans="1:12" x14ac:dyDescent="0.25">
      <c r="A145" s="93">
        <f t="shared" si="2"/>
        <v>144</v>
      </c>
      <c r="B145" s="89" t="s">
        <v>908</v>
      </c>
      <c r="C145" s="9">
        <v>45784</v>
      </c>
      <c r="D145" t="s">
        <v>909</v>
      </c>
      <c r="E145" t="s">
        <v>910</v>
      </c>
      <c r="F145" t="s">
        <v>911</v>
      </c>
      <c r="G145" t="s">
        <v>118</v>
      </c>
      <c r="H145" s="59">
        <v>993.88</v>
      </c>
      <c r="I145" t="s">
        <v>912</v>
      </c>
      <c r="J145" t="s">
        <v>926</v>
      </c>
      <c r="K145" t="s">
        <v>715</v>
      </c>
      <c r="L145" t="s">
        <v>715</v>
      </c>
    </row>
    <row r="146" spans="1:12" x14ac:dyDescent="0.25">
      <c r="A146" s="88">
        <f t="shared" si="2"/>
        <v>145</v>
      </c>
      <c r="B146" s="89" t="s">
        <v>913</v>
      </c>
      <c r="C146" s="9">
        <v>45785</v>
      </c>
      <c r="D146" t="s">
        <v>914</v>
      </c>
      <c r="E146" t="s">
        <v>915</v>
      </c>
      <c r="F146" t="s">
        <v>916</v>
      </c>
      <c r="G146" t="s">
        <v>190</v>
      </c>
      <c r="H146" s="59">
        <v>984</v>
      </c>
      <c r="I146" t="s">
        <v>917</v>
      </c>
      <c r="J146" t="s">
        <v>223</v>
      </c>
      <c r="K146" t="s">
        <v>715</v>
      </c>
      <c r="L146" t="s">
        <v>715</v>
      </c>
    </row>
    <row r="147" spans="1:12" x14ac:dyDescent="0.25">
      <c r="A147" s="92">
        <f t="shared" si="2"/>
        <v>146</v>
      </c>
      <c r="B147" s="89" t="s">
        <v>921</v>
      </c>
      <c r="C147" s="9">
        <v>45791</v>
      </c>
      <c r="D147" t="s">
        <v>922</v>
      </c>
      <c r="E147" t="s">
        <v>923</v>
      </c>
      <c r="F147" t="s">
        <v>924</v>
      </c>
      <c r="G147" t="s">
        <v>190</v>
      </c>
      <c r="H147" s="59">
        <v>1561.36</v>
      </c>
      <c r="I147" t="s">
        <v>925</v>
      </c>
      <c r="J147" t="s">
        <v>192</v>
      </c>
      <c r="K147" t="s">
        <v>715</v>
      </c>
      <c r="L147" t="s">
        <v>715</v>
      </c>
    </row>
    <row r="148" spans="1:12" x14ac:dyDescent="0.25">
      <c r="A148" s="88">
        <f t="shared" si="2"/>
        <v>147</v>
      </c>
      <c r="B148" s="89" t="s">
        <v>927</v>
      </c>
      <c r="C148" s="9">
        <v>45790</v>
      </c>
      <c r="D148" t="s">
        <v>928</v>
      </c>
      <c r="E148" t="s">
        <v>929</v>
      </c>
      <c r="F148" t="s">
        <v>930</v>
      </c>
      <c r="G148" t="s">
        <v>190</v>
      </c>
      <c r="H148" s="59">
        <v>5172.24</v>
      </c>
      <c r="I148" t="s">
        <v>931</v>
      </c>
      <c r="J148" t="s">
        <v>322</v>
      </c>
      <c r="K148" t="s">
        <v>715</v>
      </c>
      <c r="L148" t="s">
        <v>715</v>
      </c>
    </row>
    <row r="149" spans="1:12" x14ac:dyDescent="0.25">
      <c r="A149" s="88">
        <f t="shared" si="2"/>
        <v>148</v>
      </c>
      <c r="B149" s="89" t="s">
        <v>932</v>
      </c>
      <c r="C149" s="9">
        <v>45792</v>
      </c>
      <c r="D149" s="9" t="s">
        <v>933</v>
      </c>
      <c r="E149" t="s">
        <v>934</v>
      </c>
      <c r="F149" t="s">
        <v>935</v>
      </c>
      <c r="G149" t="s">
        <v>190</v>
      </c>
      <c r="H149" s="59">
        <v>985</v>
      </c>
      <c r="I149" t="s">
        <v>936</v>
      </c>
      <c r="J149" t="s">
        <v>192</v>
      </c>
      <c r="K149" t="s">
        <v>715</v>
      </c>
      <c r="L149" t="s">
        <v>715</v>
      </c>
    </row>
    <row r="150" spans="1:12" x14ac:dyDescent="0.25">
      <c r="A150" s="88">
        <f t="shared" si="2"/>
        <v>149</v>
      </c>
      <c r="B150" s="89" t="s">
        <v>937</v>
      </c>
      <c r="C150" s="9">
        <v>45793</v>
      </c>
      <c r="D150" t="s">
        <v>938</v>
      </c>
      <c r="E150" t="s">
        <v>939</v>
      </c>
      <c r="F150" t="s">
        <v>940</v>
      </c>
      <c r="G150" t="s">
        <v>119</v>
      </c>
      <c r="H150" s="59">
        <v>991</v>
      </c>
      <c r="I150" t="s">
        <v>941</v>
      </c>
      <c r="J150" t="s">
        <v>322</v>
      </c>
      <c r="K150" t="s">
        <v>715</v>
      </c>
      <c r="L150" t="s">
        <v>715</v>
      </c>
    </row>
    <row r="151" spans="1:12" x14ac:dyDescent="0.25">
      <c r="A151" s="92">
        <f t="shared" si="2"/>
        <v>150</v>
      </c>
      <c r="B151" s="89" t="s">
        <v>942</v>
      </c>
      <c r="C151" s="9">
        <v>45793</v>
      </c>
      <c r="D151" t="s">
        <v>943</v>
      </c>
      <c r="E151" t="s">
        <v>944</v>
      </c>
      <c r="F151" t="s">
        <v>945</v>
      </c>
      <c r="G151" t="s">
        <v>190</v>
      </c>
      <c r="H151" s="59">
        <v>1607.76</v>
      </c>
      <c r="I151" t="s">
        <v>946</v>
      </c>
      <c r="J151" t="s">
        <v>568</v>
      </c>
      <c r="K151" t="s">
        <v>715</v>
      </c>
      <c r="L151" t="s">
        <v>715</v>
      </c>
    </row>
    <row r="152" spans="1:12" x14ac:dyDescent="0.25">
      <c r="A152" s="90">
        <f t="shared" si="2"/>
        <v>151</v>
      </c>
      <c r="B152" s="89" t="s">
        <v>947</v>
      </c>
      <c r="C152" s="9">
        <v>45794</v>
      </c>
      <c r="D152" t="s">
        <v>948</v>
      </c>
      <c r="E152" t="s">
        <v>949</v>
      </c>
      <c r="F152" t="s">
        <v>950</v>
      </c>
      <c r="G152" t="s">
        <v>118</v>
      </c>
      <c r="H152" s="59">
        <v>1350</v>
      </c>
      <c r="I152" t="s">
        <v>951</v>
      </c>
      <c r="J152" t="s">
        <v>952</v>
      </c>
      <c r="K152" t="s">
        <v>715</v>
      </c>
      <c r="L152" t="s">
        <v>715</v>
      </c>
    </row>
    <row r="153" spans="1:12" x14ac:dyDescent="0.25">
      <c r="A153" s="93">
        <f t="shared" si="2"/>
        <v>152</v>
      </c>
      <c r="B153" s="89" t="s">
        <v>953</v>
      </c>
      <c r="C153" s="9">
        <v>45795</v>
      </c>
      <c r="D153" t="s">
        <v>954</v>
      </c>
      <c r="E153" t="s">
        <v>955</v>
      </c>
      <c r="F153" t="s">
        <v>956</v>
      </c>
      <c r="G153" t="s">
        <v>118</v>
      </c>
      <c r="H153" s="59">
        <v>2233.4</v>
      </c>
      <c r="I153" t="s">
        <v>519</v>
      </c>
      <c r="J153" t="s">
        <v>316</v>
      </c>
      <c r="K153" t="s">
        <v>715</v>
      </c>
      <c r="L153" t="s">
        <v>715</v>
      </c>
    </row>
    <row r="154" spans="1:12" x14ac:dyDescent="0.25">
      <c r="A154" s="88">
        <f t="shared" si="2"/>
        <v>153</v>
      </c>
      <c r="B154" s="89" t="s">
        <v>957</v>
      </c>
      <c r="C154" s="9">
        <v>45797</v>
      </c>
      <c r="D154" t="s">
        <v>958</v>
      </c>
      <c r="E154" t="s">
        <v>959</v>
      </c>
      <c r="F154" t="s">
        <v>960</v>
      </c>
      <c r="G154" t="s">
        <v>190</v>
      </c>
      <c r="H154" s="59">
        <v>1888.92</v>
      </c>
      <c r="I154" t="s">
        <v>961</v>
      </c>
      <c r="J154" t="s">
        <v>962</v>
      </c>
      <c r="K154" t="s">
        <v>715</v>
      </c>
      <c r="L154" t="s">
        <v>715</v>
      </c>
    </row>
    <row r="155" spans="1:12" x14ac:dyDescent="0.25">
      <c r="A155" s="90">
        <f t="shared" si="2"/>
        <v>154</v>
      </c>
      <c r="B155" s="89" t="s">
        <v>963</v>
      </c>
      <c r="C155" s="9">
        <v>45797</v>
      </c>
      <c r="D155" t="s">
        <v>964</v>
      </c>
      <c r="E155" t="s">
        <v>965</v>
      </c>
      <c r="F155" t="s">
        <v>966</v>
      </c>
      <c r="G155" t="s">
        <v>118</v>
      </c>
      <c r="H155" s="59">
        <v>1856</v>
      </c>
      <c r="I155" t="s">
        <v>967</v>
      </c>
      <c r="J155" t="s">
        <v>973</v>
      </c>
      <c r="K155" t="s">
        <v>715</v>
      </c>
      <c r="L155" t="s">
        <v>715</v>
      </c>
    </row>
    <row r="156" spans="1:12" x14ac:dyDescent="0.25">
      <c r="A156" s="91">
        <f t="shared" si="2"/>
        <v>155</v>
      </c>
      <c r="B156" s="89" t="s">
        <v>968</v>
      </c>
      <c r="C156" s="9">
        <v>45798</v>
      </c>
      <c r="D156" t="s">
        <v>969</v>
      </c>
      <c r="E156" t="s">
        <v>970</v>
      </c>
      <c r="F156" t="s">
        <v>971</v>
      </c>
      <c r="G156" t="s">
        <v>190</v>
      </c>
      <c r="H156" s="59">
        <v>2586</v>
      </c>
      <c r="I156" t="s">
        <v>972</v>
      </c>
      <c r="J156" t="s">
        <v>223</v>
      </c>
      <c r="K156" t="s">
        <v>715</v>
      </c>
      <c r="L156" t="s">
        <v>715</v>
      </c>
    </row>
    <row r="157" spans="1:12" x14ac:dyDescent="0.25">
      <c r="A157" s="88">
        <f t="shared" si="2"/>
        <v>156</v>
      </c>
      <c r="B157" s="89" t="s">
        <v>974</v>
      </c>
      <c r="C157" s="9">
        <v>45799</v>
      </c>
      <c r="D157" t="s">
        <v>975</v>
      </c>
      <c r="E157" t="s">
        <v>976</v>
      </c>
      <c r="F157" t="s">
        <v>977</v>
      </c>
      <c r="G157" t="s">
        <v>190</v>
      </c>
      <c r="H157" s="59">
        <v>11403</v>
      </c>
      <c r="I157" t="s">
        <v>978</v>
      </c>
      <c r="J157" t="s">
        <v>986</v>
      </c>
      <c r="K157" t="s">
        <v>715</v>
      </c>
      <c r="L157" t="s">
        <v>715</v>
      </c>
    </row>
    <row r="158" spans="1:12" x14ac:dyDescent="0.25">
      <c r="A158" s="90">
        <f t="shared" si="2"/>
        <v>157</v>
      </c>
      <c r="B158" s="89" t="s">
        <v>979</v>
      </c>
      <c r="C158" s="9">
        <v>45799</v>
      </c>
      <c r="D158" t="s">
        <v>980</v>
      </c>
      <c r="E158" t="s">
        <v>981</v>
      </c>
      <c r="F158" t="s">
        <v>982</v>
      </c>
      <c r="G158" t="s">
        <v>118</v>
      </c>
      <c r="H158" s="59">
        <v>2246.6999999999998</v>
      </c>
      <c r="I158" t="s">
        <v>983</v>
      </c>
      <c r="J158" t="s">
        <v>755</v>
      </c>
      <c r="K158" t="s">
        <v>715</v>
      </c>
      <c r="L158" t="s">
        <v>715</v>
      </c>
    </row>
    <row r="159" spans="1:12" x14ac:dyDescent="0.25">
      <c r="A159" s="90">
        <f t="shared" si="2"/>
        <v>158</v>
      </c>
      <c r="B159" s="89" t="s">
        <v>984</v>
      </c>
      <c r="C159" s="9">
        <v>45800</v>
      </c>
      <c r="D159" t="s">
        <v>275</v>
      </c>
      <c r="E159" t="s">
        <v>276</v>
      </c>
      <c r="F159" t="s">
        <v>277</v>
      </c>
      <c r="G159" t="s">
        <v>118</v>
      </c>
      <c r="H159" s="59">
        <v>978</v>
      </c>
      <c r="I159" t="s">
        <v>985</v>
      </c>
      <c r="J159" t="s">
        <v>192</v>
      </c>
      <c r="K159" t="s">
        <v>715</v>
      </c>
      <c r="L159" t="s">
        <v>715</v>
      </c>
    </row>
    <row r="160" spans="1:12" x14ac:dyDescent="0.25">
      <c r="A160" s="91">
        <f t="shared" si="2"/>
        <v>159</v>
      </c>
      <c r="B160" s="89" t="s">
        <v>987</v>
      </c>
      <c r="C160" s="9">
        <v>45801</v>
      </c>
      <c r="D160" t="s">
        <v>988</v>
      </c>
      <c r="E160" t="s">
        <v>989</v>
      </c>
      <c r="F160" t="s">
        <v>990</v>
      </c>
      <c r="G160" t="s">
        <v>190</v>
      </c>
      <c r="H160" s="59">
        <v>2111</v>
      </c>
      <c r="I160" t="s">
        <v>991</v>
      </c>
      <c r="J160" t="s">
        <v>992</v>
      </c>
      <c r="K160" t="s">
        <v>715</v>
      </c>
      <c r="L160" t="s">
        <v>715</v>
      </c>
    </row>
    <row r="161" spans="1:12" x14ac:dyDescent="0.25">
      <c r="A161" s="90">
        <f t="shared" si="2"/>
        <v>160</v>
      </c>
      <c r="B161" s="89" t="s">
        <v>993</v>
      </c>
      <c r="C161" s="9">
        <v>45804</v>
      </c>
      <c r="D161" t="s">
        <v>994</v>
      </c>
      <c r="E161" t="s">
        <v>995</v>
      </c>
      <c r="F161" t="s">
        <v>996</v>
      </c>
      <c r="G161" t="s">
        <v>118</v>
      </c>
      <c r="H161" s="59">
        <v>2700</v>
      </c>
      <c r="I161" t="s">
        <v>203</v>
      </c>
      <c r="J161" t="s">
        <v>1002</v>
      </c>
      <c r="K161" t="s">
        <v>715</v>
      </c>
      <c r="L161" t="s">
        <v>715</v>
      </c>
    </row>
    <row r="162" spans="1:12" x14ac:dyDescent="0.25">
      <c r="A162" s="90">
        <f t="shared" si="2"/>
        <v>161</v>
      </c>
      <c r="B162" s="89" t="s">
        <v>997</v>
      </c>
      <c r="C162" s="9">
        <v>45806</v>
      </c>
      <c r="D162" t="s">
        <v>998</v>
      </c>
      <c r="E162" t="s">
        <v>999</v>
      </c>
      <c r="F162" t="s">
        <v>1000</v>
      </c>
      <c r="G162" t="s">
        <v>118</v>
      </c>
      <c r="H162" s="59">
        <v>2589.6</v>
      </c>
      <c r="I162" t="s">
        <v>1001</v>
      </c>
      <c r="J162" t="s">
        <v>295</v>
      </c>
      <c r="K162" t="s">
        <v>715</v>
      </c>
      <c r="L162" t="s">
        <v>715</v>
      </c>
    </row>
    <row r="163" spans="1:12" x14ac:dyDescent="0.25">
      <c r="A163" s="88">
        <f t="shared" si="2"/>
        <v>162</v>
      </c>
      <c r="B163" s="89" t="s">
        <v>1003</v>
      </c>
      <c r="C163" s="9">
        <v>45806</v>
      </c>
      <c r="D163" t="s">
        <v>1004</v>
      </c>
      <c r="E163" t="s">
        <v>1005</v>
      </c>
      <c r="F163" t="s">
        <v>1006</v>
      </c>
      <c r="G163" t="s">
        <v>190</v>
      </c>
      <c r="H163" s="59">
        <v>1465</v>
      </c>
      <c r="I163" t="s">
        <v>1007</v>
      </c>
      <c r="J163" t="s">
        <v>1008</v>
      </c>
      <c r="K163" t="s">
        <v>715</v>
      </c>
      <c r="L163" t="s">
        <v>715</v>
      </c>
    </row>
    <row r="164" spans="1:12" x14ac:dyDescent="0.25">
      <c r="A164" s="93">
        <f t="shared" si="2"/>
        <v>163</v>
      </c>
      <c r="B164" s="89" t="s">
        <v>1009</v>
      </c>
      <c r="C164" s="9">
        <v>45807</v>
      </c>
      <c r="D164" t="s">
        <v>329</v>
      </c>
      <c r="E164" t="s">
        <v>330</v>
      </c>
      <c r="F164" t="s">
        <v>1010</v>
      </c>
      <c r="G164" t="s">
        <v>118</v>
      </c>
      <c r="H164" s="59">
        <v>9830</v>
      </c>
      <c r="I164" t="s">
        <v>1011</v>
      </c>
      <c r="J164" t="s">
        <v>295</v>
      </c>
      <c r="K164" t="s">
        <v>715</v>
      </c>
      <c r="L164" t="s">
        <v>715</v>
      </c>
    </row>
    <row r="165" spans="1:12" x14ac:dyDescent="0.25">
      <c r="A165" s="88">
        <f t="shared" si="2"/>
        <v>164</v>
      </c>
      <c r="B165" s="89" t="s">
        <v>1012</v>
      </c>
      <c r="C165" s="9">
        <v>45811</v>
      </c>
      <c r="D165" t="s">
        <v>1013</v>
      </c>
      <c r="E165" t="s">
        <v>1014</v>
      </c>
      <c r="F165" t="s">
        <v>1015</v>
      </c>
      <c r="G165" t="s">
        <v>190</v>
      </c>
      <c r="H165" s="59">
        <v>1746</v>
      </c>
      <c r="I165" t="s">
        <v>1016</v>
      </c>
      <c r="J165" t="s">
        <v>1027</v>
      </c>
      <c r="K165" t="s">
        <v>715</v>
      </c>
      <c r="L165" t="s">
        <v>715</v>
      </c>
    </row>
    <row r="166" spans="1:12" x14ac:dyDescent="0.25">
      <c r="A166" s="88">
        <f t="shared" si="2"/>
        <v>165</v>
      </c>
      <c r="B166" s="89" t="s">
        <v>1017</v>
      </c>
      <c r="C166" s="9">
        <v>45811</v>
      </c>
      <c r="D166" t="s">
        <v>1018</v>
      </c>
      <c r="E166" t="s">
        <v>1019</v>
      </c>
      <c r="F166" t="s">
        <v>1020</v>
      </c>
      <c r="G166" t="s">
        <v>190</v>
      </c>
      <c r="H166" s="59">
        <v>1070</v>
      </c>
      <c r="I166" t="s">
        <v>1021</v>
      </c>
      <c r="J166" t="s">
        <v>223</v>
      </c>
      <c r="K166" t="s">
        <v>715</v>
      </c>
      <c r="L166" t="s">
        <v>715</v>
      </c>
    </row>
    <row r="167" spans="1:12" x14ac:dyDescent="0.25">
      <c r="A167" s="88">
        <f t="shared" si="2"/>
        <v>166</v>
      </c>
      <c r="B167" s="89" t="s">
        <v>1022</v>
      </c>
      <c r="C167" s="9">
        <v>45811</v>
      </c>
      <c r="D167" t="s">
        <v>1023</v>
      </c>
      <c r="E167" t="s">
        <v>1024</v>
      </c>
      <c r="F167" t="s">
        <v>1025</v>
      </c>
      <c r="G167" t="s">
        <v>119</v>
      </c>
      <c r="H167" s="59">
        <v>2064</v>
      </c>
      <c r="I167" t="s">
        <v>1026</v>
      </c>
      <c r="J167" t="s">
        <v>295</v>
      </c>
      <c r="K167" t="s">
        <v>715</v>
      </c>
      <c r="L167" t="s">
        <v>715</v>
      </c>
    </row>
    <row r="168" spans="1:12" x14ac:dyDescent="0.25">
      <c r="A168" s="90">
        <f t="shared" si="2"/>
        <v>167</v>
      </c>
      <c r="B168" s="89" t="s">
        <v>1028</v>
      </c>
      <c r="C168" s="9">
        <v>45789</v>
      </c>
      <c r="D168" t="s">
        <v>1029</v>
      </c>
      <c r="E168" t="s">
        <v>1030</v>
      </c>
      <c r="F168" t="s">
        <v>1031</v>
      </c>
      <c r="G168" t="s">
        <v>118</v>
      </c>
      <c r="H168" s="59">
        <v>3900</v>
      </c>
      <c r="I168" t="s">
        <v>1032</v>
      </c>
      <c r="J168" t="s">
        <v>1033</v>
      </c>
      <c r="K168" t="s">
        <v>715</v>
      </c>
      <c r="L168" t="s">
        <v>715</v>
      </c>
    </row>
    <row r="169" spans="1:12" x14ac:dyDescent="0.25">
      <c r="A169" s="90">
        <f t="shared" si="2"/>
        <v>168</v>
      </c>
      <c r="B169" s="89" t="s">
        <v>1034</v>
      </c>
      <c r="C169" s="9">
        <v>45803</v>
      </c>
      <c r="D169" t="s">
        <v>1035</v>
      </c>
      <c r="E169" t="s">
        <v>1036</v>
      </c>
      <c r="F169" t="s">
        <v>1037</v>
      </c>
      <c r="G169" t="s">
        <v>118</v>
      </c>
      <c r="H169" s="59">
        <v>2619</v>
      </c>
      <c r="I169" t="s">
        <v>454</v>
      </c>
      <c r="J169" t="s">
        <v>1052</v>
      </c>
      <c r="K169" t="s">
        <v>715</v>
      </c>
      <c r="L169" t="s">
        <v>715</v>
      </c>
    </row>
    <row r="170" spans="1:12" x14ac:dyDescent="0.25">
      <c r="A170" s="90">
        <f t="shared" si="2"/>
        <v>169</v>
      </c>
      <c r="B170" s="89" t="s">
        <v>1038</v>
      </c>
      <c r="C170" s="9">
        <v>45812</v>
      </c>
      <c r="D170" t="s">
        <v>1039</v>
      </c>
      <c r="E170" t="s">
        <v>1040</v>
      </c>
      <c r="F170" t="s">
        <v>1041</v>
      </c>
      <c r="G170" t="s">
        <v>118</v>
      </c>
      <c r="H170" s="59">
        <v>1407</v>
      </c>
      <c r="I170" t="s">
        <v>1042</v>
      </c>
      <c r="J170" t="s">
        <v>215</v>
      </c>
      <c r="K170" t="s">
        <v>715</v>
      </c>
      <c r="L170" t="s">
        <v>715</v>
      </c>
    </row>
    <row r="171" spans="1:12" x14ac:dyDescent="0.25">
      <c r="A171" s="90">
        <f t="shared" si="2"/>
        <v>170</v>
      </c>
      <c r="B171" s="89" t="s">
        <v>1043</v>
      </c>
      <c r="C171" s="9">
        <v>45813</v>
      </c>
      <c r="D171" t="s">
        <v>1044</v>
      </c>
      <c r="E171" t="s">
        <v>1045</v>
      </c>
      <c r="F171" t="s">
        <v>1046</v>
      </c>
      <c r="G171" t="s">
        <v>118</v>
      </c>
      <c r="H171" s="59">
        <v>1135</v>
      </c>
      <c r="I171" t="s">
        <v>306</v>
      </c>
      <c r="J171" t="s">
        <v>223</v>
      </c>
      <c r="K171" t="s">
        <v>715</v>
      </c>
      <c r="L171" t="s">
        <v>715</v>
      </c>
    </row>
    <row r="172" spans="1:12" x14ac:dyDescent="0.25">
      <c r="A172" s="90">
        <f t="shared" si="2"/>
        <v>171</v>
      </c>
      <c r="B172" s="89" t="s">
        <v>1047</v>
      </c>
      <c r="C172" s="9">
        <v>45814</v>
      </c>
      <c r="D172" t="s">
        <v>1048</v>
      </c>
      <c r="E172" t="s">
        <v>1049</v>
      </c>
      <c r="F172" t="s">
        <v>1050</v>
      </c>
      <c r="G172" t="s">
        <v>118</v>
      </c>
      <c r="H172" s="59">
        <v>1525</v>
      </c>
      <c r="I172" t="s">
        <v>1051</v>
      </c>
      <c r="J172" t="s">
        <v>1063</v>
      </c>
      <c r="K172" t="s">
        <v>715</v>
      </c>
      <c r="L172" t="s">
        <v>715</v>
      </c>
    </row>
    <row r="173" spans="1:12" x14ac:dyDescent="0.25">
      <c r="A173" s="88">
        <f t="shared" si="2"/>
        <v>172</v>
      </c>
      <c r="B173" s="95" t="s">
        <v>1053</v>
      </c>
      <c r="C173" s="9">
        <v>45814</v>
      </c>
      <c r="D173" t="s">
        <v>1054</v>
      </c>
      <c r="E173" t="s">
        <v>1055</v>
      </c>
      <c r="F173" t="s">
        <v>1056</v>
      </c>
      <c r="G173" t="s">
        <v>190</v>
      </c>
      <c r="H173" s="59">
        <v>2403.6</v>
      </c>
      <c r="I173" t="s">
        <v>464</v>
      </c>
      <c r="J173" t="s">
        <v>1068</v>
      </c>
      <c r="K173" t="s">
        <v>715</v>
      </c>
      <c r="L173" t="s">
        <v>715</v>
      </c>
    </row>
    <row r="174" spans="1:12" x14ac:dyDescent="0.25">
      <c r="A174" s="88">
        <f t="shared" si="2"/>
        <v>173</v>
      </c>
      <c r="B174" s="89" t="s">
        <v>1057</v>
      </c>
      <c r="C174" s="9">
        <v>45815</v>
      </c>
      <c r="D174" t="s">
        <v>1058</v>
      </c>
      <c r="E174" t="s">
        <v>1059</v>
      </c>
      <c r="F174" t="s">
        <v>1060</v>
      </c>
      <c r="G174" t="s">
        <v>119</v>
      </c>
      <c r="H174" s="59">
        <v>1843.2</v>
      </c>
      <c r="I174" t="s">
        <v>1061</v>
      </c>
      <c r="J174" t="s">
        <v>1062</v>
      </c>
      <c r="K174" t="s">
        <v>715</v>
      </c>
      <c r="L174" t="s">
        <v>715</v>
      </c>
    </row>
    <row r="175" spans="1:12" x14ac:dyDescent="0.25">
      <c r="A175" s="88">
        <f t="shared" si="2"/>
        <v>174</v>
      </c>
      <c r="B175" s="89" t="s">
        <v>1069</v>
      </c>
      <c r="C175" s="9">
        <v>45817</v>
      </c>
      <c r="D175" t="s">
        <v>1064</v>
      </c>
      <c r="E175" t="s">
        <v>1065</v>
      </c>
      <c r="F175" t="s">
        <v>1066</v>
      </c>
      <c r="G175" t="s">
        <v>119</v>
      </c>
      <c r="H175" s="59">
        <v>1837</v>
      </c>
      <c r="I175" t="s">
        <v>1067</v>
      </c>
      <c r="J175" t="s">
        <v>295</v>
      </c>
      <c r="K175" t="s">
        <v>715</v>
      </c>
      <c r="L175" t="s">
        <v>715</v>
      </c>
    </row>
    <row r="176" spans="1:12" x14ac:dyDescent="0.25">
      <c r="A176" s="91">
        <f t="shared" si="2"/>
        <v>175</v>
      </c>
      <c r="B176" s="89" t="s">
        <v>1070</v>
      </c>
      <c r="C176" s="9">
        <v>45818</v>
      </c>
      <c r="D176" t="s">
        <v>1071</v>
      </c>
      <c r="E176" t="s">
        <v>1072</v>
      </c>
      <c r="F176" t="s">
        <v>1073</v>
      </c>
      <c r="G176" t="s">
        <v>190</v>
      </c>
      <c r="H176" s="59">
        <v>1300</v>
      </c>
      <c r="I176" t="s">
        <v>1074</v>
      </c>
      <c r="J176" t="s">
        <v>1075</v>
      </c>
      <c r="K176" t="s">
        <v>715</v>
      </c>
      <c r="L176" t="s">
        <v>715</v>
      </c>
    </row>
    <row r="177" spans="1:12" x14ac:dyDescent="0.25">
      <c r="A177" s="90">
        <f t="shared" si="2"/>
        <v>176</v>
      </c>
      <c r="B177" s="89" t="s">
        <v>1076</v>
      </c>
      <c r="C177" s="9">
        <v>45820</v>
      </c>
      <c r="D177" t="s">
        <v>1004</v>
      </c>
      <c r="E177" t="s">
        <v>1005</v>
      </c>
      <c r="F177" t="s">
        <v>1006</v>
      </c>
      <c r="G177" t="s">
        <v>118</v>
      </c>
      <c r="H177" s="59">
        <v>1465</v>
      </c>
      <c r="I177" t="s">
        <v>1077</v>
      </c>
      <c r="J177" t="s">
        <v>1089</v>
      </c>
      <c r="K177" t="s">
        <v>715</v>
      </c>
      <c r="L177" t="s">
        <v>715</v>
      </c>
    </row>
    <row r="178" spans="1:12" x14ac:dyDescent="0.25">
      <c r="A178" s="88">
        <f t="shared" si="2"/>
        <v>177</v>
      </c>
      <c r="B178" s="89" t="s">
        <v>1078</v>
      </c>
      <c r="C178" s="9">
        <v>45820</v>
      </c>
      <c r="D178" t="s">
        <v>1079</v>
      </c>
      <c r="E178" t="s">
        <v>1080</v>
      </c>
      <c r="F178" t="s">
        <v>1081</v>
      </c>
      <c r="G178" t="s">
        <v>190</v>
      </c>
      <c r="H178" s="59">
        <v>3309</v>
      </c>
      <c r="I178" t="s">
        <v>1082</v>
      </c>
      <c r="J178" t="s">
        <v>1083</v>
      </c>
      <c r="K178" t="s">
        <v>715</v>
      </c>
      <c r="L178" t="s">
        <v>715</v>
      </c>
    </row>
    <row r="179" spans="1:12" x14ac:dyDescent="0.25">
      <c r="A179" s="88">
        <f t="shared" si="2"/>
        <v>178</v>
      </c>
      <c r="B179" s="89" t="s">
        <v>1084</v>
      </c>
      <c r="C179" s="9">
        <v>45817</v>
      </c>
      <c r="D179" t="s">
        <v>1085</v>
      </c>
      <c r="E179" t="s">
        <v>1086</v>
      </c>
      <c r="F179" t="s">
        <v>1087</v>
      </c>
      <c r="G179" t="s">
        <v>190</v>
      </c>
      <c r="H179" s="59">
        <v>3881.32</v>
      </c>
      <c r="I179" t="s">
        <v>1088</v>
      </c>
      <c r="J179" t="s">
        <v>1090</v>
      </c>
      <c r="K179" t="s">
        <v>715</v>
      </c>
      <c r="L179" t="s">
        <v>715</v>
      </c>
    </row>
    <row r="180" spans="1:12" x14ac:dyDescent="0.25">
      <c r="A180" s="88">
        <f t="shared" si="2"/>
        <v>179</v>
      </c>
      <c r="B180" s="89" t="s">
        <v>1091</v>
      </c>
      <c r="C180" s="9">
        <v>45822</v>
      </c>
      <c r="D180" t="s">
        <v>1092</v>
      </c>
      <c r="E180" t="s">
        <v>1093</v>
      </c>
      <c r="F180" t="s">
        <v>1094</v>
      </c>
      <c r="G180" t="s">
        <v>190</v>
      </c>
      <c r="H180" s="59">
        <v>2400</v>
      </c>
      <c r="I180" t="s">
        <v>1095</v>
      </c>
      <c r="J180" t="s">
        <v>1099</v>
      </c>
      <c r="K180" t="s">
        <v>715</v>
      </c>
      <c r="L180" t="s">
        <v>715</v>
      </c>
    </row>
    <row r="181" spans="1:12" x14ac:dyDescent="0.25">
      <c r="A181" s="93">
        <f t="shared" si="2"/>
        <v>180</v>
      </c>
      <c r="B181" s="89" t="s">
        <v>1096</v>
      </c>
      <c r="C181" s="9">
        <v>45822</v>
      </c>
      <c r="D181" t="s">
        <v>329</v>
      </c>
      <c r="E181" t="s">
        <v>330</v>
      </c>
      <c r="F181" t="s">
        <v>1097</v>
      </c>
      <c r="G181" t="s">
        <v>118</v>
      </c>
      <c r="H181" s="59">
        <v>2096.44</v>
      </c>
      <c r="I181" t="s">
        <v>1098</v>
      </c>
      <c r="J181" t="s">
        <v>1100</v>
      </c>
      <c r="K181" t="s">
        <v>715</v>
      </c>
      <c r="L181" t="s">
        <v>715</v>
      </c>
    </row>
    <row r="182" spans="1:12" x14ac:dyDescent="0.25">
      <c r="A182" s="90">
        <f t="shared" si="2"/>
        <v>181</v>
      </c>
      <c r="B182" s="89" t="s">
        <v>1101</v>
      </c>
      <c r="C182" s="9">
        <v>45813</v>
      </c>
      <c r="D182" t="s">
        <v>1102</v>
      </c>
      <c r="E182" t="s">
        <v>1103</v>
      </c>
      <c r="F182" t="s">
        <v>1104</v>
      </c>
      <c r="G182" t="s">
        <v>118</v>
      </c>
      <c r="H182" s="59">
        <v>4063.15</v>
      </c>
      <c r="I182" t="s">
        <v>1105</v>
      </c>
      <c r="J182" t="s">
        <v>316</v>
      </c>
      <c r="K182" t="s">
        <v>715</v>
      </c>
      <c r="L182" t="s">
        <v>715</v>
      </c>
    </row>
    <row r="183" spans="1:12" x14ac:dyDescent="0.25">
      <c r="A183" s="90">
        <f t="shared" si="2"/>
        <v>182</v>
      </c>
      <c r="B183" s="89" t="s">
        <v>1106</v>
      </c>
      <c r="C183" s="9">
        <v>45814</v>
      </c>
      <c r="D183" t="s">
        <v>1107</v>
      </c>
      <c r="E183" t="s">
        <v>1108</v>
      </c>
      <c r="F183" t="s">
        <v>1109</v>
      </c>
      <c r="G183" t="s">
        <v>118</v>
      </c>
      <c r="H183" s="59">
        <v>4525.55</v>
      </c>
      <c r="I183" t="s">
        <v>1110</v>
      </c>
      <c r="J183" t="s">
        <v>223</v>
      </c>
      <c r="K183" t="s">
        <v>715</v>
      </c>
      <c r="L183" t="s">
        <v>715</v>
      </c>
    </row>
    <row r="184" spans="1:12" x14ac:dyDescent="0.25">
      <c r="A184" s="91">
        <f t="shared" si="2"/>
        <v>183</v>
      </c>
      <c r="B184" s="89" t="s">
        <v>1111</v>
      </c>
      <c r="C184" s="9">
        <v>45825</v>
      </c>
      <c r="D184" t="s">
        <v>1112</v>
      </c>
      <c r="E184" t="s">
        <v>1113</v>
      </c>
      <c r="F184" t="s">
        <v>1114</v>
      </c>
      <c r="G184" t="s">
        <v>190</v>
      </c>
      <c r="H184" s="59">
        <v>935</v>
      </c>
      <c r="I184" t="s">
        <v>375</v>
      </c>
      <c r="J184" t="s">
        <v>1115</v>
      </c>
      <c r="K184" t="s">
        <v>715</v>
      </c>
      <c r="L184" t="s">
        <v>715</v>
      </c>
    </row>
    <row r="185" spans="1:12" x14ac:dyDescent="0.25">
      <c r="A185" s="90">
        <f t="shared" si="2"/>
        <v>184</v>
      </c>
      <c r="B185" s="89" t="s">
        <v>1116</v>
      </c>
      <c r="C185" s="9">
        <v>45826</v>
      </c>
      <c r="D185" t="s">
        <v>1117</v>
      </c>
      <c r="E185" t="s">
        <v>1118</v>
      </c>
      <c r="F185" t="s">
        <v>1119</v>
      </c>
      <c r="G185" t="s">
        <v>118</v>
      </c>
      <c r="H185" s="59">
        <v>3581</v>
      </c>
      <c r="I185" t="s">
        <v>1120</v>
      </c>
      <c r="J185" t="s">
        <v>1131</v>
      </c>
      <c r="K185" t="s">
        <v>715</v>
      </c>
      <c r="L185" t="s">
        <v>715</v>
      </c>
    </row>
    <row r="186" spans="1:12" x14ac:dyDescent="0.25">
      <c r="A186" s="88">
        <f t="shared" si="2"/>
        <v>185</v>
      </c>
      <c r="B186" s="89" t="s">
        <v>1121</v>
      </c>
      <c r="C186" s="9">
        <v>45826</v>
      </c>
      <c r="D186" t="s">
        <v>1122</v>
      </c>
      <c r="E186" t="s">
        <v>1123</v>
      </c>
      <c r="F186" t="s">
        <v>1124</v>
      </c>
      <c r="G186" t="s">
        <v>190</v>
      </c>
      <c r="H186" s="59">
        <v>1627</v>
      </c>
      <c r="I186" t="s">
        <v>1125</v>
      </c>
      <c r="J186" t="s">
        <v>316</v>
      </c>
      <c r="K186" t="s">
        <v>715</v>
      </c>
      <c r="L186" t="s">
        <v>715</v>
      </c>
    </row>
    <row r="187" spans="1:12" x14ac:dyDescent="0.25">
      <c r="A187" s="88">
        <f t="shared" si="2"/>
        <v>186</v>
      </c>
      <c r="B187" s="89" t="s">
        <v>1126</v>
      </c>
      <c r="C187" s="9">
        <v>45819</v>
      </c>
      <c r="D187" t="s">
        <v>1127</v>
      </c>
      <c r="E187" t="s">
        <v>1128</v>
      </c>
      <c r="F187" t="s">
        <v>1129</v>
      </c>
      <c r="G187" t="s">
        <v>190</v>
      </c>
      <c r="H187" s="59">
        <v>1284</v>
      </c>
      <c r="I187" t="s">
        <v>1130</v>
      </c>
      <c r="J187" t="s">
        <v>1008</v>
      </c>
      <c r="K187" t="s">
        <v>715</v>
      </c>
      <c r="L187" t="s">
        <v>715</v>
      </c>
    </row>
    <row r="188" spans="1:12" x14ac:dyDescent="0.25">
      <c r="A188" s="88">
        <f t="shared" si="2"/>
        <v>187</v>
      </c>
      <c r="B188" s="89" t="s">
        <v>1132</v>
      </c>
      <c r="C188" s="9">
        <v>45827</v>
      </c>
      <c r="D188" t="s">
        <v>1133</v>
      </c>
      <c r="E188" t="s">
        <v>1134</v>
      </c>
      <c r="F188" t="s">
        <v>1135</v>
      </c>
      <c r="G188" t="s">
        <v>190</v>
      </c>
      <c r="H188" s="59">
        <v>2374</v>
      </c>
      <c r="I188" t="s">
        <v>1136</v>
      </c>
      <c r="J188" t="s">
        <v>1137</v>
      </c>
      <c r="K188" t="s">
        <v>715</v>
      </c>
      <c r="L188" t="s">
        <v>715</v>
      </c>
    </row>
    <row r="189" spans="1:12" x14ac:dyDescent="0.25">
      <c r="A189" s="90">
        <f t="shared" si="2"/>
        <v>188</v>
      </c>
      <c r="B189" s="89" t="s">
        <v>1138</v>
      </c>
      <c r="C189" s="9">
        <v>45821</v>
      </c>
      <c r="D189" t="s">
        <v>1139</v>
      </c>
      <c r="E189" t="s">
        <v>1140</v>
      </c>
      <c r="F189" t="s">
        <v>1141</v>
      </c>
      <c r="G189" t="s">
        <v>118</v>
      </c>
      <c r="H189" s="59">
        <v>3909.82</v>
      </c>
      <c r="I189" t="s">
        <v>1142</v>
      </c>
      <c r="J189" t="s">
        <v>223</v>
      </c>
      <c r="K189" t="s">
        <v>715</v>
      </c>
      <c r="L189" t="s">
        <v>715</v>
      </c>
    </row>
    <row r="190" spans="1:12" x14ac:dyDescent="0.25">
      <c r="A190" s="90">
        <f t="shared" si="2"/>
        <v>189</v>
      </c>
      <c r="B190" s="89" t="s">
        <v>1143</v>
      </c>
      <c r="C190" s="9">
        <v>45829</v>
      </c>
      <c r="D190" t="s">
        <v>1107</v>
      </c>
      <c r="E190" t="s">
        <v>1108</v>
      </c>
      <c r="F190" t="s">
        <v>1109</v>
      </c>
      <c r="G190" t="s">
        <v>118</v>
      </c>
      <c r="H190" s="59">
        <v>700</v>
      </c>
      <c r="I190" t="s">
        <v>1144</v>
      </c>
      <c r="J190" t="s">
        <v>1148</v>
      </c>
      <c r="K190" t="s">
        <v>715</v>
      </c>
      <c r="L190" t="s">
        <v>715</v>
      </c>
    </row>
    <row r="191" spans="1:12" x14ac:dyDescent="0.25">
      <c r="A191" s="93">
        <f t="shared" si="2"/>
        <v>190</v>
      </c>
      <c r="B191" s="89" t="s">
        <v>1145</v>
      </c>
      <c r="C191" s="9">
        <v>45829</v>
      </c>
      <c r="D191" t="s">
        <v>329</v>
      </c>
      <c r="E191" t="s">
        <v>330</v>
      </c>
      <c r="F191" t="s">
        <v>1010</v>
      </c>
      <c r="G191" t="s">
        <v>118</v>
      </c>
      <c r="H191" s="59">
        <v>5021.26</v>
      </c>
      <c r="I191" t="s">
        <v>1146</v>
      </c>
      <c r="J191" t="s">
        <v>1147</v>
      </c>
      <c r="K191" t="s">
        <v>715</v>
      </c>
      <c r="L191" t="s">
        <v>715</v>
      </c>
    </row>
    <row r="192" spans="1:12" x14ac:dyDescent="0.25">
      <c r="A192" s="88">
        <f t="shared" si="2"/>
        <v>191</v>
      </c>
      <c r="B192" s="95" t="s">
        <v>1149</v>
      </c>
      <c r="C192" s="9">
        <v>45833</v>
      </c>
      <c r="D192" t="s">
        <v>1150</v>
      </c>
      <c r="G192" t="s">
        <v>1151</v>
      </c>
      <c r="H192" s="59">
        <v>1899</v>
      </c>
      <c r="I192" t="s">
        <v>1152</v>
      </c>
      <c r="J192" t="s">
        <v>1153</v>
      </c>
      <c r="K192" t="s">
        <v>715</v>
      </c>
      <c r="L192" t="s">
        <v>715</v>
      </c>
    </row>
    <row r="193" spans="1:12" x14ac:dyDescent="0.25">
      <c r="A193" s="91">
        <f t="shared" si="2"/>
        <v>192</v>
      </c>
      <c r="B193" s="89" t="s">
        <v>1154</v>
      </c>
      <c r="C193" s="9">
        <v>45833</v>
      </c>
      <c r="D193" t="s">
        <v>1155</v>
      </c>
      <c r="E193" t="s">
        <v>1156</v>
      </c>
      <c r="F193" t="s">
        <v>1157</v>
      </c>
      <c r="G193" t="s">
        <v>190</v>
      </c>
      <c r="H193" s="59">
        <v>2670</v>
      </c>
      <c r="I193" t="s">
        <v>1158</v>
      </c>
      <c r="J193" t="s">
        <v>1159</v>
      </c>
      <c r="K193" t="s">
        <v>715</v>
      </c>
      <c r="L193" t="s">
        <v>715</v>
      </c>
    </row>
    <row r="194" spans="1:12" x14ac:dyDescent="0.25">
      <c r="A194" s="88">
        <f t="shared" si="2"/>
        <v>193</v>
      </c>
      <c r="B194" s="89" t="s">
        <v>1160</v>
      </c>
      <c r="C194" s="9">
        <v>45835</v>
      </c>
      <c r="D194" t="s">
        <v>1161</v>
      </c>
      <c r="E194" t="s">
        <v>1162</v>
      </c>
      <c r="F194" t="s">
        <v>1163</v>
      </c>
      <c r="G194" t="s">
        <v>213</v>
      </c>
      <c r="H194" s="59">
        <v>1335.6</v>
      </c>
      <c r="I194" t="s">
        <v>1164</v>
      </c>
      <c r="J194" t="s">
        <v>734</v>
      </c>
      <c r="K194" t="s">
        <v>715</v>
      </c>
      <c r="L194" t="s">
        <v>715</v>
      </c>
    </row>
    <row r="195" spans="1:12" x14ac:dyDescent="0.25">
      <c r="A195" s="88">
        <f t="shared" si="2"/>
        <v>194</v>
      </c>
      <c r="B195" s="89" t="s">
        <v>1165</v>
      </c>
      <c r="C195" s="9">
        <v>45835</v>
      </c>
      <c r="D195" t="s">
        <v>1166</v>
      </c>
      <c r="E195" t="s">
        <v>1167</v>
      </c>
      <c r="F195" t="s">
        <v>1168</v>
      </c>
      <c r="G195" t="s">
        <v>1151</v>
      </c>
      <c r="H195" s="59">
        <v>2322.1999999999998</v>
      </c>
      <c r="I195" t="s">
        <v>1169</v>
      </c>
      <c r="J195" t="s">
        <v>192</v>
      </c>
      <c r="K195" t="s">
        <v>715</v>
      </c>
      <c r="L195" t="s">
        <v>715</v>
      </c>
    </row>
    <row r="196" spans="1:12" x14ac:dyDescent="0.25">
      <c r="A196" s="90">
        <f t="shared" ref="A196:A259" si="3">A195+1</f>
        <v>195</v>
      </c>
      <c r="B196" s="89" t="s">
        <v>1170</v>
      </c>
      <c r="C196" s="9">
        <v>45836</v>
      </c>
      <c r="D196" t="s">
        <v>1171</v>
      </c>
      <c r="E196" t="s">
        <v>1172</v>
      </c>
      <c r="F196" t="s">
        <v>1173</v>
      </c>
      <c r="G196" t="s">
        <v>118</v>
      </c>
      <c r="H196" s="59">
        <v>1987</v>
      </c>
      <c r="I196" t="s">
        <v>1174</v>
      </c>
      <c r="J196" t="s">
        <v>388</v>
      </c>
      <c r="K196" t="s">
        <v>715</v>
      </c>
      <c r="L196" t="s">
        <v>715</v>
      </c>
    </row>
    <row r="197" spans="1:12" x14ac:dyDescent="0.25">
      <c r="A197" s="93">
        <f t="shared" si="3"/>
        <v>196</v>
      </c>
      <c r="B197" s="89" t="s">
        <v>1175</v>
      </c>
      <c r="C197" s="9">
        <v>45836</v>
      </c>
      <c r="D197" t="s">
        <v>1176</v>
      </c>
      <c r="E197" t="s">
        <v>955</v>
      </c>
      <c r="F197" t="s">
        <v>1177</v>
      </c>
      <c r="G197" t="s">
        <v>118</v>
      </c>
      <c r="H197" s="59">
        <v>1914</v>
      </c>
      <c r="I197" t="s">
        <v>203</v>
      </c>
      <c r="J197" t="s">
        <v>1182</v>
      </c>
      <c r="K197" t="s">
        <v>715</v>
      </c>
      <c r="L197" t="s">
        <v>715</v>
      </c>
    </row>
    <row r="198" spans="1:12" x14ac:dyDescent="0.25">
      <c r="A198" s="90">
        <f t="shared" si="3"/>
        <v>197</v>
      </c>
      <c r="B198" s="95" t="s">
        <v>1178</v>
      </c>
      <c r="C198" s="9">
        <v>45831</v>
      </c>
      <c r="D198" t="s">
        <v>1179</v>
      </c>
      <c r="F198" t="s">
        <v>1180</v>
      </c>
      <c r="G198" t="s">
        <v>118</v>
      </c>
      <c r="H198" s="59">
        <v>1440</v>
      </c>
      <c r="I198" t="s">
        <v>912</v>
      </c>
      <c r="J198" t="s">
        <v>1181</v>
      </c>
      <c r="K198" t="s">
        <v>715</v>
      </c>
      <c r="L198" t="s">
        <v>715</v>
      </c>
    </row>
    <row r="199" spans="1:12" x14ac:dyDescent="0.25">
      <c r="A199" s="88">
        <f t="shared" si="3"/>
        <v>198</v>
      </c>
      <c r="B199" s="89" t="s">
        <v>1183</v>
      </c>
      <c r="C199" s="9">
        <v>45838</v>
      </c>
      <c r="D199" t="s">
        <v>1184</v>
      </c>
      <c r="E199" t="s">
        <v>1185</v>
      </c>
      <c r="F199" t="s">
        <v>1186</v>
      </c>
      <c r="G199" t="s">
        <v>190</v>
      </c>
      <c r="H199" s="59">
        <v>985</v>
      </c>
      <c r="I199" t="s">
        <v>936</v>
      </c>
      <c r="J199" t="s">
        <v>1197</v>
      </c>
      <c r="K199" t="s">
        <v>715</v>
      </c>
      <c r="L199" t="s">
        <v>715</v>
      </c>
    </row>
    <row r="200" spans="1:12" x14ac:dyDescent="0.25">
      <c r="A200" s="90">
        <f t="shared" si="3"/>
        <v>199</v>
      </c>
      <c r="B200" s="89" t="s">
        <v>1187</v>
      </c>
      <c r="C200" s="9">
        <v>45838</v>
      </c>
      <c r="D200" t="s">
        <v>1188</v>
      </c>
      <c r="E200" t="s">
        <v>1189</v>
      </c>
      <c r="F200" t="s">
        <v>1190</v>
      </c>
      <c r="G200" t="s">
        <v>190</v>
      </c>
      <c r="H200" s="59">
        <v>2370</v>
      </c>
      <c r="I200" t="s">
        <v>1191</v>
      </c>
      <c r="J200" t="s">
        <v>215</v>
      </c>
      <c r="K200" t="s">
        <v>715</v>
      </c>
      <c r="L200" t="s">
        <v>715</v>
      </c>
    </row>
    <row r="201" spans="1:12" x14ac:dyDescent="0.25">
      <c r="A201" s="93">
        <f t="shared" si="3"/>
        <v>200</v>
      </c>
      <c r="B201" s="89" t="s">
        <v>1192</v>
      </c>
      <c r="C201" s="9">
        <v>45838</v>
      </c>
      <c r="D201" t="s">
        <v>383</v>
      </c>
      <c r="E201" t="s">
        <v>384</v>
      </c>
      <c r="F201" t="s">
        <v>385</v>
      </c>
      <c r="G201" t="s">
        <v>118</v>
      </c>
      <c r="H201" s="59">
        <v>1276</v>
      </c>
      <c r="I201" t="s">
        <v>386</v>
      </c>
      <c r="J201" t="s">
        <v>192</v>
      </c>
      <c r="K201" t="s">
        <v>715</v>
      </c>
      <c r="L201" t="s">
        <v>715</v>
      </c>
    </row>
    <row r="202" spans="1:12" x14ac:dyDescent="0.25">
      <c r="A202" s="88">
        <f t="shared" si="3"/>
        <v>201</v>
      </c>
      <c r="B202" s="89" t="s">
        <v>1193</v>
      </c>
      <c r="C202" s="9">
        <v>45839</v>
      </c>
      <c r="D202" t="s">
        <v>1194</v>
      </c>
      <c r="E202" t="s">
        <v>1195</v>
      </c>
      <c r="F202" t="s">
        <v>1196</v>
      </c>
      <c r="G202" t="s">
        <v>190</v>
      </c>
      <c r="H202" s="59">
        <v>1596</v>
      </c>
      <c r="I202" t="s">
        <v>618</v>
      </c>
      <c r="J202" t="s">
        <v>192</v>
      </c>
      <c r="K202" t="s">
        <v>715</v>
      </c>
      <c r="L202" t="s">
        <v>715</v>
      </c>
    </row>
    <row r="203" spans="1:12" x14ac:dyDescent="0.25">
      <c r="A203" s="88">
        <f t="shared" si="3"/>
        <v>202</v>
      </c>
      <c r="B203" s="89" t="s">
        <v>1198</v>
      </c>
      <c r="C203" s="9">
        <v>45840</v>
      </c>
      <c r="D203" t="s">
        <v>1199</v>
      </c>
      <c r="E203" t="s">
        <v>1200</v>
      </c>
      <c r="F203" t="s">
        <v>1201</v>
      </c>
      <c r="G203" t="s">
        <v>190</v>
      </c>
      <c r="H203" s="59">
        <v>3970</v>
      </c>
      <c r="I203" t="s">
        <v>1202</v>
      </c>
      <c r="J203" t="s">
        <v>1205</v>
      </c>
      <c r="K203" t="s">
        <v>715</v>
      </c>
      <c r="L203" t="s">
        <v>715</v>
      </c>
    </row>
    <row r="204" spans="1:12" x14ac:dyDescent="0.25">
      <c r="A204" s="90">
        <f t="shared" si="3"/>
        <v>203</v>
      </c>
      <c r="B204" s="89" t="s">
        <v>1203</v>
      </c>
      <c r="C204" s="9">
        <v>45835</v>
      </c>
      <c r="D204" t="s">
        <v>1166</v>
      </c>
      <c r="E204" t="s">
        <v>1167</v>
      </c>
      <c r="F204" t="s">
        <v>1168</v>
      </c>
      <c r="G204" t="s">
        <v>118</v>
      </c>
      <c r="H204" s="59">
        <v>682.28</v>
      </c>
      <c r="I204" t="s">
        <v>1204</v>
      </c>
      <c r="J204" t="s">
        <v>1212</v>
      </c>
      <c r="K204" t="s">
        <v>715</v>
      </c>
      <c r="L204" t="s">
        <v>715</v>
      </c>
    </row>
    <row r="205" spans="1:12" x14ac:dyDescent="0.25">
      <c r="A205" s="90">
        <f t="shared" si="3"/>
        <v>204</v>
      </c>
      <c r="B205" s="89" t="s">
        <v>1206</v>
      </c>
      <c r="C205" s="9">
        <v>45831</v>
      </c>
      <c r="D205" t="s">
        <v>1207</v>
      </c>
      <c r="E205" t="s">
        <v>1208</v>
      </c>
      <c r="F205" t="s">
        <v>1209</v>
      </c>
      <c r="G205" t="s">
        <v>1210</v>
      </c>
      <c r="H205" s="59">
        <v>3193.15</v>
      </c>
      <c r="I205" t="s">
        <v>1211</v>
      </c>
      <c r="J205" t="s">
        <v>1248</v>
      </c>
      <c r="K205" t="s">
        <v>715</v>
      </c>
      <c r="L205" t="s">
        <v>715</v>
      </c>
    </row>
    <row r="206" spans="1:12" x14ac:dyDescent="0.25">
      <c r="A206" s="91">
        <f t="shared" si="3"/>
        <v>205</v>
      </c>
      <c r="B206" s="89" t="s">
        <v>1213</v>
      </c>
      <c r="C206" s="9">
        <v>45842</v>
      </c>
      <c r="D206" t="s">
        <v>1214</v>
      </c>
      <c r="E206" t="s">
        <v>1215</v>
      </c>
      <c r="F206" t="s">
        <v>1216</v>
      </c>
      <c r="G206" t="s">
        <v>190</v>
      </c>
      <c r="H206" s="59">
        <v>1083</v>
      </c>
      <c r="I206" t="s">
        <v>1217</v>
      </c>
      <c r="J206" t="s">
        <v>1218</v>
      </c>
      <c r="K206" t="s">
        <v>715</v>
      </c>
      <c r="L206" t="s">
        <v>715</v>
      </c>
    </row>
    <row r="207" spans="1:12" x14ac:dyDescent="0.25">
      <c r="A207" s="91">
        <f t="shared" si="3"/>
        <v>206</v>
      </c>
      <c r="B207" s="89" t="s">
        <v>1219</v>
      </c>
      <c r="C207" s="9">
        <v>45843</v>
      </c>
      <c r="D207" t="s">
        <v>1220</v>
      </c>
      <c r="E207" t="s">
        <v>1221</v>
      </c>
      <c r="F207" t="s">
        <v>1222</v>
      </c>
      <c r="G207" t="s">
        <v>190</v>
      </c>
      <c r="H207" s="59">
        <v>1637</v>
      </c>
      <c r="I207" t="s">
        <v>1223</v>
      </c>
      <c r="J207" t="s">
        <v>1224</v>
      </c>
      <c r="K207" t="s">
        <v>715</v>
      </c>
      <c r="L207" t="s">
        <v>715</v>
      </c>
    </row>
    <row r="208" spans="1:12" x14ac:dyDescent="0.25">
      <c r="A208" s="90">
        <f t="shared" si="3"/>
        <v>207</v>
      </c>
      <c r="B208" s="89" t="s">
        <v>1225</v>
      </c>
      <c r="C208" s="9">
        <v>45835</v>
      </c>
      <c r="D208" t="s">
        <v>1161</v>
      </c>
      <c r="E208" t="s">
        <v>1162</v>
      </c>
      <c r="F208" t="s">
        <v>1163</v>
      </c>
      <c r="G208" t="s">
        <v>118</v>
      </c>
      <c r="H208" s="59">
        <v>998.64</v>
      </c>
      <c r="I208" t="s">
        <v>1226</v>
      </c>
      <c r="J208" t="s">
        <v>1227</v>
      </c>
      <c r="K208" t="s">
        <v>715</v>
      </c>
      <c r="L208" t="s">
        <v>715</v>
      </c>
    </row>
    <row r="209" spans="1:12" x14ac:dyDescent="0.25">
      <c r="A209" s="90">
        <f t="shared" si="3"/>
        <v>208</v>
      </c>
      <c r="B209" s="89" t="s">
        <v>1228</v>
      </c>
      <c r="C209" s="9">
        <v>45845</v>
      </c>
      <c r="D209" t="s">
        <v>1229</v>
      </c>
      <c r="E209" t="s">
        <v>1230</v>
      </c>
      <c r="F209" t="s">
        <v>1231</v>
      </c>
      <c r="G209" t="s">
        <v>118</v>
      </c>
      <c r="H209" s="59">
        <v>984</v>
      </c>
      <c r="I209" t="s">
        <v>917</v>
      </c>
      <c r="J209" t="s">
        <v>192</v>
      </c>
      <c r="K209" t="s">
        <v>715</v>
      </c>
      <c r="L209" t="s">
        <v>715</v>
      </c>
    </row>
    <row r="210" spans="1:12" x14ac:dyDescent="0.25">
      <c r="A210" s="91">
        <f t="shared" si="3"/>
        <v>209</v>
      </c>
      <c r="B210" s="89" t="s">
        <v>1232</v>
      </c>
      <c r="C210" s="9">
        <v>45846</v>
      </c>
      <c r="D210" t="s">
        <v>1233</v>
      </c>
      <c r="E210" t="s">
        <v>1234</v>
      </c>
      <c r="F210" t="s">
        <v>1235</v>
      </c>
      <c r="G210" t="s">
        <v>190</v>
      </c>
      <c r="H210" s="59">
        <v>2367</v>
      </c>
      <c r="I210" t="s">
        <v>1236</v>
      </c>
      <c r="J210" t="s">
        <v>1237</v>
      </c>
      <c r="K210" t="s">
        <v>715</v>
      </c>
      <c r="L210" t="s">
        <v>715</v>
      </c>
    </row>
    <row r="211" spans="1:12" x14ac:dyDescent="0.25">
      <c r="A211" s="92">
        <f t="shared" si="3"/>
        <v>210</v>
      </c>
      <c r="B211" s="89" t="s">
        <v>1238</v>
      </c>
      <c r="C211" s="9">
        <v>45846</v>
      </c>
      <c r="D211" t="s">
        <v>1239</v>
      </c>
      <c r="E211" t="s">
        <v>1244</v>
      </c>
      <c r="F211" t="s">
        <v>1240</v>
      </c>
      <c r="G211" t="s">
        <v>190</v>
      </c>
      <c r="H211" s="59">
        <v>5097.04</v>
      </c>
      <c r="I211" t="s">
        <v>1241</v>
      </c>
      <c r="J211" t="s">
        <v>316</v>
      </c>
      <c r="K211" t="s">
        <v>715</v>
      </c>
      <c r="L211" t="s">
        <v>715</v>
      </c>
    </row>
    <row r="212" spans="1:12" x14ac:dyDescent="0.25">
      <c r="A212" s="90">
        <f t="shared" si="3"/>
        <v>211</v>
      </c>
      <c r="B212" s="89" t="s">
        <v>1242</v>
      </c>
      <c r="C212" s="9">
        <v>45829</v>
      </c>
      <c r="D212" t="s">
        <v>1243</v>
      </c>
      <c r="E212" t="s">
        <v>1245</v>
      </c>
      <c r="F212" t="s">
        <v>1246</v>
      </c>
      <c r="G212" t="s">
        <v>118</v>
      </c>
      <c r="H212" s="59">
        <v>2435.3200000000002</v>
      </c>
      <c r="I212" t="s">
        <v>1247</v>
      </c>
      <c r="J212" t="s">
        <v>223</v>
      </c>
      <c r="K212" t="s">
        <v>715</v>
      </c>
      <c r="L212" t="s">
        <v>715</v>
      </c>
    </row>
    <row r="213" spans="1:12" x14ac:dyDescent="0.25">
      <c r="A213" s="88">
        <f t="shared" si="3"/>
        <v>212</v>
      </c>
      <c r="B213" s="89" t="s">
        <v>1249</v>
      </c>
      <c r="C213" s="9">
        <v>45847</v>
      </c>
      <c r="D213" t="s">
        <v>1250</v>
      </c>
      <c r="E213" t="s">
        <v>1251</v>
      </c>
      <c r="F213" t="s">
        <v>1252</v>
      </c>
      <c r="G213" t="s">
        <v>190</v>
      </c>
      <c r="H213" s="59">
        <v>1711</v>
      </c>
      <c r="I213" t="s">
        <v>1253</v>
      </c>
      <c r="J213" t="s">
        <v>1259</v>
      </c>
      <c r="K213" t="s">
        <v>715</v>
      </c>
      <c r="L213" t="s">
        <v>715</v>
      </c>
    </row>
    <row r="214" spans="1:12" x14ac:dyDescent="0.25">
      <c r="A214" s="90">
        <f t="shared" si="3"/>
        <v>213</v>
      </c>
      <c r="B214" s="89" t="s">
        <v>1254</v>
      </c>
      <c r="C214" s="9">
        <v>45839</v>
      </c>
      <c r="D214" t="s">
        <v>1255</v>
      </c>
      <c r="E214" t="s">
        <v>1256</v>
      </c>
      <c r="F214" t="s">
        <v>1257</v>
      </c>
      <c r="G214" t="s">
        <v>118</v>
      </c>
      <c r="H214" s="59">
        <v>1744.05</v>
      </c>
      <c r="I214" t="s">
        <v>1258</v>
      </c>
      <c r="J214" t="s">
        <v>1260</v>
      </c>
      <c r="K214" t="s">
        <v>715</v>
      </c>
      <c r="L214" t="s">
        <v>715</v>
      </c>
    </row>
    <row r="215" spans="1:12" x14ac:dyDescent="0.25">
      <c r="A215" s="93">
        <f t="shared" si="3"/>
        <v>214</v>
      </c>
      <c r="B215" s="89" t="s">
        <v>1261</v>
      </c>
      <c r="C215" s="9">
        <v>45848</v>
      </c>
      <c r="D215" t="s">
        <v>383</v>
      </c>
      <c r="E215" t="s">
        <v>384</v>
      </c>
      <c r="F215" t="s">
        <v>473</v>
      </c>
      <c r="G215" t="s">
        <v>118</v>
      </c>
      <c r="H215" s="59">
        <v>1595</v>
      </c>
      <c r="I215" t="s">
        <v>1262</v>
      </c>
      <c r="J215" t="s">
        <v>1002</v>
      </c>
      <c r="K215" t="s">
        <v>715</v>
      </c>
      <c r="L215" t="s">
        <v>715</v>
      </c>
    </row>
    <row r="216" spans="1:12" x14ac:dyDescent="0.25">
      <c r="A216" s="90">
        <f t="shared" si="3"/>
        <v>215</v>
      </c>
      <c r="B216" s="89" t="s">
        <v>1263</v>
      </c>
      <c r="C216" s="9">
        <v>45828</v>
      </c>
      <c r="D216" t="s">
        <v>564</v>
      </c>
      <c r="E216" t="s">
        <v>565</v>
      </c>
      <c r="F216" t="s">
        <v>1264</v>
      </c>
      <c r="G216" t="s">
        <v>118</v>
      </c>
      <c r="H216" s="59">
        <v>2518.1</v>
      </c>
      <c r="I216" t="s">
        <v>1265</v>
      </c>
      <c r="J216" t="s">
        <v>223</v>
      </c>
      <c r="K216" t="s">
        <v>715</v>
      </c>
      <c r="L216" t="s">
        <v>715</v>
      </c>
    </row>
    <row r="217" spans="1:12" x14ac:dyDescent="0.25">
      <c r="A217" s="90">
        <f t="shared" si="3"/>
        <v>216</v>
      </c>
      <c r="B217" s="89" t="s">
        <v>1266</v>
      </c>
      <c r="C217" s="9">
        <v>45843</v>
      </c>
      <c r="D217" t="s">
        <v>547</v>
      </c>
      <c r="E217" t="s">
        <v>1267</v>
      </c>
      <c r="F217" t="s">
        <v>1268</v>
      </c>
      <c r="G217" t="s">
        <v>118</v>
      </c>
      <c r="H217" s="59">
        <v>1600.56</v>
      </c>
      <c r="I217" t="s">
        <v>1269</v>
      </c>
      <c r="J217" t="s">
        <v>1285</v>
      </c>
      <c r="K217" t="s">
        <v>715</v>
      </c>
      <c r="L217" t="s">
        <v>715</v>
      </c>
    </row>
    <row r="218" spans="1:12" x14ac:dyDescent="0.25">
      <c r="A218" s="88">
        <f t="shared" si="3"/>
        <v>217</v>
      </c>
      <c r="B218" s="89" t="s">
        <v>1270</v>
      </c>
      <c r="C218" s="9">
        <v>45849</v>
      </c>
      <c r="D218" t="s">
        <v>1271</v>
      </c>
      <c r="E218" t="s">
        <v>1272</v>
      </c>
      <c r="F218" t="s">
        <v>1273</v>
      </c>
      <c r="G218" t="s">
        <v>190</v>
      </c>
      <c r="H218" s="59">
        <v>1235</v>
      </c>
      <c r="I218" t="s">
        <v>1274</v>
      </c>
      <c r="J218" t="s">
        <v>322</v>
      </c>
      <c r="K218" t="s">
        <v>715</v>
      </c>
      <c r="L218" t="s">
        <v>715</v>
      </c>
    </row>
    <row r="219" spans="1:12" x14ac:dyDescent="0.25">
      <c r="A219" s="88">
        <f t="shared" si="3"/>
        <v>218</v>
      </c>
      <c r="B219" s="89" t="s">
        <v>1275</v>
      </c>
      <c r="C219" s="9">
        <v>45850</v>
      </c>
      <c r="D219" t="s">
        <v>1276</v>
      </c>
      <c r="E219" t="s">
        <v>1277</v>
      </c>
      <c r="F219" t="s">
        <v>1278</v>
      </c>
      <c r="G219" t="s">
        <v>190</v>
      </c>
      <c r="H219" s="59">
        <v>1650</v>
      </c>
      <c r="I219" t="s">
        <v>1279</v>
      </c>
      <c r="J219" t="s">
        <v>1280</v>
      </c>
      <c r="K219" t="s">
        <v>715</v>
      </c>
      <c r="L219" t="s">
        <v>715</v>
      </c>
    </row>
    <row r="220" spans="1:12" x14ac:dyDescent="0.25">
      <c r="A220" s="88">
        <f t="shared" si="3"/>
        <v>219</v>
      </c>
      <c r="B220" s="89" t="s">
        <v>1281</v>
      </c>
      <c r="C220" s="9">
        <v>45812</v>
      </c>
      <c r="D220" t="s">
        <v>1282</v>
      </c>
      <c r="E220" t="s">
        <v>1283</v>
      </c>
      <c r="F220" t="s">
        <v>1284</v>
      </c>
      <c r="G220" t="s">
        <v>119</v>
      </c>
      <c r="H220" s="59">
        <v>5803.2</v>
      </c>
      <c r="I220" t="s">
        <v>390</v>
      </c>
      <c r="J220" t="s">
        <v>223</v>
      </c>
      <c r="K220" t="s">
        <v>715</v>
      </c>
      <c r="L220" t="s">
        <v>715</v>
      </c>
    </row>
    <row r="221" spans="1:12" x14ac:dyDescent="0.25">
      <c r="A221" s="93">
        <f t="shared" si="3"/>
        <v>220</v>
      </c>
      <c r="B221" s="89" t="s">
        <v>1286</v>
      </c>
      <c r="C221" s="9">
        <v>45845</v>
      </c>
      <c r="D221" t="s">
        <v>281</v>
      </c>
      <c r="E221" t="s">
        <v>282</v>
      </c>
      <c r="F221" t="s">
        <v>283</v>
      </c>
      <c r="G221" t="s">
        <v>118</v>
      </c>
      <c r="H221" s="59">
        <v>5113.2700000000004</v>
      </c>
      <c r="I221" t="s">
        <v>1287</v>
      </c>
      <c r="J221" t="s">
        <v>1323</v>
      </c>
      <c r="K221" t="s">
        <v>715</v>
      </c>
      <c r="L221" t="s">
        <v>715</v>
      </c>
    </row>
    <row r="222" spans="1:12" x14ac:dyDescent="0.25">
      <c r="A222" s="93">
        <f t="shared" si="3"/>
        <v>221</v>
      </c>
      <c r="B222" s="89" t="s">
        <v>1288</v>
      </c>
      <c r="C222" s="9">
        <v>45853</v>
      </c>
      <c r="D222" t="s">
        <v>1289</v>
      </c>
      <c r="E222" t="s">
        <v>1290</v>
      </c>
      <c r="F222" t="s">
        <v>1291</v>
      </c>
      <c r="G222" t="s">
        <v>118</v>
      </c>
      <c r="H222" s="59">
        <v>2968</v>
      </c>
      <c r="I222" t="s">
        <v>464</v>
      </c>
      <c r="J222" t="s">
        <v>223</v>
      </c>
      <c r="K222" t="s">
        <v>715</v>
      </c>
      <c r="L222" t="s">
        <v>715</v>
      </c>
    </row>
    <row r="223" spans="1:12" x14ac:dyDescent="0.25">
      <c r="A223" s="90">
        <f t="shared" si="3"/>
        <v>222</v>
      </c>
      <c r="B223" s="89" t="s">
        <v>1292</v>
      </c>
      <c r="C223" s="9">
        <v>45853</v>
      </c>
      <c r="D223" t="s">
        <v>1293</v>
      </c>
      <c r="E223" t="s">
        <v>1294</v>
      </c>
      <c r="F223" t="s">
        <v>1295</v>
      </c>
      <c r="G223" t="s">
        <v>118</v>
      </c>
      <c r="H223" s="59">
        <v>950</v>
      </c>
      <c r="I223" t="s">
        <v>419</v>
      </c>
      <c r="J223" t="s">
        <v>223</v>
      </c>
      <c r="K223" t="s">
        <v>715</v>
      </c>
      <c r="L223" t="s">
        <v>715</v>
      </c>
    </row>
    <row r="224" spans="1:12" x14ac:dyDescent="0.25">
      <c r="A224" s="90">
        <f t="shared" si="3"/>
        <v>223</v>
      </c>
      <c r="B224" s="89" t="s">
        <v>1296</v>
      </c>
      <c r="C224" s="9">
        <v>45850</v>
      </c>
      <c r="D224" t="s">
        <v>547</v>
      </c>
      <c r="E224" t="s">
        <v>548</v>
      </c>
      <c r="F224" t="s">
        <v>1268</v>
      </c>
      <c r="G224" t="s">
        <v>118</v>
      </c>
      <c r="H224" s="59">
        <v>2682.9</v>
      </c>
      <c r="I224" t="s">
        <v>1297</v>
      </c>
      <c r="J224" t="s">
        <v>223</v>
      </c>
      <c r="K224" t="s">
        <v>715</v>
      </c>
      <c r="L224" t="s">
        <v>715</v>
      </c>
    </row>
    <row r="225" spans="1:12" x14ac:dyDescent="0.25">
      <c r="A225" s="91">
        <f t="shared" si="3"/>
        <v>224</v>
      </c>
      <c r="B225" s="89" t="s">
        <v>1298</v>
      </c>
      <c r="C225" s="9">
        <v>45855</v>
      </c>
      <c r="D225" t="s">
        <v>1299</v>
      </c>
      <c r="E225" t="s">
        <v>1300</v>
      </c>
      <c r="F225" t="s">
        <v>1301</v>
      </c>
      <c r="G225" t="s">
        <v>190</v>
      </c>
      <c r="H225" s="59">
        <v>2172.65</v>
      </c>
      <c r="I225" t="s">
        <v>1302</v>
      </c>
      <c r="J225" t="s">
        <v>1324</v>
      </c>
      <c r="K225" t="s">
        <v>715</v>
      </c>
      <c r="L225" t="s">
        <v>715</v>
      </c>
    </row>
    <row r="226" spans="1:12" x14ac:dyDescent="0.25">
      <c r="A226" s="93">
        <f t="shared" si="3"/>
        <v>225</v>
      </c>
      <c r="B226" s="89" t="s">
        <v>1303</v>
      </c>
      <c r="C226" s="9">
        <v>45856</v>
      </c>
      <c r="D226" s="9" t="s">
        <v>1304</v>
      </c>
      <c r="E226" t="s">
        <v>1305</v>
      </c>
      <c r="F226" t="s">
        <v>1306</v>
      </c>
      <c r="G226" t="s">
        <v>118</v>
      </c>
      <c r="H226" s="59">
        <v>9480.8799999999992</v>
      </c>
      <c r="I226" t="s">
        <v>203</v>
      </c>
      <c r="J226" t="s">
        <v>1307</v>
      </c>
      <c r="K226" t="s">
        <v>715</v>
      </c>
      <c r="L226" t="s">
        <v>715</v>
      </c>
    </row>
    <row r="227" spans="1:12" x14ac:dyDescent="0.25">
      <c r="A227" s="91">
        <f t="shared" si="3"/>
        <v>226</v>
      </c>
      <c r="B227" s="89" t="s">
        <v>1308</v>
      </c>
      <c r="C227" s="9">
        <v>45857</v>
      </c>
      <c r="D227" t="s">
        <v>1309</v>
      </c>
      <c r="E227" t="s">
        <v>1310</v>
      </c>
      <c r="F227" t="s">
        <v>1311</v>
      </c>
      <c r="G227" t="s">
        <v>190</v>
      </c>
      <c r="H227" s="59">
        <v>1122</v>
      </c>
      <c r="I227" t="s">
        <v>375</v>
      </c>
      <c r="J227" t="s">
        <v>1317</v>
      </c>
      <c r="K227" t="s">
        <v>715</v>
      </c>
      <c r="L227" t="s">
        <v>715</v>
      </c>
    </row>
    <row r="228" spans="1:12" x14ac:dyDescent="0.25">
      <c r="A228" s="88">
        <f t="shared" si="3"/>
        <v>227</v>
      </c>
      <c r="B228" s="89" t="s">
        <v>1312</v>
      </c>
      <c r="C228" s="9">
        <v>45859</v>
      </c>
      <c r="D228" t="s">
        <v>1313</v>
      </c>
      <c r="E228" t="s">
        <v>1314</v>
      </c>
      <c r="F228" t="s">
        <v>1315</v>
      </c>
      <c r="G228" t="s">
        <v>190</v>
      </c>
      <c r="H228" s="59">
        <v>1884</v>
      </c>
      <c r="I228" t="s">
        <v>1316</v>
      </c>
      <c r="J228" t="s">
        <v>1325</v>
      </c>
      <c r="K228" t="s">
        <v>715</v>
      </c>
      <c r="L228" t="s">
        <v>715</v>
      </c>
    </row>
    <row r="229" spans="1:12" x14ac:dyDescent="0.25">
      <c r="A229" s="90">
        <f t="shared" si="3"/>
        <v>228</v>
      </c>
      <c r="B229" s="89" t="s">
        <v>1318</v>
      </c>
      <c r="C229" s="9">
        <v>45860</v>
      </c>
      <c r="D229" t="s">
        <v>1319</v>
      </c>
      <c r="E229" t="s">
        <v>1320</v>
      </c>
      <c r="F229" t="s">
        <v>1321</v>
      </c>
      <c r="G229" t="s">
        <v>118</v>
      </c>
      <c r="H229" s="59">
        <v>2226</v>
      </c>
      <c r="I229" t="s">
        <v>1322</v>
      </c>
      <c r="J229" t="s">
        <v>734</v>
      </c>
      <c r="K229" t="s">
        <v>715</v>
      </c>
      <c r="L229" t="s">
        <v>715</v>
      </c>
    </row>
    <row r="230" spans="1:12" x14ac:dyDescent="0.25">
      <c r="A230" s="90">
        <f t="shared" si="3"/>
        <v>229</v>
      </c>
      <c r="B230" s="89" t="s">
        <v>1326</v>
      </c>
      <c r="C230" s="9">
        <v>45860</v>
      </c>
      <c r="D230" t="s">
        <v>1035</v>
      </c>
      <c r="E230" t="s">
        <v>1036</v>
      </c>
      <c r="F230" t="s">
        <v>1329</v>
      </c>
      <c r="G230" t="s">
        <v>118</v>
      </c>
      <c r="H230" s="59">
        <v>1322</v>
      </c>
      <c r="I230" t="s">
        <v>1327</v>
      </c>
      <c r="J230" t="s">
        <v>1328</v>
      </c>
      <c r="K230" t="s">
        <v>715</v>
      </c>
      <c r="L230" t="s">
        <v>715</v>
      </c>
    </row>
    <row r="231" spans="1:12" x14ac:dyDescent="0.25">
      <c r="A231" s="88">
        <f t="shared" si="3"/>
        <v>230</v>
      </c>
      <c r="B231" s="89" t="s">
        <v>1330</v>
      </c>
      <c r="C231" s="9">
        <v>45849</v>
      </c>
      <c r="D231" t="s">
        <v>1331</v>
      </c>
      <c r="E231" t="s">
        <v>1332</v>
      </c>
      <c r="F231" t="s">
        <v>1333</v>
      </c>
      <c r="G231" t="s">
        <v>190</v>
      </c>
      <c r="H231" s="59">
        <v>5523.75</v>
      </c>
      <c r="I231" t="s">
        <v>1334</v>
      </c>
      <c r="J231" t="s">
        <v>223</v>
      </c>
      <c r="K231" t="s">
        <v>715</v>
      </c>
      <c r="L231" t="s">
        <v>715</v>
      </c>
    </row>
    <row r="232" spans="1:12" x14ac:dyDescent="0.25">
      <c r="A232" s="90">
        <f t="shared" si="3"/>
        <v>231</v>
      </c>
      <c r="B232" s="89" t="s">
        <v>1335</v>
      </c>
      <c r="C232" s="9">
        <v>45861</v>
      </c>
      <c r="D232" t="s">
        <v>1336</v>
      </c>
      <c r="E232" t="s">
        <v>1337</v>
      </c>
      <c r="F232" t="s">
        <v>1338</v>
      </c>
      <c r="G232" t="s">
        <v>118</v>
      </c>
      <c r="H232" s="59">
        <v>2019</v>
      </c>
      <c r="I232" t="s">
        <v>1339</v>
      </c>
      <c r="J232" t="s">
        <v>316</v>
      </c>
      <c r="K232" t="s">
        <v>715</v>
      </c>
      <c r="L232" t="s">
        <v>715</v>
      </c>
    </row>
    <row r="233" spans="1:12" x14ac:dyDescent="0.25">
      <c r="A233" s="90">
        <f t="shared" si="3"/>
        <v>232</v>
      </c>
      <c r="B233" s="89" t="s">
        <v>1340</v>
      </c>
      <c r="C233" s="9">
        <v>45862</v>
      </c>
      <c r="D233" t="s">
        <v>642</v>
      </c>
      <c r="E233" t="s">
        <v>643</v>
      </c>
      <c r="F233" t="s">
        <v>1341</v>
      </c>
      <c r="G233" t="s">
        <v>118</v>
      </c>
      <c r="H233" s="59">
        <v>5331.4</v>
      </c>
      <c r="I233" t="s">
        <v>1342</v>
      </c>
      <c r="J233" t="s">
        <v>1002</v>
      </c>
      <c r="K233" t="s">
        <v>715</v>
      </c>
      <c r="L233" t="s">
        <v>715</v>
      </c>
    </row>
    <row r="234" spans="1:12" x14ac:dyDescent="0.25">
      <c r="A234" s="88">
        <f t="shared" si="3"/>
        <v>233</v>
      </c>
      <c r="B234" s="89" t="s">
        <v>1343</v>
      </c>
      <c r="C234" s="9">
        <v>45854</v>
      </c>
      <c r="D234" t="s">
        <v>1344</v>
      </c>
      <c r="E234" t="s">
        <v>1345</v>
      </c>
      <c r="F234" t="s">
        <v>1346</v>
      </c>
      <c r="G234" t="s">
        <v>190</v>
      </c>
      <c r="H234" s="59">
        <v>2772</v>
      </c>
      <c r="I234" t="s">
        <v>1347</v>
      </c>
      <c r="J234" t="s">
        <v>192</v>
      </c>
      <c r="K234" t="s">
        <v>715</v>
      </c>
      <c r="L234" t="s">
        <v>715</v>
      </c>
    </row>
    <row r="235" spans="1:12" x14ac:dyDescent="0.25">
      <c r="A235" s="90">
        <f t="shared" si="3"/>
        <v>234</v>
      </c>
      <c r="B235" s="89" t="s">
        <v>1348</v>
      </c>
      <c r="C235" s="9">
        <v>45864</v>
      </c>
      <c r="D235" t="s">
        <v>1349</v>
      </c>
      <c r="E235" t="s">
        <v>1350</v>
      </c>
      <c r="F235" t="s">
        <v>1351</v>
      </c>
      <c r="G235" t="s">
        <v>118</v>
      </c>
      <c r="H235" s="59">
        <v>1643</v>
      </c>
      <c r="I235" t="s">
        <v>1352</v>
      </c>
      <c r="J235" t="s">
        <v>734</v>
      </c>
      <c r="K235" t="s">
        <v>715</v>
      </c>
      <c r="L235" t="s">
        <v>715</v>
      </c>
    </row>
    <row r="236" spans="1:12" x14ac:dyDescent="0.25">
      <c r="A236" s="93">
        <f t="shared" si="3"/>
        <v>235</v>
      </c>
      <c r="B236" s="89" t="s">
        <v>1353</v>
      </c>
      <c r="C236" s="9">
        <v>45866</v>
      </c>
      <c r="D236" t="s">
        <v>1354</v>
      </c>
      <c r="E236" t="s">
        <v>1355</v>
      </c>
      <c r="F236" t="s">
        <v>1356</v>
      </c>
      <c r="G236" t="s">
        <v>118</v>
      </c>
      <c r="H236" s="59">
        <v>20798.34</v>
      </c>
      <c r="I236" t="s">
        <v>1357</v>
      </c>
      <c r="J236" t="s">
        <v>223</v>
      </c>
      <c r="K236" t="s">
        <v>715</v>
      </c>
      <c r="L236" t="s">
        <v>715</v>
      </c>
    </row>
    <row r="237" spans="1:12" x14ac:dyDescent="0.25">
      <c r="A237" s="90">
        <f t="shared" si="3"/>
        <v>236</v>
      </c>
      <c r="B237" s="89" t="s">
        <v>1358</v>
      </c>
      <c r="C237" s="9">
        <v>45856</v>
      </c>
      <c r="D237" t="s">
        <v>1359</v>
      </c>
      <c r="E237" t="s">
        <v>1360</v>
      </c>
      <c r="F237" t="s">
        <v>1257</v>
      </c>
      <c r="G237" t="s">
        <v>118</v>
      </c>
      <c r="H237" s="59">
        <v>1744</v>
      </c>
      <c r="I237" t="s">
        <v>1361</v>
      </c>
      <c r="J237" t="s">
        <v>192</v>
      </c>
      <c r="K237" t="s">
        <v>715</v>
      </c>
      <c r="L237" t="s">
        <v>715</v>
      </c>
    </row>
    <row r="238" spans="1:12" x14ac:dyDescent="0.25">
      <c r="A238" s="90">
        <f t="shared" si="3"/>
        <v>237</v>
      </c>
      <c r="B238" s="89" t="s">
        <v>1362</v>
      </c>
      <c r="C238" s="9">
        <v>45868</v>
      </c>
      <c r="D238" t="s">
        <v>1363</v>
      </c>
      <c r="E238" t="s">
        <v>1364</v>
      </c>
      <c r="F238" t="s">
        <v>1365</v>
      </c>
      <c r="G238" t="s">
        <v>118</v>
      </c>
      <c r="H238" s="59">
        <v>1085</v>
      </c>
      <c r="I238" t="s">
        <v>401</v>
      </c>
      <c r="J238" t="s">
        <v>1212</v>
      </c>
      <c r="K238" t="s">
        <v>715</v>
      </c>
      <c r="L238" t="s">
        <v>715</v>
      </c>
    </row>
    <row r="239" spans="1:12" x14ac:dyDescent="0.25">
      <c r="A239" s="90">
        <f t="shared" si="3"/>
        <v>238</v>
      </c>
      <c r="B239" s="89" t="s">
        <v>1366</v>
      </c>
      <c r="C239" s="9">
        <v>45839</v>
      </c>
      <c r="D239" t="s">
        <v>1367</v>
      </c>
      <c r="E239" t="s">
        <v>1368</v>
      </c>
      <c r="F239" t="s">
        <v>1369</v>
      </c>
      <c r="G239" t="s">
        <v>118</v>
      </c>
      <c r="H239" s="59">
        <v>2392.1999999999998</v>
      </c>
      <c r="I239" t="s">
        <v>1370</v>
      </c>
      <c r="J239" t="s">
        <v>322</v>
      </c>
      <c r="K239" t="s">
        <v>715</v>
      </c>
      <c r="L239" t="s">
        <v>715</v>
      </c>
    </row>
    <row r="240" spans="1:12" x14ac:dyDescent="0.25">
      <c r="A240" s="90">
        <f t="shared" si="3"/>
        <v>239</v>
      </c>
      <c r="B240" s="89" t="s">
        <v>1371</v>
      </c>
      <c r="C240" s="9">
        <v>45863</v>
      </c>
      <c r="D240" t="s">
        <v>1372</v>
      </c>
      <c r="E240" t="s">
        <v>1373</v>
      </c>
      <c r="F240" t="s">
        <v>1374</v>
      </c>
      <c r="G240" t="s">
        <v>118</v>
      </c>
      <c r="H240" s="59">
        <v>3286.75</v>
      </c>
      <c r="I240" t="s">
        <v>1375</v>
      </c>
      <c r="J240" t="s">
        <v>223</v>
      </c>
      <c r="K240" t="s">
        <v>715</v>
      </c>
      <c r="L240" t="s">
        <v>715</v>
      </c>
    </row>
    <row r="241" spans="1:12" ht="14.25" customHeight="1" x14ac:dyDescent="0.25">
      <c r="A241" s="88">
        <f t="shared" si="3"/>
        <v>240</v>
      </c>
      <c r="B241" s="89" t="s">
        <v>1376</v>
      </c>
      <c r="C241" s="9">
        <v>45869</v>
      </c>
      <c r="D241" t="s">
        <v>1377</v>
      </c>
      <c r="E241" t="s">
        <v>1378</v>
      </c>
      <c r="F241" t="s">
        <v>1379</v>
      </c>
      <c r="G241" t="s">
        <v>190</v>
      </c>
      <c r="H241" s="59">
        <v>1122</v>
      </c>
      <c r="I241" t="s">
        <v>375</v>
      </c>
      <c r="J241" t="s">
        <v>894</v>
      </c>
      <c r="K241" t="s">
        <v>715</v>
      </c>
      <c r="L241" t="s">
        <v>715</v>
      </c>
    </row>
    <row r="242" spans="1:12" x14ac:dyDescent="0.25">
      <c r="A242" s="92">
        <f t="shared" si="3"/>
        <v>241</v>
      </c>
      <c r="B242" s="89" t="s">
        <v>1380</v>
      </c>
      <c r="C242" s="9">
        <v>45852</v>
      </c>
      <c r="D242" t="s">
        <v>1381</v>
      </c>
      <c r="E242" t="s">
        <v>1382</v>
      </c>
      <c r="F242" t="s">
        <v>1383</v>
      </c>
      <c r="G242" t="s">
        <v>190</v>
      </c>
      <c r="H242" s="59">
        <v>7207.01</v>
      </c>
      <c r="I242" t="s">
        <v>1384</v>
      </c>
      <c r="J242" t="s">
        <v>1404</v>
      </c>
      <c r="K242" t="s">
        <v>715</v>
      </c>
      <c r="L242" t="s">
        <v>715</v>
      </c>
    </row>
    <row r="243" spans="1:12" x14ac:dyDescent="0.25">
      <c r="A243" s="90">
        <f t="shared" si="3"/>
        <v>242</v>
      </c>
      <c r="B243" s="89" t="s">
        <v>1662</v>
      </c>
      <c r="C243" s="9">
        <v>45870</v>
      </c>
      <c r="D243" t="s">
        <v>1385</v>
      </c>
      <c r="E243" t="s">
        <v>1386</v>
      </c>
      <c r="F243" t="s">
        <v>1387</v>
      </c>
      <c r="G243" t="s">
        <v>118</v>
      </c>
      <c r="H243" s="59">
        <v>2226</v>
      </c>
      <c r="I243" t="s">
        <v>1322</v>
      </c>
      <c r="J243" t="s">
        <v>1388</v>
      </c>
      <c r="K243" t="s">
        <v>715</v>
      </c>
      <c r="L243" t="s">
        <v>715</v>
      </c>
    </row>
    <row r="244" spans="1:12" x14ac:dyDescent="0.25">
      <c r="A244" s="92">
        <f t="shared" si="3"/>
        <v>243</v>
      </c>
      <c r="B244" s="89" t="s">
        <v>1389</v>
      </c>
      <c r="C244" s="9">
        <v>45870</v>
      </c>
      <c r="D244" t="s">
        <v>1390</v>
      </c>
      <c r="E244" t="s">
        <v>1391</v>
      </c>
      <c r="F244" t="s">
        <v>1392</v>
      </c>
      <c r="G244" t="s">
        <v>190</v>
      </c>
      <c r="H244" s="59">
        <v>1301.52</v>
      </c>
      <c r="I244" t="s">
        <v>375</v>
      </c>
      <c r="J244" t="s">
        <v>1405</v>
      </c>
      <c r="K244" t="s">
        <v>715</v>
      </c>
      <c r="L244" t="s">
        <v>715</v>
      </c>
    </row>
    <row r="245" spans="1:12" x14ac:dyDescent="0.25">
      <c r="A245" s="90">
        <f t="shared" si="3"/>
        <v>244</v>
      </c>
      <c r="B245" s="89" t="s">
        <v>1393</v>
      </c>
      <c r="C245" s="9">
        <v>45871</v>
      </c>
      <c r="D245" t="s">
        <v>1394</v>
      </c>
      <c r="E245" t="s">
        <v>1395</v>
      </c>
      <c r="F245" t="s">
        <v>1396</v>
      </c>
      <c r="G245" t="s">
        <v>118</v>
      </c>
      <c r="H245" s="59">
        <v>1019</v>
      </c>
      <c r="I245" t="s">
        <v>197</v>
      </c>
      <c r="J245" t="s">
        <v>223</v>
      </c>
      <c r="K245" t="s">
        <v>715</v>
      </c>
      <c r="L245" t="s">
        <v>715</v>
      </c>
    </row>
    <row r="246" spans="1:12" x14ac:dyDescent="0.25">
      <c r="A246" s="93">
        <f t="shared" si="3"/>
        <v>245</v>
      </c>
      <c r="B246" s="89" t="s">
        <v>1397</v>
      </c>
      <c r="C246" s="9">
        <v>45871</v>
      </c>
      <c r="D246" t="s">
        <v>1176</v>
      </c>
      <c r="E246" t="s">
        <v>955</v>
      </c>
      <c r="F246" t="s">
        <v>1398</v>
      </c>
      <c r="G246" t="s">
        <v>118</v>
      </c>
      <c r="H246" s="59">
        <v>1914</v>
      </c>
      <c r="I246" t="s">
        <v>203</v>
      </c>
      <c r="J246" t="s">
        <v>1406</v>
      </c>
      <c r="K246" t="s">
        <v>715</v>
      </c>
      <c r="L246" t="s">
        <v>715</v>
      </c>
    </row>
    <row r="247" spans="1:12" x14ac:dyDescent="0.25">
      <c r="A247" s="90">
        <f t="shared" si="3"/>
        <v>246</v>
      </c>
      <c r="B247" s="89" t="s">
        <v>1399</v>
      </c>
      <c r="C247" s="9">
        <v>45873</v>
      </c>
      <c r="D247" t="s">
        <v>1400</v>
      </c>
      <c r="E247" t="s">
        <v>1401</v>
      </c>
      <c r="F247" t="s">
        <v>1402</v>
      </c>
      <c r="G247" t="s">
        <v>118</v>
      </c>
      <c r="H247" s="59">
        <v>1216</v>
      </c>
      <c r="I247" t="s">
        <v>1403</v>
      </c>
      <c r="J247" t="s">
        <v>815</v>
      </c>
      <c r="K247" t="s">
        <v>715</v>
      </c>
      <c r="L247" t="s">
        <v>715</v>
      </c>
    </row>
    <row r="248" spans="1:12" x14ac:dyDescent="0.25">
      <c r="A248" s="90">
        <f t="shared" si="3"/>
        <v>247</v>
      </c>
      <c r="B248" s="89" t="s">
        <v>1407</v>
      </c>
      <c r="C248" s="9">
        <v>45873</v>
      </c>
      <c r="D248" t="s">
        <v>482</v>
      </c>
      <c r="E248" t="s">
        <v>483</v>
      </c>
      <c r="F248" t="s">
        <v>484</v>
      </c>
      <c r="G248" t="s">
        <v>118</v>
      </c>
      <c r="H248" s="59">
        <v>1650</v>
      </c>
      <c r="I248" t="s">
        <v>578</v>
      </c>
      <c r="J248" t="s">
        <v>525</v>
      </c>
      <c r="K248" t="s">
        <v>715</v>
      </c>
      <c r="L248" t="s">
        <v>715</v>
      </c>
    </row>
    <row r="249" spans="1:12" x14ac:dyDescent="0.25">
      <c r="A249" s="88">
        <f t="shared" si="3"/>
        <v>248</v>
      </c>
      <c r="B249" s="89" t="s">
        <v>1408</v>
      </c>
      <c r="C249" s="9">
        <v>45874</v>
      </c>
      <c r="D249" t="s">
        <v>1409</v>
      </c>
      <c r="E249" t="s">
        <v>1410</v>
      </c>
      <c r="F249" t="s">
        <v>1411</v>
      </c>
      <c r="G249" t="s">
        <v>119</v>
      </c>
      <c r="H249" s="59">
        <v>1403</v>
      </c>
      <c r="I249" t="s">
        <v>1412</v>
      </c>
      <c r="J249" t="s">
        <v>229</v>
      </c>
      <c r="K249" t="s">
        <v>715</v>
      </c>
      <c r="L249" t="s">
        <v>715</v>
      </c>
    </row>
    <row r="250" spans="1:12" x14ac:dyDescent="0.25">
      <c r="A250" s="90">
        <f t="shared" si="3"/>
        <v>249</v>
      </c>
      <c r="B250" s="89" t="s">
        <v>1413</v>
      </c>
      <c r="C250" s="9">
        <v>45874</v>
      </c>
      <c r="D250" t="s">
        <v>1367</v>
      </c>
      <c r="E250" t="s">
        <v>1368</v>
      </c>
      <c r="F250" t="s">
        <v>1414</v>
      </c>
      <c r="G250" t="s">
        <v>118</v>
      </c>
      <c r="H250" s="59">
        <v>960</v>
      </c>
      <c r="I250" t="s">
        <v>1415</v>
      </c>
      <c r="J250" t="s">
        <v>279</v>
      </c>
      <c r="K250" t="s">
        <v>715</v>
      </c>
      <c r="L250" t="s">
        <v>715</v>
      </c>
    </row>
    <row r="251" spans="1:12" x14ac:dyDescent="0.25">
      <c r="A251" s="90">
        <f t="shared" si="3"/>
        <v>250</v>
      </c>
      <c r="B251" s="89" t="s">
        <v>1416</v>
      </c>
      <c r="C251" s="9">
        <v>45874</v>
      </c>
      <c r="D251" t="s">
        <v>659</v>
      </c>
      <c r="E251" t="s">
        <v>660</v>
      </c>
      <c r="F251" t="s">
        <v>661</v>
      </c>
      <c r="G251" t="s">
        <v>118</v>
      </c>
      <c r="H251" s="59">
        <v>1703</v>
      </c>
      <c r="I251" t="s">
        <v>1417</v>
      </c>
      <c r="J251" t="s">
        <v>1420</v>
      </c>
      <c r="K251" t="s">
        <v>715</v>
      </c>
      <c r="L251" t="s">
        <v>715</v>
      </c>
    </row>
    <row r="252" spans="1:12" x14ac:dyDescent="0.25">
      <c r="A252" s="90">
        <f t="shared" si="3"/>
        <v>251</v>
      </c>
      <c r="B252" s="89" t="s">
        <v>1418</v>
      </c>
      <c r="C252" s="9">
        <v>45866</v>
      </c>
      <c r="D252" t="s">
        <v>275</v>
      </c>
      <c r="E252" t="s">
        <v>276</v>
      </c>
      <c r="F252" t="s">
        <v>277</v>
      </c>
      <c r="G252" t="s">
        <v>118</v>
      </c>
      <c r="H252" s="59">
        <v>1690.7</v>
      </c>
      <c r="I252" t="s">
        <v>1419</v>
      </c>
      <c r="J252" t="s">
        <v>215</v>
      </c>
      <c r="K252" t="s">
        <v>715</v>
      </c>
      <c r="L252" t="s">
        <v>715</v>
      </c>
    </row>
    <row r="253" spans="1:12" x14ac:dyDescent="0.25">
      <c r="A253" s="90">
        <f t="shared" si="3"/>
        <v>252</v>
      </c>
      <c r="B253" s="89" t="s">
        <v>1421</v>
      </c>
      <c r="C253" s="9">
        <v>45873</v>
      </c>
      <c r="D253" t="s">
        <v>1422</v>
      </c>
      <c r="E253" t="s">
        <v>1423</v>
      </c>
      <c r="F253" t="s">
        <v>1424</v>
      </c>
      <c r="G253" t="s">
        <v>118</v>
      </c>
      <c r="H253" s="59">
        <v>1890.8</v>
      </c>
      <c r="I253" t="s">
        <v>1425</v>
      </c>
      <c r="J253" t="s">
        <v>223</v>
      </c>
      <c r="K253" t="s">
        <v>715</v>
      </c>
      <c r="L253" t="s">
        <v>715</v>
      </c>
    </row>
    <row r="254" spans="1:12" x14ac:dyDescent="0.25">
      <c r="A254" s="93">
        <f t="shared" si="3"/>
        <v>253</v>
      </c>
      <c r="B254" s="89" t="s">
        <v>1426</v>
      </c>
      <c r="C254" s="9">
        <v>45876</v>
      </c>
      <c r="D254" t="s">
        <v>383</v>
      </c>
      <c r="E254" t="s">
        <v>384</v>
      </c>
      <c r="F254" t="s">
        <v>385</v>
      </c>
      <c r="G254" t="s">
        <v>118</v>
      </c>
      <c r="H254" s="59">
        <v>1575</v>
      </c>
      <c r="I254" t="s">
        <v>386</v>
      </c>
      <c r="J254" t="s">
        <v>223</v>
      </c>
      <c r="K254" t="s">
        <v>715</v>
      </c>
      <c r="L254" t="s">
        <v>715</v>
      </c>
    </row>
    <row r="255" spans="1:12" x14ac:dyDescent="0.25">
      <c r="A255" s="88">
        <f t="shared" si="3"/>
        <v>254</v>
      </c>
      <c r="B255" s="89" t="s">
        <v>1427</v>
      </c>
      <c r="C255" s="9">
        <v>45877</v>
      </c>
      <c r="D255" t="s">
        <v>1428</v>
      </c>
      <c r="E255" t="s">
        <v>1429</v>
      </c>
      <c r="F255" t="s">
        <v>1430</v>
      </c>
      <c r="G255" t="s">
        <v>190</v>
      </c>
      <c r="H255" s="59">
        <v>1845</v>
      </c>
      <c r="I255" t="s">
        <v>1431</v>
      </c>
      <c r="J255" t="s">
        <v>1451</v>
      </c>
      <c r="K255" t="s">
        <v>715</v>
      </c>
      <c r="L255" t="s">
        <v>715</v>
      </c>
    </row>
    <row r="256" spans="1:12" x14ac:dyDescent="0.25">
      <c r="A256" s="88">
        <f t="shared" si="3"/>
        <v>255</v>
      </c>
      <c r="B256" s="89" t="s">
        <v>1432</v>
      </c>
      <c r="C256" s="9">
        <v>45877</v>
      </c>
      <c r="D256" t="s">
        <v>1433</v>
      </c>
      <c r="E256" t="s">
        <v>1434</v>
      </c>
      <c r="F256" t="s">
        <v>1435</v>
      </c>
      <c r="G256" t="s">
        <v>213</v>
      </c>
      <c r="H256" s="59">
        <v>1172.3</v>
      </c>
      <c r="I256" t="s">
        <v>1436</v>
      </c>
      <c r="J256" t="s">
        <v>1437</v>
      </c>
      <c r="K256" t="s">
        <v>715</v>
      </c>
      <c r="L256" t="s">
        <v>715</v>
      </c>
    </row>
    <row r="257" spans="1:12" x14ac:dyDescent="0.25">
      <c r="A257" s="93">
        <f t="shared" si="3"/>
        <v>256</v>
      </c>
      <c r="B257" s="89" t="s">
        <v>1438</v>
      </c>
      <c r="C257" s="9">
        <v>45878</v>
      </c>
      <c r="D257" t="s">
        <v>585</v>
      </c>
      <c r="E257" t="s">
        <v>586</v>
      </c>
      <c r="F257" t="s">
        <v>1439</v>
      </c>
      <c r="G257" t="s">
        <v>118</v>
      </c>
      <c r="H257" s="59">
        <v>2221</v>
      </c>
      <c r="I257" t="s">
        <v>1440</v>
      </c>
      <c r="J257" t="s">
        <v>1452</v>
      </c>
      <c r="K257" t="s">
        <v>715</v>
      </c>
      <c r="L257" t="s">
        <v>715</v>
      </c>
    </row>
    <row r="258" spans="1:12" x14ac:dyDescent="0.25">
      <c r="A258" s="88">
        <f t="shared" si="3"/>
        <v>257</v>
      </c>
      <c r="B258" s="89" t="s">
        <v>1441</v>
      </c>
      <c r="C258" s="9">
        <v>45878</v>
      </c>
      <c r="D258" t="s">
        <v>1442</v>
      </c>
      <c r="E258" t="s">
        <v>1443</v>
      </c>
      <c r="F258" t="s">
        <v>1444</v>
      </c>
      <c r="G258" t="s">
        <v>190</v>
      </c>
      <c r="H258" s="59">
        <v>1176</v>
      </c>
      <c r="I258" t="s">
        <v>1445</v>
      </c>
      <c r="J258" t="s">
        <v>1453</v>
      </c>
      <c r="K258" t="s">
        <v>715</v>
      </c>
      <c r="L258" t="s">
        <v>715</v>
      </c>
    </row>
    <row r="259" spans="1:12" x14ac:dyDescent="0.25">
      <c r="A259" s="90">
        <f t="shared" si="3"/>
        <v>258</v>
      </c>
      <c r="B259" s="89" t="s">
        <v>1446</v>
      </c>
      <c r="C259" s="9">
        <v>45867</v>
      </c>
      <c r="D259" t="s">
        <v>1447</v>
      </c>
      <c r="E259" t="s">
        <v>1448</v>
      </c>
      <c r="F259" t="s">
        <v>1449</v>
      </c>
      <c r="G259" t="s">
        <v>118</v>
      </c>
      <c r="H259" s="59">
        <v>2412.8000000000002</v>
      </c>
      <c r="I259" t="s">
        <v>1450</v>
      </c>
      <c r="J259" t="s">
        <v>223</v>
      </c>
      <c r="K259" t="s">
        <v>715</v>
      </c>
      <c r="L259" t="s">
        <v>715</v>
      </c>
    </row>
    <row r="260" spans="1:12" x14ac:dyDescent="0.25">
      <c r="A260" s="92">
        <f t="shared" ref="A260:A323" si="4">A259+1</f>
        <v>259</v>
      </c>
      <c r="B260" s="89" t="s">
        <v>1454</v>
      </c>
      <c r="C260" s="9">
        <v>45867</v>
      </c>
      <c r="D260" t="s">
        <v>1455</v>
      </c>
      <c r="E260" t="s">
        <v>1456</v>
      </c>
      <c r="F260" t="s">
        <v>1457</v>
      </c>
      <c r="G260" t="s">
        <v>119</v>
      </c>
      <c r="H260" s="59">
        <v>7895.02</v>
      </c>
      <c r="I260" t="s">
        <v>1458</v>
      </c>
      <c r="J260" t="s">
        <v>322</v>
      </c>
      <c r="K260" t="s">
        <v>715</v>
      </c>
      <c r="L260" t="s">
        <v>715</v>
      </c>
    </row>
    <row r="261" spans="1:12" x14ac:dyDescent="0.25">
      <c r="A261" s="90">
        <f t="shared" si="4"/>
        <v>260</v>
      </c>
      <c r="B261" s="89" t="s">
        <v>1459</v>
      </c>
      <c r="C261" s="9">
        <v>45880</v>
      </c>
      <c r="D261" t="s">
        <v>1460</v>
      </c>
      <c r="E261" t="s">
        <v>1461</v>
      </c>
      <c r="F261" t="s">
        <v>1462</v>
      </c>
      <c r="G261" t="s">
        <v>118</v>
      </c>
      <c r="H261" s="59">
        <v>3398.15</v>
      </c>
      <c r="I261" t="s">
        <v>1463</v>
      </c>
      <c r="J261" t="s">
        <v>1464</v>
      </c>
      <c r="K261" t="s">
        <v>715</v>
      </c>
      <c r="L261" t="s">
        <v>715</v>
      </c>
    </row>
    <row r="262" spans="1:12" x14ac:dyDescent="0.25">
      <c r="A262" s="92">
        <f t="shared" si="4"/>
        <v>261</v>
      </c>
      <c r="B262" s="89" t="s">
        <v>1465</v>
      </c>
      <c r="C262" s="9">
        <v>45881</v>
      </c>
      <c r="D262" t="s">
        <v>1466</v>
      </c>
      <c r="E262" t="s">
        <v>1467</v>
      </c>
      <c r="F262" t="s">
        <v>1468</v>
      </c>
      <c r="G262" t="s">
        <v>190</v>
      </c>
      <c r="H262" s="59">
        <v>2062.48</v>
      </c>
      <c r="I262" t="s">
        <v>1469</v>
      </c>
      <c r="J262" t="s">
        <v>316</v>
      </c>
      <c r="K262" t="s">
        <v>715</v>
      </c>
      <c r="L262" t="s">
        <v>715</v>
      </c>
    </row>
    <row r="263" spans="1:12" x14ac:dyDescent="0.25">
      <c r="A263" s="90">
        <f t="shared" si="4"/>
        <v>262</v>
      </c>
      <c r="B263" s="89" t="s">
        <v>1470</v>
      </c>
      <c r="C263" s="9">
        <v>45881</v>
      </c>
      <c r="D263" t="s">
        <v>1471</v>
      </c>
      <c r="E263" t="s">
        <v>1472</v>
      </c>
      <c r="F263" t="s">
        <v>1473</v>
      </c>
      <c r="G263" t="s">
        <v>118</v>
      </c>
      <c r="H263" s="59">
        <v>3115.05</v>
      </c>
      <c r="I263" t="s">
        <v>1474</v>
      </c>
      <c r="J263" t="s">
        <v>322</v>
      </c>
      <c r="K263" t="s">
        <v>715</v>
      </c>
      <c r="L263" t="s">
        <v>715</v>
      </c>
    </row>
    <row r="264" spans="1:12" x14ac:dyDescent="0.25">
      <c r="A264" s="93">
        <f t="shared" si="4"/>
        <v>263</v>
      </c>
      <c r="B264" s="89" t="s">
        <v>1475</v>
      </c>
      <c r="C264" s="9">
        <v>45881</v>
      </c>
      <c r="D264" t="s">
        <v>329</v>
      </c>
      <c r="E264" t="s">
        <v>330</v>
      </c>
      <c r="F264" t="s">
        <v>1476</v>
      </c>
      <c r="G264" t="s">
        <v>118</v>
      </c>
      <c r="H264" s="59">
        <v>5021.2</v>
      </c>
      <c r="I264" t="s">
        <v>1477</v>
      </c>
      <c r="J264" t="s">
        <v>215</v>
      </c>
      <c r="K264" t="s">
        <v>715</v>
      </c>
      <c r="L264" t="s">
        <v>715</v>
      </c>
    </row>
    <row r="265" spans="1:12" x14ac:dyDescent="0.25">
      <c r="A265" s="88">
        <f t="shared" si="4"/>
        <v>264</v>
      </c>
      <c r="B265" s="89" t="s">
        <v>1478</v>
      </c>
      <c r="C265" s="9">
        <v>45882</v>
      </c>
      <c r="D265" t="s">
        <v>1479</v>
      </c>
      <c r="E265" t="s">
        <v>1480</v>
      </c>
      <c r="F265" t="s">
        <v>1481</v>
      </c>
      <c r="G265" t="s">
        <v>190</v>
      </c>
      <c r="H265" s="59">
        <v>1430</v>
      </c>
      <c r="I265" t="s">
        <v>1482</v>
      </c>
      <c r="J265" t="s">
        <v>1483</v>
      </c>
      <c r="K265" t="s">
        <v>715</v>
      </c>
      <c r="L265" t="s">
        <v>715</v>
      </c>
    </row>
    <row r="266" spans="1:12" x14ac:dyDescent="0.25">
      <c r="A266" s="91">
        <f t="shared" si="4"/>
        <v>265</v>
      </c>
      <c r="B266" s="89" t="s">
        <v>1484</v>
      </c>
      <c r="C266" s="9">
        <v>45867</v>
      </c>
      <c r="D266" t="s">
        <v>1485</v>
      </c>
      <c r="E266" t="s">
        <v>1486</v>
      </c>
      <c r="F266" t="s">
        <v>1487</v>
      </c>
      <c r="G266" t="s">
        <v>119</v>
      </c>
      <c r="H266" s="59">
        <v>1173.5999999999999</v>
      </c>
      <c r="I266" t="s">
        <v>742</v>
      </c>
      <c r="J266" t="s">
        <v>1498</v>
      </c>
      <c r="K266" t="s">
        <v>715</v>
      </c>
      <c r="L266" t="s">
        <v>715</v>
      </c>
    </row>
    <row r="267" spans="1:12" x14ac:dyDescent="0.25">
      <c r="A267" s="88">
        <f t="shared" si="4"/>
        <v>266</v>
      </c>
      <c r="B267" s="89" t="s">
        <v>1488</v>
      </c>
      <c r="C267" s="9">
        <v>45883</v>
      </c>
      <c r="D267" t="s">
        <v>1489</v>
      </c>
      <c r="E267" t="s">
        <v>1490</v>
      </c>
      <c r="F267" t="s">
        <v>1491</v>
      </c>
      <c r="G267" t="s">
        <v>119</v>
      </c>
      <c r="H267" s="59">
        <v>2163</v>
      </c>
      <c r="I267" t="s">
        <v>1492</v>
      </c>
      <c r="J267" t="s">
        <v>223</v>
      </c>
      <c r="K267" t="s">
        <v>715</v>
      </c>
      <c r="L267" t="s">
        <v>715</v>
      </c>
    </row>
    <row r="268" spans="1:12" x14ac:dyDescent="0.25">
      <c r="A268" s="90">
        <f t="shared" si="4"/>
        <v>267</v>
      </c>
      <c r="B268" s="89" t="s">
        <v>1493</v>
      </c>
      <c r="C268" s="9">
        <v>45876</v>
      </c>
      <c r="D268" t="s">
        <v>1494</v>
      </c>
      <c r="E268" t="s">
        <v>1495</v>
      </c>
      <c r="F268" t="s">
        <v>1496</v>
      </c>
      <c r="G268" t="s">
        <v>118</v>
      </c>
      <c r="H268" s="59">
        <v>1282.5</v>
      </c>
      <c r="I268" t="s">
        <v>1497</v>
      </c>
      <c r="J268" t="s">
        <v>223</v>
      </c>
      <c r="K268" t="s">
        <v>715</v>
      </c>
      <c r="L268" t="s">
        <v>715</v>
      </c>
    </row>
    <row r="269" spans="1:12" x14ac:dyDescent="0.25">
      <c r="A269" s="88">
        <f t="shared" si="4"/>
        <v>268</v>
      </c>
      <c r="B269" s="89" t="s">
        <v>1499</v>
      </c>
      <c r="C269" s="9">
        <v>45887</v>
      </c>
      <c r="D269" t="s">
        <v>1500</v>
      </c>
      <c r="E269" t="s">
        <v>1501</v>
      </c>
      <c r="F269" t="s">
        <v>1502</v>
      </c>
      <c r="G269" t="s">
        <v>190</v>
      </c>
      <c r="H269" s="59">
        <v>1019</v>
      </c>
      <c r="I269" t="s">
        <v>197</v>
      </c>
      <c r="J269" t="s">
        <v>1508</v>
      </c>
      <c r="K269" t="s">
        <v>715</v>
      </c>
      <c r="L269" t="s">
        <v>715</v>
      </c>
    </row>
    <row r="270" spans="1:12" x14ac:dyDescent="0.25">
      <c r="A270" s="97">
        <f t="shared" si="4"/>
        <v>269</v>
      </c>
      <c r="B270" s="89" t="s">
        <v>1503</v>
      </c>
      <c r="C270" s="9">
        <v>45863</v>
      </c>
      <c r="D270" t="s">
        <v>1504</v>
      </c>
      <c r="E270" t="s">
        <v>1505</v>
      </c>
      <c r="F270" t="s">
        <v>1506</v>
      </c>
      <c r="G270" t="s">
        <v>190</v>
      </c>
      <c r="H270" s="59">
        <v>1882.12</v>
      </c>
      <c r="I270" t="s">
        <v>1507</v>
      </c>
      <c r="J270" t="s">
        <v>1528</v>
      </c>
      <c r="K270" t="s">
        <v>715</v>
      </c>
      <c r="L270" t="s">
        <v>715</v>
      </c>
    </row>
    <row r="271" spans="1:12" x14ac:dyDescent="0.25">
      <c r="A271" s="88">
        <f t="shared" si="4"/>
        <v>270</v>
      </c>
      <c r="B271" s="89" t="s">
        <v>1509</v>
      </c>
      <c r="C271" s="9">
        <v>45870</v>
      </c>
      <c r="D271" t="s">
        <v>1510</v>
      </c>
      <c r="E271" t="s">
        <v>1511</v>
      </c>
      <c r="F271" t="s">
        <v>1512</v>
      </c>
      <c r="G271" t="s">
        <v>190</v>
      </c>
      <c r="H271" s="59">
        <v>997.92</v>
      </c>
      <c r="I271" t="s">
        <v>1513</v>
      </c>
      <c r="J271" t="s">
        <v>295</v>
      </c>
      <c r="K271" t="s">
        <v>715</v>
      </c>
      <c r="L271" t="s">
        <v>715</v>
      </c>
    </row>
    <row r="272" spans="1:12" x14ac:dyDescent="0.25">
      <c r="A272" s="93">
        <f t="shared" si="4"/>
        <v>271</v>
      </c>
      <c r="B272" s="89" t="s">
        <v>1514</v>
      </c>
      <c r="C272" s="9">
        <v>45882</v>
      </c>
      <c r="D272" t="s">
        <v>281</v>
      </c>
      <c r="E272" t="s">
        <v>282</v>
      </c>
      <c r="F272" t="s">
        <v>283</v>
      </c>
      <c r="G272" t="s">
        <v>118</v>
      </c>
      <c r="H272" s="59">
        <v>2229.98</v>
      </c>
      <c r="I272" t="s">
        <v>1515</v>
      </c>
      <c r="J272" t="s">
        <v>1561</v>
      </c>
      <c r="K272" t="s">
        <v>715</v>
      </c>
      <c r="L272" t="s">
        <v>715</v>
      </c>
    </row>
    <row r="273" spans="1:12" x14ac:dyDescent="0.25">
      <c r="A273" s="93">
        <f t="shared" si="4"/>
        <v>272</v>
      </c>
      <c r="B273" s="89" t="s">
        <v>1516</v>
      </c>
      <c r="C273" s="9">
        <v>45884</v>
      </c>
      <c r="D273" t="s">
        <v>1517</v>
      </c>
      <c r="E273" t="s">
        <v>1524</v>
      </c>
      <c r="F273" t="s">
        <v>1518</v>
      </c>
      <c r="G273" t="s">
        <v>118</v>
      </c>
      <c r="H273" s="59">
        <v>32536.26</v>
      </c>
      <c r="I273" t="s">
        <v>1519</v>
      </c>
      <c r="J273" t="s">
        <v>1520</v>
      </c>
      <c r="K273" t="s">
        <v>715</v>
      </c>
      <c r="L273" t="s">
        <v>715</v>
      </c>
    </row>
    <row r="274" spans="1:12" x14ac:dyDescent="0.25">
      <c r="A274" s="91">
        <f t="shared" si="4"/>
        <v>273</v>
      </c>
      <c r="B274" s="89" t="s">
        <v>1522</v>
      </c>
      <c r="C274" s="9">
        <v>45873</v>
      </c>
      <c r="D274" t="s">
        <v>1523</v>
      </c>
      <c r="E274" t="s">
        <v>1525</v>
      </c>
      <c r="F274" t="s">
        <v>1526</v>
      </c>
      <c r="G274" t="s">
        <v>190</v>
      </c>
      <c r="H274" s="59">
        <v>2944.24</v>
      </c>
      <c r="I274" t="s">
        <v>567</v>
      </c>
      <c r="J274" t="s">
        <v>1527</v>
      </c>
      <c r="K274" t="s">
        <v>715</v>
      </c>
      <c r="L274" t="s">
        <v>715</v>
      </c>
    </row>
    <row r="275" spans="1:12" x14ac:dyDescent="0.25">
      <c r="A275" s="88">
        <f t="shared" si="4"/>
        <v>274</v>
      </c>
      <c r="B275" s="89" t="s">
        <v>1529</v>
      </c>
      <c r="C275" s="9">
        <v>45874</v>
      </c>
      <c r="D275" t="s">
        <v>1530</v>
      </c>
      <c r="E275" t="s">
        <v>1531</v>
      </c>
      <c r="F275" t="s">
        <v>1532</v>
      </c>
      <c r="G275" t="s">
        <v>190</v>
      </c>
      <c r="H275" s="59">
        <v>2106.6999999999998</v>
      </c>
      <c r="I275" t="s">
        <v>1361</v>
      </c>
      <c r="J275" t="s">
        <v>1562</v>
      </c>
      <c r="K275" t="s">
        <v>715</v>
      </c>
      <c r="L275" t="s">
        <v>715</v>
      </c>
    </row>
    <row r="276" spans="1:12" x14ac:dyDescent="0.25">
      <c r="A276" s="91">
        <f t="shared" si="4"/>
        <v>275</v>
      </c>
      <c r="B276" s="89" t="s">
        <v>1533</v>
      </c>
      <c r="C276" s="9">
        <v>45889</v>
      </c>
      <c r="D276" t="s">
        <v>1534</v>
      </c>
      <c r="E276" t="s">
        <v>1535</v>
      </c>
      <c r="F276" t="s">
        <v>1536</v>
      </c>
      <c r="G276" t="s">
        <v>190</v>
      </c>
      <c r="H276" s="59">
        <v>1438</v>
      </c>
      <c r="I276" t="s">
        <v>543</v>
      </c>
      <c r="J276" t="s">
        <v>1537</v>
      </c>
      <c r="K276" t="s">
        <v>715</v>
      </c>
      <c r="L276" t="s">
        <v>715</v>
      </c>
    </row>
    <row r="277" spans="1:12" x14ac:dyDescent="0.25">
      <c r="A277" s="88">
        <f t="shared" si="4"/>
        <v>276</v>
      </c>
      <c r="B277" s="89" t="s">
        <v>1538</v>
      </c>
      <c r="C277" s="9">
        <v>45889</v>
      </c>
      <c r="D277" t="s">
        <v>1539</v>
      </c>
      <c r="E277" t="s">
        <v>1540</v>
      </c>
      <c r="F277" t="s">
        <v>1541</v>
      </c>
      <c r="G277" t="s">
        <v>190</v>
      </c>
      <c r="H277" s="59">
        <v>1176</v>
      </c>
      <c r="I277" t="s">
        <v>1445</v>
      </c>
      <c r="J277" t="s">
        <v>316</v>
      </c>
      <c r="K277" t="s">
        <v>715</v>
      </c>
      <c r="L277" t="s">
        <v>715</v>
      </c>
    </row>
    <row r="278" spans="1:12" x14ac:dyDescent="0.25">
      <c r="A278" s="88">
        <f t="shared" si="4"/>
        <v>277</v>
      </c>
      <c r="B278" s="89" t="s">
        <v>1542</v>
      </c>
      <c r="C278" s="9">
        <v>45890</v>
      </c>
      <c r="D278" t="s">
        <v>1543</v>
      </c>
      <c r="E278" t="s">
        <v>1544</v>
      </c>
      <c r="F278" t="s">
        <v>1545</v>
      </c>
      <c r="G278" t="s">
        <v>119</v>
      </c>
      <c r="H278" s="59">
        <v>1845</v>
      </c>
      <c r="I278" t="s">
        <v>1431</v>
      </c>
      <c r="J278" t="s">
        <v>339</v>
      </c>
      <c r="K278" t="s">
        <v>715</v>
      </c>
      <c r="L278" t="s">
        <v>715</v>
      </c>
    </row>
    <row r="279" spans="1:12" x14ac:dyDescent="0.25">
      <c r="A279" s="88">
        <f t="shared" si="4"/>
        <v>278</v>
      </c>
      <c r="B279" s="89" t="s">
        <v>1546</v>
      </c>
      <c r="C279" s="9">
        <v>45890</v>
      </c>
      <c r="D279" t="s">
        <v>1547</v>
      </c>
      <c r="E279" t="s">
        <v>1548</v>
      </c>
      <c r="F279" t="s">
        <v>1549</v>
      </c>
      <c r="G279" t="s">
        <v>190</v>
      </c>
      <c r="H279" s="59">
        <v>2826</v>
      </c>
      <c r="I279" t="s">
        <v>1550</v>
      </c>
      <c r="J279" t="s">
        <v>734</v>
      </c>
      <c r="K279" t="s">
        <v>715</v>
      </c>
      <c r="L279" t="s">
        <v>715</v>
      </c>
    </row>
    <row r="280" spans="1:12" x14ac:dyDescent="0.25">
      <c r="A280" s="88">
        <f t="shared" si="4"/>
        <v>279</v>
      </c>
      <c r="B280" s="89" t="s">
        <v>1551</v>
      </c>
      <c r="C280" s="9">
        <v>45891</v>
      </c>
      <c r="D280" t="s">
        <v>1552</v>
      </c>
      <c r="E280" t="s">
        <v>1553</v>
      </c>
      <c r="F280" t="s">
        <v>1554</v>
      </c>
      <c r="G280" t="s">
        <v>190</v>
      </c>
      <c r="H280" s="59">
        <v>2111</v>
      </c>
      <c r="I280" t="s">
        <v>1555</v>
      </c>
      <c r="J280" t="s">
        <v>223</v>
      </c>
      <c r="K280" t="s">
        <v>715</v>
      </c>
      <c r="L280" t="s">
        <v>715</v>
      </c>
    </row>
    <row r="281" spans="1:12" x14ac:dyDescent="0.25">
      <c r="A281" s="92">
        <f t="shared" si="4"/>
        <v>280</v>
      </c>
      <c r="B281" s="89" t="s">
        <v>1556</v>
      </c>
      <c r="C281" s="9">
        <v>45891</v>
      </c>
      <c r="D281" t="s">
        <v>1557</v>
      </c>
      <c r="E281" t="s">
        <v>1558</v>
      </c>
      <c r="F281" t="s">
        <v>1559</v>
      </c>
      <c r="G281" t="s">
        <v>190</v>
      </c>
      <c r="H281" s="59">
        <v>8404.2000000000007</v>
      </c>
      <c r="I281" t="s">
        <v>1560</v>
      </c>
      <c r="J281" t="s">
        <v>1565</v>
      </c>
      <c r="K281" t="s">
        <v>715</v>
      </c>
      <c r="L281" t="s">
        <v>715</v>
      </c>
    </row>
    <row r="282" spans="1:12" x14ac:dyDescent="0.25">
      <c r="A282" s="90">
        <f t="shared" si="4"/>
        <v>281</v>
      </c>
      <c r="B282" s="89" t="s">
        <v>1563</v>
      </c>
      <c r="C282" s="9">
        <v>45880</v>
      </c>
      <c r="D282" t="s">
        <v>750</v>
      </c>
      <c r="E282" t="s">
        <v>751</v>
      </c>
      <c r="F282" t="s">
        <v>752</v>
      </c>
      <c r="G282" t="s">
        <v>118</v>
      </c>
      <c r="H282" s="59">
        <v>2127.6</v>
      </c>
      <c r="I282" t="s">
        <v>1564</v>
      </c>
      <c r="J282" t="s">
        <v>215</v>
      </c>
      <c r="K282" t="s">
        <v>715</v>
      </c>
      <c r="L282" t="s">
        <v>715</v>
      </c>
    </row>
    <row r="283" spans="1:12" x14ac:dyDescent="0.25">
      <c r="A283" s="88">
        <f t="shared" si="4"/>
        <v>282</v>
      </c>
      <c r="B283" s="89" t="s">
        <v>1566</v>
      </c>
      <c r="C283" s="9">
        <v>45894</v>
      </c>
      <c r="D283" t="s">
        <v>1567</v>
      </c>
      <c r="E283" t="s">
        <v>1568</v>
      </c>
      <c r="F283" t="s">
        <v>1569</v>
      </c>
      <c r="G283" t="s">
        <v>190</v>
      </c>
      <c r="H283" s="59">
        <v>1596</v>
      </c>
      <c r="I283" t="s">
        <v>618</v>
      </c>
      <c r="J283" t="s">
        <v>1570</v>
      </c>
      <c r="K283" t="s">
        <v>715</v>
      </c>
      <c r="L283" t="s">
        <v>715</v>
      </c>
    </row>
    <row r="284" spans="1:12" x14ac:dyDescent="0.25">
      <c r="A284" s="88">
        <f t="shared" si="4"/>
        <v>283</v>
      </c>
      <c r="B284" s="89" t="s">
        <v>1571</v>
      </c>
      <c r="C284" s="9">
        <v>45894</v>
      </c>
      <c r="D284" t="s">
        <v>1604</v>
      </c>
      <c r="E284" t="s">
        <v>1572</v>
      </c>
      <c r="F284" t="s">
        <v>1573</v>
      </c>
      <c r="G284" t="s">
        <v>190</v>
      </c>
      <c r="H284" s="59">
        <v>1120</v>
      </c>
      <c r="I284" t="s">
        <v>1574</v>
      </c>
      <c r="J284" t="s">
        <v>734</v>
      </c>
      <c r="K284" t="s">
        <v>715</v>
      </c>
      <c r="L284" t="s">
        <v>715</v>
      </c>
    </row>
    <row r="285" spans="1:12" x14ac:dyDescent="0.25">
      <c r="A285" s="90">
        <f t="shared" si="4"/>
        <v>284</v>
      </c>
      <c r="B285" s="89" t="s">
        <v>1575</v>
      </c>
      <c r="C285" s="9">
        <v>45824</v>
      </c>
      <c r="D285" t="s">
        <v>1576</v>
      </c>
      <c r="E285" t="s">
        <v>1577</v>
      </c>
      <c r="F285" t="s">
        <v>1578</v>
      </c>
      <c r="G285" t="s">
        <v>118</v>
      </c>
      <c r="H285" s="59">
        <v>1842</v>
      </c>
      <c r="I285" t="s">
        <v>344</v>
      </c>
      <c r="J285" t="s">
        <v>568</v>
      </c>
      <c r="K285" t="s">
        <v>715</v>
      </c>
      <c r="L285" t="s">
        <v>715</v>
      </c>
    </row>
    <row r="286" spans="1:12" x14ac:dyDescent="0.25">
      <c r="A286" s="93">
        <f t="shared" si="4"/>
        <v>285</v>
      </c>
      <c r="B286" s="89" t="s">
        <v>1579</v>
      </c>
      <c r="C286" s="9">
        <v>45812</v>
      </c>
      <c r="D286" t="s">
        <v>281</v>
      </c>
      <c r="E286" t="s">
        <v>282</v>
      </c>
      <c r="F286" t="s">
        <v>283</v>
      </c>
      <c r="G286" t="s">
        <v>118</v>
      </c>
      <c r="H286" s="59">
        <v>4618</v>
      </c>
      <c r="I286" t="s">
        <v>1580</v>
      </c>
      <c r="J286" t="s">
        <v>229</v>
      </c>
      <c r="K286" t="s">
        <v>715</v>
      </c>
      <c r="L286" t="s">
        <v>715</v>
      </c>
    </row>
    <row r="287" spans="1:12" x14ac:dyDescent="0.25">
      <c r="A287" s="88">
        <f t="shared" si="4"/>
        <v>286</v>
      </c>
      <c r="B287" s="89" t="s">
        <v>1581</v>
      </c>
      <c r="C287" s="9">
        <v>45819</v>
      </c>
      <c r="D287" t="s">
        <v>1582</v>
      </c>
      <c r="E287" t="s">
        <v>1583</v>
      </c>
      <c r="F287" t="s">
        <v>1584</v>
      </c>
      <c r="G287" t="s">
        <v>190</v>
      </c>
      <c r="H287" s="59">
        <v>1034</v>
      </c>
      <c r="I287" t="s">
        <v>1585</v>
      </c>
      <c r="J287" t="s">
        <v>1598</v>
      </c>
      <c r="K287" t="s">
        <v>715</v>
      </c>
      <c r="L287" t="s">
        <v>715</v>
      </c>
    </row>
    <row r="288" spans="1:12" x14ac:dyDescent="0.25">
      <c r="A288" s="88">
        <f t="shared" si="4"/>
        <v>287</v>
      </c>
      <c r="B288" s="89" t="s">
        <v>1593</v>
      </c>
      <c r="C288" s="9">
        <v>45895</v>
      </c>
      <c r="D288" t="s">
        <v>1594</v>
      </c>
      <c r="E288" t="s">
        <v>1595</v>
      </c>
      <c r="F288" t="s">
        <v>1596</v>
      </c>
      <c r="G288" t="s">
        <v>213</v>
      </c>
      <c r="H288" s="59">
        <v>1738</v>
      </c>
      <c r="I288" t="s">
        <v>1597</v>
      </c>
      <c r="J288" t="s">
        <v>1605</v>
      </c>
      <c r="K288" t="s">
        <v>715</v>
      </c>
      <c r="L288" t="s">
        <v>715</v>
      </c>
    </row>
    <row r="289" spans="1:12" x14ac:dyDescent="0.25">
      <c r="A289" s="90">
        <f t="shared" si="4"/>
        <v>288</v>
      </c>
      <c r="B289" s="89" t="s">
        <v>1599</v>
      </c>
      <c r="C289" s="9">
        <v>45887</v>
      </c>
      <c r="D289" t="s">
        <v>1600</v>
      </c>
      <c r="E289" t="s">
        <v>1601</v>
      </c>
      <c r="F289" t="s">
        <v>1602</v>
      </c>
      <c r="G289" t="s">
        <v>118</v>
      </c>
      <c r="H289" s="59">
        <v>1667.4</v>
      </c>
      <c r="I289" t="s">
        <v>1603</v>
      </c>
      <c r="J289" t="s">
        <v>316</v>
      </c>
      <c r="K289" t="s">
        <v>715</v>
      </c>
      <c r="L289" t="s">
        <v>715</v>
      </c>
    </row>
    <row r="290" spans="1:12" x14ac:dyDescent="0.25">
      <c r="A290" s="88">
        <f t="shared" si="4"/>
        <v>289</v>
      </c>
      <c r="B290" s="95" t="s">
        <v>1606</v>
      </c>
      <c r="C290" s="9">
        <v>45891</v>
      </c>
      <c r="D290" t="s">
        <v>1607</v>
      </c>
      <c r="F290" t="s">
        <v>1608</v>
      </c>
      <c r="G290" t="s">
        <v>190</v>
      </c>
      <c r="H290" s="59">
        <v>1871</v>
      </c>
      <c r="I290" t="s">
        <v>1609</v>
      </c>
      <c r="J290" t="s">
        <v>568</v>
      </c>
      <c r="K290" t="s">
        <v>715</v>
      </c>
      <c r="L290" t="s">
        <v>715</v>
      </c>
    </row>
    <row r="291" spans="1:12" x14ac:dyDescent="0.25">
      <c r="A291" s="90">
        <f t="shared" si="4"/>
        <v>290</v>
      </c>
      <c r="B291" s="89" t="s">
        <v>1610</v>
      </c>
      <c r="C291" s="9">
        <v>45891</v>
      </c>
      <c r="D291" t="s">
        <v>1611</v>
      </c>
      <c r="E291" t="s">
        <v>1612</v>
      </c>
      <c r="F291" t="s">
        <v>1613</v>
      </c>
      <c r="G291" t="s">
        <v>118</v>
      </c>
      <c r="H291" s="59">
        <v>1173.4000000000001</v>
      </c>
      <c r="I291" t="s">
        <v>1614</v>
      </c>
      <c r="J291" t="s">
        <v>1625</v>
      </c>
      <c r="K291" t="s">
        <v>715</v>
      </c>
      <c r="L291" t="s">
        <v>715</v>
      </c>
    </row>
    <row r="292" spans="1:12" x14ac:dyDescent="0.25">
      <c r="A292" s="90">
        <f t="shared" si="4"/>
        <v>291</v>
      </c>
      <c r="B292" s="89" t="s">
        <v>1615</v>
      </c>
      <c r="C292" s="9">
        <v>45896</v>
      </c>
      <c r="D292" t="s">
        <v>1616</v>
      </c>
      <c r="E292" t="s">
        <v>1617</v>
      </c>
      <c r="F292" t="s">
        <v>1618</v>
      </c>
      <c r="G292" t="s">
        <v>190</v>
      </c>
      <c r="H292" s="59">
        <v>902</v>
      </c>
      <c r="I292" t="s">
        <v>1619</v>
      </c>
      <c r="J292" t="s">
        <v>734</v>
      </c>
      <c r="K292" t="s">
        <v>715</v>
      </c>
      <c r="L292" t="s">
        <v>715</v>
      </c>
    </row>
    <row r="293" spans="1:12" x14ac:dyDescent="0.25">
      <c r="A293" s="93">
        <f t="shared" si="4"/>
        <v>292</v>
      </c>
      <c r="B293" s="89" t="s">
        <v>1620</v>
      </c>
      <c r="C293" s="9">
        <v>45882</v>
      </c>
      <c r="D293" t="s">
        <v>1621</v>
      </c>
      <c r="E293" t="s">
        <v>1622</v>
      </c>
      <c r="F293" t="s">
        <v>1623</v>
      </c>
      <c r="G293" t="s">
        <v>118</v>
      </c>
      <c r="H293" s="59">
        <v>3101.08</v>
      </c>
      <c r="I293" t="s">
        <v>1624</v>
      </c>
      <c r="J293" t="s">
        <v>215</v>
      </c>
      <c r="K293" t="s">
        <v>715</v>
      </c>
      <c r="L293" t="s">
        <v>715</v>
      </c>
    </row>
    <row r="294" spans="1:12" x14ac:dyDescent="0.25">
      <c r="A294" s="88">
        <f t="shared" si="4"/>
        <v>293</v>
      </c>
      <c r="B294" s="89" t="s">
        <v>1626</v>
      </c>
      <c r="C294" s="9">
        <v>45897</v>
      </c>
      <c r="D294" t="s">
        <v>1627</v>
      </c>
      <c r="E294" t="s">
        <v>1628</v>
      </c>
      <c r="F294" t="s">
        <v>1629</v>
      </c>
      <c r="G294" t="s">
        <v>190</v>
      </c>
      <c r="H294" s="59">
        <v>1196</v>
      </c>
      <c r="I294" t="s">
        <v>804</v>
      </c>
      <c r="J294" t="s">
        <v>1634</v>
      </c>
      <c r="K294" t="s">
        <v>715</v>
      </c>
      <c r="L294" t="s">
        <v>715</v>
      </c>
    </row>
    <row r="295" spans="1:12" x14ac:dyDescent="0.25">
      <c r="A295" s="88">
        <f t="shared" si="4"/>
        <v>294</v>
      </c>
      <c r="B295" s="89" t="s">
        <v>1630</v>
      </c>
      <c r="C295" s="9">
        <v>45891</v>
      </c>
      <c r="D295" t="s">
        <v>1631</v>
      </c>
      <c r="E295" t="s">
        <v>1632</v>
      </c>
      <c r="F295" t="s">
        <v>1633</v>
      </c>
      <c r="G295" t="s">
        <v>213</v>
      </c>
      <c r="H295" s="59">
        <v>1118.72</v>
      </c>
      <c r="I295" t="s">
        <v>1269</v>
      </c>
      <c r="J295" t="s">
        <v>734</v>
      </c>
      <c r="K295" t="s">
        <v>715</v>
      </c>
      <c r="L295" t="s">
        <v>715</v>
      </c>
    </row>
    <row r="296" spans="1:12" x14ac:dyDescent="0.25">
      <c r="A296" s="88">
        <f t="shared" si="4"/>
        <v>295</v>
      </c>
      <c r="B296" s="89" t="s">
        <v>1635</v>
      </c>
      <c r="C296" s="9">
        <v>45898</v>
      </c>
      <c r="D296" t="s">
        <v>1636</v>
      </c>
      <c r="E296" t="s">
        <v>1637</v>
      </c>
      <c r="F296" t="s">
        <v>1638</v>
      </c>
      <c r="G296" t="s">
        <v>190</v>
      </c>
      <c r="H296" s="59">
        <v>1100</v>
      </c>
      <c r="I296" t="s">
        <v>1639</v>
      </c>
      <c r="J296" t="s">
        <v>223</v>
      </c>
      <c r="K296" t="s">
        <v>715</v>
      </c>
      <c r="L296" t="s">
        <v>715</v>
      </c>
    </row>
    <row r="297" spans="1:12" x14ac:dyDescent="0.25">
      <c r="A297" s="88">
        <f t="shared" si="4"/>
        <v>296</v>
      </c>
      <c r="B297" s="89" t="s">
        <v>1640</v>
      </c>
      <c r="C297" s="9">
        <v>45898</v>
      </c>
      <c r="D297" t="s">
        <v>1641</v>
      </c>
      <c r="E297" t="s">
        <v>1642</v>
      </c>
      <c r="F297" t="s">
        <v>1643</v>
      </c>
      <c r="G297" t="s">
        <v>119</v>
      </c>
      <c r="H297" s="59">
        <v>1696</v>
      </c>
      <c r="I297" t="s">
        <v>1644</v>
      </c>
      <c r="J297" t="s">
        <v>316</v>
      </c>
      <c r="K297" t="s">
        <v>715</v>
      </c>
      <c r="L297" t="s">
        <v>715</v>
      </c>
    </row>
    <row r="298" spans="1:12" x14ac:dyDescent="0.25">
      <c r="A298" s="92">
        <f t="shared" si="4"/>
        <v>297</v>
      </c>
      <c r="B298" s="89" t="s">
        <v>1645</v>
      </c>
      <c r="C298" s="9">
        <v>45899</v>
      </c>
      <c r="D298" t="s">
        <v>1646</v>
      </c>
      <c r="E298" t="s">
        <v>1647</v>
      </c>
      <c r="F298" t="s">
        <v>1648</v>
      </c>
      <c r="G298" t="s">
        <v>190</v>
      </c>
      <c r="H298" s="59">
        <v>8247.6</v>
      </c>
      <c r="I298" t="s">
        <v>1649</v>
      </c>
      <c r="J298" t="s">
        <v>1655</v>
      </c>
      <c r="K298" t="s">
        <v>715</v>
      </c>
      <c r="L298" t="s">
        <v>715</v>
      </c>
    </row>
    <row r="299" spans="1:12" x14ac:dyDescent="0.25">
      <c r="A299" s="90">
        <f t="shared" si="4"/>
        <v>298</v>
      </c>
      <c r="B299" s="89" t="s">
        <v>1650</v>
      </c>
      <c r="C299" s="9">
        <v>45901</v>
      </c>
      <c r="D299" t="s">
        <v>1651</v>
      </c>
      <c r="E299" t="s">
        <v>1652</v>
      </c>
      <c r="F299" t="s">
        <v>1653</v>
      </c>
      <c r="G299" t="s">
        <v>118</v>
      </c>
      <c r="H299" s="59">
        <v>1113</v>
      </c>
      <c r="I299" t="s">
        <v>1654</v>
      </c>
      <c r="J299" t="s">
        <v>221</v>
      </c>
      <c r="K299" t="s">
        <v>715</v>
      </c>
      <c r="L299" t="s">
        <v>715</v>
      </c>
    </row>
    <row r="300" spans="1:12" x14ac:dyDescent="0.25">
      <c r="A300" s="93">
        <f t="shared" si="4"/>
        <v>299</v>
      </c>
      <c r="B300" s="89" t="s">
        <v>1656</v>
      </c>
      <c r="C300" s="9">
        <v>45901</v>
      </c>
      <c r="D300" t="s">
        <v>922</v>
      </c>
      <c r="E300" t="s">
        <v>923</v>
      </c>
      <c r="F300" t="s">
        <v>1657</v>
      </c>
      <c r="G300" t="s">
        <v>118</v>
      </c>
      <c r="H300" s="59">
        <v>1561.36</v>
      </c>
      <c r="I300" t="s">
        <v>804</v>
      </c>
      <c r="J300" t="s">
        <v>1664</v>
      </c>
      <c r="K300" t="s">
        <v>715</v>
      </c>
      <c r="L300" t="s">
        <v>715</v>
      </c>
    </row>
    <row r="301" spans="1:12" x14ac:dyDescent="0.25">
      <c r="A301" s="90">
        <f t="shared" si="4"/>
        <v>300</v>
      </c>
      <c r="B301" s="89" t="s">
        <v>1658</v>
      </c>
      <c r="C301" s="9">
        <v>45902</v>
      </c>
      <c r="D301" t="s">
        <v>1659</v>
      </c>
      <c r="E301" t="s">
        <v>1660</v>
      </c>
      <c r="F301" t="s">
        <v>1661</v>
      </c>
      <c r="G301" t="s">
        <v>118</v>
      </c>
      <c r="H301" s="59">
        <v>4249</v>
      </c>
      <c r="I301" t="s">
        <v>1663</v>
      </c>
      <c r="J301" t="s">
        <v>322</v>
      </c>
      <c r="K301" t="s">
        <v>715</v>
      </c>
      <c r="L301" t="s">
        <v>715</v>
      </c>
    </row>
    <row r="302" spans="1:12" x14ac:dyDescent="0.25">
      <c r="A302" s="90">
        <f t="shared" si="4"/>
        <v>301</v>
      </c>
      <c r="B302" s="89" t="s">
        <v>1665</v>
      </c>
      <c r="C302" s="9">
        <v>45861</v>
      </c>
      <c r="D302" t="s">
        <v>642</v>
      </c>
      <c r="E302" t="s">
        <v>643</v>
      </c>
      <c r="F302" t="s">
        <v>1666</v>
      </c>
      <c r="G302" t="s">
        <v>118</v>
      </c>
      <c r="H302" s="59">
        <v>5202.7299999999996</v>
      </c>
      <c r="I302" t="s">
        <v>1667</v>
      </c>
      <c r="J302" t="s">
        <v>1668</v>
      </c>
      <c r="K302" t="s">
        <v>715</v>
      </c>
      <c r="L302" t="s">
        <v>715</v>
      </c>
    </row>
    <row r="303" spans="1:12" x14ac:dyDescent="0.25">
      <c r="A303" s="90">
        <f t="shared" si="4"/>
        <v>302</v>
      </c>
      <c r="B303" s="89" t="s">
        <v>1669</v>
      </c>
      <c r="C303" s="9">
        <v>45903</v>
      </c>
      <c r="D303" t="s">
        <v>1409</v>
      </c>
      <c r="E303" t="s">
        <v>1410</v>
      </c>
      <c r="F303" t="s">
        <v>1411</v>
      </c>
      <c r="G303" t="s">
        <v>118</v>
      </c>
      <c r="H303" s="59">
        <v>1120</v>
      </c>
      <c r="I303" t="s">
        <v>1670</v>
      </c>
      <c r="J303" t="s">
        <v>1153</v>
      </c>
      <c r="K303" t="s">
        <v>715</v>
      </c>
      <c r="L303" t="s">
        <v>715</v>
      </c>
    </row>
    <row r="304" spans="1:12" x14ac:dyDescent="0.25">
      <c r="A304" s="93">
        <f t="shared" si="4"/>
        <v>303</v>
      </c>
      <c r="B304" s="89" t="s">
        <v>1671</v>
      </c>
      <c r="C304" s="9">
        <v>45895</v>
      </c>
      <c r="D304" t="s">
        <v>1672</v>
      </c>
      <c r="E304" t="s">
        <v>1673</v>
      </c>
      <c r="F304" t="s">
        <v>1674</v>
      </c>
      <c r="G304" t="s">
        <v>118</v>
      </c>
      <c r="H304" s="59">
        <v>3378.29</v>
      </c>
      <c r="I304" t="s">
        <v>1675</v>
      </c>
      <c r="J304" t="s">
        <v>1688</v>
      </c>
      <c r="K304" t="s">
        <v>715</v>
      </c>
      <c r="L304" t="s">
        <v>715</v>
      </c>
    </row>
    <row r="305" spans="1:12" x14ac:dyDescent="0.25">
      <c r="A305" s="90">
        <f t="shared" si="4"/>
        <v>304</v>
      </c>
      <c r="B305" s="89" t="s">
        <v>1676</v>
      </c>
      <c r="C305" s="9">
        <v>45904</v>
      </c>
      <c r="D305" t="s">
        <v>1677</v>
      </c>
      <c r="E305" t="s">
        <v>1678</v>
      </c>
      <c r="F305" t="s">
        <v>1679</v>
      </c>
      <c r="G305" t="s">
        <v>118</v>
      </c>
      <c r="H305" s="59">
        <v>1855</v>
      </c>
      <c r="I305" t="s">
        <v>1680</v>
      </c>
      <c r="J305" t="s">
        <v>316</v>
      </c>
      <c r="K305" t="s">
        <v>715</v>
      </c>
      <c r="L305" t="s">
        <v>715</v>
      </c>
    </row>
    <row r="306" spans="1:12" x14ac:dyDescent="0.25">
      <c r="A306" s="90">
        <f t="shared" si="4"/>
        <v>305</v>
      </c>
      <c r="B306" s="89" t="s">
        <v>1681</v>
      </c>
      <c r="C306" s="9">
        <v>45898</v>
      </c>
      <c r="D306" t="s">
        <v>564</v>
      </c>
      <c r="E306" t="s">
        <v>565</v>
      </c>
      <c r="F306" t="s">
        <v>1264</v>
      </c>
      <c r="G306" t="s">
        <v>118</v>
      </c>
      <c r="H306" s="59">
        <v>1223.8</v>
      </c>
      <c r="I306" t="s">
        <v>742</v>
      </c>
      <c r="J306" t="s">
        <v>568</v>
      </c>
      <c r="K306" t="s">
        <v>715</v>
      </c>
      <c r="L306" t="s">
        <v>715</v>
      </c>
    </row>
    <row r="307" spans="1:12" x14ac:dyDescent="0.25">
      <c r="A307" s="88">
        <f t="shared" si="4"/>
        <v>306</v>
      </c>
      <c r="B307" s="89" t="s">
        <v>1682</v>
      </c>
      <c r="C307" s="9">
        <v>45905</v>
      </c>
      <c r="D307" t="s">
        <v>1683</v>
      </c>
      <c r="E307" t="s">
        <v>1684</v>
      </c>
      <c r="F307" t="s">
        <v>1685</v>
      </c>
      <c r="G307" t="s">
        <v>190</v>
      </c>
      <c r="H307" s="59">
        <v>1711</v>
      </c>
      <c r="I307" t="s">
        <v>1686</v>
      </c>
      <c r="J307" t="s">
        <v>1687</v>
      </c>
      <c r="K307" t="s">
        <v>715</v>
      </c>
      <c r="L307" t="s">
        <v>715</v>
      </c>
    </row>
    <row r="308" spans="1:12" x14ac:dyDescent="0.25">
      <c r="A308" s="92">
        <f t="shared" si="4"/>
        <v>307</v>
      </c>
      <c r="B308" s="89" t="s">
        <v>1689</v>
      </c>
      <c r="C308" s="9">
        <v>45906</v>
      </c>
      <c r="D308" t="s">
        <v>1690</v>
      </c>
      <c r="E308" t="s">
        <v>1691</v>
      </c>
      <c r="F308" t="s">
        <v>1692</v>
      </c>
      <c r="G308" t="s">
        <v>190</v>
      </c>
      <c r="H308" s="59">
        <v>5808.35</v>
      </c>
      <c r="I308" t="s">
        <v>1693</v>
      </c>
      <c r="J308" t="s">
        <v>215</v>
      </c>
      <c r="K308" t="s">
        <v>715</v>
      </c>
      <c r="L308" t="s">
        <v>715</v>
      </c>
    </row>
    <row r="309" spans="1:12" x14ac:dyDescent="0.25">
      <c r="A309" s="91">
        <f t="shared" si="4"/>
        <v>308</v>
      </c>
      <c r="B309" s="89" t="s">
        <v>1694</v>
      </c>
      <c r="C309" s="9">
        <v>45908</v>
      </c>
      <c r="D309" t="s">
        <v>1695</v>
      </c>
      <c r="E309" t="s">
        <v>1696</v>
      </c>
      <c r="F309" t="s">
        <v>1697</v>
      </c>
      <c r="G309" t="s">
        <v>190</v>
      </c>
      <c r="H309" s="59">
        <v>1423</v>
      </c>
      <c r="I309" t="s">
        <v>1698</v>
      </c>
      <c r="J309" t="s">
        <v>1699</v>
      </c>
      <c r="K309" t="s">
        <v>715</v>
      </c>
      <c r="L309" t="s">
        <v>715</v>
      </c>
    </row>
    <row r="310" spans="1:12" x14ac:dyDescent="0.25">
      <c r="A310" s="91">
        <f t="shared" si="4"/>
        <v>309</v>
      </c>
      <c r="B310" s="89" t="s">
        <v>1700</v>
      </c>
      <c r="C310" s="9">
        <v>45908</v>
      </c>
      <c r="D310" t="s">
        <v>1701</v>
      </c>
      <c r="E310" t="s">
        <v>1702</v>
      </c>
      <c r="F310" t="s">
        <v>1703</v>
      </c>
      <c r="G310" t="s">
        <v>190</v>
      </c>
      <c r="H310" s="59">
        <v>1238</v>
      </c>
      <c r="I310" t="s">
        <v>1704</v>
      </c>
      <c r="J310" t="s">
        <v>1705</v>
      </c>
      <c r="K310" t="s">
        <v>715</v>
      </c>
      <c r="L310" t="s">
        <v>715</v>
      </c>
    </row>
    <row r="311" spans="1:12" x14ac:dyDescent="0.25">
      <c r="A311" s="90">
        <f t="shared" si="4"/>
        <v>310</v>
      </c>
      <c r="B311" s="89" t="s">
        <v>1706</v>
      </c>
      <c r="C311" s="9">
        <v>45909</v>
      </c>
      <c r="D311" t="s">
        <v>1707</v>
      </c>
      <c r="E311" t="s">
        <v>1708</v>
      </c>
      <c r="F311" t="s">
        <v>1709</v>
      </c>
      <c r="G311" t="s">
        <v>118</v>
      </c>
      <c r="H311" s="59">
        <v>1122</v>
      </c>
      <c r="I311" t="s">
        <v>375</v>
      </c>
      <c r="J311" t="s">
        <v>192</v>
      </c>
      <c r="K311" t="s">
        <v>715</v>
      </c>
      <c r="L311" t="s">
        <v>715</v>
      </c>
    </row>
    <row r="312" spans="1:12" x14ac:dyDescent="0.25">
      <c r="A312" s="92">
        <f t="shared" si="4"/>
        <v>311</v>
      </c>
      <c r="B312" s="89" t="s">
        <v>1710</v>
      </c>
      <c r="C312" s="9">
        <v>45909</v>
      </c>
      <c r="D312" t="s">
        <v>1711</v>
      </c>
      <c r="E312" t="s">
        <v>1712</v>
      </c>
      <c r="F312" t="s">
        <v>1713</v>
      </c>
      <c r="G312" t="s">
        <v>190</v>
      </c>
      <c r="H312" s="59">
        <v>2412.8000000000002</v>
      </c>
      <c r="I312" t="s">
        <v>1714</v>
      </c>
      <c r="J312" t="s">
        <v>920</v>
      </c>
      <c r="K312" t="s">
        <v>715</v>
      </c>
      <c r="L312" t="s">
        <v>715</v>
      </c>
    </row>
    <row r="313" spans="1:12" x14ac:dyDescent="0.25">
      <c r="A313" s="90">
        <f t="shared" si="4"/>
        <v>312</v>
      </c>
      <c r="B313" s="89" t="s">
        <v>1715</v>
      </c>
      <c r="C313" s="9">
        <v>45903</v>
      </c>
      <c r="D313" t="s">
        <v>1716</v>
      </c>
      <c r="E313" t="s">
        <v>1717</v>
      </c>
      <c r="F313" t="s">
        <v>1718</v>
      </c>
      <c r="G313" t="s">
        <v>118</v>
      </c>
      <c r="H313" s="59">
        <v>1023.45</v>
      </c>
      <c r="I313" t="s">
        <v>1497</v>
      </c>
      <c r="J313" t="s">
        <v>316</v>
      </c>
      <c r="K313" t="s">
        <v>715</v>
      </c>
      <c r="L313" t="s">
        <v>715</v>
      </c>
    </row>
    <row r="314" spans="1:12" x14ac:dyDescent="0.25">
      <c r="A314" s="90">
        <f t="shared" si="4"/>
        <v>313</v>
      </c>
      <c r="B314" s="89" t="s">
        <v>1719</v>
      </c>
      <c r="C314" s="9">
        <v>45911</v>
      </c>
      <c r="D314" t="s">
        <v>620</v>
      </c>
      <c r="E314" t="s">
        <v>621</v>
      </c>
      <c r="F314" t="s">
        <v>622</v>
      </c>
      <c r="G314" t="s">
        <v>118</v>
      </c>
      <c r="H314" s="59">
        <v>1221</v>
      </c>
      <c r="I314" t="s">
        <v>1720</v>
      </c>
      <c r="J314" t="s">
        <v>1737</v>
      </c>
      <c r="K314" t="s">
        <v>715</v>
      </c>
      <c r="L314" t="s">
        <v>715</v>
      </c>
    </row>
    <row r="315" spans="1:12" x14ac:dyDescent="0.25">
      <c r="A315" s="90">
        <f t="shared" si="4"/>
        <v>314</v>
      </c>
      <c r="B315" s="89" t="s">
        <v>1721</v>
      </c>
      <c r="C315" s="9">
        <v>45912</v>
      </c>
      <c r="D315" t="s">
        <v>1722</v>
      </c>
      <c r="E315" t="s">
        <v>1723</v>
      </c>
      <c r="F315" t="s">
        <v>1724</v>
      </c>
      <c r="G315" t="s">
        <v>118</v>
      </c>
      <c r="H315" s="59">
        <v>1795.5</v>
      </c>
      <c r="I315" t="s">
        <v>1497</v>
      </c>
      <c r="J315" t="s">
        <v>192</v>
      </c>
      <c r="K315" t="s">
        <v>715</v>
      </c>
      <c r="L315" t="s">
        <v>715</v>
      </c>
    </row>
    <row r="316" spans="1:12" x14ac:dyDescent="0.25">
      <c r="A316" s="88">
        <f t="shared" si="4"/>
        <v>315</v>
      </c>
      <c r="B316" s="89" t="s">
        <v>1725</v>
      </c>
      <c r="C316" s="9">
        <v>45912</v>
      </c>
      <c r="D316" t="s">
        <v>1726</v>
      </c>
      <c r="E316" t="s">
        <v>1727</v>
      </c>
      <c r="F316" t="s">
        <v>1728</v>
      </c>
      <c r="G316" t="s">
        <v>190</v>
      </c>
      <c r="H316" s="59">
        <v>1232</v>
      </c>
      <c r="I316" t="s">
        <v>1729</v>
      </c>
      <c r="J316" t="s">
        <v>1738</v>
      </c>
      <c r="K316" t="s">
        <v>715</v>
      </c>
      <c r="L316" t="s">
        <v>715</v>
      </c>
    </row>
    <row r="317" spans="1:12" x14ac:dyDescent="0.25">
      <c r="A317" s="93">
        <f t="shared" si="4"/>
        <v>316</v>
      </c>
      <c r="B317" s="89" t="s">
        <v>1730</v>
      </c>
      <c r="C317" s="9">
        <v>45913</v>
      </c>
      <c r="D317" t="s">
        <v>329</v>
      </c>
      <c r="E317" t="s">
        <v>330</v>
      </c>
      <c r="F317" t="s">
        <v>1010</v>
      </c>
      <c r="G317" t="s">
        <v>118</v>
      </c>
      <c r="H317" s="59">
        <v>5021.2</v>
      </c>
      <c r="I317" t="s">
        <v>1731</v>
      </c>
      <c r="J317" t="s">
        <v>192</v>
      </c>
      <c r="K317" t="s">
        <v>715</v>
      </c>
      <c r="L317" t="s">
        <v>715</v>
      </c>
    </row>
    <row r="318" spans="1:12" x14ac:dyDescent="0.25">
      <c r="A318" s="90">
        <f t="shared" si="4"/>
        <v>317</v>
      </c>
      <c r="B318" s="89" t="s">
        <v>1732</v>
      </c>
      <c r="C318" s="9">
        <v>45918</v>
      </c>
      <c r="D318" t="s">
        <v>1733</v>
      </c>
      <c r="E318" t="s">
        <v>1734</v>
      </c>
      <c r="F318" t="s">
        <v>1735</v>
      </c>
      <c r="G318" t="s">
        <v>118</v>
      </c>
      <c r="H318" s="59">
        <v>2056.75</v>
      </c>
      <c r="I318" t="s">
        <v>1736</v>
      </c>
      <c r="J318" t="s">
        <v>1766</v>
      </c>
      <c r="K318" t="s">
        <v>715</v>
      </c>
      <c r="L318" t="s">
        <v>715</v>
      </c>
    </row>
    <row r="319" spans="1:12" x14ac:dyDescent="0.25">
      <c r="A319" s="91">
        <f t="shared" si="4"/>
        <v>318</v>
      </c>
      <c r="B319" s="89" t="s">
        <v>1739</v>
      </c>
      <c r="C319" s="9">
        <v>45918</v>
      </c>
      <c r="D319" t="s">
        <v>1740</v>
      </c>
      <c r="E319" t="s">
        <v>1741</v>
      </c>
      <c r="F319" t="s">
        <v>1742</v>
      </c>
      <c r="G319" t="s">
        <v>190</v>
      </c>
      <c r="H319" s="59">
        <v>3894.05</v>
      </c>
      <c r="I319" t="s">
        <v>1743</v>
      </c>
      <c r="J319" t="s">
        <v>1744</v>
      </c>
      <c r="K319" t="s">
        <v>715</v>
      </c>
      <c r="L319" t="s">
        <v>715</v>
      </c>
    </row>
    <row r="320" spans="1:12" x14ac:dyDescent="0.25">
      <c r="A320" s="88">
        <f t="shared" si="4"/>
        <v>319</v>
      </c>
      <c r="B320" s="89" t="s">
        <v>1747</v>
      </c>
      <c r="C320" s="9">
        <v>45910</v>
      </c>
      <c r="D320" t="s">
        <v>1748</v>
      </c>
      <c r="E320" t="s">
        <v>1749</v>
      </c>
      <c r="F320" t="s">
        <v>1750</v>
      </c>
      <c r="G320" t="s">
        <v>190</v>
      </c>
      <c r="H320" s="59">
        <v>2229.15</v>
      </c>
      <c r="I320" t="s">
        <v>1751</v>
      </c>
      <c r="J320" t="s">
        <v>295</v>
      </c>
      <c r="K320" t="s">
        <v>715</v>
      </c>
      <c r="L320" t="s">
        <v>715</v>
      </c>
    </row>
    <row r="321" spans="1:12" x14ac:dyDescent="0.25">
      <c r="A321" s="88">
        <f t="shared" si="4"/>
        <v>320</v>
      </c>
      <c r="B321" s="89" t="s">
        <v>1752</v>
      </c>
      <c r="C321" s="9">
        <v>45915</v>
      </c>
      <c r="D321" t="s">
        <v>1753</v>
      </c>
      <c r="E321" t="s">
        <v>1754</v>
      </c>
      <c r="F321" t="s">
        <v>1755</v>
      </c>
      <c r="G321" t="s">
        <v>190</v>
      </c>
      <c r="H321" s="59">
        <v>1245</v>
      </c>
      <c r="I321" t="s">
        <v>1756</v>
      </c>
      <c r="J321" t="s">
        <v>223</v>
      </c>
      <c r="K321" t="s">
        <v>715</v>
      </c>
      <c r="L321" t="s">
        <v>715</v>
      </c>
    </row>
    <row r="322" spans="1:12" x14ac:dyDescent="0.25">
      <c r="A322" s="90">
        <f t="shared" si="4"/>
        <v>321</v>
      </c>
      <c r="B322" s="89" t="s">
        <v>1757</v>
      </c>
      <c r="C322" s="9">
        <v>45919</v>
      </c>
      <c r="D322" t="s">
        <v>1447</v>
      </c>
      <c r="E322" t="s">
        <v>1448</v>
      </c>
      <c r="F322" t="s">
        <v>1449</v>
      </c>
      <c r="G322" t="s">
        <v>118</v>
      </c>
      <c r="H322" s="59">
        <v>1897</v>
      </c>
      <c r="I322" t="s">
        <v>1758</v>
      </c>
      <c r="J322" t="s">
        <v>1767</v>
      </c>
      <c r="K322" t="s">
        <v>715</v>
      </c>
      <c r="L322" t="s">
        <v>715</v>
      </c>
    </row>
    <row r="323" spans="1:12" x14ac:dyDescent="0.25">
      <c r="A323" s="88">
        <f t="shared" si="4"/>
        <v>322</v>
      </c>
      <c r="B323" s="89" t="s">
        <v>1759</v>
      </c>
      <c r="C323" s="9">
        <v>45919</v>
      </c>
      <c r="D323" t="s">
        <v>1760</v>
      </c>
      <c r="E323" t="s">
        <v>1761</v>
      </c>
      <c r="F323" t="s">
        <v>1762</v>
      </c>
      <c r="G323" t="s">
        <v>190</v>
      </c>
      <c r="H323" s="59">
        <v>2410</v>
      </c>
      <c r="I323" t="s">
        <v>1763</v>
      </c>
      <c r="J323" t="s">
        <v>1768</v>
      </c>
      <c r="K323" t="s">
        <v>715</v>
      </c>
      <c r="L323" t="s">
        <v>715</v>
      </c>
    </row>
    <row r="324" spans="1:12" x14ac:dyDescent="0.25">
      <c r="A324" s="90">
        <f t="shared" ref="A324:A387" si="5">A323+1</f>
        <v>323</v>
      </c>
      <c r="B324" s="89" t="s">
        <v>1764</v>
      </c>
      <c r="C324" s="9">
        <v>45923</v>
      </c>
      <c r="D324" t="s">
        <v>620</v>
      </c>
      <c r="E324" t="s">
        <v>621</v>
      </c>
      <c r="F324" t="s">
        <v>622</v>
      </c>
      <c r="G324" t="s">
        <v>118</v>
      </c>
      <c r="H324" s="59">
        <v>1628</v>
      </c>
      <c r="I324" t="s">
        <v>1765</v>
      </c>
      <c r="J324" t="s">
        <v>734</v>
      </c>
      <c r="K324" t="s">
        <v>715</v>
      </c>
      <c r="L324" t="s">
        <v>715</v>
      </c>
    </row>
    <row r="325" spans="1:12" x14ac:dyDescent="0.25">
      <c r="A325" s="88">
        <f t="shared" si="5"/>
        <v>324</v>
      </c>
      <c r="B325" s="89" t="s">
        <v>1769</v>
      </c>
      <c r="C325" s="9">
        <v>45924</v>
      </c>
      <c r="D325" t="s">
        <v>1770</v>
      </c>
      <c r="E325" t="s">
        <v>1771</v>
      </c>
      <c r="F325" t="s">
        <v>1772</v>
      </c>
      <c r="G325" t="s">
        <v>190</v>
      </c>
      <c r="H325" s="59">
        <v>1936</v>
      </c>
      <c r="I325" t="s">
        <v>1773</v>
      </c>
      <c r="J325" t="s">
        <v>1776</v>
      </c>
      <c r="K325" t="s">
        <v>715</v>
      </c>
      <c r="L325" t="s">
        <v>715</v>
      </c>
    </row>
    <row r="326" spans="1:12" x14ac:dyDescent="0.25">
      <c r="A326" s="90">
        <f t="shared" si="5"/>
        <v>325</v>
      </c>
      <c r="B326" s="89" t="s">
        <v>1774</v>
      </c>
      <c r="C326" s="9">
        <v>45905</v>
      </c>
      <c r="D326" t="s">
        <v>904</v>
      </c>
      <c r="E326" t="s">
        <v>905</v>
      </c>
      <c r="F326" t="s">
        <v>906</v>
      </c>
      <c r="G326" t="s">
        <v>118</v>
      </c>
      <c r="H326" s="59">
        <v>1984.15</v>
      </c>
      <c r="I326" t="s">
        <v>1775</v>
      </c>
      <c r="J326" t="s">
        <v>1817</v>
      </c>
      <c r="K326" t="s">
        <v>715</v>
      </c>
      <c r="L326" t="s">
        <v>715</v>
      </c>
    </row>
    <row r="327" spans="1:12" x14ac:dyDescent="0.25">
      <c r="A327" s="90">
        <f t="shared" si="5"/>
        <v>326</v>
      </c>
      <c r="B327" s="89" t="s">
        <v>1777</v>
      </c>
      <c r="C327" s="9">
        <v>45908</v>
      </c>
      <c r="D327" t="s">
        <v>1659</v>
      </c>
      <c r="E327" t="s">
        <v>1778</v>
      </c>
      <c r="F327" t="s">
        <v>1779</v>
      </c>
      <c r="G327" t="s">
        <v>118</v>
      </c>
      <c r="H327" s="59">
        <v>492</v>
      </c>
      <c r="I327" t="s">
        <v>1780</v>
      </c>
      <c r="J327" t="s">
        <v>962</v>
      </c>
      <c r="K327" t="s">
        <v>715</v>
      </c>
      <c r="L327" t="s">
        <v>715</v>
      </c>
    </row>
    <row r="328" spans="1:12" x14ac:dyDescent="0.25">
      <c r="A328" s="93">
        <f t="shared" si="5"/>
        <v>327</v>
      </c>
      <c r="B328" s="89" t="s">
        <v>1781</v>
      </c>
      <c r="C328" s="9">
        <v>45926</v>
      </c>
      <c r="D328" t="s">
        <v>1782</v>
      </c>
      <c r="E328" t="s">
        <v>1783</v>
      </c>
      <c r="F328" t="s">
        <v>1784</v>
      </c>
      <c r="G328" t="s">
        <v>118</v>
      </c>
      <c r="H328" s="59">
        <v>9060</v>
      </c>
      <c r="I328" t="s">
        <v>464</v>
      </c>
      <c r="J328" t="s">
        <v>215</v>
      </c>
      <c r="K328" t="s">
        <v>715</v>
      </c>
      <c r="L328" t="s">
        <v>715</v>
      </c>
    </row>
    <row r="329" spans="1:12" x14ac:dyDescent="0.25">
      <c r="A329" s="88">
        <f t="shared" si="5"/>
        <v>328</v>
      </c>
      <c r="B329" s="89" t="s">
        <v>1785</v>
      </c>
      <c r="C329" s="9">
        <v>45927</v>
      </c>
      <c r="D329" t="s">
        <v>1786</v>
      </c>
      <c r="E329" t="s">
        <v>1787</v>
      </c>
      <c r="F329" t="s">
        <v>1788</v>
      </c>
      <c r="G329" t="s">
        <v>190</v>
      </c>
      <c r="H329" s="59">
        <v>1143</v>
      </c>
      <c r="I329" t="s">
        <v>1789</v>
      </c>
      <c r="J329" t="s">
        <v>215</v>
      </c>
      <c r="K329" t="s">
        <v>715</v>
      </c>
      <c r="L329" t="s">
        <v>715</v>
      </c>
    </row>
    <row r="330" spans="1:12" x14ac:dyDescent="0.25">
      <c r="A330" s="91">
        <f t="shared" si="5"/>
        <v>329</v>
      </c>
      <c r="B330" s="89" t="s">
        <v>1790</v>
      </c>
      <c r="C330" s="9">
        <v>45929</v>
      </c>
      <c r="D330" t="s">
        <v>1791</v>
      </c>
      <c r="E330" t="s">
        <v>1792</v>
      </c>
      <c r="F330" t="s">
        <v>1793</v>
      </c>
      <c r="G330" t="s">
        <v>190</v>
      </c>
      <c r="H330" s="59">
        <v>3330</v>
      </c>
      <c r="I330" t="s">
        <v>1794</v>
      </c>
      <c r="J330" t="s">
        <v>1795</v>
      </c>
      <c r="K330" t="s">
        <v>715</v>
      </c>
      <c r="L330" t="s">
        <v>715</v>
      </c>
    </row>
    <row r="331" spans="1:12" x14ac:dyDescent="0.25">
      <c r="A331" s="90">
        <f t="shared" si="5"/>
        <v>330</v>
      </c>
      <c r="B331" s="89" t="s">
        <v>1796</v>
      </c>
      <c r="C331" s="9">
        <v>45930</v>
      </c>
      <c r="D331" t="s">
        <v>1102</v>
      </c>
      <c r="E331" t="s">
        <v>1103</v>
      </c>
      <c r="F331" t="s">
        <v>1104</v>
      </c>
      <c r="G331" t="s">
        <v>118</v>
      </c>
      <c r="H331" s="59">
        <v>2495.65</v>
      </c>
      <c r="I331" t="s">
        <v>1797</v>
      </c>
      <c r="J331" t="s">
        <v>1803</v>
      </c>
      <c r="K331" t="s">
        <v>715</v>
      </c>
      <c r="L331" t="s">
        <v>715</v>
      </c>
    </row>
    <row r="332" spans="1:12" x14ac:dyDescent="0.25">
      <c r="A332" s="92">
        <f t="shared" si="5"/>
        <v>331</v>
      </c>
      <c r="B332" s="89" t="s">
        <v>1798</v>
      </c>
      <c r="C332" s="9">
        <v>45909</v>
      </c>
      <c r="D332" t="s">
        <v>1799</v>
      </c>
      <c r="E332" t="s">
        <v>1800</v>
      </c>
      <c r="F332" t="s">
        <v>1801</v>
      </c>
      <c r="G332" t="s">
        <v>190</v>
      </c>
      <c r="H332" s="59">
        <v>1800.69</v>
      </c>
      <c r="I332" t="s">
        <v>1802</v>
      </c>
      <c r="J332" t="s">
        <v>1818</v>
      </c>
      <c r="K332" t="s">
        <v>715</v>
      </c>
      <c r="L332" t="s">
        <v>715</v>
      </c>
    </row>
    <row r="333" spans="1:12" x14ac:dyDescent="0.25">
      <c r="A333" s="90">
        <f t="shared" si="5"/>
        <v>332</v>
      </c>
      <c r="B333" s="89" t="s">
        <v>1804</v>
      </c>
      <c r="C333" s="9">
        <v>45917</v>
      </c>
      <c r="D333" t="s">
        <v>750</v>
      </c>
      <c r="E333" t="s">
        <v>751</v>
      </c>
      <c r="F333" t="s">
        <v>1805</v>
      </c>
      <c r="G333" t="s">
        <v>118</v>
      </c>
      <c r="H333" s="59">
        <v>1304.3</v>
      </c>
      <c r="I333" t="s">
        <v>1806</v>
      </c>
      <c r="J333" t="s">
        <v>296</v>
      </c>
      <c r="K333" t="s">
        <v>715</v>
      </c>
      <c r="L333" t="s">
        <v>715</v>
      </c>
    </row>
    <row r="334" spans="1:12" x14ac:dyDescent="0.25">
      <c r="A334" s="88">
        <f t="shared" si="5"/>
        <v>333</v>
      </c>
      <c r="B334" s="89" t="s">
        <v>1807</v>
      </c>
      <c r="C334" s="9">
        <v>45931</v>
      </c>
      <c r="D334" t="s">
        <v>1808</v>
      </c>
      <c r="E334" t="s">
        <v>1809</v>
      </c>
      <c r="F334" t="s">
        <v>1810</v>
      </c>
      <c r="G334" t="s">
        <v>190</v>
      </c>
      <c r="H334" s="59">
        <v>968</v>
      </c>
      <c r="I334" t="s">
        <v>1811</v>
      </c>
      <c r="J334" t="s">
        <v>295</v>
      </c>
      <c r="K334" s="11" t="s">
        <v>715</v>
      </c>
    </row>
    <row r="335" spans="1:12" x14ac:dyDescent="0.25">
      <c r="A335" s="88">
        <f t="shared" si="5"/>
        <v>334</v>
      </c>
      <c r="B335" s="89" t="s">
        <v>1812</v>
      </c>
      <c r="C335" s="9">
        <v>45932</v>
      </c>
      <c r="D335" t="s">
        <v>1813</v>
      </c>
      <c r="E335" t="s">
        <v>1814</v>
      </c>
      <c r="F335" t="s">
        <v>1815</v>
      </c>
      <c r="G335" t="s">
        <v>119</v>
      </c>
      <c r="H335" s="59">
        <v>2279</v>
      </c>
      <c r="I335" t="s">
        <v>1816</v>
      </c>
      <c r="J335" t="s">
        <v>1819</v>
      </c>
      <c r="K335" s="11" t="s">
        <v>715</v>
      </c>
    </row>
    <row r="336" spans="1:12" x14ac:dyDescent="0.25">
      <c r="A336" s="93">
        <f t="shared" si="5"/>
        <v>335</v>
      </c>
      <c r="B336" s="89" t="s">
        <v>1820</v>
      </c>
      <c r="C336" s="9">
        <v>45933</v>
      </c>
      <c r="D336" t="s">
        <v>1821</v>
      </c>
      <c r="E336" t="s">
        <v>1822</v>
      </c>
      <c r="F336" t="s">
        <v>1823</v>
      </c>
      <c r="G336" t="s">
        <v>118</v>
      </c>
      <c r="H336" s="59">
        <v>5331.72</v>
      </c>
      <c r="I336" t="s">
        <v>203</v>
      </c>
      <c r="J336" t="s">
        <v>1832</v>
      </c>
      <c r="K336" s="11" t="s">
        <v>715</v>
      </c>
    </row>
    <row r="337" spans="1:11" x14ac:dyDescent="0.25">
      <c r="A337" s="90">
        <f t="shared" si="5"/>
        <v>336</v>
      </c>
      <c r="B337" s="89" t="s">
        <v>1824</v>
      </c>
      <c r="C337" s="9">
        <v>45934</v>
      </c>
      <c r="D337" t="s">
        <v>757</v>
      </c>
      <c r="E337" t="s">
        <v>758</v>
      </c>
      <c r="F337" t="s">
        <v>1825</v>
      </c>
      <c r="G337" t="s">
        <v>118</v>
      </c>
      <c r="H337" s="59">
        <v>1122</v>
      </c>
      <c r="I337" t="s">
        <v>375</v>
      </c>
      <c r="J337" t="s">
        <v>1833</v>
      </c>
      <c r="K337" s="11" t="s">
        <v>715</v>
      </c>
    </row>
    <row r="338" spans="1:11" x14ac:dyDescent="0.25">
      <c r="A338" s="90">
        <f t="shared" si="5"/>
        <v>337</v>
      </c>
      <c r="B338" s="89" t="s">
        <v>1826</v>
      </c>
      <c r="C338" s="9">
        <v>45936</v>
      </c>
      <c r="D338" t="s">
        <v>1827</v>
      </c>
      <c r="E338" t="s">
        <v>1828</v>
      </c>
      <c r="F338" s="11" t="s">
        <v>1829</v>
      </c>
      <c r="G338" s="11" t="s">
        <v>118</v>
      </c>
      <c r="H338" s="59">
        <v>950</v>
      </c>
      <c r="I338" s="11" t="s">
        <v>1830</v>
      </c>
      <c r="J338" s="11" t="s">
        <v>1831</v>
      </c>
      <c r="K338" s="11" t="s">
        <v>715</v>
      </c>
    </row>
    <row r="339" spans="1:11" x14ac:dyDescent="0.25">
      <c r="A339" s="88">
        <f t="shared" si="5"/>
        <v>338</v>
      </c>
      <c r="B339" s="89" t="s">
        <v>1834</v>
      </c>
      <c r="C339" s="9">
        <v>45923</v>
      </c>
      <c r="D339" t="s">
        <v>1835</v>
      </c>
      <c r="E339" t="s">
        <v>1836</v>
      </c>
      <c r="F339" s="11" t="s">
        <v>1837</v>
      </c>
      <c r="G339" s="11" t="s">
        <v>213</v>
      </c>
      <c r="H339" s="59">
        <v>8689.4</v>
      </c>
      <c r="I339" s="11" t="s">
        <v>1838</v>
      </c>
      <c r="J339" s="11" t="s">
        <v>223</v>
      </c>
      <c r="K339" s="11" t="s">
        <v>715</v>
      </c>
    </row>
    <row r="340" spans="1:11" x14ac:dyDescent="0.25">
      <c r="A340" s="92">
        <f t="shared" si="5"/>
        <v>339</v>
      </c>
      <c r="B340" s="89" t="s">
        <v>1839</v>
      </c>
      <c r="C340" s="9">
        <v>45924</v>
      </c>
      <c r="D340" t="s">
        <v>1840</v>
      </c>
      <c r="E340" t="s">
        <v>1841</v>
      </c>
      <c r="F340" s="11" t="s">
        <v>1842</v>
      </c>
      <c r="G340" s="11" t="s">
        <v>213</v>
      </c>
      <c r="H340" s="59">
        <v>1452.4</v>
      </c>
      <c r="I340" s="11" t="s">
        <v>1843</v>
      </c>
      <c r="J340" s="11" t="s">
        <v>1849</v>
      </c>
      <c r="K340" s="11" t="s">
        <v>715</v>
      </c>
    </row>
    <row r="341" spans="1:11" x14ac:dyDescent="0.25">
      <c r="A341" s="88">
        <f t="shared" si="5"/>
        <v>340</v>
      </c>
      <c r="B341" s="89" t="s">
        <v>1844</v>
      </c>
      <c r="C341" s="9">
        <v>45938</v>
      </c>
      <c r="D341" t="s">
        <v>1845</v>
      </c>
      <c r="E341" t="s">
        <v>1846</v>
      </c>
      <c r="F341" s="11" t="s">
        <v>1847</v>
      </c>
      <c r="G341" s="11" t="s">
        <v>190</v>
      </c>
      <c r="H341" s="59">
        <v>3336</v>
      </c>
      <c r="I341" s="11" t="s">
        <v>1848</v>
      </c>
      <c r="J341" s="11" t="s">
        <v>1850</v>
      </c>
      <c r="K341" s="11" t="s">
        <v>715</v>
      </c>
    </row>
    <row r="342" spans="1:11" x14ac:dyDescent="0.25">
      <c r="A342" s="90">
        <f t="shared" si="5"/>
        <v>341</v>
      </c>
      <c r="B342" s="89" t="s">
        <v>1851</v>
      </c>
      <c r="C342" s="9">
        <v>45939</v>
      </c>
      <c r="D342" t="s">
        <v>1852</v>
      </c>
      <c r="E342" t="s">
        <v>1853</v>
      </c>
      <c r="F342" s="11" t="s">
        <v>1854</v>
      </c>
      <c r="G342" s="11" t="s">
        <v>118</v>
      </c>
      <c r="H342" s="59">
        <v>1362</v>
      </c>
      <c r="I342" s="11" t="s">
        <v>344</v>
      </c>
      <c r="J342" s="11" t="s">
        <v>296</v>
      </c>
      <c r="K342" s="11" t="s">
        <v>715</v>
      </c>
    </row>
    <row r="343" spans="1:11" x14ac:dyDescent="0.25">
      <c r="A343" s="88">
        <f t="shared" si="5"/>
        <v>342</v>
      </c>
      <c r="B343" s="89" t="s">
        <v>1855</v>
      </c>
      <c r="C343" s="9">
        <v>45940</v>
      </c>
      <c r="D343" t="s">
        <v>1856</v>
      </c>
      <c r="E343" t="s">
        <v>1857</v>
      </c>
      <c r="F343" s="11" t="s">
        <v>1858</v>
      </c>
      <c r="G343" s="11" t="s">
        <v>119</v>
      </c>
      <c r="H343" s="59">
        <v>2146</v>
      </c>
      <c r="I343" s="11" t="s">
        <v>1859</v>
      </c>
      <c r="J343" s="11" t="s">
        <v>1870</v>
      </c>
      <c r="K343" s="11" t="s">
        <v>715</v>
      </c>
    </row>
    <row r="344" spans="1:11" x14ac:dyDescent="0.25">
      <c r="A344" s="88">
        <f t="shared" si="5"/>
        <v>343</v>
      </c>
      <c r="B344" s="89" t="s">
        <v>1860</v>
      </c>
      <c r="C344" s="9">
        <v>45941</v>
      </c>
      <c r="D344" t="s">
        <v>1861</v>
      </c>
      <c r="E344" t="s">
        <v>1862</v>
      </c>
      <c r="F344" s="11" t="s">
        <v>1863</v>
      </c>
      <c r="G344" s="11" t="s">
        <v>190</v>
      </c>
      <c r="H344" s="59">
        <v>3370</v>
      </c>
      <c r="I344" s="11" t="s">
        <v>1864</v>
      </c>
      <c r="J344" s="11" t="s">
        <v>223</v>
      </c>
      <c r="K344" s="11" t="s">
        <v>715</v>
      </c>
    </row>
    <row r="345" spans="1:11" x14ac:dyDescent="0.25">
      <c r="A345" s="90">
        <f t="shared" si="5"/>
        <v>344</v>
      </c>
      <c r="B345" s="89" t="s">
        <v>1865</v>
      </c>
      <c r="C345" s="9">
        <v>45930</v>
      </c>
      <c r="D345" t="s">
        <v>1866</v>
      </c>
      <c r="E345" t="s">
        <v>1867</v>
      </c>
      <c r="F345" s="11" t="s">
        <v>1868</v>
      </c>
      <c r="G345" s="11" t="s">
        <v>190</v>
      </c>
      <c r="H345" s="59">
        <v>2396.5</v>
      </c>
      <c r="I345" s="11" t="s">
        <v>1869</v>
      </c>
      <c r="J345" s="11" t="s">
        <v>1907</v>
      </c>
      <c r="K345" s="11" t="s">
        <v>715</v>
      </c>
    </row>
    <row r="346" spans="1:11" x14ac:dyDescent="0.25">
      <c r="A346" s="88">
        <f t="shared" si="5"/>
        <v>345</v>
      </c>
      <c r="B346" s="89" t="s">
        <v>1871</v>
      </c>
      <c r="C346" s="9">
        <v>45943</v>
      </c>
      <c r="D346" t="s">
        <v>1872</v>
      </c>
      <c r="E346" t="s">
        <v>1873</v>
      </c>
      <c r="F346" s="11" t="s">
        <v>1874</v>
      </c>
      <c r="G346" s="11" t="s">
        <v>190</v>
      </c>
      <c r="H346" s="59">
        <v>1120</v>
      </c>
      <c r="I346" s="11" t="s">
        <v>1875</v>
      </c>
      <c r="J346" s="11" t="s">
        <v>1008</v>
      </c>
      <c r="K346" s="11" t="s">
        <v>715</v>
      </c>
    </row>
    <row r="347" spans="1:11" x14ac:dyDescent="0.25">
      <c r="A347" s="90">
        <f t="shared" si="5"/>
        <v>346</v>
      </c>
      <c r="B347" s="89" t="s">
        <v>1876</v>
      </c>
      <c r="C347" s="9">
        <v>45943</v>
      </c>
      <c r="D347" t="s">
        <v>1866</v>
      </c>
      <c r="E347" t="s">
        <v>1867</v>
      </c>
      <c r="F347" s="11" t="s">
        <v>1877</v>
      </c>
      <c r="G347" s="11" t="s">
        <v>118</v>
      </c>
      <c r="H347" s="59">
        <v>1111</v>
      </c>
      <c r="I347" s="11" t="s">
        <v>1878</v>
      </c>
      <c r="J347" s="11" t="s">
        <v>734</v>
      </c>
      <c r="K347" s="11" t="s">
        <v>715</v>
      </c>
    </row>
    <row r="348" spans="1:11" x14ac:dyDescent="0.25">
      <c r="A348" s="90">
        <f t="shared" si="5"/>
        <v>347</v>
      </c>
      <c r="B348" s="89" t="s">
        <v>1879</v>
      </c>
      <c r="C348" s="9">
        <v>45904</v>
      </c>
      <c r="D348" t="s">
        <v>1880</v>
      </c>
      <c r="E348" t="s">
        <v>1881</v>
      </c>
      <c r="F348" s="11" t="s">
        <v>1882</v>
      </c>
      <c r="G348" s="11" t="s">
        <v>118</v>
      </c>
      <c r="H348" s="59">
        <v>1970</v>
      </c>
      <c r="I348" s="11" t="s">
        <v>1883</v>
      </c>
      <c r="J348" s="11" t="s">
        <v>1884</v>
      </c>
      <c r="K348" s="11" t="s">
        <v>715</v>
      </c>
    </row>
    <row r="349" spans="1:11" x14ac:dyDescent="0.25">
      <c r="A349" s="90">
        <f t="shared" si="5"/>
        <v>348</v>
      </c>
      <c r="B349" s="89" t="s">
        <v>1885</v>
      </c>
      <c r="C349" s="9">
        <v>45919</v>
      </c>
      <c r="D349" t="s">
        <v>1880</v>
      </c>
      <c r="E349" t="s">
        <v>1881</v>
      </c>
      <c r="F349" s="11" t="s">
        <v>1882</v>
      </c>
      <c r="G349" s="11" t="s">
        <v>118</v>
      </c>
      <c r="H349" s="59">
        <v>1037.45</v>
      </c>
      <c r="I349" s="11" t="s">
        <v>603</v>
      </c>
      <c r="J349" s="11" t="s">
        <v>1884</v>
      </c>
      <c r="K349" s="11" t="s">
        <v>715</v>
      </c>
    </row>
    <row r="350" spans="1:11" x14ac:dyDescent="0.25">
      <c r="A350" s="88">
        <f t="shared" si="5"/>
        <v>349</v>
      </c>
      <c r="B350" s="89" t="s">
        <v>1886</v>
      </c>
      <c r="C350" s="9">
        <v>45934</v>
      </c>
      <c r="D350" t="s">
        <v>1887</v>
      </c>
      <c r="E350" t="s">
        <v>1888</v>
      </c>
      <c r="F350" s="11" t="s">
        <v>1889</v>
      </c>
      <c r="G350" s="11" t="s">
        <v>213</v>
      </c>
      <c r="H350" s="59">
        <v>1606.55</v>
      </c>
      <c r="I350" s="11" t="s">
        <v>1890</v>
      </c>
      <c r="J350" s="11" t="s">
        <v>229</v>
      </c>
      <c r="K350" s="11" t="s">
        <v>715</v>
      </c>
    </row>
    <row r="351" spans="1:11" x14ac:dyDescent="0.25">
      <c r="A351" s="90">
        <f t="shared" si="5"/>
        <v>350</v>
      </c>
      <c r="B351" s="89" t="s">
        <v>1891</v>
      </c>
      <c r="C351" s="9">
        <v>45944</v>
      </c>
      <c r="D351" t="s">
        <v>620</v>
      </c>
      <c r="E351" t="s">
        <v>621</v>
      </c>
      <c r="F351" s="11" t="s">
        <v>622</v>
      </c>
      <c r="G351" s="11" t="s">
        <v>118</v>
      </c>
      <c r="H351" s="59">
        <v>1257</v>
      </c>
      <c r="I351" s="11" t="s">
        <v>1892</v>
      </c>
      <c r="J351" s="11" t="s">
        <v>223</v>
      </c>
      <c r="K351" s="11" t="s">
        <v>715</v>
      </c>
    </row>
    <row r="352" spans="1:11" x14ac:dyDescent="0.25">
      <c r="A352" s="90">
        <f t="shared" si="5"/>
        <v>351</v>
      </c>
      <c r="B352" s="89" t="s">
        <v>1893</v>
      </c>
      <c r="C352" s="9">
        <v>45945</v>
      </c>
      <c r="D352" t="s">
        <v>1013</v>
      </c>
      <c r="E352" t="s">
        <v>1014</v>
      </c>
      <c r="F352" s="11" t="s">
        <v>1894</v>
      </c>
      <c r="G352" s="11" t="s">
        <v>118</v>
      </c>
      <c r="H352" s="59">
        <v>4569</v>
      </c>
      <c r="I352" s="11" t="s">
        <v>1895</v>
      </c>
      <c r="J352" s="11" t="s">
        <v>388</v>
      </c>
      <c r="K352" s="11" t="s">
        <v>715</v>
      </c>
    </row>
    <row r="353" spans="1:11" x14ac:dyDescent="0.25">
      <c r="A353" s="90">
        <f t="shared" si="5"/>
        <v>352</v>
      </c>
      <c r="B353" s="89" t="s">
        <v>1896</v>
      </c>
      <c r="C353" s="9">
        <v>45945</v>
      </c>
      <c r="D353" t="s">
        <v>615</v>
      </c>
      <c r="E353" t="s">
        <v>1897</v>
      </c>
      <c r="F353" s="11" t="s">
        <v>617</v>
      </c>
      <c r="G353" s="11" t="s">
        <v>118</v>
      </c>
      <c r="H353" s="59">
        <v>3032.4</v>
      </c>
      <c r="I353" s="11" t="s">
        <v>1898</v>
      </c>
      <c r="J353" s="11" t="s">
        <v>192</v>
      </c>
      <c r="K353" s="11" t="s">
        <v>715</v>
      </c>
    </row>
    <row r="354" spans="1:11" x14ac:dyDescent="0.25">
      <c r="A354" s="93">
        <f t="shared" si="5"/>
        <v>353</v>
      </c>
      <c r="B354" s="89" t="s">
        <v>1899</v>
      </c>
      <c r="C354" s="9">
        <v>45946</v>
      </c>
      <c r="D354" t="s">
        <v>231</v>
      </c>
      <c r="E354" t="s">
        <v>232</v>
      </c>
      <c r="F354" s="11" t="s">
        <v>1900</v>
      </c>
      <c r="G354" s="11" t="s">
        <v>118</v>
      </c>
      <c r="H354" s="59">
        <v>20361.73</v>
      </c>
      <c r="I354" s="11" t="s">
        <v>1901</v>
      </c>
      <c r="J354" s="11" t="s">
        <v>223</v>
      </c>
      <c r="K354" s="11" t="s">
        <v>715</v>
      </c>
    </row>
    <row r="355" spans="1:11" x14ac:dyDescent="0.25">
      <c r="A355" s="90">
        <f t="shared" si="5"/>
        <v>354</v>
      </c>
      <c r="B355" s="89" t="s">
        <v>1902</v>
      </c>
      <c r="C355" s="9">
        <v>45947</v>
      </c>
      <c r="D355" t="s">
        <v>1552</v>
      </c>
      <c r="E355" t="s">
        <v>1553</v>
      </c>
      <c r="F355" s="11" t="s">
        <v>1554</v>
      </c>
      <c r="G355" s="11" t="s">
        <v>118</v>
      </c>
      <c r="H355" s="59">
        <v>2111</v>
      </c>
      <c r="I355" s="11" t="s">
        <v>991</v>
      </c>
      <c r="J355" s="11" t="s">
        <v>223</v>
      </c>
      <c r="K355" s="11" t="s">
        <v>715</v>
      </c>
    </row>
    <row r="356" spans="1:11" x14ac:dyDescent="0.25">
      <c r="A356" s="92">
        <f t="shared" si="5"/>
        <v>355</v>
      </c>
      <c r="B356" s="89" t="s">
        <v>1903</v>
      </c>
      <c r="C356" s="9">
        <v>45947</v>
      </c>
      <c r="D356" t="s">
        <v>1906</v>
      </c>
      <c r="E356" t="s">
        <v>1904</v>
      </c>
      <c r="F356" s="11" t="s">
        <v>1905</v>
      </c>
      <c r="G356" s="11" t="s">
        <v>190</v>
      </c>
      <c r="H356" s="59">
        <v>2473.12</v>
      </c>
      <c r="I356" s="11" t="s">
        <v>917</v>
      </c>
      <c r="J356" s="11" t="s">
        <v>815</v>
      </c>
      <c r="K356" s="11" t="s">
        <v>715</v>
      </c>
    </row>
    <row r="357" spans="1:11" x14ac:dyDescent="0.25">
      <c r="A357" s="88">
        <f t="shared" si="5"/>
        <v>356</v>
      </c>
      <c r="B357" s="89" t="s">
        <v>1908</v>
      </c>
      <c r="C357" s="9">
        <v>45951</v>
      </c>
      <c r="D357" t="s">
        <v>1909</v>
      </c>
      <c r="E357" t="s">
        <v>1910</v>
      </c>
      <c r="F357" s="11" t="s">
        <v>1911</v>
      </c>
      <c r="G357" s="11" t="s">
        <v>190</v>
      </c>
      <c r="H357" s="59">
        <v>1875</v>
      </c>
      <c r="I357" s="11" t="s">
        <v>1912</v>
      </c>
      <c r="J357" s="11" t="s">
        <v>1737</v>
      </c>
      <c r="K357" s="11" t="s">
        <v>715</v>
      </c>
    </row>
    <row r="358" spans="1:11" x14ac:dyDescent="0.25">
      <c r="A358" s="90">
        <f t="shared" si="5"/>
        <v>357</v>
      </c>
      <c r="B358" s="89" t="s">
        <v>1913</v>
      </c>
      <c r="C358" s="9">
        <v>45938</v>
      </c>
      <c r="D358" t="s">
        <v>1845</v>
      </c>
      <c r="E358" t="s">
        <v>1846</v>
      </c>
      <c r="F358" t="s">
        <v>1914</v>
      </c>
      <c r="G358" s="11" t="s">
        <v>118</v>
      </c>
      <c r="H358" s="59">
        <v>1552.96</v>
      </c>
      <c r="I358" s="11" t="s">
        <v>742</v>
      </c>
      <c r="J358" s="11" t="s">
        <v>215</v>
      </c>
      <c r="K358" s="11" t="s">
        <v>715</v>
      </c>
    </row>
    <row r="359" spans="1:11" x14ac:dyDescent="0.25">
      <c r="A359" s="90">
        <f t="shared" si="5"/>
        <v>358</v>
      </c>
      <c r="B359" s="89" t="s">
        <v>1915</v>
      </c>
      <c r="C359" s="9">
        <v>45952</v>
      </c>
      <c r="D359" t="s">
        <v>1916</v>
      </c>
      <c r="E359" t="s">
        <v>1917</v>
      </c>
      <c r="F359" s="11" t="s">
        <v>1918</v>
      </c>
      <c r="G359" s="11" t="s">
        <v>118</v>
      </c>
      <c r="H359" s="59">
        <v>1263</v>
      </c>
      <c r="I359" s="11" t="s">
        <v>1654</v>
      </c>
      <c r="J359" s="11" t="s">
        <v>1919</v>
      </c>
      <c r="K359" s="11" t="s">
        <v>715</v>
      </c>
    </row>
    <row r="360" spans="1:11" x14ac:dyDescent="0.25">
      <c r="A360" s="90">
        <f t="shared" si="5"/>
        <v>359</v>
      </c>
      <c r="B360" s="89" t="s">
        <v>1920</v>
      </c>
      <c r="C360" s="9">
        <v>45952</v>
      </c>
      <c r="D360" t="s">
        <v>1921</v>
      </c>
      <c r="E360" t="s">
        <v>1922</v>
      </c>
      <c r="F360" s="11" t="s">
        <v>1923</v>
      </c>
      <c r="G360" s="11" t="s">
        <v>118</v>
      </c>
      <c r="H360" s="59">
        <v>1454</v>
      </c>
      <c r="I360" s="11" t="s">
        <v>1924</v>
      </c>
      <c r="J360" s="11" t="s">
        <v>223</v>
      </c>
      <c r="K360" s="11" t="s">
        <v>715</v>
      </c>
    </row>
    <row r="361" spans="1:11" x14ac:dyDescent="0.25">
      <c r="A361" s="92">
        <f t="shared" si="5"/>
        <v>360</v>
      </c>
      <c r="B361" s="89" t="s">
        <v>1927</v>
      </c>
      <c r="C361" s="9">
        <v>45953</v>
      </c>
      <c r="D361" t="s">
        <v>1928</v>
      </c>
      <c r="E361" t="s">
        <v>1929</v>
      </c>
      <c r="F361" s="11" t="s">
        <v>1930</v>
      </c>
      <c r="G361" s="11" t="s">
        <v>119</v>
      </c>
      <c r="H361" s="59">
        <v>3028</v>
      </c>
      <c r="I361" s="11" t="s">
        <v>1931</v>
      </c>
      <c r="J361" s="11" t="s">
        <v>215</v>
      </c>
      <c r="K361" s="11" t="s">
        <v>715</v>
      </c>
    </row>
    <row r="362" spans="1:11" x14ac:dyDescent="0.25">
      <c r="A362" s="88">
        <f t="shared" si="5"/>
        <v>361</v>
      </c>
      <c r="B362" s="89" t="s">
        <v>1932</v>
      </c>
      <c r="C362" s="9">
        <v>45926</v>
      </c>
      <c r="D362" t="s">
        <v>1933</v>
      </c>
      <c r="E362" t="s">
        <v>1934</v>
      </c>
      <c r="F362" s="11" t="s">
        <v>1935</v>
      </c>
      <c r="G362" s="11" t="s">
        <v>118</v>
      </c>
      <c r="H362" s="59">
        <v>2337</v>
      </c>
      <c r="I362" s="11" t="s">
        <v>603</v>
      </c>
      <c r="J362" s="11" t="s">
        <v>192</v>
      </c>
      <c r="K362" s="11" t="s">
        <v>715</v>
      </c>
    </row>
    <row r="363" spans="1:11" x14ac:dyDescent="0.25">
      <c r="A363" s="90">
        <f t="shared" si="5"/>
        <v>362</v>
      </c>
      <c r="B363" s="89" t="s">
        <v>1936</v>
      </c>
      <c r="C363" s="9">
        <v>45932</v>
      </c>
      <c r="D363" t="s">
        <v>466</v>
      </c>
      <c r="E363" t="s">
        <v>467</v>
      </c>
      <c r="F363" s="11" t="s">
        <v>468</v>
      </c>
      <c r="G363" s="11" t="s">
        <v>118</v>
      </c>
      <c r="H363" s="59">
        <v>1211.8</v>
      </c>
      <c r="I363" s="11" t="s">
        <v>946</v>
      </c>
      <c r="J363" s="11" t="s">
        <v>1947</v>
      </c>
      <c r="K363" s="11" t="s">
        <v>715</v>
      </c>
    </row>
    <row r="364" spans="1:11" x14ac:dyDescent="0.25">
      <c r="A364" s="97">
        <f t="shared" si="5"/>
        <v>363</v>
      </c>
      <c r="B364" s="89" t="s">
        <v>1937</v>
      </c>
      <c r="C364" s="9">
        <v>45954</v>
      </c>
      <c r="D364" t="s">
        <v>1938</v>
      </c>
      <c r="E364" t="s">
        <v>1939</v>
      </c>
      <c r="F364" s="11" t="s">
        <v>1940</v>
      </c>
      <c r="G364" s="11" t="s">
        <v>119</v>
      </c>
      <c r="H364" s="59">
        <v>3886</v>
      </c>
      <c r="I364" s="11" t="s">
        <v>1941</v>
      </c>
      <c r="J364" s="11" t="s">
        <v>70</v>
      </c>
      <c r="K364" s="11" t="s">
        <v>715</v>
      </c>
    </row>
    <row r="365" spans="1:11" x14ac:dyDescent="0.25">
      <c r="A365" s="93">
        <f t="shared" si="5"/>
        <v>364</v>
      </c>
      <c r="B365" s="89" t="s">
        <v>1942</v>
      </c>
      <c r="C365" s="9">
        <v>45955</v>
      </c>
      <c r="D365" t="s">
        <v>329</v>
      </c>
      <c r="E365" t="s">
        <v>330</v>
      </c>
      <c r="F365" s="11" t="s">
        <v>1943</v>
      </c>
      <c r="G365" s="11" t="s">
        <v>118</v>
      </c>
      <c r="H365" s="59">
        <v>5021.2</v>
      </c>
      <c r="I365" s="11" t="s">
        <v>1146</v>
      </c>
      <c r="J365" s="11" t="s">
        <v>223</v>
      </c>
      <c r="K365" s="11" t="s">
        <v>715</v>
      </c>
    </row>
    <row r="366" spans="1:11" x14ac:dyDescent="0.25">
      <c r="A366" s="93">
        <f t="shared" si="5"/>
        <v>365</v>
      </c>
      <c r="B366" s="89" t="s">
        <v>1944</v>
      </c>
      <c r="C366" s="9">
        <v>45951</v>
      </c>
      <c r="D366" t="s">
        <v>281</v>
      </c>
      <c r="E366" t="s">
        <v>1945</v>
      </c>
      <c r="F366" s="11" t="s">
        <v>283</v>
      </c>
      <c r="G366" s="11" t="s">
        <v>118</v>
      </c>
      <c r="H366" s="59">
        <v>2174.02</v>
      </c>
      <c r="I366" s="11" t="s">
        <v>1946</v>
      </c>
      <c r="J366" s="11" t="s">
        <v>1953</v>
      </c>
      <c r="K366" s="11" t="s">
        <v>715</v>
      </c>
    </row>
    <row r="367" spans="1:11" x14ac:dyDescent="0.25">
      <c r="A367" s="88">
        <f t="shared" si="5"/>
        <v>366</v>
      </c>
      <c r="B367" s="89" t="s">
        <v>1948</v>
      </c>
      <c r="C367" s="9">
        <v>45958</v>
      </c>
      <c r="D367" t="s">
        <v>1949</v>
      </c>
      <c r="E367" t="s">
        <v>1950</v>
      </c>
      <c r="F367" s="11" t="s">
        <v>1951</v>
      </c>
      <c r="G367" s="11" t="s">
        <v>190</v>
      </c>
      <c r="H367" s="59">
        <v>1140</v>
      </c>
      <c r="I367" s="11" t="s">
        <v>1952</v>
      </c>
      <c r="J367" s="11" t="s">
        <v>295</v>
      </c>
      <c r="K367" s="11" t="s">
        <v>715</v>
      </c>
    </row>
    <row r="368" spans="1:11" x14ac:dyDescent="0.25">
      <c r="A368" s="88">
        <f t="shared" si="5"/>
        <v>367</v>
      </c>
      <c r="B368" s="89" t="s">
        <v>1954</v>
      </c>
      <c r="C368" s="9">
        <v>45958</v>
      </c>
      <c r="D368" t="s">
        <v>1955</v>
      </c>
      <c r="E368" t="s">
        <v>1956</v>
      </c>
      <c r="F368" s="11" t="s">
        <v>1957</v>
      </c>
      <c r="G368" s="11" t="s">
        <v>119</v>
      </c>
      <c r="H368" s="59">
        <v>2412</v>
      </c>
      <c r="I368" s="11" t="s">
        <v>1958</v>
      </c>
      <c r="J368" s="11" t="s">
        <v>1964</v>
      </c>
      <c r="K368" s="11" t="s">
        <v>715</v>
      </c>
    </row>
    <row r="369" spans="1:11" x14ac:dyDescent="0.25">
      <c r="A369" s="88">
        <f t="shared" si="5"/>
        <v>368</v>
      </c>
      <c r="B369" s="89" t="s">
        <v>1959</v>
      </c>
      <c r="C369" s="9">
        <v>45960</v>
      </c>
      <c r="D369" t="s">
        <v>1960</v>
      </c>
      <c r="E369" t="s">
        <v>1961</v>
      </c>
      <c r="F369" s="11" t="s">
        <v>1962</v>
      </c>
      <c r="G369" s="11" t="s">
        <v>190</v>
      </c>
      <c r="H369" s="59">
        <v>1601</v>
      </c>
      <c r="I369" s="11" t="s">
        <v>1963</v>
      </c>
      <c r="J369" s="11" t="s">
        <v>223</v>
      </c>
      <c r="K369" s="11" t="s">
        <v>715</v>
      </c>
    </row>
    <row r="370" spans="1:11" x14ac:dyDescent="0.25">
      <c r="A370" s="90">
        <f t="shared" si="5"/>
        <v>369</v>
      </c>
      <c r="B370" s="89" t="s">
        <v>1965</v>
      </c>
      <c r="C370" s="9">
        <v>45960</v>
      </c>
      <c r="D370" t="s">
        <v>1966</v>
      </c>
      <c r="E370" t="s">
        <v>1967</v>
      </c>
      <c r="F370" s="11" t="s">
        <v>1968</v>
      </c>
      <c r="G370" s="11" t="s">
        <v>118</v>
      </c>
      <c r="H370" s="59">
        <v>1122</v>
      </c>
      <c r="I370" s="11" t="s">
        <v>1969</v>
      </c>
      <c r="J370" s="11" t="s">
        <v>388</v>
      </c>
      <c r="K370" s="11" t="s">
        <v>715</v>
      </c>
    </row>
    <row r="371" spans="1:11" x14ac:dyDescent="0.25">
      <c r="A371" s="91">
        <f t="shared" si="5"/>
        <v>370</v>
      </c>
      <c r="B371" s="89" t="s">
        <v>1970</v>
      </c>
      <c r="C371" s="9">
        <v>45961</v>
      </c>
      <c r="D371" t="s">
        <v>1971</v>
      </c>
      <c r="E371" t="s">
        <v>1972</v>
      </c>
      <c r="F371" s="11" t="s">
        <v>1973</v>
      </c>
      <c r="G371" s="11" t="s">
        <v>190</v>
      </c>
      <c r="H371" s="59">
        <v>2095</v>
      </c>
      <c r="I371" s="11" t="s">
        <v>1974</v>
      </c>
      <c r="J371" s="11" t="s">
        <v>1975</v>
      </c>
      <c r="K371" s="11" t="s">
        <v>715</v>
      </c>
    </row>
    <row r="372" spans="1:11" x14ac:dyDescent="0.25">
      <c r="A372" s="90">
        <f t="shared" si="5"/>
        <v>371</v>
      </c>
      <c r="B372" s="89" t="s">
        <v>1976</v>
      </c>
      <c r="C372" s="9">
        <v>45961</v>
      </c>
      <c r="D372" t="s">
        <v>1977</v>
      </c>
      <c r="E372" t="s">
        <v>1978</v>
      </c>
      <c r="F372" s="11" t="s">
        <v>1979</v>
      </c>
      <c r="G372" s="11" t="s">
        <v>118</v>
      </c>
      <c r="H372" s="59">
        <v>3877</v>
      </c>
      <c r="I372" s="11" t="s">
        <v>1980</v>
      </c>
      <c r="J372" s="11" t="s">
        <v>223</v>
      </c>
      <c r="K372" s="11" t="s">
        <v>715</v>
      </c>
    </row>
    <row r="373" spans="1:11" x14ac:dyDescent="0.25">
      <c r="A373" s="92">
        <f t="shared" si="5"/>
        <v>372</v>
      </c>
      <c r="B373" s="89" t="s">
        <v>1981</v>
      </c>
      <c r="C373" s="9">
        <v>45964</v>
      </c>
      <c r="D373" t="s">
        <v>1982</v>
      </c>
      <c r="E373" t="s">
        <v>1983</v>
      </c>
      <c r="F373" s="11" t="s">
        <v>1984</v>
      </c>
      <c r="G373" s="11" t="s">
        <v>213</v>
      </c>
      <c r="H373" s="59">
        <v>6922.76</v>
      </c>
      <c r="I373" s="11" t="s">
        <v>1985</v>
      </c>
      <c r="J373" s="11" t="s">
        <v>470</v>
      </c>
      <c r="K373" s="11" t="s">
        <v>715</v>
      </c>
    </row>
    <row r="374" spans="1:11" x14ac:dyDescent="0.25">
      <c r="A374" s="90">
        <f t="shared" si="5"/>
        <v>373</v>
      </c>
      <c r="B374" s="89" t="s">
        <v>1986</v>
      </c>
      <c r="C374" s="9">
        <v>45966</v>
      </c>
      <c r="D374" t="s">
        <v>1987</v>
      </c>
      <c r="E374" t="s">
        <v>1988</v>
      </c>
      <c r="F374" s="11" t="s">
        <v>1989</v>
      </c>
      <c r="G374" s="11" t="s">
        <v>118</v>
      </c>
      <c r="H374" s="59">
        <v>1627</v>
      </c>
      <c r="I374" s="11" t="s">
        <v>1990</v>
      </c>
      <c r="J374" s="11" t="s">
        <v>223</v>
      </c>
      <c r="K374" s="11" t="s">
        <v>715</v>
      </c>
    </row>
    <row r="375" spans="1:11" x14ac:dyDescent="0.25">
      <c r="A375" s="93">
        <f t="shared" si="5"/>
        <v>374</v>
      </c>
      <c r="B375" s="89" t="s">
        <v>1991</v>
      </c>
      <c r="C375" s="9">
        <v>45961</v>
      </c>
      <c r="D375" t="s">
        <v>1690</v>
      </c>
      <c r="E375" t="s">
        <v>1691</v>
      </c>
      <c r="F375" s="11" t="s">
        <v>1992</v>
      </c>
      <c r="G375" s="11" t="s">
        <v>118</v>
      </c>
      <c r="H375" s="59">
        <v>8581.68</v>
      </c>
      <c r="I375" s="11" t="s">
        <v>1993</v>
      </c>
      <c r="J375" s="11" t="s">
        <v>1994</v>
      </c>
      <c r="K375" s="11" t="s">
        <v>715</v>
      </c>
    </row>
    <row r="376" spans="1:11" x14ac:dyDescent="0.25">
      <c r="A376" s="93">
        <f t="shared" si="5"/>
        <v>375</v>
      </c>
      <c r="B376" s="89" t="s">
        <v>1995</v>
      </c>
      <c r="C376" s="9">
        <v>45969</v>
      </c>
      <c r="D376" t="s">
        <v>1690</v>
      </c>
      <c r="E376" t="s">
        <v>1691</v>
      </c>
      <c r="F376" s="11" t="s">
        <v>1992</v>
      </c>
      <c r="G376" s="11" t="s">
        <v>118</v>
      </c>
      <c r="H376" s="59">
        <v>5498.39</v>
      </c>
      <c r="I376" s="11" t="s">
        <v>1996</v>
      </c>
      <c r="J376" s="11" t="s">
        <v>1994</v>
      </c>
      <c r="K376" s="11" t="s">
        <v>715</v>
      </c>
    </row>
    <row r="377" spans="1:11" x14ac:dyDescent="0.25">
      <c r="A377" s="88">
        <f t="shared" si="5"/>
        <v>376</v>
      </c>
      <c r="B377" s="89" t="s">
        <v>1997</v>
      </c>
      <c r="C377" s="9">
        <v>45965</v>
      </c>
      <c r="D377" t="s">
        <v>1998</v>
      </c>
      <c r="E377" t="s">
        <v>1999</v>
      </c>
      <c r="F377" s="11" t="s">
        <v>2000</v>
      </c>
      <c r="G377" s="11" t="s">
        <v>190</v>
      </c>
      <c r="H377" s="59">
        <v>1712</v>
      </c>
      <c r="I377" s="11" t="s">
        <v>2001</v>
      </c>
      <c r="J377" s="11" t="s">
        <v>2002</v>
      </c>
      <c r="K377" s="11" t="s">
        <v>715</v>
      </c>
    </row>
    <row r="378" spans="1:11" x14ac:dyDescent="0.25">
      <c r="A378" s="90">
        <f t="shared" si="5"/>
        <v>377</v>
      </c>
      <c r="B378" s="89" t="s">
        <v>2003</v>
      </c>
      <c r="C378" s="9">
        <v>45971</v>
      </c>
      <c r="D378" t="s">
        <v>1982</v>
      </c>
      <c r="E378" t="s">
        <v>1983</v>
      </c>
      <c r="F378" s="11" t="s">
        <v>2004</v>
      </c>
      <c r="G378" s="11" t="s">
        <v>118</v>
      </c>
      <c r="H378" s="59">
        <v>2018.7</v>
      </c>
      <c r="I378" s="11" t="s">
        <v>2005</v>
      </c>
      <c r="J378" s="11" t="s">
        <v>629</v>
      </c>
      <c r="K378" s="11" t="s">
        <v>715</v>
      </c>
    </row>
    <row r="379" spans="1:11" x14ac:dyDescent="0.25">
      <c r="A379" s="88">
        <f t="shared" si="5"/>
        <v>378</v>
      </c>
      <c r="B379" s="89" t="s">
        <v>2006</v>
      </c>
      <c r="C379" s="9">
        <v>45971</v>
      </c>
      <c r="D379" t="s">
        <v>2007</v>
      </c>
      <c r="E379" t="s">
        <v>2008</v>
      </c>
      <c r="F379" s="11" t="s">
        <v>2009</v>
      </c>
      <c r="G379" s="11" t="s">
        <v>190</v>
      </c>
      <c r="H379" s="59">
        <v>1740</v>
      </c>
      <c r="I379" s="11" t="s">
        <v>814</v>
      </c>
      <c r="J379" s="11" t="s">
        <v>2012</v>
      </c>
      <c r="K379" s="11" t="s">
        <v>715</v>
      </c>
    </row>
    <row r="380" spans="1:11" x14ac:dyDescent="0.25">
      <c r="A380" s="90">
        <f t="shared" si="5"/>
        <v>379</v>
      </c>
      <c r="B380" s="89" t="s">
        <v>2010</v>
      </c>
      <c r="C380" s="9">
        <v>45952</v>
      </c>
      <c r="D380" t="s">
        <v>1887</v>
      </c>
      <c r="E380" t="s">
        <v>2011</v>
      </c>
      <c r="F380" s="11" t="s">
        <v>1889</v>
      </c>
      <c r="G380" s="11" t="s">
        <v>118</v>
      </c>
      <c r="H380" s="59">
        <v>922.5</v>
      </c>
      <c r="I380" s="11" t="s">
        <v>742</v>
      </c>
      <c r="J380" s="11" t="s">
        <v>295</v>
      </c>
      <c r="K380" s="11" t="s">
        <v>715</v>
      </c>
    </row>
    <row r="381" spans="1:11" x14ac:dyDescent="0.25">
      <c r="A381" s="90">
        <f t="shared" si="5"/>
        <v>380</v>
      </c>
      <c r="B381" s="89" t="s">
        <v>2013</v>
      </c>
      <c r="C381" s="9">
        <v>45972</v>
      </c>
      <c r="D381" t="s">
        <v>1887</v>
      </c>
      <c r="E381" t="s">
        <v>2011</v>
      </c>
      <c r="F381" s="11" t="s">
        <v>1889</v>
      </c>
      <c r="G381" s="11" t="s">
        <v>118</v>
      </c>
      <c r="H381" s="59">
        <v>2251.8000000000002</v>
      </c>
      <c r="I381" s="11" t="s">
        <v>2014</v>
      </c>
      <c r="J381" s="11" t="s">
        <v>2018</v>
      </c>
      <c r="K381" s="11" t="s">
        <v>715</v>
      </c>
    </row>
    <row r="382" spans="1:11" x14ac:dyDescent="0.25">
      <c r="A382" s="93">
        <f t="shared" si="5"/>
        <v>381</v>
      </c>
      <c r="B382" s="89" t="s">
        <v>2015</v>
      </c>
      <c r="C382" s="9">
        <v>45959</v>
      </c>
      <c r="D382" t="s">
        <v>547</v>
      </c>
      <c r="E382" t="s">
        <v>548</v>
      </c>
      <c r="F382" s="11" t="s">
        <v>2016</v>
      </c>
      <c r="G382" s="11" t="s">
        <v>118</v>
      </c>
      <c r="H382" s="59">
        <v>7384.79</v>
      </c>
      <c r="I382" s="11" t="s">
        <v>2017</v>
      </c>
      <c r="J382" s="11" t="s">
        <v>2038</v>
      </c>
      <c r="K382" s="11" t="s">
        <v>715</v>
      </c>
    </row>
    <row r="383" spans="1:11" x14ac:dyDescent="0.25">
      <c r="A383" s="88">
        <f t="shared" si="5"/>
        <v>382</v>
      </c>
      <c r="B383" s="89" t="s">
        <v>2019</v>
      </c>
      <c r="C383" s="9">
        <v>45965</v>
      </c>
      <c r="D383" t="s">
        <v>2020</v>
      </c>
      <c r="E383" t="s">
        <v>2021</v>
      </c>
      <c r="F383" s="11" t="s">
        <v>2022</v>
      </c>
      <c r="G383" s="11" t="s">
        <v>190</v>
      </c>
      <c r="H383" s="59">
        <v>1094</v>
      </c>
      <c r="I383" s="11" t="s">
        <v>1226</v>
      </c>
      <c r="J383" s="11" t="s">
        <v>223</v>
      </c>
      <c r="K383" s="11" t="s">
        <v>715</v>
      </c>
    </row>
    <row r="384" spans="1:11" x14ac:dyDescent="0.25">
      <c r="A384" s="88">
        <f t="shared" si="5"/>
        <v>383</v>
      </c>
      <c r="B384" s="89" t="s">
        <v>2023</v>
      </c>
      <c r="C384" s="9">
        <v>45967</v>
      </c>
      <c r="D384" t="s">
        <v>2024</v>
      </c>
      <c r="E384" t="s">
        <v>2025</v>
      </c>
      <c r="F384" s="11" t="s">
        <v>2026</v>
      </c>
      <c r="G384" s="11" t="s">
        <v>190</v>
      </c>
      <c r="H384" s="59">
        <v>3119</v>
      </c>
      <c r="I384" s="11" t="s">
        <v>2027</v>
      </c>
      <c r="J384" s="11" t="s">
        <v>229</v>
      </c>
      <c r="K384" s="11" t="s">
        <v>715</v>
      </c>
    </row>
    <row r="385" spans="1:11" x14ac:dyDescent="0.25">
      <c r="A385" s="88">
        <f t="shared" si="5"/>
        <v>384</v>
      </c>
      <c r="B385" s="89" t="s">
        <v>2028</v>
      </c>
      <c r="C385" s="9">
        <v>45975</v>
      </c>
      <c r="D385" t="s">
        <v>2029</v>
      </c>
      <c r="E385" t="s">
        <v>2030</v>
      </c>
      <c r="F385" s="11" t="s">
        <v>2031</v>
      </c>
      <c r="G385" s="11" t="s">
        <v>119</v>
      </c>
      <c r="H385" s="59">
        <v>1814</v>
      </c>
      <c r="I385" s="11" t="s">
        <v>2032</v>
      </c>
      <c r="J385" s="11" t="s">
        <v>215</v>
      </c>
      <c r="K385" s="11" t="s">
        <v>715</v>
      </c>
    </row>
    <row r="386" spans="1:11" x14ac:dyDescent="0.25">
      <c r="A386" s="88">
        <f t="shared" si="5"/>
        <v>385</v>
      </c>
      <c r="B386" s="89" t="s">
        <v>2033</v>
      </c>
      <c r="C386" s="9">
        <v>45967</v>
      </c>
      <c r="D386" t="s">
        <v>2034</v>
      </c>
      <c r="E386" t="s">
        <v>2035</v>
      </c>
      <c r="F386" s="11" t="s">
        <v>2036</v>
      </c>
      <c r="G386" s="11" t="s">
        <v>190</v>
      </c>
      <c r="H386" s="59">
        <v>1749</v>
      </c>
      <c r="I386" s="11" t="s">
        <v>2037</v>
      </c>
      <c r="J386" s="11" t="s">
        <v>316</v>
      </c>
      <c r="K386" s="11" t="s">
        <v>715</v>
      </c>
    </row>
    <row r="387" spans="1:11" x14ac:dyDescent="0.25">
      <c r="A387" s="90">
        <f t="shared" si="5"/>
        <v>386</v>
      </c>
      <c r="B387" s="89" t="s">
        <v>2039</v>
      </c>
      <c r="C387" s="9">
        <v>45979</v>
      </c>
      <c r="D387" t="s">
        <v>2040</v>
      </c>
      <c r="E387" t="s">
        <v>2041</v>
      </c>
      <c r="F387" s="11" t="s">
        <v>2042</v>
      </c>
      <c r="G387" s="11" t="s">
        <v>118</v>
      </c>
      <c r="H387" s="59">
        <v>2257</v>
      </c>
      <c r="I387" s="11" t="s">
        <v>2043</v>
      </c>
      <c r="J387" s="11" t="s">
        <v>2094</v>
      </c>
      <c r="K387" s="11" t="s">
        <v>715</v>
      </c>
    </row>
    <row r="388" spans="1:11" x14ac:dyDescent="0.25">
      <c r="A388" s="90">
        <f t="shared" ref="A388:A451" si="6">A387+1</f>
        <v>387</v>
      </c>
      <c r="B388" s="89" t="s">
        <v>2044</v>
      </c>
      <c r="C388" s="9">
        <v>45979</v>
      </c>
      <c r="D388" t="s">
        <v>2045</v>
      </c>
      <c r="E388" t="s">
        <v>2046</v>
      </c>
      <c r="F388" s="11" t="s">
        <v>2047</v>
      </c>
      <c r="G388" s="11" t="s">
        <v>118</v>
      </c>
      <c r="H388" s="59">
        <v>1122</v>
      </c>
      <c r="I388" s="11" t="s">
        <v>375</v>
      </c>
      <c r="J388" s="11" t="s">
        <v>192</v>
      </c>
      <c r="K388" s="11" t="s">
        <v>715</v>
      </c>
    </row>
    <row r="389" spans="1:11" x14ac:dyDescent="0.25">
      <c r="A389" s="92">
        <f t="shared" si="6"/>
        <v>388</v>
      </c>
      <c r="B389" s="89" t="s">
        <v>2048</v>
      </c>
      <c r="C389" s="9">
        <v>45979</v>
      </c>
      <c r="D389" t="s">
        <v>2049</v>
      </c>
      <c r="E389" t="s">
        <v>2050</v>
      </c>
      <c r="F389" s="11" t="s">
        <v>2051</v>
      </c>
      <c r="G389" s="11" t="s">
        <v>190</v>
      </c>
      <c r="H389" s="59">
        <v>1382.72</v>
      </c>
      <c r="I389" s="11" t="s">
        <v>2052</v>
      </c>
      <c r="J389" s="11" t="s">
        <v>2053</v>
      </c>
      <c r="K389" s="11" t="s">
        <v>715</v>
      </c>
    </row>
    <row r="390" spans="1:11" x14ac:dyDescent="0.25">
      <c r="A390" s="93">
        <f t="shared" si="6"/>
        <v>389</v>
      </c>
      <c r="B390" s="89" t="s">
        <v>2055</v>
      </c>
      <c r="C390" s="9">
        <v>45980</v>
      </c>
      <c r="D390" t="s">
        <v>2056</v>
      </c>
      <c r="E390" t="s">
        <v>2057</v>
      </c>
      <c r="F390" s="11" t="s">
        <v>2058</v>
      </c>
      <c r="G390" s="11" t="s">
        <v>118</v>
      </c>
      <c r="H390" s="59">
        <v>3806.3</v>
      </c>
      <c r="I390" s="11" t="s">
        <v>2059</v>
      </c>
      <c r="J390" s="11" t="s">
        <v>2060</v>
      </c>
      <c r="K390" s="11" t="s">
        <v>715</v>
      </c>
    </row>
    <row r="391" spans="1:11" x14ac:dyDescent="0.25">
      <c r="A391" s="91">
        <f t="shared" si="6"/>
        <v>390</v>
      </c>
      <c r="B391" s="89" t="s">
        <v>2061</v>
      </c>
      <c r="C391" s="9">
        <v>45980</v>
      </c>
      <c r="D391" t="s">
        <v>2062</v>
      </c>
      <c r="E391" t="s">
        <v>2063</v>
      </c>
      <c r="F391" s="11" t="s">
        <v>2064</v>
      </c>
      <c r="G391" s="11" t="s">
        <v>190</v>
      </c>
      <c r="H391" s="59">
        <v>1122</v>
      </c>
      <c r="I391" s="11" t="s">
        <v>375</v>
      </c>
      <c r="J391" s="11" t="s">
        <v>2065</v>
      </c>
      <c r="K391" s="11" t="s">
        <v>715</v>
      </c>
    </row>
    <row r="392" spans="1:11" x14ac:dyDescent="0.25">
      <c r="A392" s="90">
        <f t="shared" si="6"/>
        <v>391</v>
      </c>
      <c r="B392" s="89" t="s">
        <v>2066</v>
      </c>
      <c r="C392" s="9">
        <v>45968</v>
      </c>
      <c r="D392" t="s">
        <v>2067</v>
      </c>
      <c r="E392" t="s">
        <v>2068</v>
      </c>
      <c r="F392" s="11" t="s">
        <v>2069</v>
      </c>
      <c r="G392" s="11" t="s">
        <v>118</v>
      </c>
      <c r="H392" s="59">
        <v>5286.56</v>
      </c>
      <c r="I392" s="11" t="s">
        <v>2070</v>
      </c>
      <c r="J392" s="11" t="s">
        <v>192</v>
      </c>
      <c r="K392" s="11" t="s">
        <v>715</v>
      </c>
    </row>
    <row r="393" spans="1:11" x14ac:dyDescent="0.25">
      <c r="A393" s="88">
        <f t="shared" si="6"/>
        <v>392</v>
      </c>
      <c r="B393" s="89" t="s">
        <v>2071</v>
      </c>
      <c r="C393" s="9">
        <v>45971</v>
      </c>
      <c r="D393" t="s">
        <v>2072</v>
      </c>
      <c r="E393" t="s">
        <v>2073</v>
      </c>
      <c r="F393" s="11" t="s">
        <v>2074</v>
      </c>
      <c r="G393" s="11" t="s">
        <v>190</v>
      </c>
      <c r="H393" s="59">
        <v>1667.08</v>
      </c>
      <c r="I393" s="11" t="s">
        <v>2075</v>
      </c>
      <c r="J393" s="11" t="s">
        <v>2076</v>
      </c>
      <c r="K393" s="11" t="s">
        <v>715</v>
      </c>
    </row>
    <row r="394" spans="1:11" x14ac:dyDescent="0.25">
      <c r="A394" s="88">
        <f t="shared" si="6"/>
        <v>393</v>
      </c>
      <c r="B394" s="89" t="s">
        <v>2077</v>
      </c>
      <c r="C394" s="9">
        <v>45973</v>
      </c>
      <c r="D394" t="s">
        <v>2078</v>
      </c>
      <c r="E394" t="s">
        <v>2079</v>
      </c>
      <c r="F394" s="11" t="s">
        <v>2080</v>
      </c>
      <c r="G394" s="11" t="s">
        <v>190</v>
      </c>
      <c r="H394" s="59">
        <v>1951</v>
      </c>
      <c r="I394" s="11" t="s">
        <v>2081</v>
      </c>
      <c r="J394" s="11" t="s">
        <v>2082</v>
      </c>
      <c r="K394" s="11" t="s">
        <v>715</v>
      </c>
    </row>
    <row r="395" spans="1:11" x14ac:dyDescent="0.25">
      <c r="A395" s="90">
        <f t="shared" si="6"/>
        <v>394</v>
      </c>
      <c r="B395" s="89" t="s">
        <v>2083</v>
      </c>
      <c r="C395" s="9">
        <v>45981</v>
      </c>
      <c r="D395" t="s">
        <v>2084</v>
      </c>
      <c r="E395" t="s">
        <v>2085</v>
      </c>
      <c r="F395" s="11" t="s">
        <v>2086</v>
      </c>
      <c r="G395" s="11" t="s">
        <v>118</v>
      </c>
      <c r="H395" s="59">
        <v>1550</v>
      </c>
      <c r="I395" s="11" t="s">
        <v>2087</v>
      </c>
      <c r="J395" s="11" t="s">
        <v>2088</v>
      </c>
      <c r="K395" s="11" t="s">
        <v>715</v>
      </c>
    </row>
    <row r="396" spans="1:11" x14ac:dyDescent="0.25">
      <c r="A396" s="90">
        <f t="shared" si="6"/>
        <v>395</v>
      </c>
      <c r="B396" s="89" t="s">
        <v>2089</v>
      </c>
      <c r="C396" s="9">
        <v>45968</v>
      </c>
      <c r="D396" t="s">
        <v>2090</v>
      </c>
      <c r="E396" t="s">
        <v>2091</v>
      </c>
      <c r="F396" s="11" t="s">
        <v>2092</v>
      </c>
      <c r="G396" s="11" t="s">
        <v>118</v>
      </c>
      <c r="H396" s="59">
        <v>1498</v>
      </c>
      <c r="I396" s="11" t="s">
        <v>2093</v>
      </c>
      <c r="J396" s="11" t="s">
        <v>223</v>
      </c>
      <c r="K396" s="11" t="s">
        <v>715</v>
      </c>
    </row>
    <row r="397" spans="1:11" x14ac:dyDescent="0.25">
      <c r="A397" s="93">
        <f t="shared" si="6"/>
        <v>396</v>
      </c>
      <c r="B397" s="89" t="s">
        <v>2095</v>
      </c>
      <c r="C397" s="9" t="s">
        <v>2096</v>
      </c>
      <c r="D397" t="s">
        <v>2097</v>
      </c>
      <c r="E397" t="s">
        <v>1355</v>
      </c>
      <c r="F397" s="11" t="s">
        <v>2098</v>
      </c>
      <c r="G397" s="11" t="s">
        <v>118</v>
      </c>
      <c r="H397" s="59">
        <v>33775.370000000003</v>
      </c>
      <c r="I397" s="11" t="s">
        <v>2099</v>
      </c>
      <c r="J397" s="11" t="s">
        <v>2111</v>
      </c>
      <c r="K397" s="11" t="s">
        <v>715</v>
      </c>
    </row>
    <row r="398" spans="1:11" x14ac:dyDescent="0.25">
      <c r="A398" s="91">
        <f t="shared" si="6"/>
        <v>397</v>
      </c>
      <c r="B398" s="89" t="s">
        <v>2100</v>
      </c>
      <c r="C398" s="9">
        <v>45982</v>
      </c>
      <c r="D398" t="s">
        <v>2101</v>
      </c>
      <c r="E398" t="s">
        <v>2102</v>
      </c>
      <c r="F398" s="11" t="s">
        <v>2103</v>
      </c>
      <c r="G398" s="11" t="s">
        <v>190</v>
      </c>
      <c r="H398" s="59">
        <v>1263</v>
      </c>
      <c r="I398" s="11" t="s">
        <v>2104</v>
      </c>
      <c r="J398" s="11" t="s">
        <v>2105</v>
      </c>
      <c r="K398" s="11" t="s">
        <v>715</v>
      </c>
    </row>
    <row r="399" spans="1:11" x14ac:dyDescent="0.25">
      <c r="A399" s="88">
        <f t="shared" si="6"/>
        <v>398</v>
      </c>
      <c r="B399" s="89" t="s">
        <v>2106</v>
      </c>
      <c r="C399" s="9">
        <v>45966</v>
      </c>
      <c r="D399" t="s">
        <v>2107</v>
      </c>
      <c r="E399" t="s">
        <v>2108</v>
      </c>
      <c r="F399" s="11" t="s">
        <v>2109</v>
      </c>
      <c r="G399" s="11" t="s">
        <v>190</v>
      </c>
      <c r="H399" s="59">
        <v>1426</v>
      </c>
      <c r="I399" s="11" t="s">
        <v>2110</v>
      </c>
      <c r="J399" s="11" t="s">
        <v>316</v>
      </c>
      <c r="K399" s="11" t="s">
        <v>715</v>
      </c>
    </row>
    <row r="400" spans="1:11" x14ac:dyDescent="0.25">
      <c r="A400" s="88">
        <f t="shared" si="6"/>
        <v>399</v>
      </c>
      <c r="B400" s="89" t="s">
        <v>2112</v>
      </c>
      <c r="C400" s="9">
        <v>45985</v>
      </c>
      <c r="D400" t="s">
        <v>2113</v>
      </c>
      <c r="E400" t="s">
        <v>2114</v>
      </c>
      <c r="F400" s="11" t="s">
        <v>2115</v>
      </c>
      <c r="G400" s="11" t="s">
        <v>190</v>
      </c>
      <c r="H400" s="59">
        <v>985</v>
      </c>
      <c r="I400" s="11" t="s">
        <v>936</v>
      </c>
      <c r="J400" s="11" t="s">
        <v>215</v>
      </c>
      <c r="K400" s="11" t="s">
        <v>715</v>
      </c>
    </row>
    <row r="401" spans="1:11" x14ac:dyDescent="0.25">
      <c r="A401" s="88">
        <f t="shared" si="6"/>
        <v>400</v>
      </c>
      <c r="B401" s="89" t="s">
        <v>2116</v>
      </c>
      <c r="C401" s="9">
        <v>45986</v>
      </c>
      <c r="D401" t="s">
        <v>2117</v>
      </c>
      <c r="E401" t="s">
        <v>2118</v>
      </c>
      <c r="F401" s="11" t="s">
        <v>2119</v>
      </c>
      <c r="G401" s="11" t="s">
        <v>190</v>
      </c>
      <c r="H401" s="59">
        <v>1135</v>
      </c>
      <c r="I401" s="11" t="s">
        <v>2120</v>
      </c>
      <c r="J401" s="11" t="s">
        <v>2121</v>
      </c>
      <c r="K401" s="11" t="s">
        <v>715</v>
      </c>
    </row>
    <row r="402" spans="1:11" x14ac:dyDescent="0.25">
      <c r="A402" s="92">
        <f t="shared" si="6"/>
        <v>401</v>
      </c>
      <c r="B402" s="89" t="s">
        <v>2122</v>
      </c>
      <c r="C402" s="9">
        <v>45986</v>
      </c>
      <c r="D402" t="s">
        <v>2123</v>
      </c>
      <c r="E402" t="s">
        <v>2124</v>
      </c>
      <c r="F402" s="11" t="s">
        <v>2125</v>
      </c>
      <c r="G402" s="11" t="s">
        <v>190</v>
      </c>
      <c r="H402" s="59">
        <v>2422.08</v>
      </c>
      <c r="I402" s="11" t="s">
        <v>2126</v>
      </c>
      <c r="J402" s="11" t="s">
        <v>2127</v>
      </c>
      <c r="K402" s="11" t="s">
        <v>715</v>
      </c>
    </row>
    <row r="403" spans="1:11" x14ac:dyDescent="0.25">
      <c r="A403" s="90">
        <f t="shared" si="6"/>
        <v>402</v>
      </c>
      <c r="B403" s="89" t="s">
        <v>2128</v>
      </c>
      <c r="C403" s="9">
        <v>45988</v>
      </c>
      <c r="D403" t="s">
        <v>410</v>
      </c>
      <c r="E403" t="s">
        <v>411</v>
      </c>
      <c r="F403" s="11" t="s">
        <v>2129</v>
      </c>
      <c r="G403" s="11" t="s">
        <v>118</v>
      </c>
      <c r="H403" s="59">
        <v>1646</v>
      </c>
      <c r="I403" s="11" t="s">
        <v>2130</v>
      </c>
      <c r="J403" s="11" t="s">
        <v>223</v>
      </c>
      <c r="K403" s="11" t="s">
        <v>715</v>
      </c>
    </row>
    <row r="404" spans="1:11" x14ac:dyDescent="0.25">
      <c r="A404" s="88">
        <f t="shared" si="6"/>
        <v>403</v>
      </c>
      <c r="B404" s="89" t="s">
        <v>2131</v>
      </c>
      <c r="C404" s="9">
        <v>45989</v>
      </c>
      <c r="D404" t="s">
        <v>2132</v>
      </c>
      <c r="E404" t="s">
        <v>2133</v>
      </c>
      <c r="F404" s="11" t="s">
        <v>2134</v>
      </c>
      <c r="G404" s="11" t="s">
        <v>190</v>
      </c>
      <c r="H404" s="59">
        <v>1222</v>
      </c>
      <c r="I404" s="11" t="s">
        <v>2135</v>
      </c>
      <c r="J404" s="11" t="s">
        <v>215</v>
      </c>
      <c r="K404" s="11" t="s">
        <v>715</v>
      </c>
    </row>
    <row r="405" spans="1:11" x14ac:dyDescent="0.25">
      <c r="A405" s="93">
        <f t="shared" si="6"/>
        <v>404</v>
      </c>
      <c r="B405" s="89" t="s">
        <v>2136</v>
      </c>
      <c r="C405" s="9">
        <v>45990</v>
      </c>
      <c r="D405" t="s">
        <v>2137</v>
      </c>
      <c r="E405" t="s">
        <v>2138</v>
      </c>
      <c r="F405" s="11" t="s">
        <v>2139</v>
      </c>
      <c r="G405" s="11" t="s">
        <v>118</v>
      </c>
      <c r="H405" s="59">
        <v>3776.64</v>
      </c>
      <c r="I405" s="11" t="s">
        <v>2140</v>
      </c>
      <c r="J405" s="11" t="s">
        <v>296</v>
      </c>
      <c r="K405" s="11" t="s">
        <v>715</v>
      </c>
    </row>
    <row r="406" spans="1:11" x14ac:dyDescent="0.25">
      <c r="A406" s="88">
        <f t="shared" si="6"/>
        <v>405</v>
      </c>
      <c r="B406" s="89" t="s">
        <v>2141</v>
      </c>
      <c r="C406" s="9">
        <v>45992</v>
      </c>
      <c r="D406" t="s">
        <v>2142</v>
      </c>
      <c r="E406" t="s">
        <v>2143</v>
      </c>
      <c r="F406" s="11" t="s">
        <v>2144</v>
      </c>
      <c r="G406" s="11" t="s">
        <v>119</v>
      </c>
      <c r="H406" s="59">
        <v>2152</v>
      </c>
      <c r="I406" s="11" t="s">
        <v>2145</v>
      </c>
      <c r="J406" s="11" t="s">
        <v>192</v>
      </c>
    </row>
    <row r="407" spans="1:11" x14ac:dyDescent="0.25">
      <c r="A407" s="88">
        <f t="shared" si="6"/>
        <v>406</v>
      </c>
      <c r="B407" s="89" t="s">
        <v>2146</v>
      </c>
      <c r="C407" s="9">
        <v>45992</v>
      </c>
      <c r="D407" t="s">
        <v>2147</v>
      </c>
      <c r="E407" t="s">
        <v>2148</v>
      </c>
      <c r="F407" s="11" t="s">
        <v>2149</v>
      </c>
      <c r="G407" s="11" t="s">
        <v>190</v>
      </c>
      <c r="H407" s="59">
        <v>5113.8</v>
      </c>
      <c r="I407" s="11" t="s">
        <v>2150</v>
      </c>
      <c r="J407" s="11" t="s">
        <v>2155</v>
      </c>
    </row>
    <row r="408" spans="1:11" x14ac:dyDescent="0.25">
      <c r="A408" s="90">
        <f t="shared" si="6"/>
        <v>407</v>
      </c>
      <c r="B408" s="89" t="s">
        <v>2151</v>
      </c>
      <c r="C408" s="9">
        <v>45982</v>
      </c>
      <c r="D408" t="s">
        <v>904</v>
      </c>
      <c r="E408" t="s">
        <v>905</v>
      </c>
      <c r="F408" s="11" t="s">
        <v>2152</v>
      </c>
      <c r="G408" s="11" t="s">
        <v>118</v>
      </c>
      <c r="H408" s="59">
        <v>1504.52</v>
      </c>
      <c r="I408" s="11" t="s">
        <v>2153</v>
      </c>
      <c r="J408" s="11" t="s">
        <v>2154</v>
      </c>
    </row>
    <row r="409" spans="1:11" x14ac:dyDescent="0.25">
      <c r="A409" s="90">
        <f t="shared" si="6"/>
        <v>408</v>
      </c>
      <c r="B409" s="89" t="s">
        <v>2156</v>
      </c>
      <c r="C409" s="9">
        <v>45985</v>
      </c>
      <c r="D409" t="s">
        <v>2157</v>
      </c>
      <c r="E409" t="s">
        <v>2158</v>
      </c>
      <c r="F409" s="11" t="s">
        <v>2159</v>
      </c>
      <c r="G409" s="11" t="s">
        <v>118</v>
      </c>
      <c r="H409" s="59">
        <v>4347.7</v>
      </c>
      <c r="I409" s="11" t="s">
        <v>2160</v>
      </c>
      <c r="J409" s="11" t="s">
        <v>192</v>
      </c>
    </row>
    <row r="410" spans="1:11" x14ac:dyDescent="0.25">
      <c r="A410" s="90">
        <f t="shared" si="6"/>
        <v>409</v>
      </c>
      <c r="B410" s="89" t="s">
        <v>2161</v>
      </c>
      <c r="C410" s="9">
        <v>45993</v>
      </c>
      <c r="D410" t="s">
        <v>2162</v>
      </c>
      <c r="E410" t="s">
        <v>2163</v>
      </c>
      <c r="F410" s="11" t="s">
        <v>2164</v>
      </c>
      <c r="G410" s="11" t="s">
        <v>118</v>
      </c>
      <c r="H410" s="59">
        <v>2816</v>
      </c>
      <c r="I410" s="11" t="s">
        <v>2165</v>
      </c>
      <c r="J410" s="11" t="s">
        <v>215</v>
      </c>
    </row>
    <row r="411" spans="1:11" x14ac:dyDescent="0.25">
      <c r="A411" s="90">
        <f t="shared" si="6"/>
        <v>410</v>
      </c>
      <c r="B411" s="89" t="s">
        <v>2166</v>
      </c>
      <c r="C411" s="9">
        <v>45993</v>
      </c>
      <c r="D411" t="s">
        <v>2167</v>
      </c>
      <c r="E411" t="s">
        <v>2168</v>
      </c>
      <c r="F411" s="11" t="s">
        <v>2169</v>
      </c>
      <c r="G411" s="11" t="s">
        <v>118</v>
      </c>
      <c r="H411" s="59">
        <v>1423</v>
      </c>
      <c r="I411" s="11" t="s">
        <v>1698</v>
      </c>
      <c r="J411" s="11" t="s">
        <v>192</v>
      </c>
    </row>
    <row r="412" spans="1:11" x14ac:dyDescent="0.25">
      <c r="A412" s="90">
        <f t="shared" si="6"/>
        <v>411</v>
      </c>
      <c r="B412" s="89" t="s">
        <v>2170</v>
      </c>
      <c r="C412" s="9">
        <v>45994</v>
      </c>
      <c r="D412" t="s">
        <v>2171</v>
      </c>
      <c r="E412" t="s">
        <v>2172</v>
      </c>
      <c r="F412" s="11" t="s">
        <v>2173</v>
      </c>
      <c r="G412" s="11" t="s">
        <v>118</v>
      </c>
      <c r="H412" s="59">
        <v>1835</v>
      </c>
      <c r="I412" s="11" t="s">
        <v>2174</v>
      </c>
      <c r="J412" s="11" t="s">
        <v>229</v>
      </c>
    </row>
    <row r="413" spans="1:11" x14ac:dyDescent="0.25">
      <c r="A413" s="90">
        <f t="shared" si="6"/>
        <v>412</v>
      </c>
      <c r="B413" s="98" t="s">
        <v>2175</v>
      </c>
      <c r="C413" s="9">
        <v>45994</v>
      </c>
      <c r="D413" t="s">
        <v>2176</v>
      </c>
      <c r="E413" t="s">
        <v>2177</v>
      </c>
      <c r="F413" s="11" t="s">
        <v>2178</v>
      </c>
      <c r="G413" s="11" t="s">
        <v>118</v>
      </c>
      <c r="H413" s="59">
        <v>4702.5</v>
      </c>
      <c r="I413" s="11" t="s">
        <v>2179</v>
      </c>
      <c r="J413" s="11" t="s">
        <v>2182</v>
      </c>
    </row>
    <row r="414" spans="1:11" x14ac:dyDescent="0.25">
      <c r="A414" s="90">
        <f t="shared" si="6"/>
        <v>413</v>
      </c>
      <c r="B414" s="89" t="s">
        <v>2180</v>
      </c>
      <c r="C414" s="9">
        <v>45962</v>
      </c>
      <c r="D414" t="s">
        <v>750</v>
      </c>
      <c r="E414" t="s">
        <v>751</v>
      </c>
      <c r="F414" s="11" t="s">
        <v>2181</v>
      </c>
      <c r="G414" s="11" t="s">
        <v>118</v>
      </c>
      <c r="H414" s="59">
        <v>1304.3</v>
      </c>
      <c r="I414" s="11" t="s">
        <v>1806</v>
      </c>
      <c r="J414" s="11" t="s">
        <v>2200</v>
      </c>
    </row>
    <row r="415" spans="1:11" x14ac:dyDescent="0.25">
      <c r="A415" s="90">
        <f t="shared" si="6"/>
        <v>414</v>
      </c>
      <c r="B415" s="89" t="s">
        <v>2183</v>
      </c>
      <c r="C415" s="9">
        <v>45987</v>
      </c>
      <c r="D415" t="s">
        <v>275</v>
      </c>
      <c r="E415" t="s">
        <v>276</v>
      </c>
      <c r="F415" s="11" t="s">
        <v>2184</v>
      </c>
      <c r="G415" s="11" t="s">
        <v>118</v>
      </c>
      <c r="H415" s="59">
        <v>1102.5999999999999</v>
      </c>
      <c r="I415" s="11" t="s">
        <v>2185</v>
      </c>
      <c r="J415" s="11" t="s">
        <v>192</v>
      </c>
    </row>
    <row r="416" spans="1:11" x14ac:dyDescent="0.25">
      <c r="A416" s="90">
        <f t="shared" si="6"/>
        <v>415</v>
      </c>
      <c r="B416" s="89" t="s">
        <v>2186</v>
      </c>
      <c r="C416" s="9">
        <v>45990</v>
      </c>
      <c r="D416" t="s">
        <v>2187</v>
      </c>
      <c r="E416" t="s">
        <v>2188</v>
      </c>
      <c r="F416" s="11" t="s">
        <v>2189</v>
      </c>
      <c r="G416" s="11" t="s">
        <v>118</v>
      </c>
      <c r="H416" s="59">
        <v>4413.7</v>
      </c>
      <c r="I416" s="11" t="s">
        <v>2190</v>
      </c>
      <c r="J416" s="11" t="s">
        <v>229</v>
      </c>
    </row>
    <row r="417" spans="1:10" x14ac:dyDescent="0.25">
      <c r="A417" s="90">
        <f t="shared" si="6"/>
        <v>416</v>
      </c>
      <c r="B417" s="89" t="s">
        <v>2191</v>
      </c>
      <c r="C417" s="9">
        <v>45995</v>
      </c>
      <c r="D417" t="s">
        <v>2192</v>
      </c>
      <c r="E417" t="s">
        <v>2193</v>
      </c>
      <c r="F417" s="11" t="s">
        <v>2194</v>
      </c>
      <c r="G417" s="11" t="s">
        <v>118</v>
      </c>
      <c r="H417" s="59">
        <v>1625</v>
      </c>
      <c r="I417" s="11" t="s">
        <v>2195</v>
      </c>
      <c r="J417" s="11" t="s">
        <v>2201</v>
      </c>
    </row>
    <row r="418" spans="1:10" x14ac:dyDescent="0.25">
      <c r="A418" s="90">
        <f t="shared" si="6"/>
        <v>417</v>
      </c>
      <c r="B418" s="89" t="s">
        <v>2196</v>
      </c>
      <c r="C418" s="9">
        <v>45996</v>
      </c>
      <c r="D418" t="s">
        <v>2197</v>
      </c>
      <c r="E418" t="s">
        <v>2198</v>
      </c>
      <c r="F418" s="11" t="s">
        <v>2199</v>
      </c>
      <c r="G418" s="11" t="s">
        <v>118</v>
      </c>
      <c r="H418" s="59">
        <v>1600</v>
      </c>
      <c r="I418" s="11" t="s">
        <v>464</v>
      </c>
      <c r="J418" s="11" t="s">
        <v>223</v>
      </c>
    </row>
    <row r="419" spans="1:10" x14ac:dyDescent="0.25">
      <c r="A419" s="90">
        <f t="shared" si="6"/>
        <v>418</v>
      </c>
      <c r="B419" s="89" t="s">
        <v>2202</v>
      </c>
      <c r="C419" s="9">
        <v>45999</v>
      </c>
      <c r="D419" t="s">
        <v>2203</v>
      </c>
      <c r="E419" t="s">
        <v>2204</v>
      </c>
      <c r="F419" s="11" t="s">
        <v>2205</v>
      </c>
      <c r="G419" s="11" t="s">
        <v>118</v>
      </c>
      <c r="H419" s="59">
        <v>1083</v>
      </c>
      <c r="I419" s="11" t="s">
        <v>1217</v>
      </c>
      <c r="J419" s="11" t="s">
        <v>2206</v>
      </c>
    </row>
    <row r="420" spans="1:10" x14ac:dyDescent="0.25">
      <c r="A420" s="88">
        <f t="shared" si="6"/>
        <v>419</v>
      </c>
      <c r="B420" s="89" t="s">
        <v>2207</v>
      </c>
      <c r="C420" s="9">
        <v>46000</v>
      </c>
      <c r="D420" t="s">
        <v>2208</v>
      </c>
      <c r="E420" t="s">
        <v>2209</v>
      </c>
      <c r="F420" s="11" t="s">
        <v>2210</v>
      </c>
      <c r="G420" s="11" t="s">
        <v>190</v>
      </c>
      <c r="H420" s="59">
        <v>4977.2</v>
      </c>
      <c r="I420" s="11" t="s">
        <v>2211</v>
      </c>
      <c r="J420" s="11" t="s">
        <v>192</v>
      </c>
    </row>
    <row r="421" spans="1:10" x14ac:dyDescent="0.25">
      <c r="A421" s="88">
        <f t="shared" si="6"/>
        <v>420</v>
      </c>
      <c r="B421" s="89" t="s">
        <v>2212</v>
      </c>
      <c r="C421" s="9">
        <v>46000</v>
      </c>
      <c r="D421" t="s">
        <v>2213</v>
      </c>
      <c r="E421" t="s">
        <v>2214</v>
      </c>
      <c r="F421" s="11" t="s">
        <v>2215</v>
      </c>
      <c r="G421" s="11" t="s">
        <v>119</v>
      </c>
      <c r="H421" s="59">
        <v>985</v>
      </c>
      <c r="I421" s="11" t="s">
        <v>936</v>
      </c>
      <c r="J421" s="11" t="s">
        <v>2216</v>
      </c>
    </row>
    <row r="422" spans="1:10" x14ac:dyDescent="0.25">
      <c r="A422" s="90">
        <f t="shared" si="6"/>
        <v>421</v>
      </c>
      <c r="B422" s="89" t="s">
        <v>2217</v>
      </c>
      <c r="C422" s="9">
        <v>45982</v>
      </c>
      <c r="D422" t="s">
        <v>2218</v>
      </c>
      <c r="E422" t="s">
        <v>2219</v>
      </c>
      <c r="F422" s="11" t="s">
        <v>2220</v>
      </c>
      <c r="G422" s="11" t="s">
        <v>118</v>
      </c>
      <c r="H422" s="59">
        <v>1908.2</v>
      </c>
      <c r="I422" s="11" t="s">
        <v>2221</v>
      </c>
      <c r="J422" s="11" t="s">
        <v>322</v>
      </c>
    </row>
    <row r="423" spans="1:10" x14ac:dyDescent="0.25">
      <c r="A423" s="88">
        <f t="shared" si="6"/>
        <v>422</v>
      </c>
      <c r="B423" s="89" t="s">
        <v>2222</v>
      </c>
      <c r="C423" s="9">
        <v>46001</v>
      </c>
      <c r="D423" t="s">
        <v>2223</v>
      </c>
      <c r="E423" t="s">
        <v>2225</v>
      </c>
      <c r="F423" s="11" t="s">
        <v>2224</v>
      </c>
      <c r="G423" s="11" t="s">
        <v>190</v>
      </c>
      <c r="H423" s="59">
        <v>5692.08</v>
      </c>
      <c r="I423" s="11" t="s">
        <v>2226</v>
      </c>
      <c r="J423" s="11" t="s">
        <v>322</v>
      </c>
    </row>
    <row r="424" spans="1:10" x14ac:dyDescent="0.25">
      <c r="A424" s="90">
        <f t="shared" si="6"/>
        <v>423</v>
      </c>
      <c r="B424" s="89" t="s">
        <v>2229</v>
      </c>
      <c r="C424" s="9">
        <v>45992</v>
      </c>
      <c r="D424" t="s">
        <v>2142</v>
      </c>
      <c r="E424" t="s">
        <v>2143</v>
      </c>
      <c r="F424" s="11" t="s">
        <v>2144</v>
      </c>
      <c r="G424" s="11" t="s">
        <v>118</v>
      </c>
      <c r="H424" s="59">
        <v>883.2</v>
      </c>
      <c r="I424" s="11" t="s">
        <v>2230</v>
      </c>
      <c r="J424" s="11" t="s">
        <v>215</v>
      </c>
    </row>
    <row r="425" spans="1:10" x14ac:dyDescent="0.25">
      <c r="A425" s="88">
        <f t="shared" si="6"/>
        <v>424</v>
      </c>
      <c r="B425" s="89" t="s">
        <v>2231</v>
      </c>
      <c r="C425" s="9">
        <v>45993</v>
      </c>
      <c r="D425" t="s">
        <v>2232</v>
      </c>
      <c r="E425" t="s">
        <v>2233</v>
      </c>
      <c r="F425" s="11" t="s">
        <v>2234</v>
      </c>
      <c r="G425" s="11" t="s">
        <v>119</v>
      </c>
      <c r="H425" s="59">
        <v>1014.6</v>
      </c>
      <c r="I425" s="11" t="s">
        <v>608</v>
      </c>
      <c r="J425" s="11" t="s">
        <v>192</v>
      </c>
    </row>
    <row r="426" spans="1:10" x14ac:dyDescent="0.25">
      <c r="A426" s="90">
        <f t="shared" si="6"/>
        <v>425</v>
      </c>
      <c r="B426" s="89" t="s">
        <v>2235</v>
      </c>
      <c r="C426" s="9">
        <v>46003</v>
      </c>
      <c r="D426" t="s">
        <v>377</v>
      </c>
      <c r="E426" t="s">
        <v>378</v>
      </c>
      <c r="F426" s="11" t="s">
        <v>379</v>
      </c>
      <c r="G426" s="11" t="s">
        <v>118</v>
      </c>
      <c r="H426" s="59">
        <v>5872.48</v>
      </c>
      <c r="I426" s="11" t="s">
        <v>2236</v>
      </c>
      <c r="J426" s="11" t="s">
        <v>920</v>
      </c>
    </row>
    <row r="427" spans="1:10" x14ac:dyDescent="0.25">
      <c r="A427" s="90">
        <f t="shared" si="6"/>
        <v>426</v>
      </c>
      <c r="B427" s="89" t="s">
        <v>2237</v>
      </c>
      <c r="C427" s="9">
        <v>45995</v>
      </c>
      <c r="D427" t="s">
        <v>564</v>
      </c>
      <c r="E427" t="s">
        <v>565</v>
      </c>
      <c r="F427" s="11" t="s">
        <v>2238</v>
      </c>
      <c r="G427" s="11" t="s">
        <v>118</v>
      </c>
      <c r="H427" s="59">
        <v>2804.96</v>
      </c>
      <c r="I427" s="11" t="s">
        <v>2239</v>
      </c>
      <c r="J427" s="11" t="s">
        <v>223</v>
      </c>
    </row>
    <row r="428" spans="1:10" x14ac:dyDescent="0.25">
      <c r="A428" s="88">
        <f t="shared" si="6"/>
        <v>427</v>
      </c>
      <c r="B428" s="89" t="s">
        <v>2240</v>
      </c>
      <c r="C428" s="9">
        <v>46007</v>
      </c>
      <c r="D428" t="s">
        <v>2241</v>
      </c>
      <c r="E428" t="s">
        <v>2242</v>
      </c>
      <c r="F428" s="11" t="s">
        <v>2243</v>
      </c>
      <c r="G428" s="11" t="s">
        <v>190</v>
      </c>
      <c r="H428" s="59">
        <v>1122</v>
      </c>
      <c r="I428" s="11" t="s">
        <v>375</v>
      </c>
      <c r="J428" s="11" t="s">
        <v>223</v>
      </c>
    </row>
    <row r="429" spans="1:10" x14ac:dyDescent="0.25">
      <c r="A429" s="90">
        <f t="shared" si="6"/>
        <v>428</v>
      </c>
      <c r="B429" s="89" t="s">
        <v>2244</v>
      </c>
      <c r="C429" s="9">
        <v>46007</v>
      </c>
      <c r="D429" t="s">
        <v>1722</v>
      </c>
      <c r="E429" t="s">
        <v>1723</v>
      </c>
      <c r="F429" s="11" t="s">
        <v>1724</v>
      </c>
      <c r="G429" s="11" t="s">
        <v>118</v>
      </c>
      <c r="H429" s="59">
        <v>2021.6</v>
      </c>
      <c r="I429" s="11" t="s">
        <v>1269</v>
      </c>
      <c r="J429" s="11" t="s">
        <v>192</v>
      </c>
    </row>
    <row r="430" spans="1:10" x14ac:dyDescent="0.25">
      <c r="A430" s="88">
        <f t="shared" si="6"/>
        <v>429</v>
      </c>
      <c r="B430" s="89" t="s">
        <v>2245</v>
      </c>
      <c r="C430" s="9">
        <v>46008</v>
      </c>
      <c r="D430" t="s">
        <v>2246</v>
      </c>
      <c r="E430" t="s">
        <v>2247</v>
      </c>
      <c r="F430" s="11" t="s">
        <v>2248</v>
      </c>
      <c r="G430" s="11" t="s">
        <v>190</v>
      </c>
      <c r="H430" s="59">
        <v>1120</v>
      </c>
      <c r="I430" s="11" t="s">
        <v>2249</v>
      </c>
      <c r="J430" s="11" t="s">
        <v>2076</v>
      </c>
    </row>
    <row r="431" spans="1:10" x14ac:dyDescent="0.25">
      <c r="A431" s="90">
        <f t="shared" si="6"/>
        <v>430</v>
      </c>
      <c r="B431" s="89" t="s">
        <v>2250</v>
      </c>
      <c r="C431" s="9">
        <v>46008</v>
      </c>
      <c r="D431" t="s">
        <v>2251</v>
      </c>
      <c r="E431" t="s">
        <v>2252</v>
      </c>
      <c r="F431" s="11" t="s">
        <v>2253</v>
      </c>
      <c r="G431" s="11" t="s">
        <v>118</v>
      </c>
      <c r="H431" s="59">
        <v>1064</v>
      </c>
      <c r="I431" s="11" t="s">
        <v>2254</v>
      </c>
      <c r="J431" s="11" t="s">
        <v>215</v>
      </c>
    </row>
    <row r="432" spans="1:10" x14ac:dyDescent="0.25">
      <c r="A432" s="90">
        <f t="shared" si="6"/>
        <v>431</v>
      </c>
      <c r="B432" s="89" t="s">
        <v>2255</v>
      </c>
      <c r="C432" s="9">
        <v>45996</v>
      </c>
      <c r="D432" t="s">
        <v>2256</v>
      </c>
      <c r="E432" t="s">
        <v>2257</v>
      </c>
      <c r="F432" s="11" t="s">
        <v>2258</v>
      </c>
      <c r="G432" s="11" t="s">
        <v>118</v>
      </c>
      <c r="H432" s="59">
        <v>3599.93</v>
      </c>
      <c r="I432" s="11" t="s">
        <v>2259</v>
      </c>
      <c r="J432" s="11" t="s">
        <v>2260</v>
      </c>
    </row>
    <row r="433" spans="1:10" x14ac:dyDescent="0.25">
      <c r="A433" s="90">
        <f t="shared" si="6"/>
        <v>432</v>
      </c>
      <c r="B433" s="89" t="s">
        <v>2261</v>
      </c>
      <c r="C433" s="9">
        <v>46009</v>
      </c>
      <c r="D433" t="s">
        <v>2262</v>
      </c>
      <c r="E433" t="s">
        <v>2263</v>
      </c>
      <c r="F433" s="11" t="s">
        <v>2264</v>
      </c>
      <c r="G433" s="11" t="s">
        <v>118</v>
      </c>
      <c r="H433" s="59">
        <v>1608</v>
      </c>
      <c r="I433" s="11" t="s">
        <v>2265</v>
      </c>
      <c r="J433" s="11" t="s">
        <v>316</v>
      </c>
    </row>
    <row r="434" spans="1:10" x14ac:dyDescent="0.25">
      <c r="A434" s="90">
        <f t="shared" si="6"/>
        <v>433</v>
      </c>
      <c r="B434" s="89" t="s">
        <v>2266</v>
      </c>
      <c r="C434" s="9">
        <v>46009</v>
      </c>
      <c r="D434" t="s">
        <v>2267</v>
      </c>
      <c r="G434" s="11" t="s">
        <v>118</v>
      </c>
      <c r="H434" s="59">
        <v>1500</v>
      </c>
      <c r="I434" s="11" t="s">
        <v>2268</v>
      </c>
      <c r="J434" s="11" t="s">
        <v>215</v>
      </c>
    </row>
    <row r="435" spans="1:10" x14ac:dyDescent="0.25">
      <c r="A435" s="92">
        <f t="shared" si="6"/>
        <v>434</v>
      </c>
      <c r="B435" s="89" t="s">
        <v>2269</v>
      </c>
      <c r="C435" s="9">
        <v>45999</v>
      </c>
      <c r="D435" t="s">
        <v>2270</v>
      </c>
      <c r="E435" t="s">
        <v>2271</v>
      </c>
      <c r="F435" t="s">
        <v>2272</v>
      </c>
      <c r="G435" s="11" t="s">
        <v>119</v>
      </c>
      <c r="H435" s="59">
        <v>3694.6</v>
      </c>
      <c r="I435" s="11" t="s">
        <v>2273</v>
      </c>
      <c r="J435" s="11" t="s">
        <v>2274</v>
      </c>
    </row>
    <row r="436" spans="1:10" x14ac:dyDescent="0.25">
      <c r="A436" s="90">
        <f t="shared" si="6"/>
        <v>435</v>
      </c>
      <c r="B436" s="89" t="s">
        <v>2275</v>
      </c>
      <c r="C436" s="9">
        <v>45999</v>
      </c>
      <c r="D436" t="s">
        <v>2276</v>
      </c>
      <c r="E436" t="s">
        <v>2277</v>
      </c>
      <c r="F436" t="s">
        <v>2278</v>
      </c>
      <c r="G436" s="11" t="s">
        <v>118</v>
      </c>
      <c r="H436" s="59">
        <v>5719.51</v>
      </c>
      <c r="I436" s="11" t="s">
        <v>2279</v>
      </c>
      <c r="J436" s="11" t="s">
        <v>2294</v>
      </c>
    </row>
    <row r="437" spans="1:10" x14ac:dyDescent="0.25">
      <c r="A437" s="91">
        <f t="shared" si="6"/>
        <v>436</v>
      </c>
      <c r="B437" s="89" t="s">
        <v>2280</v>
      </c>
      <c r="C437" s="9">
        <v>46002</v>
      </c>
      <c r="D437" t="s">
        <v>2281</v>
      </c>
      <c r="E437" t="s">
        <v>2282</v>
      </c>
      <c r="F437" t="s">
        <v>2283</v>
      </c>
      <c r="G437" s="11" t="s">
        <v>190</v>
      </c>
      <c r="H437" s="59">
        <v>1005</v>
      </c>
      <c r="I437" s="11" t="s">
        <v>742</v>
      </c>
      <c r="J437" s="11" t="s">
        <v>2284</v>
      </c>
    </row>
    <row r="438" spans="1:10" x14ac:dyDescent="0.25">
      <c r="A438" s="90">
        <f t="shared" si="6"/>
        <v>437</v>
      </c>
      <c r="B438" s="89" t="s">
        <v>2285</v>
      </c>
      <c r="C438" s="9">
        <v>46010</v>
      </c>
      <c r="D438" t="s">
        <v>2287</v>
      </c>
      <c r="E438" t="s">
        <v>2288</v>
      </c>
      <c r="F438" t="s">
        <v>2286</v>
      </c>
      <c r="G438" s="11" t="s">
        <v>118</v>
      </c>
      <c r="H438" s="59">
        <v>8382.9599999999991</v>
      </c>
      <c r="I438" s="11" t="s">
        <v>2289</v>
      </c>
      <c r="J438" s="11" t="s">
        <v>2303</v>
      </c>
    </row>
    <row r="439" spans="1:10" x14ac:dyDescent="0.25">
      <c r="A439" s="90">
        <f t="shared" si="6"/>
        <v>438</v>
      </c>
      <c r="B439" s="89" t="s">
        <v>2290</v>
      </c>
      <c r="C439" s="9">
        <v>46011</v>
      </c>
      <c r="D439" t="s">
        <v>2291</v>
      </c>
      <c r="E439" t="s">
        <v>2292</v>
      </c>
      <c r="F439" t="s">
        <v>2293</v>
      </c>
      <c r="G439" s="11" t="s">
        <v>118</v>
      </c>
      <c r="H439" s="59">
        <v>2826</v>
      </c>
      <c r="I439" s="11" t="s">
        <v>1550</v>
      </c>
      <c r="J439" s="11" t="s">
        <v>223</v>
      </c>
    </row>
    <row r="440" spans="1:10" x14ac:dyDescent="0.25">
      <c r="A440" s="90">
        <f t="shared" si="6"/>
        <v>439</v>
      </c>
      <c r="B440" s="89" t="s">
        <v>2295</v>
      </c>
      <c r="C440" s="9">
        <v>46013</v>
      </c>
      <c r="D440" t="s">
        <v>1928</v>
      </c>
      <c r="E440" t="s">
        <v>1929</v>
      </c>
      <c r="F440" t="s">
        <v>1930</v>
      </c>
      <c r="G440" s="11" t="s">
        <v>118</v>
      </c>
      <c r="H440" s="59">
        <v>2912.76</v>
      </c>
      <c r="I440" s="11" t="s">
        <v>2296</v>
      </c>
      <c r="J440" s="11" t="s">
        <v>192</v>
      </c>
    </row>
    <row r="441" spans="1:10" x14ac:dyDescent="0.25">
      <c r="A441" s="88">
        <f t="shared" si="6"/>
        <v>440</v>
      </c>
      <c r="B441" s="89" t="s">
        <v>2297</v>
      </c>
      <c r="C441" s="9">
        <v>46013</v>
      </c>
      <c r="D441" t="s">
        <v>2298</v>
      </c>
      <c r="E441" t="s">
        <v>2299</v>
      </c>
      <c r="F441" t="s">
        <v>2300</v>
      </c>
      <c r="G441" s="11" t="s">
        <v>119</v>
      </c>
      <c r="H441" s="59">
        <v>1608</v>
      </c>
      <c r="I441" s="11" t="s">
        <v>2265</v>
      </c>
      <c r="J441" s="11" t="s">
        <v>192</v>
      </c>
    </row>
    <row r="442" spans="1:10" x14ac:dyDescent="0.25">
      <c r="A442" s="90">
        <f t="shared" si="6"/>
        <v>441</v>
      </c>
      <c r="B442" s="89" t="s">
        <v>2301</v>
      </c>
      <c r="C442" s="9">
        <v>46014</v>
      </c>
      <c r="D442" t="s">
        <v>1966</v>
      </c>
      <c r="E442" t="s">
        <v>1967</v>
      </c>
      <c r="F442" t="s">
        <v>2302</v>
      </c>
      <c r="G442" s="11" t="s">
        <v>118</v>
      </c>
      <c r="H442" s="59">
        <v>1064</v>
      </c>
      <c r="I442" s="11" t="s">
        <v>2254</v>
      </c>
      <c r="J442" s="11" t="s">
        <v>223</v>
      </c>
    </row>
    <row r="443" spans="1:10" x14ac:dyDescent="0.25">
      <c r="A443" s="90">
        <f t="shared" si="6"/>
        <v>442</v>
      </c>
      <c r="B443" s="89" t="s">
        <v>2304</v>
      </c>
      <c r="C443" s="9">
        <v>46014</v>
      </c>
      <c r="D443" t="s">
        <v>2305</v>
      </c>
      <c r="E443" t="s">
        <v>2306</v>
      </c>
      <c r="F443" t="s">
        <v>2307</v>
      </c>
      <c r="G443" s="11" t="s">
        <v>118</v>
      </c>
      <c r="H443" s="59">
        <v>2424.4</v>
      </c>
      <c r="I443" s="11" t="s">
        <v>2308</v>
      </c>
      <c r="J443" s="11" t="s">
        <v>734</v>
      </c>
    </row>
    <row r="444" spans="1:10" x14ac:dyDescent="0.25">
      <c r="A444" s="88">
        <f t="shared" si="6"/>
        <v>443</v>
      </c>
      <c r="B444" s="89" t="s">
        <v>2309</v>
      </c>
      <c r="C444" s="9">
        <v>46017</v>
      </c>
      <c r="D444" t="s">
        <v>2310</v>
      </c>
      <c r="E444" t="s">
        <v>2311</v>
      </c>
      <c r="F444" t="s">
        <v>2312</v>
      </c>
      <c r="G444" s="11" t="s">
        <v>190</v>
      </c>
      <c r="H444" s="59">
        <v>1311</v>
      </c>
      <c r="I444" s="11" t="s">
        <v>2313</v>
      </c>
      <c r="J444" s="11" t="s">
        <v>223</v>
      </c>
    </row>
    <row r="445" spans="1:10" x14ac:dyDescent="0.25">
      <c r="A445" s="88">
        <f t="shared" si="6"/>
        <v>444</v>
      </c>
      <c r="B445" s="89" t="s">
        <v>2314</v>
      </c>
      <c r="C445" s="9">
        <v>46018</v>
      </c>
      <c r="D445" t="s">
        <v>2315</v>
      </c>
      <c r="E445" t="s">
        <v>2316</v>
      </c>
      <c r="F445" t="s">
        <v>2317</v>
      </c>
      <c r="G445" s="11" t="s">
        <v>190</v>
      </c>
      <c r="H445" s="59">
        <v>1083</v>
      </c>
      <c r="I445" s="11" t="s">
        <v>244</v>
      </c>
      <c r="J445" s="11" t="s">
        <v>316</v>
      </c>
    </row>
    <row r="446" spans="1:10" x14ac:dyDescent="0.25">
      <c r="A446" s="90">
        <f t="shared" si="6"/>
        <v>445</v>
      </c>
      <c r="B446" s="89" t="s">
        <v>2318</v>
      </c>
      <c r="C446" s="9">
        <v>45854</v>
      </c>
      <c r="D446" t="s">
        <v>1029</v>
      </c>
      <c r="E446" t="s">
        <v>1030</v>
      </c>
      <c r="F446" t="s">
        <v>1031</v>
      </c>
      <c r="G446" s="11" t="s">
        <v>118</v>
      </c>
      <c r="H446" s="59">
        <v>3165</v>
      </c>
      <c r="I446" s="11" t="s">
        <v>1806</v>
      </c>
      <c r="J446" s="11" t="s">
        <v>2319</v>
      </c>
    </row>
    <row r="447" spans="1:10" x14ac:dyDescent="0.25">
      <c r="A447" s="90">
        <f t="shared" si="6"/>
        <v>446</v>
      </c>
      <c r="B447" s="89" t="s">
        <v>2322</v>
      </c>
      <c r="C447" s="9">
        <v>46020</v>
      </c>
      <c r="D447" t="s">
        <v>225</v>
      </c>
      <c r="E447" t="s">
        <v>226</v>
      </c>
      <c r="F447" t="s">
        <v>2323</v>
      </c>
      <c r="G447" s="11" t="s">
        <v>118</v>
      </c>
      <c r="H447" s="59">
        <v>1816</v>
      </c>
      <c r="I447" s="11" t="s">
        <v>228</v>
      </c>
      <c r="J447" s="11" t="s">
        <v>192</v>
      </c>
    </row>
    <row r="448" spans="1:10" x14ac:dyDescent="0.25">
      <c r="A448" s="90">
        <f t="shared" si="6"/>
        <v>447</v>
      </c>
      <c r="B448" s="89" t="s">
        <v>2324</v>
      </c>
      <c r="C448" s="9">
        <v>46020</v>
      </c>
      <c r="D448" t="s">
        <v>2325</v>
      </c>
      <c r="E448" t="s">
        <v>2326</v>
      </c>
      <c r="F448" t="s">
        <v>2327</v>
      </c>
      <c r="G448" s="11" t="s">
        <v>118</v>
      </c>
      <c r="H448" s="59">
        <v>1048</v>
      </c>
      <c r="I448" s="11" t="s">
        <v>2328</v>
      </c>
      <c r="J448" s="11" t="s">
        <v>192</v>
      </c>
    </row>
    <row r="449" spans="1:10" x14ac:dyDescent="0.25">
      <c r="A449" s="90">
        <f t="shared" si="6"/>
        <v>448</v>
      </c>
      <c r="B449" s="89" t="s">
        <v>2329</v>
      </c>
      <c r="C449" s="9">
        <v>46017</v>
      </c>
      <c r="D449" t="s">
        <v>2330</v>
      </c>
      <c r="E449" t="s">
        <v>1723</v>
      </c>
      <c r="F449" t="s">
        <v>2331</v>
      </c>
      <c r="G449" s="11" t="s">
        <v>118</v>
      </c>
      <c r="H449" s="59">
        <v>4433</v>
      </c>
      <c r="I449" s="11" t="s">
        <v>2332</v>
      </c>
      <c r="J449" s="11" t="s">
        <v>192</v>
      </c>
    </row>
    <row r="450" spans="1:10" x14ac:dyDescent="0.25">
      <c r="A450" s="90">
        <f t="shared" si="6"/>
        <v>449</v>
      </c>
      <c r="B450" s="89" t="s">
        <v>2338</v>
      </c>
      <c r="C450" s="9">
        <v>46021</v>
      </c>
      <c r="D450" t="s">
        <v>528</v>
      </c>
      <c r="E450" t="s">
        <v>529</v>
      </c>
      <c r="F450" t="s">
        <v>530</v>
      </c>
      <c r="G450" s="11" t="s">
        <v>118</v>
      </c>
      <c r="H450" s="59">
        <v>2263.4</v>
      </c>
      <c r="I450" s="11" t="s">
        <v>2339</v>
      </c>
      <c r="J450" s="11" t="s">
        <v>192</v>
      </c>
    </row>
    <row r="451" spans="1:10" x14ac:dyDescent="0.25">
      <c r="A451">
        <f t="shared" si="6"/>
        <v>450</v>
      </c>
      <c r="B451" s="8" t="s">
        <v>2333</v>
      </c>
      <c r="C451" s="9">
        <v>46021</v>
      </c>
      <c r="D451" t="s">
        <v>2334</v>
      </c>
      <c r="E451" t="s">
        <v>2335</v>
      </c>
      <c r="F451" t="s">
        <v>2336</v>
      </c>
      <c r="G451" t="s">
        <v>190</v>
      </c>
      <c r="H451" s="59">
        <v>1495</v>
      </c>
      <c r="I451" t="s">
        <v>925</v>
      </c>
      <c r="J451" t="s">
        <v>2337</v>
      </c>
    </row>
    <row r="452" spans="1:10" x14ac:dyDescent="0.25">
      <c r="A452" s="90">
        <f t="shared" ref="A452:A515" si="7">A451+1</f>
        <v>451</v>
      </c>
      <c r="B452" s="8" t="s">
        <v>2340</v>
      </c>
      <c r="C452" s="9">
        <v>46013</v>
      </c>
      <c r="D452" t="s">
        <v>1866</v>
      </c>
      <c r="E452" t="s">
        <v>1867</v>
      </c>
      <c r="F452" t="s">
        <v>1877</v>
      </c>
      <c r="G452" t="s">
        <v>118</v>
      </c>
      <c r="H452" s="59">
        <v>3421.5</v>
      </c>
      <c r="I452" t="s">
        <v>2341</v>
      </c>
      <c r="J452" t="s">
        <v>568</v>
      </c>
    </row>
    <row r="453" spans="1:10" x14ac:dyDescent="0.25">
      <c r="A453">
        <f t="shared" si="7"/>
        <v>452</v>
      </c>
    </row>
    <row r="454" spans="1:10" x14ac:dyDescent="0.25">
      <c r="A454">
        <f t="shared" si="7"/>
        <v>453</v>
      </c>
    </row>
    <row r="455" spans="1:10" x14ac:dyDescent="0.25">
      <c r="A455">
        <f t="shared" si="7"/>
        <v>454</v>
      </c>
    </row>
    <row r="456" spans="1:10" x14ac:dyDescent="0.25">
      <c r="A456">
        <f t="shared" si="7"/>
        <v>455</v>
      </c>
    </row>
    <row r="457" spans="1:10" x14ac:dyDescent="0.25">
      <c r="A457">
        <f t="shared" si="7"/>
        <v>456</v>
      </c>
    </row>
    <row r="458" spans="1:10" x14ac:dyDescent="0.25">
      <c r="A458">
        <f t="shared" si="7"/>
        <v>457</v>
      </c>
    </row>
    <row r="459" spans="1:10" x14ac:dyDescent="0.25">
      <c r="A459">
        <f t="shared" si="7"/>
        <v>458</v>
      </c>
    </row>
    <row r="460" spans="1:10" x14ac:dyDescent="0.25">
      <c r="A460">
        <f t="shared" si="7"/>
        <v>459</v>
      </c>
    </row>
    <row r="461" spans="1:10" x14ac:dyDescent="0.25">
      <c r="A461">
        <f t="shared" si="7"/>
        <v>460</v>
      </c>
    </row>
    <row r="462" spans="1:10" x14ac:dyDescent="0.25">
      <c r="A462">
        <f t="shared" si="7"/>
        <v>461</v>
      </c>
    </row>
    <row r="463" spans="1:10" x14ac:dyDescent="0.25">
      <c r="A463">
        <f t="shared" si="7"/>
        <v>462</v>
      </c>
    </row>
    <row r="464" spans="1:10" x14ac:dyDescent="0.25">
      <c r="A464">
        <f t="shared" si="7"/>
        <v>463</v>
      </c>
    </row>
    <row r="465" spans="1:1" x14ac:dyDescent="0.25">
      <c r="A465">
        <f t="shared" si="7"/>
        <v>464</v>
      </c>
    </row>
    <row r="466" spans="1:1" x14ac:dyDescent="0.25">
      <c r="A466">
        <f t="shared" si="7"/>
        <v>465</v>
      </c>
    </row>
    <row r="467" spans="1:1" x14ac:dyDescent="0.25">
      <c r="A467">
        <f t="shared" si="7"/>
        <v>466</v>
      </c>
    </row>
    <row r="468" spans="1:1" x14ac:dyDescent="0.25">
      <c r="A468">
        <f t="shared" si="7"/>
        <v>467</v>
      </c>
    </row>
    <row r="469" spans="1:1" x14ac:dyDescent="0.25">
      <c r="A469">
        <f t="shared" si="7"/>
        <v>468</v>
      </c>
    </row>
    <row r="470" spans="1:1" x14ac:dyDescent="0.25">
      <c r="A470">
        <f t="shared" si="7"/>
        <v>469</v>
      </c>
    </row>
    <row r="471" spans="1:1" x14ac:dyDescent="0.25">
      <c r="A471">
        <f t="shared" si="7"/>
        <v>470</v>
      </c>
    </row>
    <row r="472" spans="1:1" x14ac:dyDescent="0.25">
      <c r="A472">
        <f t="shared" si="7"/>
        <v>471</v>
      </c>
    </row>
    <row r="473" spans="1:1" x14ac:dyDescent="0.25">
      <c r="A473">
        <f t="shared" si="7"/>
        <v>472</v>
      </c>
    </row>
    <row r="474" spans="1:1" x14ac:dyDescent="0.25">
      <c r="A474">
        <f t="shared" si="7"/>
        <v>473</v>
      </c>
    </row>
    <row r="475" spans="1:1" x14ac:dyDescent="0.25">
      <c r="A475">
        <f t="shared" si="7"/>
        <v>474</v>
      </c>
    </row>
    <row r="476" spans="1:1" x14ac:dyDescent="0.25">
      <c r="A476">
        <f t="shared" si="7"/>
        <v>475</v>
      </c>
    </row>
    <row r="477" spans="1:1" x14ac:dyDescent="0.25">
      <c r="A477">
        <f t="shared" si="7"/>
        <v>476</v>
      </c>
    </row>
    <row r="478" spans="1:1" x14ac:dyDescent="0.25">
      <c r="A478">
        <f t="shared" si="7"/>
        <v>477</v>
      </c>
    </row>
    <row r="479" spans="1:1" x14ac:dyDescent="0.25">
      <c r="A479">
        <f t="shared" si="7"/>
        <v>478</v>
      </c>
    </row>
    <row r="480" spans="1:1" x14ac:dyDescent="0.25">
      <c r="A480">
        <f t="shared" si="7"/>
        <v>479</v>
      </c>
    </row>
    <row r="481" spans="1:1" x14ac:dyDescent="0.25">
      <c r="A481">
        <f t="shared" si="7"/>
        <v>480</v>
      </c>
    </row>
    <row r="482" spans="1:1" x14ac:dyDescent="0.25">
      <c r="A482">
        <f t="shared" si="7"/>
        <v>481</v>
      </c>
    </row>
    <row r="483" spans="1:1" x14ac:dyDescent="0.25">
      <c r="A483">
        <f t="shared" si="7"/>
        <v>482</v>
      </c>
    </row>
    <row r="484" spans="1:1" x14ac:dyDescent="0.25">
      <c r="A484">
        <f t="shared" si="7"/>
        <v>483</v>
      </c>
    </row>
    <row r="485" spans="1:1" x14ac:dyDescent="0.25">
      <c r="A485">
        <f t="shared" si="7"/>
        <v>484</v>
      </c>
    </row>
    <row r="486" spans="1:1" x14ac:dyDescent="0.25">
      <c r="A486">
        <f t="shared" si="7"/>
        <v>485</v>
      </c>
    </row>
    <row r="487" spans="1:1" x14ac:dyDescent="0.25">
      <c r="A487">
        <f t="shared" si="7"/>
        <v>486</v>
      </c>
    </row>
    <row r="488" spans="1:1" x14ac:dyDescent="0.25">
      <c r="A488">
        <f t="shared" si="7"/>
        <v>487</v>
      </c>
    </row>
    <row r="489" spans="1:1" x14ac:dyDescent="0.25">
      <c r="A489">
        <f t="shared" si="7"/>
        <v>488</v>
      </c>
    </row>
    <row r="490" spans="1:1" x14ac:dyDescent="0.25">
      <c r="A490">
        <f t="shared" si="7"/>
        <v>489</v>
      </c>
    </row>
    <row r="491" spans="1:1" x14ac:dyDescent="0.25">
      <c r="A491">
        <f t="shared" si="7"/>
        <v>490</v>
      </c>
    </row>
    <row r="492" spans="1:1" x14ac:dyDescent="0.25">
      <c r="A492">
        <f t="shared" si="7"/>
        <v>491</v>
      </c>
    </row>
    <row r="493" spans="1:1" x14ac:dyDescent="0.25">
      <c r="A493">
        <f t="shared" si="7"/>
        <v>492</v>
      </c>
    </row>
    <row r="494" spans="1:1" x14ac:dyDescent="0.25">
      <c r="A494">
        <f t="shared" si="7"/>
        <v>493</v>
      </c>
    </row>
    <row r="495" spans="1:1" x14ac:dyDescent="0.25">
      <c r="A495">
        <f t="shared" si="7"/>
        <v>494</v>
      </c>
    </row>
    <row r="496" spans="1:1" x14ac:dyDescent="0.25">
      <c r="A496">
        <f t="shared" si="7"/>
        <v>495</v>
      </c>
    </row>
    <row r="497" spans="1:1" x14ac:dyDescent="0.25">
      <c r="A497">
        <f t="shared" si="7"/>
        <v>496</v>
      </c>
    </row>
    <row r="498" spans="1:1" x14ac:dyDescent="0.25">
      <c r="A498">
        <f t="shared" si="7"/>
        <v>497</v>
      </c>
    </row>
    <row r="499" spans="1:1" x14ac:dyDescent="0.25">
      <c r="A499">
        <f t="shared" si="7"/>
        <v>498</v>
      </c>
    </row>
    <row r="500" spans="1:1" x14ac:dyDescent="0.25">
      <c r="A500">
        <f t="shared" si="7"/>
        <v>499</v>
      </c>
    </row>
    <row r="501" spans="1:1" x14ac:dyDescent="0.25">
      <c r="A501">
        <f t="shared" si="7"/>
        <v>500</v>
      </c>
    </row>
    <row r="502" spans="1:1" x14ac:dyDescent="0.25">
      <c r="A502">
        <f t="shared" si="7"/>
        <v>501</v>
      </c>
    </row>
    <row r="503" spans="1:1" x14ac:dyDescent="0.25">
      <c r="A503">
        <f t="shared" si="7"/>
        <v>502</v>
      </c>
    </row>
    <row r="504" spans="1:1" x14ac:dyDescent="0.25">
      <c r="A504">
        <f t="shared" si="7"/>
        <v>503</v>
      </c>
    </row>
    <row r="505" spans="1:1" x14ac:dyDescent="0.25">
      <c r="A505">
        <f t="shared" si="7"/>
        <v>504</v>
      </c>
    </row>
    <row r="506" spans="1:1" x14ac:dyDescent="0.25">
      <c r="A506">
        <f t="shared" si="7"/>
        <v>505</v>
      </c>
    </row>
    <row r="507" spans="1:1" x14ac:dyDescent="0.25">
      <c r="A507">
        <f t="shared" si="7"/>
        <v>506</v>
      </c>
    </row>
    <row r="508" spans="1:1" x14ac:dyDescent="0.25">
      <c r="A508">
        <f t="shared" si="7"/>
        <v>507</v>
      </c>
    </row>
    <row r="509" spans="1:1" x14ac:dyDescent="0.25">
      <c r="A509">
        <f t="shared" si="7"/>
        <v>508</v>
      </c>
    </row>
    <row r="510" spans="1:1" x14ac:dyDescent="0.25">
      <c r="A510">
        <f t="shared" si="7"/>
        <v>509</v>
      </c>
    </row>
    <row r="511" spans="1:1" x14ac:dyDescent="0.25">
      <c r="A511">
        <f t="shared" si="7"/>
        <v>510</v>
      </c>
    </row>
    <row r="512" spans="1:1" x14ac:dyDescent="0.25">
      <c r="A512">
        <f t="shared" si="7"/>
        <v>511</v>
      </c>
    </row>
    <row r="513" spans="1:1" x14ac:dyDescent="0.25">
      <c r="A513">
        <f t="shared" si="7"/>
        <v>512</v>
      </c>
    </row>
    <row r="514" spans="1:1" x14ac:dyDescent="0.25">
      <c r="A514">
        <f t="shared" si="7"/>
        <v>513</v>
      </c>
    </row>
    <row r="515" spans="1:1" x14ac:dyDescent="0.25">
      <c r="A515">
        <f t="shared" si="7"/>
        <v>514</v>
      </c>
    </row>
    <row r="516" spans="1:1" x14ac:dyDescent="0.25">
      <c r="A516">
        <f t="shared" ref="A516:A579" si="8">A515+1</f>
        <v>515</v>
      </c>
    </row>
    <row r="517" spans="1:1" x14ac:dyDescent="0.25">
      <c r="A517">
        <f t="shared" si="8"/>
        <v>516</v>
      </c>
    </row>
    <row r="518" spans="1:1" x14ac:dyDescent="0.25">
      <c r="A518">
        <f t="shared" si="8"/>
        <v>517</v>
      </c>
    </row>
    <row r="519" spans="1:1" x14ac:dyDescent="0.25">
      <c r="A519">
        <f t="shared" si="8"/>
        <v>518</v>
      </c>
    </row>
    <row r="520" spans="1:1" x14ac:dyDescent="0.25">
      <c r="A520">
        <f t="shared" si="8"/>
        <v>519</v>
      </c>
    </row>
    <row r="521" spans="1:1" x14ac:dyDescent="0.25">
      <c r="A521">
        <f t="shared" si="8"/>
        <v>520</v>
      </c>
    </row>
    <row r="522" spans="1:1" x14ac:dyDescent="0.25">
      <c r="A522">
        <f t="shared" si="8"/>
        <v>521</v>
      </c>
    </row>
    <row r="523" spans="1:1" x14ac:dyDescent="0.25">
      <c r="A523">
        <f t="shared" si="8"/>
        <v>522</v>
      </c>
    </row>
    <row r="524" spans="1:1" x14ac:dyDescent="0.25">
      <c r="A524">
        <f t="shared" si="8"/>
        <v>523</v>
      </c>
    </row>
    <row r="525" spans="1:1" x14ac:dyDescent="0.25">
      <c r="A525">
        <f t="shared" si="8"/>
        <v>524</v>
      </c>
    </row>
    <row r="526" spans="1:1" x14ac:dyDescent="0.25">
      <c r="A526">
        <f t="shared" si="8"/>
        <v>525</v>
      </c>
    </row>
    <row r="527" spans="1:1" x14ac:dyDescent="0.25">
      <c r="A527">
        <f t="shared" si="8"/>
        <v>526</v>
      </c>
    </row>
    <row r="528" spans="1:1" x14ac:dyDescent="0.25">
      <c r="A528">
        <f t="shared" si="8"/>
        <v>527</v>
      </c>
    </row>
    <row r="529" spans="1:1" x14ac:dyDescent="0.25">
      <c r="A529">
        <f t="shared" si="8"/>
        <v>528</v>
      </c>
    </row>
    <row r="530" spans="1:1" x14ac:dyDescent="0.25">
      <c r="A530">
        <f t="shared" si="8"/>
        <v>529</v>
      </c>
    </row>
    <row r="531" spans="1:1" x14ac:dyDescent="0.25">
      <c r="A531">
        <f t="shared" si="8"/>
        <v>530</v>
      </c>
    </row>
    <row r="532" spans="1:1" x14ac:dyDescent="0.25">
      <c r="A532">
        <f t="shared" si="8"/>
        <v>531</v>
      </c>
    </row>
    <row r="533" spans="1:1" x14ac:dyDescent="0.25">
      <c r="A533">
        <f t="shared" si="8"/>
        <v>532</v>
      </c>
    </row>
    <row r="534" spans="1:1" x14ac:dyDescent="0.25">
      <c r="A534">
        <f t="shared" si="8"/>
        <v>533</v>
      </c>
    </row>
    <row r="535" spans="1:1" x14ac:dyDescent="0.25">
      <c r="A535">
        <f t="shared" si="8"/>
        <v>534</v>
      </c>
    </row>
    <row r="536" spans="1:1" x14ac:dyDescent="0.25">
      <c r="A536">
        <f t="shared" si="8"/>
        <v>535</v>
      </c>
    </row>
    <row r="537" spans="1:1" x14ac:dyDescent="0.25">
      <c r="A537">
        <f t="shared" si="8"/>
        <v>536</v>
      </c>
    </row>
    <row r="538" spans="1:1" x14ac:dyDescent="0.25">
      <c r="A538">
        <f t="shared" si="8"/>
        <v>537</v>
      </c>
    </row>
    <row r="539" spans="1:1" x14ac:dyDescent="0.25">
      <c r="A539">
        <f t="shared" si="8"/>
        <v>538</v>
      </c>
    </row>
    <row r="540" spans="1:1" x14ac:dyDescent="0.25">
      <c r="A540">
        <f t="shared" si="8"/>
        <v>539</v>
      </c>
    </row>
    <row r="541" spans="1:1" x14ac:dyDescent="0.25">
      <c r="A541">
        <f t="shared" si="8"/>
        <v>540</v>
      </c>
    </row>
    <row r="542" spans="1:1" x14ac:dyDescent="0.25">
      <c r="A542">
        <f t="shared" si="8"/>
        <v>541</v>
      </c>
    </row>
    <row r="543" spans="1:1" x14ac:dyDescent="0.25">
      <c r="A543">
        <f t="shared" si="8"/>
        <v>542</v>
      </c>
    </row>
    <row r="544" spans="1:1" x14ac:dyDescent="0.25">
      <c r="A544">
        <f t="shared" si="8"/>
        <v>543</v>
      </c>
    </row>
    <row r="545" spans="1:1" x14ac:dyDescent="0.25">
      <c r="A545">
        <f t="shared" si="8"/>
        <v>544</v>
      </c>
    </row>
    <row r="546" spans="1:1" x14ac:dyDescent="0.25">
      <c r="A546">
        <f t="shared" si="8"/>
        <v>545</v>
      </c>
    </row>
    <row r="547" spans="1:1" x14ac:dyDescent="0.25">
      <c r="A547">
        <f t="shared" si="8"/>
        <v>546</v>
      </c>
    </row>
    <row r="548" spans="1:1" x14ac:dyDescent="0.25">
      <c r="A548">
        <f t="shared" si="8"/>
        <v>547</v>
      </c>
    </row>
    <row r="549" spans="1:1" x14ac:dyDescent="0.25">
      <c r="A549">
        <f t="shared" si="8"/>
        <v>548</v>
      </c>
    </row>
    <row r="550" spans="1:1" x14ac:dyDescent="0.25">
      <c r="A550">
        <f t="shared" si="8"/>
        <v>549</v>
      </c>
    </row>
    <row r="551" spans="1:1" x14ac:dyDescent="0.25">
      <c r="A551">
        <f t="shared" si="8"/>
        <v>550</v>
      </c>
    </row>
    <row r="552" spans="1:1" x14ac:dyDescent="0.25">
      <c r="A552">
        <f t="shared" si="8"/>
        <v>551</v>
      </c>
    </row>
    <row r="553" spans="1:1" x14ac:dyDescent="0.25">
      <c r="A553">
        <f t="shared" si="8"/>
        <v>552</v>
      </c>
    </row>
    <row r="554" spans="1:1" x14ac:dyDescent="0.25">
      <c r="A554">
        <f t="shared" si="8"/>
        <v>553</v>
      </c>
    </row>
    <row r="555" spans="1:1" x14ac:dyDescent="0.25">
      <c r="A555">
        <f t="shared" si="8"/>
        <v>554</v>
      </c>
    </row>
    <row r="556" spans="1:1" x14ac:dyDescent="0.25">
      <c r="A556">
        <f t="shared" si="8"/>
        <v>555</v>
      </c>
    </row>
    <row r="557" spans="1:1" x14ac:dyDescent="0.25">
      <c r="A557">
        <f t="shared" si="8"/>
        <v>556</v>
      </c>
    </row>
    <row r="558" spans="1:1" x14ac:dyDescent="0.25">
      <c r="A558">
        <f t="shared" si="8"/>
        <v>557</v>
      </c>
    </row>
    <row r="559" spans="1:1" x14ac:dyDescent="0.25">
      <c r="A559">
        <f t="shared" si="8"/>
        <v>558</v>
      </c>
    </row>
    <row r="560" spans="1:1" x14ac:dyDescent="0.25">
      <c r="A560">
        <f t="shared" si="8"/>
        <v>559</v>
      </c>
    </row>
    <row r="561" spans="1:1" x14ac:dyDescent="0.25">
      <c r="A561">
        <f t="shared" si="8"/>
        <v>560</v>
      </c>
    </row>
    <row r="562" spans="1:1" x14ac:dyDescent="0.25">
      <c r="A562">
        <f t="shared" si="8"/>
        <v>561</v>
      </c>
    </row>
    <row r="563" spans="1:1" x14ac:dyDescent="0.25">
      <c r="A563">
        <f t="shared" si="8"/>
        <v>562</v>
      </c>
    </row>
    <row r="564" spans="1:1" x14ac:dyDescent="0.25">
      <c r="A564">
        <f t="shared" si="8"/>
        <v>563</v>
      </c>
    </row>
    <row r="565" spans="1:1" x14ac:dyDescent="0.25">
      <c r="A565">
        <f t="shared" si="8"/>
        <v>564</v>
      </c>
    </row>
    <row r="566" spans="1:1" x14ac:dyDescent="0.25">
      <c r="A566">
        <f t="shared" si="8"/>
        <v>565</v>
      </c>
    </row>
    <row r="567" spans="1:1" x14ac:dyDescent="0.25">
      <c r="A567">
        <f t="shared" si="8"/>
        <v>566</v>
      </c>
    </row>
    <row r="568" spans="1:1" x14ac:dyDescent="0.25">
      <c r="A568">
        <f t="shared" si="8"/>
        <v>567</v>
      </c>
    </row>
    <row r="569" spans="1:1" x14ac:dyDescent="0.25">
      <c r="A569">
        <f t="shared" si="8"/>
        <v>568</v>
      </c>
    </row>
    <row r="570" spans="1:1" x14ac:dyDescent="0.25">
      <c r="A570">
        <f t="shared" si="8"/>
        <v>569</v>
      </c>
    </row>
    <row r="571" spans="1:1" x14ac:dyDescent="0.25">
      <c r="A571">
        <f t="shared" si="8"/>
        <v>570</v>
      </c>
    </row>
    <row r="572" spans="1:1" x14ac:dyDescent="0.25">
      <c r="A572">
        <f t="shared" si="8"/>
        <v>571</v>
      </c>
    </row>
    <row r="573" spans="1:1" x14ac:dyDescent="0.25">
      <c r="A573">
        <f t="shared" si="8"/>
        <v>572</v>
      </c>
    </row>
    <row r="574" spans="1:1" x14ac:dyDescent="0.25">
      <c r="A574">
        <f t="shared" si="8"/>
        <v>573</v>
      </c>
    </row>
    <row r="575" spans="1:1" x14ac:dyDescent="0.25">
      <c r="A575">
        <f t="shared" si="8"/>
        <v>574</v>
      </c>
    </row>
    <row r="576" spans="1:1" x14ac:dyDescent="0.25">
      <c r="A576">
        <f t="shared" si="8"/>
        <v>575</v>
      </c>
    </row>
    <row r="577" spans="1:1" x14ac:dyDescent="0.25">
      <c r="A577">
        <f t="shared" si="8"/>
        <v>576</v>
      </c>
    </row>
    <row r="578" spans="1:1" x14ac:dyDescent="0.25">
      <c r="A578">
        <f t="shared" si="8"/>
        <v>577</v>
      </c>
    </row>
    <row r="579" spans="1:1" x14ac:dyDescent="0.25">
      <c r="A579">
        <f t="shared" si="8"/>
        <v>578</v>
      </c>
    </row>
    <row r="580" spans="1:1" x14ac:dyDescent="0.25">
      <c r="A580">
        <f t="shared" ref="A580:A643" si="9">A579+1</f>
        <v>579</v>
      </c>
    </row>
    <row r="581" spans="1:1" x14ac:dyDescent="0.25">
      <c r="A581">
        <f t="shared" si="9"/>
        <v>580</v>
      </c>
    </row>
    <row r="582" spans="1:1" x14ac:dyDescent="0.25">
      <c r="A582">
        <f t="shared" si="9"/>
        <v>581</v>
      </c>
    </row>
    <row r="583" spans="1:1" x14ac:dyDescent="0.25">
      <c r="A583">
        <f t="shared" si="9"/>
        <v>582</v>
      </c>
    </row>
    <row r="584" spans="1:1" x14ac:dyDescent="0.25">
      <c r="A584">
        <f t="shared" si="9"/>
        <v>583</v>
      </c>
    </row>
    <row r="585" spans="1:1" x14ac:dyDescent="0.25">
      <c r="A585">
        <f t="shared" si="9"/>
        <v>584</v>
      </c>
    </row>
    <row r="586" spans="1:1" x14ac:dyDescent="0.25">
      <c r="A586">
        <f t="shared" si="9"/>
        <v>585</v>
      </c>
    </row>
    <row r="587" spans="1:1" x14ac:dyDescent="0.25">
      <c r="A587">
        <f t="shared" si="9"/>
        <v>586</v>
      </c>
    </row>
    <row r="588" spans="1:1" x14ac:dyDescent="0.25">
      <c r="A588">
        <f t="shared" si="9"/>
        <v>587</v>
      </c>
    </row>
    <row r="589" spans="1:1" x14ac:dyDescent="0.25">
      <c r="A589">
        <f t="shared" si="9"/>
        <v>588</v>
      </c>
    </row>
    <row r="590" spans="1:1" x14ac:dyDescent="0.25">
      <c r="A590">
        <f t="shared" si="9"/>
        <v>589</v>
      </c>
    </row>
    <row r="591" spans="1:1" x14ac:dyDescent="0.25">
      <c r="A591">
        <f t="shared" si="9"/>
        <v>590</v>
      </c>
    </row>
    <row r="592" spans="1:1" x14ac:dyDescent="0.25">
      <c r="A592">
        <f t="shared" si="9"/>
        <v>591</v>
      </c>
    </row>
    <row r="593" spans="1:1" x14ac:dyDescent="0.25">
      <c r="A593">
        <f t="shared" si="9"/>
        <v>592</v>
      </c>
    </row>
    <row r="594" spans="1:1" x14ac:dyDescent="0.25">
      <c r="A594">
        <f t="shared" si="9"/>
        <v>593</v>
      </c>
    </row>
    <row r="595" spans="1:1" x14ac:dyDescent="0.25">
      <c r="A595">
        <f t="shared" si="9"/>
        <v>594</v>
      </c>
    </row>
    <row r="596" spans="1:1" x14ac:dyDescent="0.25">
      <c r="A596">
        <f t="shared" si="9"/>
        <v>595</v>
      </c>
    </row>
    <row r="597" spans="1:1" x14ac:dyDescent="0.25">
      <c r="A597">
        <f t="shared" si="9"/>
        <v>596</v>
      </c>
    </row>
    <row r="598" spans="1:1" x14ac:dyDescent="0.25">
      <c r="A598">
        <f t="shared" si="9"/>
        <v>597</v>
      </c>
    </row>
    <row r="599" spans="1:1" x14ac:dyDescent="0.25">
      <c r="A599">
        <f t="shared" si="9"/>
        <v>598</v>
      </c>
    </row>
    <row r="600" spans="1:1" x14ac:dyDescent="0.25">
      <c r="A600">
        <f t="shared" si="9"/>
        <v>599</v>
      </c>
    </row>
    <row r="601" spans="1:1" x14ac:dyDescent="0.25">
      <c r="A601">
        <f t="shared" si="9"/>
        <v>600</v>
      </c>
    </row>
    <row r="602" spans="1:1" x14ac:dyDescent="0.25">
      <c r="A602">
        <f t="shared" si="9"/>
        <v>601</v>
      </c>
    </row>
    <row r="603" spans="1:1" x14ac:dyDescent="0.25">
      <c r="A603">
        <f t="shared" si="9"/>
        <v>602</v>
      </c>
    </row>
    <row r="604" spans="1:1" x14ac:dyDescent="0.25">
      <c r="A604">
        <f t="shared" si="9"/>
        <v>603</v>
      </c>
    </row>
    <row r="605" spans="1:1" x14ac:dyDescent="0.25">
      <c r="A605">
        <f t="shared" si="9"/>
        <v>604</v>
      </c>
    </row>
    <row r="606" spans="1:1" x14ac:dyDescent="0.25">
      <c r="A606">
        <f t="shared" si="9"/>
        <v>605</v>
      </c>
    </row>
    <row r="607" spans="1:1" x14ac:dyDescent="0.25">
      <c r="A607">
        <f t="shared" si="9"/>
        <v>606</v>
      </c>
    </row>
    <row r="608" spans="1:1" x14ac:dyDescent="0.25">
      <c r="A608">
        <f t="shared" si="9"/>
        <v>607</v>
      </c>
    </row>
    <row r="609" spans="1:1" x14ac:dyDescent="0.25">
      <c r="A609">
        <f t="shared" si="9"/>
        <v>608</v>
      </c>
    </row>
    <row r="610" spans="1:1" x14ac:dyDescent="0.25">
      <c r="A610">
        <f t="shared" si="9"/>
        <v>609</v>
      </c>
    </row>
    <row r="611" spans="1:1" x14ac:dyDescent="0.25">
      <c r="A611">
        <f t="shared" si="9"/>
        <v>610</v>
      </c>
    </row>
    <row r="612" spans="1:1" x14ac:dyDescent="0.25">
      <c r="A612">
        <f t="shared" si="9"/>
        <v>611</v>
      </c>
    </row>
    <row r="613" spans="1:1" x14ac:dyDescent="0.25">
      <c r="A613">
        <f t="shared" si="9"/>
        <v>612</v>
      </c>
    </row>
    <row r="614" spans="1:1" x14ac:dyDescent="0.25">
      <c r="A614">
        <f t="shared" si="9"/>
        <v>613</v>
      </c>
    </row>
    <row r="615" spans="1:1" x14ac:dyDescent="0.25">
      <c r="A615">
        <f t="shared" si="9"/>
        <v>614</v>
      </c>
    </row>
    <row r="616" spans="1:1" x14ac:dyDescent="0.25">
      <c r="A616">
        <f t="shared" si="9"/>
        <v>615</v>
      </c>
    </row>
    <row r="617" spans="1:1" x14ac:dyDescent="0.25">
      <c r="A617">
        <f t="shared" si="9"/>
        <v>616</v>
      </c>
    </row>
    <row r="618" spans="1:1" x14ac:dyDescent="0.25">
      <c r="A618">
        <f t="shared" si="9"/>
        <v>617</v>
      </c>
    </row>
    <row r="619" spans="1:1" x14ac:dyDescent="0.25">
      <c r="A619">
        <f t="shared" si="9"/>
        <v>618</v>
      </c>
    </row>
    <row r="620" spans="1:1" x14ac:dyDescent="0.25">
      <c r="A620">
        <f t="shared" si="9"/>
        <v>619</v>
      </c>
    </row>
    <row r="621" spans="1:1" x14ac:dyDescent="0.25">
      <c r="A621">
        <f t="shared" si="9"/>
        <v>620</v>
      </c>
    </row>
    <row r="622" spans="1:1" x14ac:dyDescent="0.25">
      <c r="A622">
        <f t="shared" si="9"/>
        <v>621</v>
      </c>
    </row>
    <row r="623" spans="1:1" x14ac:dyDescent="0.25">
      <c r="A623">
        <f t="shared" si="9"/>
        <v>622</v>
      </c>
    </row>
    <row r="624" spans="1:1" x14ac:dyDescent="0.25">
      <c r="A624">
        <f t="shared" si="9"/>
        <v>623</v>
      </c>
    </row>
    <row r="625" spans="1:1" x14ac:dyDescent="0.25">
      <c r="A625">
        <f t="shared" si="9"/>
        <v>624</v>
      </c>
    </row>
    <row r="626" spans="1:1" x14ac:dyDescent="0.25">
      <c r="A626">
        <f t="shared" si="9"/>
        <v>625</v>
      </c>
    </row>
    <row r="627" spans="1:1" x14ac:dyDescent="0.25">
      <c r="A627">
        <f t="shared" si="9"/>
        <v>626</v>
      </c>
    </row>
    <row r="628" spans="1:1" x14ac:dyDescent="0.25">
      <c r="A628">
        <f t="shared" si="9"/>
        <v>627</v>
      </c>
    </row>
    <row r="629" spans="1:1" x14ac:dyDescent="0.25">
      <c r="A629">
        <f t="shared" si="9"/>
        <v>628</v>
      </c>
    </row>
    <row r="630" spans="1:1" x14ac:dyDescent="0.25">
      <c r="A630">
        <f t="shared" si="9"/>
        <v>629</v>
      </c>
    </row>
    <row r="631" spans="1:1" x14ac:dyDescent="0.25">
      <c r="A631">
        <f t="shared" si="9"/>
        <v>630</v>
      </c>
    </row>
    <row r="632" spans="1:1" x14ac:dyDescent="0.25">
      <c r="A632">
        <f t="shared" si="9"/>
        <v>631</v>
      </c>
    </row>
    <row r="633" spans="1:1" x14ac:dyDescent="0.25">
      <c r="A633">
        <f t="shared" si="9"/>
        <v>632</v>
      </c>
    </row>
    <row r="634" spans="1:1" x14ac:dyDescent="0.25">
      <c r="A634">
        <f t="shared" si="9"/>
        <v>633</v>
      </c>
    </row>
    <row r="635" spans="1:1" x14ac:dyDescent="0.25">
      <c r="A635">
        <f t="shared" si="9"/>
        <v>634</v>
      </c>
    </row>
    <row r="636" spans="1:1" x14ac:dyDescent="0.25">
      <c r="A636">
        <f t="shared" si="9"/>
        <v>635</v>
      </c>
    </row>
    <row r="637" spans="1:1" x14ac:dyDescent="0.25">
      <c r="A637">
        <f t="shared" si="9"/>
        <v>636</v>
      </c>
    </row>
    <row r="638" spans="1:1" x14ac:dyDescent="0.25">
      <c r="A638">
        <f t="shared" si="9"/>
        <v>637</v>
      </c>
    </row>
    <row r="639" spans="1:1" x14ac:dyDescent="0.25">
      <c r="A639">
        <f t="shared" si="9"/>
        <v>638</v>
      </c>
    </row>
    <row r="640" spans="1:1" x14ac:dyDescent="0.25">
      <c r="A640">
        <f t="shared" si="9"/>
        <v>639</v>
      </c>
    </row>
    <row r="641" spans="1:1" x14ac:dyDescent="0.25">
      <c r="A641">
        <f t="shared" si="9"/>
        <v>640</v>
      </c>
    </row>
    <row r="642" spans="1:1" x14ac:dyDescent="0.25">
      <c r="A642">
        <f t="shared" si="9"/>
        <v>641</v>
      </c>
    </row>
    <row r="643" spans="1:1" x14ac:dyDescent="0.25">
      <c r="A643">
        <f t="shared" si="9"/>
        <v>642</v>
      </c>
    </row>
    <row r="644" spans="1:1" x14ac:dyDescent="0.25">
      <c r="A644">
        <f t="shared" ref="A644:A660" si="10">A643+1</f>
        <v>643</v>
      </c>
    </row>
    <row r="645" spans="1:1" x14ac:dyDescent="0.25">
      <c r="A645">
        <f t="shared" si="10"/>
        <v>644</v>
      </c>
    </row>
    <row r="646" spans="1:1" x14ac:dyDescent="0.25">
      <c r="A646">
        <f t="shared" si="10"/>
        <v>645</v>
      </c>
    </row>
    <row r="647" spans="1:1" x14ac:dyDescent="0.25">
      <c r="A647">
        <f t="shared" si="10"/>
        <v>646</v>
      </c>
    </row>
    <row r="648" spans="1:1" x14ac:dyDescent="0.25">
      <c r="A648">
        <f t="shared" si="10"/>
        <v>647</v>
      </c>
    </row>
    <row r="649" spans="1:1" x14ac:dyDescent="0.25">
      <c r="A649">
        <f t="shared" si="10"/>
        <v>648</v>
      </c>
    </row>
    <row r="650" spans="1:1" x14ac:dyDescent="0.25">
      <c r="A650">
        <f t="shared" si="10"/>
        <v>649</v>
      </c>
    </row>
    <row r="651" spans="1:1" x14ac:dyDescent="0.25">
      <c r="A651">
        <f t="shared" si="10"/>
        <v>650</v>
      </c>
    </row>
    <row r="652" spans="1:1" x14ac:dyDescent="0.25">
      <c r="A652">
        <f t="shared" si="10"/>
        <v>651</v>
      </c>
    </row>
    <row r="653" spans="1:1" x14ac:dyDescent="0.25">
      <c r="A653">
        <f t="shared" si="10"/>
        <v>652</v>
      </c>
    </row>
    <row r="654" spans="1:1" x14ac:dyDescent="0.25">
      <c r="A654">
        <f t="shared" si="10"/>
        <v>653</v>
      </c>
    </row>
    <row r="655" spans="1:1" x14ac:dyDescent="0.25">
      <c r="A655">
        <f t="shared" si="10"/>
        <v>654</v>
      </c>
    </row>
    <row r="656" spans="1:1" x14ac:dyDescent="0.25">
      <c r="A656">
        <f t="shared" si="10"/>
        <v>655</v>
      </c>
    </row>
    <row r="657" spans="1:1" x14ac:dyDescent="0.25">
      <c r="A657">
        <f t="shared" si="10"/>
        <v>656</v>
      </c>
    </row>
    <row r="658" spans="1:1" x14ac:dyDescent="0.25">
      <c r="A658">
        <f t="shared" si="10"/>
        <v>657</v>
      </c>
    </row>
    <row r="659" spans="1:1" x14ac:dyDescent="0.25">
      <c r="A659">
        <f t="shared" si="10"/>
        <v>658</v>
      </c>
    </row>
    <row r="660" spans="1:1" x14ac:dyDescent="0.25">
      <c r="A660">
        <f t="shared" si="10"/>
        <v>659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opLeftCell="A55" workbookViewId="0">
      <selection activeCell="B110" sqref="B110"/>
    </sheetView>
  </sheetViews>
  <sheetFormatPr baseColWidth="10" defaultRowHeight="15" x14ac:dyDescent="0.25"/>
  <cols>
    <col min="2" max="2" width="33.85546875" customWidth="1"/>
    <col min="3" max="3" width="11.85546875" customWidth="1"/>
    <col min="4" max="4" width="6" customWidth="1"/>
    <col min="5" max="5" width="7.5703125" customWidth="1"/>
    <col min="7" max="7" width="40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45659</v>
      </c>
      <c r="B2" t="s">
        <v>187</v>
      </c>
      <c r="C2" t="s">
        <v>189</v>
      </c>
      <c r="E2" t="s">
        <v>190</v>
      </c>
      <c r="F2" s="59">
        <v>1398</v>
      </c>
      <c r="G2" t="s">
        <v>191</v>
      </c>
      <c r="H2" t="s">
        <v>192</v>
      </c>
    </row>
    <row r="3" spans="1:8" x14ac:dyDescent="0.25">
      <c r="A3" s="9">
        <v>45660</v>
      </c>
      <c r="B3" t="s">
        <v>194</v>
      </c>
      <c r="C3" t="s">
        <v>196</v>
      </c>
      <c r="E3" t="s">
        <v>118</v>
      </c>
      <c r="F3" s="59">
        <v>952</v>
      </c>
      <c r="G3" t="s">
        <v>197</v>
      </c>
      <c r="H3" t="s">
        <v>198</v>
      </c>
    </row>
    <row r="4" spans="1:8" x14ac:dyDescent="0.25">
      <c r="A4" s="9">
        <v>45660</v>
      </c>
      <c r="B4" s="9" t="s">
        <v>200</v>
      </c>
      <c r="C4" t="s">
        <v>202</v>
      </c>
      <c r="E4" t="s">
        <v>119</v>
      </c>
      <c r="F4" s="59">
        <v>1037</v>
      </c>
      <c r="G4" t="s">
        <v>203</v>
      </c>
      <c r="H4" t="s">
        <v>222</v>
      </c>
    </row>
    <row r="5" spans="1:8" x14ac:dyDescent="0.25">
      <c r="A5" s="9">
        <v>45661</v>
      </c>
      <c r="B5" t="s">
        <v>205</v>
      </c>
      <c r="C5" t="s">
        <v>207</v>
      </c>
      <c r="E5" t="s">
        <v>118</v>
      </c>
      <c r="F5" s="59">
        <v>1414</v>
      </c>
      <c r="G5" t="s">
        <v>208</v>
      </c>
      <c r="H5" t="s">
        <v>223</v>
      </c>
    </row>
    <row r="6" spans="1:8" x14ac:dyDescent="0.25">
      <c r="A6" s="9">
        <v>45661</v>
      </c>
      <c r="B6" t="s">
        <v>210</v>
      </c>
      <c r="C6" t="s">
        <v>212</v>
      </c>
      <c r="E6" t="s">
        <v>213</v>
      </c>
      <c r="F6" s="59">
        <v>1825.9</v>
      </c>
      <c r="G6" t="s">
        <v>214</v>
      </c>
      <c r="H6" t="s">
        <v>215</v>
      </c>
    </row>
    <row r="7" spans="1:8" x14ac:dyDescent="0.25">
      <c r="A7" s="9">
        <v>45663</v>
      </c>
      <c r="B7" t="s">
        <v>217</v>
      </c>
      <c r="C7" t="s">
        <v>219</v>
      </c>
      <c r="E7" t="s">
        <v>118</v>
      </c>
      <c r="F7" s="59">
        <v>1594</v>
      </c>
      <c r="G7" t="s">
        <v>220</v>
      </c>
      <c r="H7" t="s">
        <v>221</v>
      </c>
    </row>
    <row r="8" spans="1:8" x14ac:dyDescent="0.25">
      <c r="A8" s="9">
        <v>45664</v>
      </c>
      <c r="B8" t="s">
        <v>225</v>
      </c>
      <c r="C8" t="s">
        <v>227</v>
      </c>
      <c r="E8" t="s">
        <v>190</v>
      </c>
      <c r="F8" s="59">
        <v>1816</v>
      </c>
      <c r="G8" t="s">
        <v>228</v>
      </c>
      <c r="H8" t="s">
        <v>229</v>
      </c>
    </row>
    <row r="9" spans="1:8" x14ac:dyDescent="0.25">
      <c r="A9" s="9">
        <v>45666</v>
      </c>
      <c r="B9" t="s">
        <v>231</v>
      </c>
      <c r="C9" t="s">
        <v>233</v>
      </c>
      <c r="E9" t="s">
        <v>118</v>
      </c>
      <c r="F9" s="59">
        <v>4062</v>
      </c>
      <c r="G9" t="s">
        <v>234</v>
      </c>
      <c r="H9" t="s">
        <v>223</v>
      </c>
    </row>
    <row r="10" spans="1:8" x14ac:dyDescent="0.25">
      <c r="A10" s="9">
        <v>45663</v>
      </c>
      <c r="B10" t="s">
        <v>236</v>
      </c>
      <c r="C10" t="s">
        <v>238</v>
      </c>
      <c r="E10" t="s">
        <v>190</v>
      </c>
      <c r="F10" s="59">
        <v>3266.83</v>
      </c>
      <c r="G10" t="s">
        <v>239</v>
      </c>
      <c r="H10" t="s">
        <v>223</v>
      </c>
    </row>
    <row r="11" spans="1:8" x14ac:dyDescent="0.25">
      <c r="A11" s="9">
        <v>45670</v>
      </c>
      <c r="B11" t="s">
        <v>241</v>
      </c>
      <c r="C11" t="s">
        <v>243</v>
      </c>
      <c r="E11" t="s">
        <v>190</v>
      </c>
      <c r="F11" s="59">
        <v>1083</v>
      </c>
      <c r="G11" t="s">
        <v>244</v>
      </c>
      <c r="H11" t="s">
        <v>245</v>
      </c>
    </row>
    <row r="12" spans="1:8" x14ac:dyDescent="0.25">
      <c r="A12" s="9">
        <v>45664</v>
      </c>
      <c r="B12" t="s">
        <v>248</v>
      </c>
      <c r="C12" t="s">
        <v>249</v>
      </c>
      <c r="E12" t="s">
        <v>118</v>
      </c>
      <c r="F12" s="59">
        <v>2684.5</v>
      </c>
      <c r="G12" t="s">
        <v>250</v>
      </c>
      <c r="H12" t="s">
        <v>273</v>
      </c>
    </row>
    <row r="13" spans="1:8" x14ac:dyDescent="0.25">
      <c r="A13" s="9">
        <v>45667</v>
      </c>
      <c r="B13" t="s">
        <v>252</v>
      </c>
      <c r="C13" t="s">
        <v>254</v>
      </c>
      <c r="E13" t="s">
        <v>118</v>
      </c>
      <c r="F13" s="59">
        <v>1101.5999999999999</v>
      </c>
      <c r="G13" t="s">
        <v>255</v>
      </c>
      <c r="H13" t="s">
        <v>223</v>
      </c>
    </row>
    <row r="14" spans="1:8" x14ac:dyDescent="0.25">
      <c r="A14" s="9">
        <v>45672</v>
      </c>
      <c r="B14" t="s">
        <v>257</v>
      </c>
      <c r="C14" t="s">
        <v>259</v>
      </c>
      <c r="E14" t="s">
        <v>118</v>
      </c>
      <c r="F14" s="59">
        <v>2762</v>
      </c>
      <c r="G14" t="s">
        <v>260</v>
      </c>
      <c r="H14" t="s">
        <v>261</v>
      </c>
    </row>
    <row r="15" spans="1:8" x14ac:dyDescent="0.25">
      <c r="A15" s="9">
        <v>45307</v>
      </c>
      <c r="B15" t="s">
        <v>263</v>
      </c>
      <c r="C15" t="s">
        <v>265</v>
      </c>
      <c r="E15" t="s">
        <v>118</v>
      </c>
      <c r="F15" s="59">
        <v>1151</v>
      </c>
      <c r="G15" t="s">
        <v>266</v>
      </c>
      <c r="H15" t="s">
        <v>267</v>
      </c>
    </row>
    <row r="16" spans="1:8" x14ac:dyDescent="0.25">
      <c r="A16" s="9">
        <v>45666</v>
      </c>
      <c r="B16" t="s">
        <v>269</v>
      </c>
      <c r="C16" t="s">
        <v>271</v>
      </c>
      <c r="E16" t="s">
        <v>118</v>
      </c>
      <c r="F16" s="59">
        <v>3466.7</v>
      </c>
      <c r="G16" t="s">
        <v>272</v>
      </c>
      <c r="H16" t="s">
        <v>223</v>
      </c>
    </row>
    <row r="17" spans="1:8" x14ac:dyDescent="0.25">
      <c r="A17" s="9">
        <v>45668</v>
      </c>
      <c r="B17" t="s">
        <v>275</v>
      </c>
      <c r="C17" t="s">
        <v>277</v>
      </c>
      <c r="E17" t="s">
        <v>118</v>
      </c>
      <c r="F17" s="59">
        <v>2526</v>
      </c>
      <c r="G17" t="s">
        <v>278</v>
      </c>
      <c r="H17" t="s">
        <v>279</v>
      </c>
    </row>
    <row r="18" spans="1:8" x14ac:dyDescent="0.25">
      <c r="A18" s="9">
        <v>45674</v>
      </c>
      <c r="B18" t="s">
        <v>281</v>
      </c>
      <c r="C18" t="s">
        <v>283</v>
      </c>
      <c r="E18" t="s">
        <v>190</v>
      </c>
      <c r="F18" s="59">
        <v>5113.28</v>
      </c>
      <c r="G18" t="s">
        <v>284</v>
      </c>
      <c r="H18" t="s">
        <v>295</v>
      </c>
    </row>
    <row r="19" spans="1:8" x14ac:dyDescent="0.25">
      <c r="A19" s="9">
        <v>45677</v>
      </c>
      <c r="B19" t="s">
        <v>286</v>
      </c>
      <c r="C19" t="s">
        <v>288</v>
      </c>
      <c r="E19" t="s">
        <v>190</v>
      </c>
      <c r="F19" s="59">
        <v>1134</v>
      </c>
      <c r="G19" t="s">
        <v>289</v>
      </c>
      <c r="H19" s="11" t="s">
        <v>296</v>
      </c>
    </row>
    <row r="20" spans="1:8" x14ac:dyDescent="0.25">
      <c r="A20" s="9">
        <v>45663</v>
      </c>
      <c r="B20" t="s">
        <v>291</v>
      </c>
      <c r="C20" t="s">
        <v>293</v>
      </c>
      <c r="E20" t="s">
        <v>118</v>
      </c>
      <c r="F20" s="59">
        <v>1801.48</v>
      </c>
      <c r="G20" t="s">
        <v>294</v>
      </c>
      <c r="H20" s="11" t="s">
        <v>309</v>
      </c>
    </row>
    <row r="21" spans="1:8" x14ac:dyDescent="0.25">
      <c r="A21" s="9">
        <v>45678</v>
      </c>
      <c r="B21" t="s">
        <v>298</v>
      </c>
      <c r="C21" t="s">
        <v>300</v>
      </c>
      <c r="E21" t="s">
        <v>118</v>
      </c>
      <c r="F21" s="59">
        <v>2698</v>
      </c>
      <c r="G21" t="s">
        <v>301</v>
      </c>
      <c r="H21" s="11" t="s">
        <v>310</v>
      </c>
    </row>
    <row r="22" spans="1:8" x14ac:dyDescent="0.25">
      <c r="A22" s="9">
        <v>45678</v>
      </c>
      <c r="B22" t="s">
        <v>303</v>
      </c>
      <c r="C22" t="s">
        <v>305</v>
      </c>
      <c r="E22" t="s">
        <v>190</v>
      </c>
      <c r="F22" s="59">
        <v>1135</v>
      </c>
      <c r="G22" t="s">
        <v>306</v>
      </c>
      <c r="H22" s="11" t="s">
        <v>295</v>
      </c>
    </row>
    <row r="23" spans="1:8" x14ac:dyDescent="0.25">
      <c r="A23" s="9">
        <v>45679</v>
      </c>
      <c r="B23" t="s">
        <v>275</v>
      </c>
      <c r="C23" t="s">
        <v>277</v>
      </c>
      <c r="E23" t="s">
        <v>118</v>
      </c>
      <c r="F23" s="59">
        <v>1178</v>
      </c>
      <c r="G23" t="s">
        <v>308</v>
      </c>
      <c r="H23" s="11" t="s">
        <v>316</v>
      </c>
    </row>
    <row r="24" spans="1:8" x14ac:dyDescent="0.25">
      <c r="A24" s="9">
        <v>45677</v>
      </c>
      <c r="B24" t="s">
        <v>312</v>
      </c>
      <c r="C24" t="s">
        <v>314</v>
      </c>
      <c r="E24" t="s">
        <v>118</v>
      </c>
      <c r="F24" s="59">
        <v>2916.75</v>
      </c>
      <c r="G24" t="s">
        <v>315</v>
      </c>
      <c r="H24" s="11" t="s">
        <v>192</v>
      </c>
    </row>
    <row r="25" spans="1:8" x14ac:dyDescent="0.25">
      <c r="A25" s="9">
        <v>45681</v>
      </c>
      <c r="B25" t="s">
        <v>318</v>
      </c>
      <c r="C25" t="s">
        <v>320</v>
      </c>
      <c r="E25" t="s">
        <v>190</v>
      </c>
      <c r="F25" s="59">
        <v>1050</v>
      </c>
      <c r="G25" t="s">
        <v>321</v>
      </c>
      <c r="H25" s="11" t="s">
        <v>322</v>
      </c>
    </row>
    <row r="26" spans="1:8" x14ac:dyDescent="0.25">
      <c r="A26" s="9">
        <v>45680</v>
      </c>
      <c r="B26" t="s">
        <v>324</v>
      </c>
      <c r="C26" t="s">
        <v>326</v>
      </c>
      <c r="E26" t="s">
        <v>190</v>
      </c>
      <c r="F26" s="59">
        <v>1417</v>
      </c>
      <c r="G26" t="s">
        <v>327</v>
      </c>
      <c r="H26" s="11" t="s">
        <v>339</v>
      </c>
    </row>
    <row r="27" spans="1:8" x14ac:dyDescent="0.25">
      <c r="A27" s="9">
        <v>45681</v>
      </c>
      <c r="B27" t="s">
        <v>329</v>
      </c>
      <c r="C27" t="s">
        <v>331</v>
      </c>
      <c r="E27" t="s">
        <v>118</v>
      </c>
      <c r="F27" s="59">
        <v>14055.72</v>
      </c>
      <c r="G27" t="s">
        <v>332</v>
      </c>
      <c r="H27" s="11" t="s">
        <v>333</v>
      </c>
    </row>
    <row r="28" spans="1:8" x14ac:dyDescent="0.25">
      <c r="A28" s="9">
        <v>45684</v>
      </c>
      <c r="B28" t="s">
        <v>335</v>
      </c>
      <c r="C28" t="s">
        <v>337</v>
      </c>
      <c r="E28" t="s">
        <v>118</v>
      </c>
      <c r="F28" s="59">
        <v>3634.17</v>
      </c>
      <c r="G28" t="s">
        <v>203</v>
      </c>
      <c r="H28" s="11" t="s">
        <v>338</v>
      </c>
    </row>
    <row r="29" spans="1:8" x14ac:dyDescent="0.25">
      <c r="A29" s="9">
        <v>45684</v>
      </c>
      <c r="B29" t="s">
        <v>341</v>
      </c>
      <c r="C29" t="s">
        <v>343</v>
      </c>
      <c r="E29" t="s">
        <v>190</v>
      </c>
      <c r="F29" s="59">
        <v>1383.6</v>
      </c>
      <c r="G29" t="s">
        <v>344</v>
      </c>
      <c r="H29" s="11" t="s">
        <v>192</v>
      </c>
    </row>
    <row r="30" spans="1:8" x14ac:dyDescent="0.25">
      <c r="A30" s="9">
        <v>45672</v>
      </c>
      <c r="B30" t="s">
        <v>346</v>
      </c>
      <c r="C30" t="s">
        <v>347</v>
      </c>
      <c r="E30" t="s">
        <v>118</v>
      </c>
      <c r="F30" s="59">
        <v>1560.05</v>
      </c>
      <c r="G30" t="s">
        <v>349</v>
      </c>
      <c r="H30" s="11" t="s">
        <v>365</v>
      </c>
    </row>
    <row r="31" spans="1:8" x14ac:dyDescent="0.25">
      <c r="A31" s="9">
        <v>45685</v>
      </c>
      <c r="B31" t="s">
        <v>351</v>
      </c>
      <c r="C31" t="s">
        <v>353</v>
      </c>
      <c r="E31" t="s">
        <v>190</v>
      </c>
      <c r="F31" s="59">
        <v>3339</v>
      </c>
      <c r="G31" t="s">
        <v>354</v>
      </c>
      <c r="H31" s="11" t="s">
        <v>366</v>
      </c>
    </row>
    <row r="32" spans="1:8" x14ac:dyDescent="0.25">
      <c r="A32" s="9">
        <v>45686</v>
      </c>
      <c r="B32" t="s">
        <v>356</v>
      </c>
      <c r="C32" t="s">
        <v>358</v>
      </c>
      <c r="E32" t="s">
        <v>118</v>
      </c>
      <c r="F32" s="59">
        <v>1741</v>
      </c>
      <c r="G32" t="s">
        <v>359</v>
      </c>
      <c r="H32" s="11" t="s">
        <v>221</v>
      </c>
    </row>
    <row r="33" spans="1:10" x14ac:dyDescent="0.25">
      <c r="A33" s="9">
        <v>45688</v>
      </c>
      <c r="B33" t="s">
        <v>361</v>
      </c>
      <c r="C33" t="s">
        <v>363</v>
      </c>
      <c r="E33" t="s">
        <v>190</v>
      </c>
      <c r="F33" s="59">
        <v>1729</v>
      </c>
      <c r="G33" t="s">
        <v>364</v>
      </c>
      <c r="H33" s="11" t="s">
        <v>223</v>
      </c>
    </row>
    <row r="34" spans="1:10" x14ac:dyDescent="0.25">
      <c r="A34" s="9">
        <v>45688</v>
      </c>
      <c r="B34" t="s">
        <v>381</v>
      </c>
      <c r="C34" t="s">
        <v>369</v>
      </c>
      <c r="E34" t="s">
        <v>118</v>
      </c>
      <c r="F34" s="59">
        <v>2557.8000000000002</v>
      </c>
      <c r="G34" t="s">
        <v>370</v>
      </c>
      <c r="H34" s="11" t="s">
        <v>192</v>
      </c>
    </row>
    <row r="35" spans="1:10" x14ac:dyDescent="0.25">
      <c r="A35" s="9">
        <v>45687</v>
      </c>
      <c r="B35" t="s">
        <v>426</v>
      </c>
      <c r="C35" t="s">
        <v>428</v>
      </c>
      <c r="E35" t="s">
        <v>190</v>
      </c>
      <c r="F35" s="59">
        <v>1795.6</v>
      </c>
      <c r="G35" t="s">
        <v>429</v>
      </c>
      <c r="H35" s="11" t="s">
        <v>295</v>
      </c>
    </row>
    <row r="36" spans="1:10" x14ac:dyDescent="0.25">
      <c r="A36" s="9">
        <v>45664</v>
      </c>
      <c r="B36" t="s">
        <v>590</v>
      </c>
      <c r="C36" t="s">
        <v>592</v>
      </c>
      <c r="E36" t="s">
        <v>118</v>
      </c>
      <c r="F36" s="59">
        <v>7671.17</v>
      </c>
      <c r="G36" t="s">
        <v>593</v>
      </c>
      <c r="H36" s="11" t="s">
        <v>568</v>
      </c>
    </row>
    <row r="37" spans="1:10" x14ac:dyDescent="0.25">
      <c r="A37" s="9"/>
      <c r="F37" s="59"/>
    </row>
    <row r="38" spans="1:10" x14ac:dyDescent="0.25">
      <c r="A38" s="9"/>
      <c r="F38" s="59"/>
    </row>
    <row r="39" spans="1:10" x14ac:dyDescent="0.25">
      <c r="A39" s="9"/>
      <c r="F39" s="59"/>
    </row>
    <row r="40" spans="1:10" x14ac:dyDescent="0.25">
      <c r="A40" s="9"/>
      <c r="F40" s="59"/>
    </row>
    <row r="41" spans="1:10" x14ac:dyDescent="0.25">
      <c r="A41" s="9"/>
      <c r="F41" s="59"/>
    </row>
    <row r="42" spans="1:10" x14ac:dyDescent="0.25">
      <c r="A42" s="9"/>
      <c r="F42" s="59"/>
    </row>
    <row r="43" spans="1:10" x14ac:dyDescent="0.25">
      <c r="A43" s="9"/>
      <c r="F43" s="59"/>
    </row>
    <row r="46" spans="1:10" ht="15.75" thickBot="1" x14ac:dyDescent="0.3">
      <c r="A46" s="99" t="s">
        <v>8</v>
      </c>
      <c r="B46" s="99"/>
      <c r="C46" s="99"/>
      <c r="D46" s="99"/>
      <c r="E46" s="99"/>
      <c r="F46" s="99"/>
      <c r="G46" s="7"/>
    </row>
    <row r="47" spans="1:10" x14ac:dyDescent="0.25">
      <c r="A47" s="8" t="s">
        <v>9</v>
      </c>
      <c r="B47" s="9"/>
      <c r="C47" s="10">
        <f>SUM(F2:F44)</f>
        <v>90051.150000000023</v>
      </c>
      <c r="D47" s="11"/>
      <c r="E47" s="12" t="s">
        <v>10</v>
      </c>
      <c r="F47" s="13"/>
      <c r="G47" s="7"/>
      <c r="H47" s="14" t="s">
        <v>11</v>
      </c>
      <c r="I47" s="15">
        <v>21</v>
      </c>
      <c r="J47" s="16"/>
    </row>
    <row r="48" spans="1:10" x14ac:dyDescent="0.25">
      <c r="A48" s="8"/>
      <c r="B48" s="9"/>
      <c r="C48" s="10"/>
      <c r="D48" s="11"/>
      <c r="E48" s="17" t="s">
        <v>12</v>
      </c>
      <c r="F48" s="18">
        <v>90051.150000000023</v>
      </c>
      <c r="G48" s="7"/>
      <c r="H48" s="17" t="s">
        <v>13</v>
      </c>
      <c r="I48" s="19">
        <v>5</v>
      </c>
      <c r="J48" s="20">
        <f>I48/I$47</f>
        <v>0.23809523809523808</v>
      </c>
    </row>
    <row r="49" spans="1:10" ht="15.75" thickBot="1" x14ac:dyDescent="0.3">
      <c r="A49" s="8" t="s">
        <v>14</v>
      </c>
      <c r="B49" s="9"/>
      <c r="C49" s="21">
        <v>26</v>
      </c>
      <c r="D49" s="11"/>
      <c r="E49" s="22" t="s">
        <v>15</v>
      </c>
      <c r="F49" s="23">
        <f>F48/C49</f>
        <v>3463.5057692307701</v>
      </c>
      <c r="G49" s="7"/>
      <c r="H49" s="17" t="s">
        <v>16</v>
      </c>
      <c r="I49" s="19">
        <v>16</v>
      </c>
      <c r="J49" s="20">
        <f>I49/I$47</f>
        <v>0.76190476190476186</v>
      </c>
    </row>
    <row r="50" spans="1:10" ht="15.75" thickBot="1" x14ac:dyDescent="0.3">
      <c r="A50" s="8" t="s">
        <v>17</v>
      </c>
      <c r="B50" s="9"/>
      <c r="C50">
        <v>41</v>
      </c>
      <c r="D50" s="11"/>
      <c r="E50" s="11"/>
      <c r="F50" s="24"/>
      <c r="G50" s="7"/>
      <c r="H50" s="22" t="s">
        <v>18</v>
      </c>
      <c r="I50" s="25">
        <v>1</v>
      </c>
      <c r="J50" s="26">
        <f>I50/I$47</f>
        <v>4.7619047619047616E-2</v>
      </c>
    </row>
    <row r="51" spans="1:10" x14ac:dyDescent="0.25">
      <c r="A51" s="8"/>
      <c r="B51" s="9"/>
      <c r="D51" s="11" t="s">
        <v>19</v>
      </c>
      <c r="E51" s="12" t="s">
        <v>20</v>
      </c>
      <c r="F51" s="13"/>
      <c r="G51" s="7"/>
    </row>
    <row r="52" spans="1:10" ht="15.75" thickBot="1" x14ac:dyDescent="0.3">
      <c r="A52" s="8" t="s">
        <v>21</v>
      </c>
      <c r="B52" s="9"/>
      <c r="C52">
        <v>39</v>
      </c>
      <c r="D52" s="11" t="s">
        <v>19</v>
      </c>
      <c r="E52" s="17" t="s">
        <v>22</v>
      </c>
      <c r="F52" s="20">
        <f>C52/C50</f>
        <v>0.95121951219512191</v>
      </c>
      <c r="G52" s="7"/>
    </row>
    <row r="53" spans="1:10" ht="15.75" thickBot="1" x14ac:dyDescent="0.3">
      <c r="A53" s="8" t="s">
        <v>23</v>
      </c>
      <c r="B53" s="9"/>
      <c r="C53">
        <v>2</v>
      </c>
      <c r="D53" s="11"/>
      <c r="E53" s="22" t="s">
        <v>24</v>
      </c>
      <c r="F53" s="26">
        <f>C53/C50</f>
        <v>4.878048780487805E-2</v>
      </c>
      <c r="G53" s="7"/>
      <c r="H53" s="14" t="s">
        <v>25</v>
      </c>
      <c r="I53" s="15">
        <v>22</v>
      </c>
      <c r="J53" s="16"/>
    </row>
    <row r="54" spans="1:10" ht="15.75" thickBot="1" x14ac:dyDescent="0.3">
      <c r="A54" s="8"/>
      <c r="B54" s="9"/>
      <c r="D54" s="11"/>
      <c r="E54" s="11"/>
      <c r="F54" s="24"/>
      <c r="G54" s="7"/>
      <c r="H54" s="27" t="s">
        <v>26</v>
      </c>
      <c r="I54" s="30">
        <v>11</v>
      </c>
      <c r="J54" s="20">
        <f>I54/I$53</f>
        <v>0.5</v>
      </c>
    </row>
    <row r="55" spans="1:10" x14ac:dyDescent="0.25">
      <c r="A55" s="8" t="s">
        <v>27</v>
      </c>
      <c r="B55" s="9"/>
      <c r="D55" s="11"/>
      <c r="E55" s="12" t="s">
        <v>28</v>
      </c>
      <c r="F55" s="13"/>
      <c r="G55" s="7"/>
      <c r="H55" s="27" t="s">
        <v>29</v>
      </c>
      <c r="I55" s="30">
        <v>5</v>
      </c>
      <c r="J55" s="20">
        <f>I55/I$53</f>
        <v>0.22727272727272727</v>
      </c>
    </row>
    <row r="56" spans="1:10" ht="15.75" thickBot="1" x14ac:dyDescent="0.3">
      <c r="A56" s="8" t="s">
        <v>30</v>
      </c>
      <c r="B56" s="9"/>
      <c r="C56">
        <v>4</v>
      </c>
      <c r="D56" s="11"/>
      <c r="E56" s="28" t="s">
        <v>30</v>
      </c>
      <c r="F56" s="20">
        <f>C56/C$65</f>
        <v>5.4794520547945202E-2</v>
      </c>
      <c r="G56" s="7"/>
      <c r="H56" s="29" t="s">
        <v>31</v>
      </c>
      <c r="I56" s="25">
        <v>5</v>
      </c>
      <c r="J56" s="26">
        <f>I56/I$53</f>
        <v>0.22727272727272727</v>
      </c>
    </row>
    <row r="57" spans="1:10" ht="15.75" thickBot="1" x14ac:dyDescent="0.3">
      <c r="A57" s="8" t="s">
        <v>11</v>
      </c>
      <c r="B57" s="9"/>
      <c r="C57">
        <v>21</v>
      </c>
      <c r="D57" s="11"/>
      <c r="E57" s="28" t="s">
        <v>11</v>
      </c>
      <c r="F57" s="20">
        <f t="shared" ref="F57:F64" si="0">C57/C$65</f>
        <v>0.28767123287671231</v>
      </c>
      <c r="G57" s="7"/>
    </row>
    <row r="58" spans="1:10" x14ac:dyDescent="0.25">
      <c r="A58" s="8" t="s">
        <v>32</v>
      </c>
      <c r="B58" s="9"/>
      <c r="C58">
        <v>22</v>
      </c>
      <c r="D58" s="11"/>
      <c r="E58" s="28" t="s">
        <v>32</v>
      </c>
      <c r="F58" s="20">
        <f t="shared" si="0"/>
        <v>0.30136986301369861</v>
      </c>
      <c r="G58" s="11" t="s">
        <v>19</v>
      </c>
      <c r="H58" s="14" t="s">
        <v>33</v>
      </c>
      <c r="I58" s="15">
        <v>2</v>
      </c>
      <c r="J58" s="13">
        <f t="shared" ref="J58:J69" si="1">I58/I$53</f>
        <v>9.0909090909090912E-2</v>
      </c>
    </row>
    <row r="59" spans="1:10" x14ac:dyDescent="0.25">
      <c r="A59" s="8" t="s">
        <v>34</v>
      </c>
      <c r="B59" s="9"/>
      <c r="C59">
        <v>1</v>
      </c>
      <c r="D59" s="11"/>
      <c r="E59" s="28" t="s">
        <v>34</v>
      </c>
      <c r="F59" s="20">
        <f t="shared" si="0"/>
        <v>1.3698630136986301E-2</v>
      </c>
      <c r="G59" s="7"/>
      <c r="H59" s="27" t="s">
        <v>35</v>
      </c>
      <c r="I59" s="30">
        <v>1</v>
      </c>
      <c r="J59" s="20">
        <f t="shared" si="1"/>
        <v>4.5454545454545456E-2</v>
      </c>
    </row>
    <row r="60" spans="1:10" x14ac:dyDescent="0.25">
      <c r="A60" s="8" t="s">
        <v>36</v>
      </c>
      <c r="B60" s="9"/>
      <c r="C60">
        <v>7</v>
      </c>
      <c r="D60" s="11"/>
      <c r="E60" s="28" t="s">
        <v>36</v>
      </c>
      <c r="F60" s="20">
        <f t="shared" si="0"/>
        <v>9.5890410958904104E-2</v>
      </c>
      <c r="G60" s="7"/>
      <c r="H60" s="27" t="s">
        <v>37</v>
      </c>
      <c r="I60" s="30">
        <v>2</v>
      </c>
      <c r="J60" s="20">
        <f t="shared" si="1"/>
        <v>9.0909090909090912E-2</v>
      </c>
    </row>
    <row r="61" spans="1:10" x14ac:dyDescent="0.25">
      <c r="A61" s="8" t="s">
        <v>38</v>
      </c>
      <c r="B61" s="9"/>
      <c r="C61">
        <v>3</v>
      </c>
      <c r="D61" s="11"/>
      <c r="E61" s="28" t="s">
        <v>38</v>
      </c>
      <c r="F61" s="20">
        <f t="shared" si="0"/>
        <v>4.1095890410958902E-2</v>
      </c>
      <c r="G61" s="7"/>
      <c r="H61" s="27" t="s">
        <v>39</v>
      </c>
      <c r="I61" s="30">
        <v>2</v>
      </c>
      <c r="J61" s="20">
        <f t="shared" si="1"/>
        <v>9.0909090909090912E-2</v>
      </c>
    </row>
    <row r="62" spans="1:10" x14ac:dyDescent="0.25">
      <c r="A62" s="8" t="s">
        <v>40</v>
      </c>
      <c r="B62" s="9"/>
      <c r="C62">
        <v>11</v>
      </c>
      <c r="D62" s="11"/>
      <c r="E62" s="28" t="s">
        <v>40</v>
      </c>
      <c r="F62" s="20">
        <f t="shared" si="0"/>
        <v>0.15068493150684931</v>
      </c>
      <c r="G62" s="7"/>
      <c r="H62" s="27" t="s">
        <v>41</v>
      </c>
      <c r="I62" s="30">
        <v>4</v>
      </c>
      <c r="J62" s="20">
        <f t="shared" si="1"/>
        <v>0.18181818181818182</v>
      </c>
    </row>
    <row r="63" spans="1:10" x14ac:dyDescent="0.25">
      <c r="A63" s="8" t="s">
        <v>42</v>
      </c>
      <c r="B63" s="9"/>
      <c r="C63">
        <v>0</v>
      </c>
      <c r="D63" s="11"/>
      <c r="E63" s="28" t="s">
        <v>42</v>
      </c>
      <c r="F63" s="20">
        <f t="shared" si="0"/>
        <v>0</v>
      </c>
      <c r="G63" s="7"/>
      <c r="H63" s="27" t="s">
        <v>43</v>
      </c>
      <c r="I63" s="30">
        <v>9</v>
      </c>
      <c r="J63" s="20">
        <f t="shared" si="1"/>
        <v>0.40909090909090912</v>
      </c>
    </row>
    <row r="64" spans="1:10" ht="15.75" thickBot="1" x14ac:dyDescent="0.3">
      <c r="A64" s="8" t="s">
        <v>44</v>
      </c>
      <c r="B64" s="9"/>
      <c r="C64">
        <v>4</v>
      </c>
      <c r="D64" s="11"/>
      <c r="E64" s="31" t="s">
        <v>44</v>
      </c>
      <c r="F64" s="26">
        <f t="shared" si="0"/>
        <v>5.4794520547945202E-2</v>
      </c>
      <c r="G64" s="11" t="s">
        <v>19</v>
      </c>
      <c r="H64" s="32" t="s">
        <v>45</v>
      </c>
      <c r="I64" s="30">
        <v>1</v>
      </c>
      <c r="J64" s="20">
        <f t="shared" si="1"/>
        <v>4.5454545454545456E-2</v>
      </c>
    </row>
    <row r="65" spans="1:10" ht="15.75" thickBot="1" x14ac:dyDescent="0.3">
      <c r="A65" s="8" t="s">
        <v>46</v>
      </c>
      <c r="B65" s="9"/>
      <c r="C65">
        <f>SUM(C56:C64)</f>
        <v>73</v>
      </c>
      <c r="D65" s="11"/>
      <c r="E65" s="8"/>
      <c r="F65" s="24"/>
      <c r="G65" s="7"/>
      <c r="H65" s="32" t="s">
        <v>47</v>
      </c>
      <c r="I65" s="30">
        <v>1</v>
      </c>
      <c r="J65" s="20">
        <f t="shared" si="1"/>
        <v>4.5454545454545456E-2</v>
      </c>
    </row>
    <row r="66" spans="1:10" x14ac:dyDescent="0.25">
      <c r="A66" s="8"/>
      <c r="B66" s="9"/>
      <c r="D66" s="11"/>
      <c r="E66" s="33" t="s">
        <v>48</v>
      </c>
      <c r="F66" s="13"/>
      <c r="G66" s="7"/>
      <c r="H66" s="32" t="s">
        <v>49</v>
      </c>
      <c r="I66" s="30">
        <v>0</v>
      </c>
      <c r="J66" s="20">
        <f t="shared" si="1"/>
        <v>0</v>
      </c>
    </row>
    <row r="67" spans="1:10" x14ac:dyDescent="0.25">
      <c r="A67" s="8" t="s">
        <v>50</v>
      </c>
      <c r="B67" s="9"/>
      <c r="D67" s="11"/>
      <c r="E67" s="28" t="s">
        <v>51</v>
      </c>
      <c r="F67" s="20">
        <f>C68/C$78</f>
        <v>0.16867469879518071</v>
      </c>
      <c r="G67" s="7"/>
      <c r="H67" s="27" t="s">
        <v>52</v>
      </c>
      <c r="I67" s="30">
        <v>0</v>
      </c>
      <c r="J67" s="20">
        <f t="shared" si="1"/>
        <v>0</v>
      </c>
    </row>
    <row r="68" spans="1:10" x14ac:dyDescent="0.25">
      <c r="A68" s="8" t="s">
        <v>51</v>
      </c>
      <c r="B68" s="9"/>
      <c r="C68">
        <v>14</v>
      </c>
      <c r="D68" s="11"/>
      <c r="E68" s="28" t="s">
        <v>53</v>
      </c>
      <c r="F68" s="20">
        <f t="shared" ref="F68:F76" si="2">C69/C$78</f>
        <v>0.2289156626506024</v>
      </c>
      <c r="G68" s="7"/>
      <c r="H68" s="32" t="s">
        <v>54</v>
      </c>
      <c r="I68" s="30">
        <v>0</v>
      </c>
      <c r="J68" s="20">
        <f t="shared" si="1"/>
        <v>0</v>
      </c>
    </row>
    <row r="69" spans="1:10" ht="15.75" thickBot="1" x14ac:dyDescent="0.3">
      <c r="A69" s="8" t="s">
        <v>53</v>
      </c>
      <c r="B69" s="9"/>
      <c r="C69">
        <v>19</v>
      </c>
      <c r="D69" s="11"/>
      <c r="E69" s="28" t="s">
        <v>55</v>
      </c>
      <c r="F69" s="20">
        <f t="shared" si="2"/>
        <v>0.20481927710843373</v>
      </c>
      <c r="G69" s="7"/>
      <c r="H69" s="34" t="s">
        <v>56</v>
      </c>
      <c r="I69" s="25">
        <v>0</v>
      </c>
      <c r="J69" s="26">
        <f t="shared" si="1"/>
        <v>0</v>
      </c>
    </row>
    <row r="70" spans="1:10" x14ac:dyDescent="0.25">
      <c r="A70" s="8" t="s">
        <v>55</v>
      </c>
      <c r="B70" s="9"/>
      <c r="C70">
        <v>17</v>
      </c>
      <c r="D70" s="11"/>
      <c r="E70" s="28" t="s">
        <v>57</v>
      </c>
      <c r="F70" s="20">
        <f t="shared" si="2"/>
        <v>0.16867469879518071</v>
      </c>
      <c r="G70" s="7"/>
    </row>
    <row r="71" spans="1:10" ht="15.75" thickBot="1" x14ac:dyDescent="0.3">
      <c r="A71" s="8" t="s">
        <v>57</v>
      </c>
      <c r="B71" s="9"/>
      <c r="C71">
        <v>14</v>
      </c>
      <c r="D71" s="11"/>
      <c r="E71" s="28" t="s">
        <v>58</v>
      </c>
      <c r="F71" s="20">
        <f t="shared" si="2"/>
        <v>8.4337349397590355E-2</v>
      </c>
      <c r="G71" s="11" t="s">
        <v>19</v>
      </c>
    </row>
    <row r="72" spans="1:10" x14ac:dyDescent="0.25">
      <c r="A72" s="8" t="s">
        <v>58</v>
      </c>
      <c r="B72" s="9"/>
      <c r="C72">
        <v>7</v>
      </c>
      <c r="D72" s="11"/>
      <c r="E72" s="28" t="s">
        <v>59</v>
      </c>
      <c r="F72" s="20">
        <f t="shared" si="2"/>
        <v>0</v>
      </c>
      <c r="G72" s="7"/>
      <c r="H72" s="14" t="s">
        <v>36</v>
      </c>
      <c r="I72" s="15">
        <v>7</v>
      </c>
      <c r="J72" s="16"/>
    </row>
    <row r="73" spans="1:10" x14ac:dyDescent="0.25">
      <c r="A73" s="8" t="s">
        <v>59</v>
      </c>
      <c r="B73" s="9"/>
      <c r="C73">
        <v>0</v>
      </c>
      <c r="D73" s="11"/>
      <c r="E73" s="28" t="s">
        <v>60</v>
      </c>
      <c r="F73" s="20">
        <f t="shared" si="2"/>
        <v>0</v>
      </c>
      <c r="G73" s="7"/>
      <c r="H73" s="27" t="s">
        <v>61</v>
      </c>
      <c r="I73" s="30">
        <v>3</v>
      </c>
      <c r="J73" s="20">
        <f>I73/I$72</f>
        <v>0.42857142857142855</v>
      </c>
    </row>
    <row r="74" spans="1:10" ht="15.75" thickBot="1" x14ac:dyDescent="0.3">
      <c r="A74" s="8" t="s">
        <v>60</v>
      </c>
      <c r="B74" s="9"/>
      <c r="C74">
        <v>0</v>
      </c>
      <c r="D74" s="11"/>
      <c r="E74" s="28" t="s">
        <v>62</v>
      </c>
      <c r="F74" s="20">
        <f t="shared" si="2"/>
        <v>0</v>
      </c>
      <c r="G74" s="7"/>
      <c r="H74" s="29" t="s">
        <v>63</v>
      </c>
      <c r="I74" s="25">
        <v>4</v>
      </c>
      <c r="J74" s="26">
        <f>I74/I$72</f>
        <v>0.5714285714285714</v>
      </c>
    </row>
    <row r="75" spans="1:10" x14ac:dyDescent="0.25">
      <c r="A75" s="8" t="s">
        <v>62</v>
      </c>
      <c r="B75" s="9"/>
      <c r="C75">
        <v>0</v>
      </c>
      <c r="D75" s="11"/>
      <c r="E75" s="28" t="s">
        <v>64</v>
      </c>
      <c r="F75" s="20">
        <f t="shared" si="2"/>
        <v>2.4096385542168676E-2</v>
      </c>
      <c r="G75" s="7"/>
    </row>
    <row r="76" spans="1:10" ht="15.75" thickBot="1" x14ac:dyDescent="0.3">
      <c r="A76" s="8" t="s">
        <v>64</v>
      </c>
      <c r="B76" s="9"/>
      <c r="C76">
        <v>2</v>
      </c>
      <c r="D76" s="11"/>
      <c r="E76" s="31" t="s">
        <v>65</v>
      </c>
      <c r="F76" s="26">
        <f t="shared" si="2"/>
        <v>0.12048192771084337</v>
      </c>
      <c r="G76" s="7"/>
    </row>
    <row r="77" spans="1:10" ht="15.75" thickBot="1" x14ac:dyDescent="0.3">
      <c r="A77" s="8" t="s">
        <v>65</v>
      </c>
      <c r="B77" s="9"/>
      <c r="C77">
        <v>10</v>
      </c>
      <c r="D77" s="11"/>
      <c r="E77" s="8"/>
      <c r="F77" s="24"/>
      <c r="G77" s="7"/>
      <c r="H77" s="14" t="s">
        <v>66</v>
      </c>
      <c r="I77" s="15">
        <v>2</v>
      </c>
      <c r="J77" s="16"/>
    </row>
    <row r="78" spans="1:10" x14ac:dyDescent="0.25">
      <c r="A78" s="8" t="s">
        <v>67</v>
      </c>
      <c r="B78" s="9"/>
      <c r="C78">
        <f>SUM(C68:C77)</f>
        <v>83</v>
      </c>
      <c r="D78" s="11"/>
      <c r="E78" s="33" t="s">
        <v>68</v>
      </c>
      <c r="F78" s="13"/>
      <c r="G78" s="7"/>
      <c r="H78" s="27" t="s">
        <v>69</v>
      </c>
      <c r="I78" s="19">
        <v>1</v>
      </c>
      <c r="J78" s="20">
        <f t="shared" ref="J78:J83" si="3">I78/I$77</f>
        <v>0.5</v>
      </c>
    </row>
    <row r="79" spans="1:10" x14ac:dyDescent="0.25">
      <c r="A79" s="8"/>
      <c r="B79" s="9"/>
      <c r="D79" s="11"/>
      <c r="E79" s="35" t="s">
        <v>70</v>
      </c>
      <c r="F79" s="20">
        <f>C80/C$50</f>
        <v>0.68292682926829273</v>
      </c>
      <c r="G79" s="7"/>
      <c r="H79" s="27" t="s">
        <v>71</v>
      </c>
      <c r="I79" s="19">
        <v>1</v>
      </c>
      <c r="J79" s="20">
        <f t="shared" si="3"/>
        <v>0.5</v>
      </c>
    </row>
    <row r="80" spans="1:10" x14ac:dyDescent="0.25">
      <c r="A80" s="8" t="s">
        <v>72</v>
      </c>
      <c r="B80" s="9"/>
      <c r="C80">
        <v>28</v>
      </c>
      <c r="D80" s="11"/>
      <c r="E80" s="35" t="s">
        <v>73</v>
      </c>
      <c r="F80" s="20">
        <f>C81/C$50</f>
        <v>7.3170731707317069E-2</v>
      </c>
      <c r="G80" s="7"/>
      <c r="H80" s="27" t="s">
        <v>74</v>
      </c>
      <c r="I80" s="19">
        <v>0</v>
      </c>
      <c r="J80" s="20">
        <f t="shared" si="3"/>
        <v>0</v>
      </c>
    </row>
    <row r="81" spans="1:10" ht="15.75" thickBot="1" x14ac:dyDescent="0.3">
      <c r="A81" s="8" t="s">
        <v>75</v>
      </c>
      <c r="B81" s="9"/>
      <c r="C81">
        <v>3</v>
      </c>
      <c r="D81" s="11"/>
      <c r="E81" s="36" t="s">
        <v>76</v>
      </c>
      <c r="F81" s="26">
        <f>C82/C$50</f>
        <v>0.24390243902439024</v>
      </c>
      <c r="G81" s="7"/>
      <c r="H81" s="27" t="s">
        <v>77</v>
      </c>
      <c r="I81" s="30">
        <v>0</v>
      </c>
      <c r="J81" s="20">
        <f t="shared" si="3"/>
        <v>0</v>
      </c>
    </row>
    <row r="82" spans="1:10" ht="15.75" thickBot="1" x14ac:dyDescent="0.3">
      <c r="A82" s="8" t="s">
        <v>78</v>
      </c>
      <c r="B82" s="9"/>
      <c r="C82">
        <v>10</v>
      </c>
      <c r="D82" s="11"/>
      <c r="E82" s="37"/>
      <c r="F82" s="24"/>
      <c r="G82" s="11" t="s">
        <v>19</v>
      </c>
      <c r="H82" s="27" t="s">
        <v>79</v>
      </c>
      <c r="I82" s="30">
        <v>0</v>
      </c>
      <c r="J82" s="20">
        <f t="shared" si="3"/>
        <v>0</v>
      </c>
    </row>
    <row r="83" spans="1:10" ht="15.75" thickBot="1" x14ac:dyDescent="0.3">
      <c r="A83" s="8"/>
      <c r="B83" s="9"/>
      <c r="D83" s="11"/>
      <c r="E83" s="38" t="s">
        <v>20</v>
      </c>
      <c r="F83" s="13"/>
      <c r="G83" s="7"/>
      <c r="H83" s="29" t="s">
        <v>80</v>
      </c>
      <c r="I83" s="25">
        <v>0</v>
      </c>
      <c r="J83" s="26">
        <f t="shared" si="3"/>
        <v>0</v>
      </c>
    </row>
    <row r="84" spans="1:10" x14ac:dyDescent="0.25">
      <c r="A84" s="8" t="s">
        <v>20</v>
      </c>
      <c r="B84" s="9"/>
      <c r="D84" s="11"/>
      <c r="E84" s="28" t="s">
        <v>81</v>
      </c>
      <c r="F84" s="20">
        <f>C85/C$50</f>
        <v>0.58536585365853655</v>
      </c>
      <c r="G84" s="7"/>
    </row>
    <row r="85" spans="1:10" ht="15.75" thickBot="1" x14ac:dyDescent="0.3">
      <c r="A85" s="8" t="s">
        <v>82</v>
      </c>
      <c r="B85" s="9"/>
      <c r="C85">
        <v>24</v>
      </c>
      <c r="D85" s="11"/>
      <c r="E85" s="31" t="s">
        <v>83</v>
      </c>
      <c r="F85" s="26">
        <f>C86/C$50</f>
        <v>0.41463414634146339</v>
      </c>
      <c r="G85" s="7"/>
    </row>
    <row r="86" spans="1:10" ht="15.75" thickBot="1" x14ac:dyDescent="0.3">
      <c r="A86" s="8" t="s">
        <v>83</v>
      </c>
      <c r="B86" s="9"/>
      <c r="C86">
        <v>17</v>
      </c>
      <c r="D86" s="11"/>
      <c r="E86" s="39"/>
      <c r="F86" s="40"/>
      <c r="G86" s="7"/>
      <c r="H86" s="14" t="s">
        <v>40</v>
      </c>
      <c r="I86" s="15">
        <v>11</v>
      </c>
      <c r="J86" s="16"/>
    </row>
    <row r="87" spans="1:10" x14ac:dyDescent="0.25">
      <c r="A87" s="8"/>
      <c r="B87" s="9"/>
      <c r="C87" t="s">
        <v>19</v>
      </c>
      <c r="D87" s="11"/>
      <c r="E87" s="14" t="s">
        <v>84</v>
      </c>
      <c r="F87" s="13"/>
      <c r="G87" s="7"/>
      <c r="H87" s="27" t="s">
        <v>85</v>
      </c>
      <c r="I87" s="30">
        <v>0</v>
      </c>
      <c r="J87" s="20">
        <f>I87/I$86</f>
        <v>0</v>
      </c>
    </row>
    <row r="88" spans="1:10" x14ac:dyDescent="0.25">
      <c r="A88" t="s">
        <v>84</v>
      </c>
      <c r="D88" s="11"/>
      <c r="E88" s="27" t="s">
        <v>86</v>
      </c>
      <c r="F88" s="20">
        <f>C89/C$86</f>
        <v>0.70588235294117652</v>
      </c>
      <c r="G88" s="7"/>
      <c r="H88" s="27" t="s">
        <v>87</v>
      </c>
      <c r="I88" s="30">
        <v>2</v>
      </c>
      <c r="J88" s="20">
        <f>I88/I$86</f>
        <v>0.18181818181818182</v>
      </c>
    </row>
    <row r="89" spans="1:10" ht="15.75" thickBot="1" x14ac:dyDescent="0.3">
      <c r="A89" t="s">
        <v>86</v>
      </c>
      <c r="C89">
        <v>12</v>
      </c>
      <c r="D89" s="11"/>
      <c r="E89" s="29" t="s">
        <v>88</v>
      </c>
      <c r="F89" s="26">
        <f>C90/C$86</f>
        <v>0.29411764705882354</v>
      </c>
      <c r="G89" s="7"/>
      <c r="H89" s="27" t="s">
        <v>89</v>
      </c>
      <c r="I89" s="30">
        <v>2</v>
      </c>
      <c r="J89" s="20">
        <f>I89/I$86</f>
        <v>0.18181818181818182</v>
      </c>
    </row>
    <row r="90" spans="1:10" ht="15.75" thickBot="1" x14ac:dyDescent="0.3">
      <c r="A90" t="s">
        <v>88</v>
      </c>
      <c r="C90">
        <v>5</v>
      </c>
      <c r="D90" s="11"/>
      <c r="E90" s="39"/>
      <c r="F90" s="40"/>
      <c r="G90" s="7"/>
      <c r="H90" s="27" t="s">
        <v>90</v>
      </c>
      <c r="I90" s="30">
        <v>3</v>
      </c>
      <c r="J90" s="20">
        <f>I90/I$86</f>
        <v>0.27272727272727271</v>
      </c>
    </row>
    <row r="91" spans="1:10" ht="15.75" thickBot="1" x14ac:dyDescent="0.3">
      <c r="A91" s="8"/>
      <c r="B91" s="9"/>
      <c r="D91" s="11"/>
      <c r="E91" s="33" t="s">
        <v>91</v>
      </c>
      <c r="F91" s="13"/>
      <c r="G91" s="7"/>
      <c r="H91" s="29" t="s">
        <v>92</v>
      </c>
      <c r="I91" s="25">
        <v>4</v>
      </c>
      <c r="J91" s="26">
        <f>I91/I$86</f>
        <v>0.36363636363636365</v>
      </c>
    </row>
    <row r="92" spans="1:10" x14ac:dyDescent="0.25">
      <c r="A92" s="8" t="s">
        <v>93</v>
      </c>
      <c r="B92" s="9"/>
      <c r="D92" s="11"/>
      <c r="E92" s="28" t="s">
        <v>94</v>
      </c>
      <c r="F92" s="20">
        <f t="shared" ref="F92:F97" si="4">C93/C$50</f>
        <v>0.48780487804878048</v>
      </c>
      <c r="G92" s="7"/>
    </row>
    <row r="93" spans="1:10" ht="15.75" thickBot="1" x14ac:dyDescent="0.3">
      <c r="A93" s="8" t="s">
        <v>94</v>
      </c>
      <c r="B93" s="9"/>
      <c r="C93">
        <v>20</v>
      </c>
      <c r="D93" s="11"/>
      <c r="E93" s="17" t="s">
        <v>95</v>
      </c>
      <c r="F93" s="20">
        <f t="shared" si="4"/>
        <v>7.3170731707317069E-2</v>
      </c>
      <c r="G93" s="7"/>
    </row>
    <row r="94" spans="1:10" x14ac:dyDescent="0.25">
      <c r="A94" s="8" t="s">
        <v>95</v>
      </c>
      <c r="B94" s="9"/>
      <c r="C94">
        <v>3</v>
      </c>
      <c r="D94" s="11"/>
      <c r="E94" s="17" t="s">
        <v>96</v>
      </c>
      <c r="F94" s="20">
        <f t="shared" si="4"/>
        <v>0</v>
      </c>
      <c r="G94" s="7"/>
      <c r="H94" s="14" t="s">
        <v>44</v>
      </c>
      <c r="I94" s="15">
        <v>4</v>
      </c>
      <c r="J94" s="16"/>
    </row>
    <row r="95" spans="1:10" x14ac:dyDescent="0.25">
      <c r="A95" s="8" t="s">
        <v>96</v>
      </c>
      <c r="B95" s="9"/>
      <c r="C95">
        <v>0</v>
      </c>
      <c r="D95" s="11"/>
      <c r="E95" s="17" t="s">
        <v>97</v>
      </c>
      <c r="F95" s="20">
        <f t="shared" si="4"/>
        <v>0</v>
      </c>
      <c r="G95" s="7"/>
      <c r="H95" s="27" t="s">
        <v>98</v>
      </c>
      <c r="I95" s="19">
        <v>0</v>
      </c>
      <c r="J95" s="20">
        <f>I95/I$94</f>
        <v>0</v>
      </c>
    </row>
    <row r="96" spans="1:10" x14ac:dyDescent="0.25">
      <c r="A96" s="8" t="s">
        <v>97</v>
      </c>
      <c r="B96" s="9"/>
      <c r="C96">
        <v>0</v>
      </c>
      <c r="D96" s="11"/>
      <c r="E96" s="17" t="s">
        <v>99</v>
      </c>
      <c r="F96" s="20">
        <f t="shared" si="4"/>
        <v>0.41463414634146339</v>
      </c>
      <c r="G96" s="7"/>
      <c r="H96" s="27" t="s">
        <v>100</v>
      </c>
      <c r="I96" s="19">
        <v>2</v>
      </c>
      <c r="J96" s="20">
        <f t="shared" ref="J96:J104" si="5">I96/I$94</f>
        <v>0.5</v>
      </c>
    </row>
    <row r="97" spans="1:10" ht="15.75" thickBot="1" x14ac:dyDescent="0.3">
      <c r="A97" s="8" t="s">
        <v>99</v>
      </c>
      <c r="B97" s="9"/>
      <c r="C97">
        <v>17</v>
      </c>
      <c r="D97" s="11"/>
      <c r="E97" s="22" t="s">
        <v>44</v>
      </c>
      <c r="F97" s="26">
        <f t="shared" si="4"/>
        <v>2.4390243902439025E-2</v>
      </c>
      <c r="G97" s="7"/>
      <c r="H97" s="27" t="s">
        <v>101</v>
      </c>
      <c r="I97" s="30">
        <v>0</v>
      </c>
      <c r="J97" s="20">
        <f t="shared" si="5"/>
        <v>0</v>
      </c>
    </row>
    <row r="98" spans="1:10" ht="15.75" thickBot="1" x14ac:dyDescent="0.3">
      <c r="A98" s="8" t="s">
        <v>44</v>
      </c>
      <c r="B98" s="9"/>
      <c r="C98">
        <v>1</v>
      </c>
      <c r="D98" s="11"/>
      <c r="E98" s="11"/>
      <c r="F98" s="24"/>
      <c r="G98" s="7"/>
      <c r="H98" s="27" t="s">
        <v>102</v>
      </c>
      <c r="I98" s="30">
        <v>0</v>
      </c>
      <c r="J98" s="20">
        <f t="shared" si="5"/>
        <v>0</v>
      </c>
    </row>
    <row r="99" spans="1:10" x14ac:dyDescent="0.25">
      <c r="A99" s="8"/>
      <c r="B99" s="9"/>
      <c r="D99" s="11"/>
      <c r="E99" s="12" t="s">
        <v>103</v>
      </c>
      <c r="F99" s="13"/>
      <c r="G99" s="7"/>
      <c r="H99" s="27" t="s">
        <v>104</v>
      </c>
      <c r="I99" s="30">
        <v>1</v>
      </c>
      <c r="J99" s="20">
        <f t="shared" si="5"/>
        <v>0.25</v>
      </c>
    </row>
    <row r="100" spans="1:10" x14ac:dyDescent="0.25">
      <c r="A100" s="8" t="s">
        <v>105</v>
      </c>
      <c r="B100" s="9"/>
      <c r="C100">
        <v>5</v>
      </c>
      <c r="D100" s="11"/>
      <c r="E100" s="17" t="s">
        <v>106</v>
      </c>
      <c r="F100" s="20">
        <f>C101/C$50</f>
        <v>0.75609756097560976</v>
      </c>
      <c r="G100" s="7"/>
      <c r="H100" s="41" t="s">
        <v>107</v>
      </c>
      <c r="I100" s="30">
        <v>1</v>
      </c>
      <c r="J100" s="20">
        <f t="shared" si="5"/>
        <v>0.25</v>
      </c>
    </row>
    <row r="101" spans="1:10" x14ac:dyDescent="0.25">
      <c r="A101" s="8" t="s">
        <v>106</v>
      </c>
      <c r="B101" s="9"/>
      <c r="C101">
        <v>31</v>
      </c>
      <c r="D101" s="11"/>
      <c r="E101" s="17" t="s">
        <v>108</v>
      </c>
      <c r="F101" s="20">
        <f>C102/C$50</f>
        <v>9.7560975609756101E-2</v>
      </c>
      <c r="G101" s="7"/>
      <c r="H101" s="41" t="s">
        <v>109</v>
      </c>
      <c r="I101" s="30">
        <v>0</v>
      </c>
      <c r="J101" s="20">
        <f t="shared" si="5"/>
        <v>0</v>
      </c>
    </row>
    <row r="102" spans="1:10" x14ac:dyDescent="0.25">
      <c r="A102" s="8" t="s">
        <v>108</v>
      </c>
      <c r="B102" s="9"/>
      <c r="C102">
        <v>4</v>
      </c>
      <c r="D102" s="11"/>
      <c r="E102" s="17" t="s">
        <v>110</v>
      </c>
      <c r="F102" s="20">
        <f>C103/C$50</f>
        <v>9.7560975609756101E-2</v>
      </c>
      <c r="G102" s="7"/>
      <c r="H102" s="41" t="s">
        <v>111</v>
      </c>
      <c r="I102" s="30">
        <v>0</v>
      </c>
      <c r="J102" s="20">
        <f t="shared" si="5"/>
        <v>0</v>
      </c>
    </row>
    <row r="103" spans="1:10" x14ac:dyDescent="0.25">
      <c r="A103" s="8" t="s">
        <v>110</v>
      </c>
      <c r="B103" s="9"/>
      <c r="C103">
        <v>4</v>
      </c>
      <c r="D103" s="11"/>
      <c r="E103" s="17" t="s">
        <v>112</v>
      </c>
      <c r="F103" s="20">
        <f>C104/C$50</f>
        <v>0</v>
      </c>
      <c r="G103" s="7"/>
      <c r="H103" s="41" t="s">
        <v>113</v>
      </c>
      <c r="I103" s="30">
        <v>0</v>
      </c>
      <c r="J103" s="20">
        <f t="shared" si="5"/>
        <v>0</v>
      </c>
    </row>
    <row r="104" spans="1:10" ht="15.75" thickBot="1" x14ac:dyDescent="0.3">
      <c r="A104" s="8" t="s">
        <v>112</v>
      </c>
      <c r="B104" s="9"/>
      <c r="E104" s="22" t="s">
        <v>114</v>
      </c>
      <c r="F104" s="26">
        <f>C105/C$50</f>
        <v>0</v>
      </c>
      <c r="H104" s="42" t="s">
        <v>115</v>
      </c>
      <c r="I104" s="25">
        <v>0</v>
      </c>
      <c r="J104" s="26">
        <f t="shared" si="5"/>
        <v>0</v>
      </c>
    </row>
    <row r="105" spans="1:10" x14ac:dyDescent="0.25">
      <c r="A105" s="8" t="s">
        <v>114</v>
      </c>
      <c r="B105" s="9"/>
      <c r="E105" s="11"/>
      <c r="F105" s="24"/>
    </row>
    <row r="106" spans="1:10" x14ac:dyDescent="0.25">
      <c r="A106" s="8" t="s">
        <v>116</v>
      </c>
      <c r="B106" s="9"/>
      <c r="E106" s="11"/>
      <c r="F106" s="24"/>
    </row>
    <row r="107" spans="1:10" x14ac:dyDescent="0.25">
      <c r="A107" s="8"/>
      <c r="B107" s="9"/>
      <c r="E107" s="11"/>
      <c r="F107" s="24"/>
    </row>
    <row r="108" spans="1:10" ht="15.75" thickBot="1" x14ac:dyDescent="0.3"/>
    <row r="109" spans="1:10" x14ac:dyDescent="0.25">
      <c r="A109" s="43" t="s">
        <v>117</v>
      </c>
      <c r="B109" s="82">
        <f>SUM(B110:B113)</f>
        <v>90051.15</v>
      </c>
    </row>
    <row r="110" spans="1:10" x14ac:dyDescent="0.25">
      <c r="A110" s="44" t="s">
        <v>94</v>
      </c>
      <c r="B110" s="45">
        <f>SUM(F3,F5,F7:F9,F11,F13,F15:F16,F18:F19,F21:F23,F28:F29,F32,F35:F36,F39,)</f>
        <v>44124.119999999995</v>
      </c>
    </row>
    <row r="111" spans="1:10" x14ac:dyDescent="0.25">
      <c r="A111" s="44" t="s">
        <v>118</v>
      </c>
      <c r="B111" s="45">
        <f>SUM(F2,F4,F10,F14,F17,F20,F24:F25,F30:F31,F33:F34,F37:F38,F40:F42,)</f>
        <v>25943.909999999996</v>
      </c>
    </row>
    <row r="112" spans="1:10" x14ac:dyDescent="0.25">
      <c r="A112" s="44" t="s">
        <v>119</v>
      </c>
      <c r="B112" s="45">
        <f>SUM(F6,F12,F27,)</f>
        <v>18566.12</v>
      </c>
    </row>
    <row r="113" spans="1:2" x14ac:dyDescent="0.25">
      <c r="A113" s="44" t="s">
        <v>44</v>
      </c>
      <c r="B113" s="46">
        <f>SUM(F26,,)</f>
        <v>1417</v>
      </c>
    </row>
    <row r="114" spans="1:2" ht="15.75" thickBot="1" x14ac:dyDescent="0.3">
      <c r="A114" s="47"/>
      <c r="B114" s="48"/>
    </row>
  </sheetData>
  <mergeCells count="1">
    <mergeCell ref="A46:F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opLeftCell="A63" workbookViewId="0">
      <selection activeCell="B110" sqref="B110"/>
    </sheetView>
  </sheetViews>
  <sheetFormatPr baseColWidth="10" defaultRowHeight="15" x14ac:dyDescent="0.25"/>
  <cols>
    <col min="2" max="2" width="37.42578125" customWidth="1"/>
    <col min="3" max="3" width="12" customWidth="1"/>
    <col min="4" max="4" width="5.7109375" customWidth="1"/>
    <col min="5" max="5" width="7.42578125" customWidth="1"/>
    <col min="7" max="7" width="38.710937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45689</v>
      </c>
      <c r="B2" t="s">
        <v>372</v>
      </c>
      <c r="C2" t="s">
        <v>638</v>
      </c>
      <c r="D2" t="s">
        <v>22</v>
      </c>
      <c r="E2" t="s">
        <v>118</v>
      </c>
      <c r="F2" s="59">
        <v>1122</v>
      </c>
      <c r="G2" t="s">
        <v>375</v>
      </c>
      <c r="H2" s="11" t="s">
        <v>388</v>
      </c>
    </row>
    <row r="3" spans="1:8" x14ac:dyDescent="0.25">
      <c r="A3" s="9">
        <v>45692</v>
      </c>
      <c r="B3" t="s">
        <v>377</v>
      </c>
      <c r="C3" t="s">
        <v>106</v>
      </c>
      <c r="D3" t="s">
        <v>22</v>
      </c>
      <c r="E3" t="s">
        <v>190</v>
      </c>
      <c r="F3" s="59">
        <v>1183</v>
      </c>
      <c r="G3" t="s">
        <v>380</v>
      </c>
      <c r="H3" s="11" t="s">
        <v>387</v>
      </c>
    </row>
    <row r="4" spans="1:8" x14ac:dyDescent="0.25">
      <c r="A4" s="9">
        <v>45692</v>
      </c>
      <c r="B4" t="s">
        <v>383</v>
      </c>
      <c r="C4" t="s">
        <v>106</v>
      </c>
      <c r="D4" t="s">
        <v>24</v>
      </c>
      <c r="E4" t="s">
        <v>118</v>
      </c>
      <c r="F4" s="59">
        <v>1595</v>
      </c>
      <c r="G4" t="s">
        <v>386</v>
      </c>
      <c r="H4" s="11" t="s">
        <v>295</v>
      </c>
    </row>
    <row r="5" spans="1:8" x14ac:dyDescent="0.25">
      <c r="A5" s="9">
        <v>45693</v>
      </c>
      <c r="B5" t="s">
        <v>377</v>
      </c>
      <c r="C5" t="s">
        <v>106</v>
      </c>
      <c r="D5" t="s">
        <v>22</v>
      </c>
      <c r="E5" t="s">
        <v>190</v>
      </c>
      <c r="F5" s="59">
        <v>2118.17</v>
      </c>
      <c r="G5" t="s">
        <v>390</v>
      </c>
      <c r="H5" s="11" t="s">
        <v>387</v>
      </c>
    </row>
    <row r="6" spans="1:8" x14ac:dyDescent="0.25">
      <c r="A6" s="9">
        <v>45693</v>
      </c>
      <c r="B6" t="s">
        <v>392</v>
      </c>
      <c r="C6" t="s">
        <v>106</v>
      </c>
      <c r="D6" t="s">
        <v>22</v>
      </c>
      <c r="E6" t="s">
        <v>190</v>
      </c>
      <c r="F6" s="59">
        <v>1852</v>
      </c>
      <c r="G6" t="s">
        <v>395</v>
      </c>
      <c r="H6" s="11" t="s">
        <v>396</v>
      </c>
    </row>
    <row r="7" spans="1:8" x14ac:dyDescent="0.25">
      <c r="A7" s="9">
        <v>45695</v>
      </c>
      <c r="B7" t="s">
        <v>398</v>
      </c>
      <c r="C7" t="s">
        <v>106</v>
      </c>
      <c r="D7" t="s">
        <v>22</v>
      </c>
      <c r="E7" t="s">
        <v>190</v>
      </c>
      <c r="F7" s="59">
        <v>1083</v>
      </c>
      <c r="G7" t="s">
        <v>401</v>
      </c>
      <c r="H7" s="11" t="s">
        <v>402</v>
      </c>
    </row>
    <row r="8" spans="1:8" x14ac:dyDescent="0.25">
      <c r="A8" s="9">
        <v>45695</v>
      </c>
      <c r="B8" t="s">
        <v>404</v>
      </c>
      <c r="C8" t="s">
        <v>638</v>
      </c>
      <c r="D8" t="s">
        <v>22</v>
      </c>
      <c r="E8" t="s">
        <v>118</v>
      </c>
      <c r="F8" s="59">
        <v>1528</v>
      </c>
      <c r="G8" t="s">
        <v>407</v>
      </c>
      <c r="H8" s="11" t="s">
        <v>408</v>
      </c>
    </row>
    <row r="9" spans="1:8" x14ac:dyDescent="0.25">
      <c r="A9" s="9">
        <v>45696</v>
      </c>
      <c r="B9" t="s">
        <v>410</v>
      </c>
      <c r="C9" t="s">
        <v>639</v>
      </c>
      <c r="D9" t="s">
        <v>22</v>
      </c>
      <c r="E9" t="s">
        <v>413</v>
      </c>
      <c r="F9" s="59">
        <v>2456</v>
      </c>
      <c r="G9" t="s">
        <v>414</v>
      </c>
      <c r="H9" s="11" t="s">
        <v>223</v>
      </c>
    </row>
    <row r="10" spans="1:8" x14ac:dyDescent="0.25">
      <c r="A10" s="9">
        <v>45699</v>
      </c>
      <c r="B10" t="s">
        <v>416</v>
      </c>
      <c r="C10" t="s">
        <v>640</v>
      </c>
      <c r="D10" t="s">
        <v>22</v>
      </c>
      <c r="E10" t="s">
        <v>119</v>
      </c>
      <c r="F10" s="59">
        <v>950</v>
      </c>
      <c r="G10" t="s">
        <v>419</v>
      </c>
      <c r="H10" s="11" t="s">
        <v>430</v>
      </c>
    </row>
    <row r="11" spans="1:8" x14ac:dyDescent="0.25">
      <c r="A11" s="9">
        <v>45699</v>
      </c>
      <c r="B11" t="s">
        <v>421</v>
      </c>
      <c r="C11" t="s">
        <v>106</v>
      </c>
      <c r="D11" t="s">
        <v>22</v>
      </c>
      <c r="E11" t="s">
        <v>118</v>
      </c>
      <c r="F11" s="59">
        <v>5816</v>
      </c>
      <c r="G11" t="s">
        <v>424</v>
      </c>
      <c r="H11" s="11" t="s">
        <v>223</v>
      </c>
    </row>
    <row r="12" spans="1:8" x14ac:dyDescent="0.25">
      <c r="A12" s="9">
        <v>45698</v>
      </c>
      <c r="B12" t="s">
        <v>432</v>
      </c>
      <c r="C12" t="s">
        <v>106</v>
      </c>
      <c r="D12" t="s">
        <v>22</v>
      </c>
      <c r="E12" t="s">
        <v>118</v>
      </c>
      <c r="F12" s="59">
        <v>1053</v>
      </c>
      <c r="G12" t="s">
        <v>435</v>
      </c>
      <c r="H12" s="11" t="s">
        <v>322</v>
      </c>
    </row>
    <row r="13" spans="1:8" x14ac:dyDescent="0.25">
      <c r="A13" s="9">
        <v>45700</v>
      </c>
      <c r="B13" t="s">
        <v>437</v>
      </c>
      <c r="C13" t="s">
        <v>106</v>
      </c>
      <c r="D13" t="s">
        <v>22</v>
      </c>
      <c r="E13" t="s">
        <v>118</v>
      </c>
      <c r="F13" s="59">
        <v>1788</v>
      </c>
      <c r="G13" t="s">
        <v>440</v>
      </c>
      <c r="H13" s="11" t="s">
        <v>446</v>
      </c>
    </row>
    <row r="14" spans="1:8" x14ac:dyDescent="0.25">
      <c r="A14" s="9">
        <v>45701</v>
      </c>
      <c r="B14" t="s">
        <v>442</v>
      </c>
      <c r="C14" t="s">
        <v>640</v>
      </c>
      <c r="D14" t="s">
        <v>22</v>
      </c>
      <c r="E14" t="s">
        <v>119</v>
      </c>
      <c r="F14" s="59">
        <v>2240</v>
      </c>
      <c r="G14" t="s">
        <v>445</v>
      </c>
      <c r="H14" s="11" t="s">
        <v>447</v>
      </c>
    </row>
    <row r="15" spans="1:8" x14ac:dyDescent="0.25">
      <c r="A15" s="9">
        <v>45694</v>
      </c>
      <c r="B15" t="s">
        <v>449</v>
      </c>
      <c r="C15" t="s">
        <v>106</v>
      </c>
      <c r="D15" t="s">
        <v>22</v>
      </c>
      <c r="E15" t="s">
        <v>190</v>
      </c>
      <c r="F15" s="59">
        <v>6282</v>
      </c>
      <c r="G15" t="s">
        <v>452</v>
      </c>
      <c r="H15" s="11" t="s">
        <v>316</v>
      </c>
    </row>
    <row r="16" spans="1:8" x14ac:dyDescent="0.25">
      <c r="A16" s="9">
        <v>45702</v>
      </c>
      <c r="B16" t="s">
        <v>275</v>
      </c>
      <c r="C16" t="s">
        <v>106</v>
      </c>
      <c r="D16" t="s">
        <v>22</v>
      </c>
      <c r="E16" t="s">
        <v>118</v>
      </c>
      <c r="F16" s="59">
        <v>1091.72</v>
      </c>
      <c r="G16" t="s">
        <v>454</v>
      </c>
      <c r="H16" s="11" t="s">
        <v>470</v>
      </c>
    </row>
    <row r="17" spans="1:8" x14ac:dyDescent="0.25">
      <c r="A17" s="9">
        <v>45701</v>
      </c>
      <c r="B17" t="s">
        <v>456</v>
      </c>
      <c r="C17" t="s">
        <v>106</v>
      </c>
      <c r="D17" t="s">
        <v>22</v>
      </c>
      <c r="E17" t="s">
        <v>118</v>
      </c>
      <c r="F17" s="59">
        <v>704.74</v>
      </c>
      <c r="G17" t="s">
        <v>459</v>
      </c>
      <c r="H17" s="11" t="s">
        <v>295</v>
      </c>
    </row>
    <row r="18" spans="1:8" x14ac:dyDescent="0.25">
      <c r="A18" s="9">
        <v>45705</v>
      </c>
      <c r="B18" t="s">
        <v>461</v>
      </c>
      <c r="C18" t="s">
        <v>106</v>
      </c>
      <c r="D18" t="s">
        <v>24</v>
      </c>
      <c r="E18" t="s">
        <v>190</v>
      </c>
      <c r="F18" s="59">
        <v>7238.4</v>
      </c>
      <c r="G18" t="s">
        <v>464</v>
      </c>
      <c r="H18" s="11" t="s">
        <v>471</v>
      </c>
    </row>
    <row r="19" spans="1:8" x14ac:dyDescent="0.25">
      <c r="A19" s="9">
        <v>45692</v>
      </c>
      <c r="B19" t="s">
        <v>466</v>
      </c>
      <c r="C19" t="s">
        <v>106</v>
      </c>
      <c r="D19" t="s">
        <v>22</v>
      </c>
      <c r="E19" t="s">
        <v>190</v>
      </c>
      <c r="F19" s="59">
        <v>1574.4</v>
      </c>
      <c r="G19" t="s">
        <v>469</v>
      </c>
      <c r="H19" s="11" t="s">
        <v>316</v>
      </c>
    </row>
    <row r="20" spans="1:8" x14ac:dyDescent="0.25">
      <c r="A20" s="9">
        <v>45706</v>
      </c>
      <c r="B20" t="s">
        <v>383</v>
      </c>
      <c r="C20" t="s">
        <v>106</v>
      </c>
      <c r="D20" t="s">
        <v>24</v>
      </c>
      <c r="E20" t="s">
        <v>118</v>
      </c>
      <c r="F20" s="59">
        <v>5104</v>
      </c>
      <c r="G20" t="s">
        <v>474</v>
      </c>
      <c r="H20" s="11" t="s">
        <v>322</v>
      </c>
    </row>
    <row r="21" spans="1:8" x14ac:dyDescent="0.25">
      <c r="A21" s="9">
        <v>45695</v>
      </c>
      <c r="B21" t="s">
        <v>476</v>
      </c>
      <c r="C21" t="s">
        <v>106</v>
      </c>
      <c r="D21" t="s">
        <v>22</v>
      </c>
      <c r="E21" t="s">
        <v>119</v>
      </c>
      <c r="F21" s="59">
        <v>3198</v>
      </c>
      <c r="G21" t="s">
        <v>479</v>
      </c>
      <c r="H21" s="11" t="s">
        <v>480</v>
      </c>
    </row>
    <row r="22" spans="1:8" x14ac:dyDescent="0.25">
      <c r="A22" s="9">
        <v>45701</v>
      </c>
      <c r="B22" t="s">
        <v>482</v>
      </c>
      <c r="C22" t="s">
        <v>106</v>
      </c>
      <c r="D22" t="s">
        <v>22</v>
      </c>
      <c r="E22" t="s">
        <v>118</v>
      </c>
      <c r="F22" s="59">
        <v>4207.8</v>
      </c>
      <c r="G22" t="s">
        <v>485</v>
      </c>
      <c r="H22" s="11" t="s">
        <v>491</v>
      </c>
    </row>
    <row r="23" spans="1:8" x14ac:dyDescent="0.25">
      <c r="A23" s="9">
        <v>45693</v>
      </c>
      <c r="B23" t="s">
        <v>487</v>
      </c>
      <c r="C23" t="s">
        <v>106</v>
      </c>
      <c r="D23" t="s">
        <v>22</v>
      </c>
      <c r="E23" t="s">
        <v>118</v>
      </c>
      <c r="F23" s="59">
        <v>3213</v>
      </c>
      <c r="G23" t="s">
        <v>490</v>
      </c>
      <c r="H23" s="11" t="s">
        <v>223</v>
      </c>
    </row>
    <row r="24" spans="1:8" x14ac:dyDescent="0.25">
      <c r="A24" s="9">
        <v>45708</v>
      </c>
      <c r="B24" t="s">
        <v>404</v>
      </c>
      <c r="C24" t="s">
        <v>638</v>
      </c>
      <c r="D24" t="s">
        <v>22</v>
      </c>
      <c r="E24" t="s">
        <v>118</v>
      </c>
      <c r="F24" s="59">
        <v>1122</v>
      </c>
      <c r="G24" t="s">
        <v>375</v>
      </c>
      <c r="H24" s="11" t="s">
        <v>494</v>
      </c>
    </row>
    <row r="25" spans="1:8" x14ac:dyDescent="0.25">
      <c r="A25" s="9">
        <v>45708</v>
      </c>
      <c r="B25" t="s">
        <v>404</v>
      </c>
      <c r="C25" t="s">
        <v>638</v>
      </c>
      <c r="D25" t="s">
        <v>22</v>
      </c>
      <c r="E25" t="s">
        <v>118</v>
      </c>
      <c r="F25" s="59">
        <v>384</v>
      </c>
      <c r="G25" t="s">
        <v>440</v>
      </c>
      <c r="H25" s="11" t="s">
        <v>494</v>
      </c>
    </row>
    <row r="26" spans="1:8" x14ac:dyDescent="0.25">
      <c r="A26" s="9">
        <v>45708</v>
      </c>
      <c r="B26" t="s">
        <v>497</v>
      </c>
      <c r="C26" t="s">
        <v>638</v>
      </c>
      <c r="D26" t="s">
        <v>22</v>
      </c>
      <c r="E26" t="s">
        <v>190</v>
      </c>
      <c r="F26" s="59">
        <v>957.6</v>
      </c>
      <c r="G26" t="s">
        <v>500</v>
      </c>
      <c r="H26" s="11" t="s">
        <v>526</v>
      </c>
    </row>
    <row r="27" spans="1:8" x14ac:dyDescent="0.25">
      <c r="A27" s="9">
        <v>45705</v>
      </c>
      <c r="B27" t="s">
        <v>275</v>
      </c>
      <c r="C27" t="s">
        <v>106</v>
      </c>
      <c r="D27" t="s">
        <v>22</v>
      </c>
      <c r="E27" t="s">
        <v>118</v>
      </c>
      <c r="F27" s="59">
        <v>1877.5</v>
      </c>
      <c r="G27" t="s">
        <v>503</v>
      </c>
      <c r="H27" s="11" t="s">
        <v>322</v>
      </c>
    </row>
    <row r="28" spans="1:8" x14ac:dyDescent="0.25">
      <c r="A28" s="9">
        <v>45705</v>
      </c>
      <c r="B28" t="s">
        <v>505</v>
      </c>
      <c r="C28" t="s">
        <v>106</v>
      </c>
      <c r="D28" t="s">
        <v>22</v>
      </c>
      <c r="E28" t="s">
        <v>118</v>
      </c>
      <c r="F28" s="59">
        <v>1138.48</v>
      </c>
      <c r="G28" t="s">
        <v>508</v>
      </c>
      <c r="H28" s="11" t="s">
        <v>509</v>
      </c>
    </row>
    <row r="29" spans="1:8" x14ac:dyDescent="0.25">
      <c r="A29" s="9">
        <v>45709</v>
      </c>
      <c r="B29" t="s">
        <v>511</v>
      </c>
      <c r="C29" t="s">
        <v>106</v>
      </c>
      <c r="D29" t="s">
        <v>22</v>
      </c>
      <c r="E29" t="s">
        <v>118</v>
      </c>
      <c r="F29" s="59">
        <v>2508</v>
      </c>
      <c r="G29" t="s">
        <v>514</v>
      </c>
      <c r="H29" s="11" t="s">
        <v>215</v>
      </c>
    </row>
    <row r="30" spans="1:8" x14ac:dyDescent="0.25">
      <c r="A30" s="9">
        <v>45709</v>
      </c>
      <c r="B30" t="s">
        <v>516</v>
      </c>
      <c r="C30" t="s">
        <v>106</v>
      </c>
      <c r="D30" t="s">
        <v>24</v>
      </c>
      <c r="E30" t="s">
        <v>190</v>
      </c>
      <c r="F30" s="59">
        <v>3485.8</v>
      </c>
      <c r="G30" t="s">
        <v>519</v>
      </c>
      <c r="H30" s="11" t="s">
        <v>215</v>
      </c>
    </row>
    <row r="31" spans="1:8" x14ac:dyDescent="0.25">
      <c r="A31" s="9">
        <v>45713</v>
      </c>
      <c r="B31" t="s">
        <v>521</v>
      </c>
      <c r="C31" t="s">
        <v>106</v>
      </c>
      <c r="D31" t="s">
        <v>22</v>
      </c>
      <c r="E31" t="s">
        <v>118</v>
      </c>
      <c r="F31" s="59">
        <v>1263</v>
      </c>
      <c r="G31" t="s">
        <v>524</v>
      </c>
      <c r="H31" s="11" t="s">
        <v>525</v>
      </c>
    </row>
    <row r="32" spans="1:8" x14ac:dyDescent="0.25">
      <c r="A32" s="9">
        <v>45714</v>
      </c>
      <c r="B32" t="s">
        <v>528</v>
      </c>
      <c r="C32" t="s">
        <v>106</v>
      </c>
      <c r="D32" t="s">
        <v>22</v>
      </c>
      <c r="E32" t="s">
        <v>118</v>
      </c>
      <c r="F32" s="59">
        <v>1446.4</v>
      </c>
      <c r="G32" t="s">
        <v>531</v>
      </c>
      <c r="H32" s="11" t="s">
        <v>316</v>
      </c>
    </row>
    <row r="33" spans="1:10" x14ac:dyDescent="0.25">
      <c r="A33" s="9">
        <v>45714</v>
      </c>
      <c r="B33" t="s">
        <v>533</v>
      </c>
      <c r="C33" t="s">
        <v>106</v>
      </c>
      <c r="D33" t="s">
        <v>22</v>
      </c>
      <c r="E33" t="s">
        <v>119</v>
      </c>
      <c r="F33" s="59">
        <v>1210</v>
      </c>
      <c r="G33" t="s">
        <v>536</v>
      </c>
      <c r="H33" s="11" t="s">
        <v>223</v>
      </c>
    </row>
    <row r="34" spans="1:10" x14ac:dyDescent="0.25">
      <c r="A34" s="9">
        <v>45715</v>
      </c>
      <c r="B34" t="s">
        <v>538</v>
      </c>
      <c r="C34" t="s">
        <v>106</v>
      </c>
      <c r="D34" t="s">
        <v>22</v>
      </c>
      <c r="E34" t="s">
        <v>118</v>
      </c>
      <c r="F34" s="59">
        <v>2992</v>
      </c>
      <c r="G34" t="s">
        <v>541</v>
      </c>
      <c r="H34" s="11" t="s">
        <v>229</v>
      </c>
    </row>
    <row r="35" spans="1:10" x14ac:dyDescent="0.25">
      <c r="A35" s="9">
        <v>45715</v>
      </c>
      <c r="B35" t="s">
        <v>528</v>
      </c>
      <c r="C35" t="s">
        <v>106</v>
      </c>
      <c r="D35" t="s">
        <v>22</v>
      </c>
      <c r="E35" t="s">
        <v>118</v>
      </c>
      <c r="F35" s="59">
        <v>1438</v>
      </c>
      <c r="G35" t="s">
        <v>543</v>
      </c>
      <c r="H35" s="11" t="s">
        <v>316</v>
      </c>
    </row>
    <row r="36" spans="1:10" x14ac:dyDescent="0.25">
      <c r="A36" s="9">
        <v>45716</v>
      </c>
      <c r="B36" t="s">
        <v>505</v>
      </c>
      <c r="C36" t="s">
        <v>106</v>
      </c>
      <c r="D36" t="s">
        <v>22</v>
      </c>
      <c r="E36" t="s">
        <v>118</v>
      </c>
      <c r="F36" s="59">
        <v>1061</v>
      </c>
      <c r="G36" t="s">
        <v>545</v>
      </c>
      <c r="H36" s="11" t="s">
        <v>316</v>
      </c>
    </row>
    <row r="37" spans="1:10" x14ac:dyDescent="0.25">
      <c r="A37" s="9">
        <v>45716</v>
      </c>
      <c r="B37" t="s">
        <v>547</v>
      </c>
      <c r="C37" t="s">
        <v>638</v>
      </c>
      <c r="D37" t="s">
        <v>22</v>
      </c>
      <c r="E37" t="s">
        <v>118</v>
      </c>
      <c r="F37" s="59">
        <v>2755</v>
      </c>
      <c r="G37" t="s">
        <v>550</v>
      </c>
      <c r="H37" s="11" t="s">
        <v>556</v>
      </c>
    </row>
    <row r="38" spans="1:10" x14ac:dyDescent="0.25">
      <c r="A38" s="9">
        <v>45715</v>
      </c>
      <c r="B38" t="s">
        <v>564</v>
      </c>
      <c r="C38" t="s">
        <v>106</v>
      </c>
      <c r="D38" t="s">
        <v>22</v>
      </c>
      <c r="E38" t="s">
        <v>118</v>
      </c>
      <c r="F38" s="59">
        <v>2518.1</v>
      </c>
      <c r="G38" t="s">
        <v>567</v>
      </c>
      <c r="H38" s="11" t="s">
        <v>223</v>
      </c>
    </row>
    <row r="39" spans="1:10" x14ac:dyDescent="0.25">
      <c r="A39" s="9">
        <v>45716</v>
      </c>
      <c r="B39" t="s">
        <v>570</v>
      </c>
      <c r="C39" t="s">
        <v>640</v>
      </c>
      <c r="D39" t="s">
        <v>22</v>
      </c>
      <c r="E39" t="s">
        <v>190</v>
      </c>
      <c r="F39" s="59">
        <v>1640.3</v>
      </c>
      <c r="G39" t="s">
        <v>573</v>
      </c>
      <c r="H39" s="11" t="s">
        <v>322</v>
      </c>
    </row>
    <row r="40" spans="1:10" x14ac:dyDescent="0.25">
      <c r="A40" s="9">
        <v>45715</v>
      </c>
      <c r="B40" t="s">
        <v>600</v>
      </c>
      <c r="C40" t="s">
        <v>638</v>
      </c>
      <c r="D40" t="s">
        <v>22</v>
      </c>
      <c r="E40" t="s">
        <v>190</v>
      </c>
      <c r="F40" s="59">
        <v>1835</v>
      </c>
      <c r="G40" t="s">
        <v>603</v>
      </c>
      <c r="H40" s="11" t="s">
        <v>470</v>
      </c>
    </row>
    <row r="46" spans="1:10" ht="15.75" thickBot="1" x14ac:dyDescent="0.3">
      <c r="A46" s="99" t="s">
        <v>8</v>
      </c>
      <c r="B46" s="99"/>
      <c r="C46" s="99"/>
      <c r="D46" s="99"/>
      <c r="E46" s="99"/>
      <c r="F46" s="99"/>
      <c r="G46" s="7"/>
    </row>
    <row r="47" spans="1:10" x14ac:dyDescent="0.25">
      <c r="A47" s="8" t="s">
        <v>9</v>
      </c>
      <c r="B47" s="9"/>
      <c r="C47" s="10">
        <f>SUM(F2:F40)</f>
        <v>87030.41</v>
      </c>
      <c r="D47" s="11"/>
      <c r="E47" s="12" t="s">
        <v>10</v>
      </c>
      <c r="F47" s="13"/>
      <c r="G47" s="7"/>
      <c r="H47" s="14" t="s">
        <v>11</v>
      </c>
      <c r="I47" s="15">
        <v>27</v>
      </c>
      <c r="J47" s="16"/>
    </row>
    <row r="48" spans="1:10" x14ac:dyDescent="0.25">
      <c r="A48" s="8"/>
      <c r="B48" s="9"/>
      <c r="C48" s="10"/>
      <c r="D48" s="11"/>
      <c r="E48" s="17" t="s">
        <v>12</v>
      </c>
      <c r="F48" s="18">
        <v>87030.41</v>
      </c>
      <c r="G48" s="7"/>
      <c r="H48" s="17" t="s">
        <v>13</v>
      </c>
      <c r="I48" s="19">
        <v>1</v>
      </c>
      <c r="J48" s="20">
        <f>I48/I$47</f>
        <v>3.7037037037037035E-2</v>
      </c>
    </row>
    <row r="49" spans="1:10" ht="15.75" thickBot="1" x14ac:dyDescent="0.3">
      <c r="A49" s="8" t="s">
        <v>14</v>
      </c>
      <c r="B49" s="9"/>
      <c r="C49" s="21">
        <v>23</v>
      </c>
      <c r="D49" s="11"/>
      <c r="E49" s="22" t="s">
        <v>15</v>
      </c>
      <c r="F49" s="23">
        <f>C47/C49</f>
        <v>3783.9308695652176</v>
      </c>
      <c r="G49" s="7"/>
      <c r="H49" s="17" t="s">
        <v>16</v>
      </c>
      <c r="I49" s="19">
        <v>25</v>
      </c>
      <c r="J49" s="20">
        <f>I49/I$47</f>
        <v>0.92592592592592593</v>
      </c>
    </row>
    <row r="50" spans="1:10" ht="15.75" thickBot="1" x14ac:dyDescent="0.3">
      <c r="A50" s="8" t="s">
        <v>17</v>
      </c>
      <c r="B50" s="9"/>
      <c r="C50">
        <v>39</v>
      </c>
      <c r="D50" s="11"/>
      <c r="E50" s="11"/>
      <c r="F50" s="24"/>
      <c r="G50" s="7"/>
      <c r="H50" s="22" t="s">
        <v>18</v>
      </c>
      <c r="I50" s="25">
        <v>1</v>
      </c>
      <c r="J50" s="26">
        <f>I50/I$47</f>
        <v>3.7037037037037035E-2</v>
      </c>
    </row>
    <row r="51" spans="1:10" x14ac:dyDescent="0.25">
      <c r="A51" s="8"/>
      <c r="B51" s="9"/>
      <c r="D51" s="11" t="s">
        <v>19</v>
      </c>
      <c r="E51" s="12" t="s">
        <v>20</v>
      </c>
      <c r="F51" s="13"/>
      <c r="G51" s="7"/>
    </row>
    <row r="52" spans="1:10" ht="15.75" thickBot="1" x14ac:dyDescent="0.3">
      <c r="A52" s="8" t="s">
        <v>21</v>
      </c>
      <c r="B52" s="9"/>
      <c r="C52">
        <v>35</v>
      </c>
      <c r="D52" s="11" t="s">
        <v>19</v>
      </c>
      <c r="E52" s="17" t="s">
        <v>22</v>
      </c>
      <c r="F52" s="20">
        <f>C52/C$50</f>
        <v>0.89743589743589747</v>
      </c>
      <c r="G52" s="7"/>
    </row>
    <row r="53" spans="1:10" ht="15.75" thickBot="1" x14ac:dyDescent="0.3">
      <c r="A53" s="8" t="s">
        <v>23</v>
      </c>
      <c r="B53" s="9"/>
      <c r="C53">
        <v>4</v>
      </c>
      <c r="D53" s="11"/>
      <c r="E53" s="22" t="s">
        <v>24</v>
      </c>
      <c r="F53" s="26">
        <f>C53/C$50</f>
        <v>0.10256410256410256</v>
      </c>
      <c r="G53" s="7"/>
      <c r="H53" s="14" t="s">
        <v>25</v>
      </c>
      <c r="I53" s="15">
        <v>13</v>
      </c>
      <c r="J53" s="16"/>
    </row>
    <row r="54" spans="1:10" ht="15.75" thickBot="1" x14ac:dyDescent="0.3">
      <c r="A54" s="8"/>
      <c r="B54" s="9"/>
      <c r="D54" s="11"/>
      <c r="E54" s="11"/>
      <c r="F54" s="24"/>
      <c r="G54" s="7"/>
      <c r="H54" s="27" t="s">
        <v>26</v>
      </c>
      <c r="I54" s="30">
        <v>7</v>
      </c>
      <c r="J54" s="20">
        <f>I54/I$53</f>
        <v>0.53846153846153844</v>
      </c>
    </row>
    <row r="55" spans="1:10" x14ac:dyDescent="0.25">
      <c r="A55" s="8" t="s">
        <v>27</v>
      </c>
      <c r="B55" s="9"/>
      <c r="D55" s="11"/>
      <c r="E55" s="12" t="s">
        <v>28</v>
      </c>
      <c r="F55" s="13"/>
      <c r="G55" s="7"/>
      <c r="H55" s="27" t="s">
        <v>29</v>
      </c>
      <c r="I55" s="30">
        <v>3</v>
      </c>
      <c r="J55" s="20">
        <f>I55/I$53</f>
        <v>0.23076923076923078</v>
      </c>
    </row>
    <row r="56" spans="1:10" ht="15.75" thickBot="1" x14ac:dyDescent="0.3">
      <c r="A56" s="8" t="s">
        <v>30</v>
      </c>
      <c r="B56" s="9"/>
      <c r="C56">
        <v>2</v>
      </c>
      <c r="D56" s="11"/>
      <c r="E56" s="28" t="s">
        <v>30</v>
      </c>
      <c r="F56" s="20">
        <f>C56/C$65</f>
        <v>2.4390243902439025E-2</v>
      </c>
      <c r="G56" s="7"/>
      <c r="H56" s="29" t="s">
        <v>31</v>
      </c>
      <c r="I56" s="25">
        <v>3</v>
      </c>
      <c r="J56" s="26">
        <f>I56/I$53</f>
        <v>0.23076923076923078</v>
      </c>
    </row>
    <row r="57" spans="1:10" ht="15.75" thickBot="1" x14ac:dyDescent="0.3">
      <c r="A57" s="8" t="s">
        <v>11</v>
      </c>
      <c r="B57" s="9"/>
      <c r="C57">
        <v>27</v>
      </c>
      <c r="D57" s="11"/>
      <c r="E57" s="28" t="s">
        <v>11</v>
      </c>
      <c r="F57" s="20">
        <f t="shared" ref="F57:F64" si="0">C57/C$65</f>
        <v>0.32926829268292684</v>
      </c>
      <c r="G57" s="7"/>
    </row>
    <row r="58" spans="1:10" x14ac:dyDescent="0.25">
      <c r="A58" s="8" t="s">
        <v>32</v>
      </c>
      <c r="B58" s="9"/>
      <c r="C58">
        <v>13</v>
      </c>
      <c r="D58" s="11"/>
      <c r="E58" s="28" t="s">
        <v>32</v>
      </c>
      <c r="F58" s="20">
        <f t="shared" si="0"/>
        <v>0.15853658536585366</v>
      </c>
      <c r="G58" s="11" t="s">
        <v>19</v>
      </c>
      <c r="H58" s="14" t="s">
        <v>33</v>
      </c>
      <c r="I58" s="15">
        <v>0</v>
      </c>
      <c r="J58" s="13">
        <f t="shared" ref="J58:J69" si="1">I58/I$53</f>
        <v>0</v>
      </c>
    </row>
    <row r="59" spans="1:10" x14ac:dyDescent="0.25">
      <c r="A59" s="8" t="s">
        <v>34</v>
      </c>
      <c r="B59" s="9"/>
      <c r="C59">
        <v>1</v>
      </c>
      <c r="D59" s="11"/>
      <c r="E59" s="28" t="s">
        <v>34</v>
      </c>
      <c r="F59" s="20">
        <f t="shared" si="0"/>
        <v>1.2195121951219513E-2</v>
      </c>
      <c r="G59" s="7"/>
      <c r="H59" s="27" t="s">
        <v>35</v>
      </c>
      <c r="I59" s="30">
        <v>1</v>
      </c>
      <c r="J59" s="20">
        <f t="shared" si="1"/>
        <v>7.6923076923076927E-2</v>
      </c>
    </row>
    <row r="60" spans="1:10" x14ac:dyDescent="0.25">
      <c r="A60" s="8" t="s">
        <v>36</v>
      </c>
      <c r="B60" s="9"/>
      <c r="C60">
        <v>12</v>
      </c>
      <c r="D60" s="11"/>
      <c r="E60" s="28" t="s">
        <v>36</v>
      </c>
      <c r="F60" s="20">
        <f t="shared" si="0"/>
        <v>0.14634146341463414</v>
      </c>
      <c r="G60" s="7"/>
      <c r="H60" s="27" t="s">
        <v>37</v>
      </c>
      <c r="I60" s="30">
        <v>5</v>
      </c>
      <c r="J60" s="20">
        <f t="shared" si="1"/>
        <v>0.38461538461538464</v>
      </c>
    </row>
    <row r="61" spans="1:10" x14ac:dyDescent="0.25">
      <c r="A61" s="8" t="s">
        <v>38</v>
      </c>
      <c r="B61" s="9"/>
      <c r="C61">
        <v>3</v>
      </c>
      <c r="D61" s="11"/>
      <c r="E61" s="28" t="s">
        <v>38</v>
      </c>
      <c r="F61" s="20">
        <f t="shared" si="0"/>
        <v>3.6585365853658534E-2</v>
      </c>
      <c r="G61" s="7"/>
      <c r="H61" s="27" t="s">
        <v>39</v>
      </c>
      <c r="I61" s="30">
        <v>1</v>
      </c>
      <c r="J61" s="20">
        <f t="shared" si="1"/>
        <v>7.6923076923076927E-2</v>
      </c>
    </row>
    <row r="62" spans="1:10" x14ac:dyDescent="0.25">
      <c r="A62" s="8" t="s">
        <v>40</v>
      </c>
      <c r="B62" s="9"/>
      <c r="C62">
        <v>10</v>
      </c>
      <c r="D62" s="11"/>
      <c r="E62" s="28" t="s">
        <v>40</v>
      </c>
      <c r="F62" s="20">
        <f t="shared" si="0"/>
        <v>0.12195121951219512</v>
      </c>
      <c r="G62" s="7"/>
      <c r="H62" s="27" t="s">
        <v>41</v>
      </c>
      <c r="I62" s="30">
        <v>0</v>
      </c>
      <c r="J62" s="20">
        <f t="shared" si="1"/>
        <v>0</v>
      </c>
    </row>
    <row r="63" spans="1:10" x14ac:dyDescent="0.25">
      <c r="A63" s="8" t="s">
        <v>42</v>
      </c>
      <c r="B63" s="9"/>
      <c r="C63">
        <v>2</v>
      </c>
      <c r="D63" s="11"/>
      <c r="E63" s="28" t="s">
        <v>42</v>
      </c>
      <c r="F63" s="20">
        <f t="shared" si="0"/>
        <v>2.4390243902439025E-2</v>
      </c>
      <c r="G63" s="7"/>
      <c r="H63" s="27" t="s">
        <v>43</v>
      </c>
      <c r="I63" s="30">
        <v>2</v>
      </c>
      <c r="J63" s="20">
        <f t="shared" si="1"/>
        <v>0.15384615384615385</v>
      </c>
    </row>
    <row r="64" spans="1:10" ht="15.75" thickBot="1" x14ac:dyDescent="0.3">
      <c r="A64" s="8" t="s">
        <v>44</v>
      </c>
      <c r="B64" s="9"/>
      <c r="C64">
        <v>12</v>
      </c>
      <c r="D64" s="11"/>
      <c r="E64" s="31" t="s">
        <v>44</v>
      </c>
      <c r="F64" s="26">
        <f t="shared" si="0"/>
        <v>0.14634146341463414</v>
      </c>
      <c r="G64" s="11" t="s">
        <v>19</v>
      </c>
      <c r="H64" s="32" t="s">
        <v>45</v>
      </c>
      <c r="I64" s="30">
        <v>1</v>
      </c>
      <c r="J64" s="20">
        <f t="shared" si="1"/>
        <v>7.6923076923076927E-2</v>
      </c>
    </row>
    <row r="65" spans="1:10" ht="15.75" thickBot="1" x14ac:dyDescent="0.3">
      <c r="A65" s="8" t="s">
        <v>46</v>
      </c>
      <c r="B65" s="9"/>
      <c r="C65">
        <f>SUM(C56:C64)</f>
        <v>82</v>
      </c>
      <c r="D65" s="11"/>
      <c r="E65" s="8"/>
      <c r="F65" s="24"/>
      <c r="G65" s="7"/>
      <c r="H65" s="32" t="s">
        <v>47</v>
      </c>
      <c r="I65" s="30">
        <v>2</v>
      </c>
      <c r="J65" s="20">
        <f t="shared" si="1"/>
        <v>0.15384615384615385</v>
      </c>
    </row>
    <row r="66" spans="1:10" x14ac:dyDescent="0.25">
      <c r="A66" s="8"/>
      <c r="B66" s="9"/>
      <c r="D66" s="11"/>
      <c r="E66" s="33" t="s">
        <v>48</v>
      </c>
      <c r="F66" s="13"/>
      <c r="G66" s="7"/>
      <c r="H66" s="32" t="s">
        <v>49</v>
      </c>
      <c r="I66" s="30">
        <v>0</v>
      </c>
      <c r="J66" s="20">
        <f t="shared" si="1"/>
        <v>0</v>
      </c>
    </row>
    <row r="67" spans="1:10" x14ac:dyDescent="0.25">
      <c r="A67" s="8" t="s">
        <v>50</v>
      </c>
      <c r="B67" s="9"/>
      <c r="D67" s="11"/>
      <c r="E67" s="28" t="s">
        <v>51</v>
      </c>
      <c r="F67" s="20">
        <f t="shared" ref="F67:F76" si="2">C68/C$78</f>
        <v>0.58888888888888891</v>
      </c>
      <c r="G67" s="7"/>
      <c r="H67" s="27" t="s">
        <v>52</v>
      </c>
      <c r="I67" s="30">
        <v>0</v>
      </c>
      <c r="J67" s="20">
        <f t="shared" si="1"/>
        <v>0</v>
      </c>
    </row>
    <row r="68" spans="1:10" x14ac:dyDescent="0.25">
      <c r="A68" s="8" t="s">
        <v>51</v>
      </c>
      <c r="B68" s="9"/>
      <c r="C68">
        <v>53</v>
      </c>
      <c r="D68" s="11"/>
      <c r="E68" s="28" t="s">
        <v>53</v>
      </c>
      <c r="F68" s="20">
        <f t="shared" si="2"/>
        <v>0.12222222222222222</v>
      </c>
      <c r="G68" s="7"/>
      <c r="H68" s="32" t="s">
        <v>54</v>
      </c>
      <c r="I68" s="30">
        <v>0</v>
      </c>
      <c r="J68" s="20">
        <f t="shared" si="1"/>
        <v>0</v>
      </c>
    </row>
    <row r="69" spans="1:10" ht="15.75" thickBot="1" x14ac:dyDescent="0.3">
      <c r="A69" s="8" t="s">
        <v>53</v>
      </c>
      <c r="B69" s="9"/>
      <c r="C69">
        <v>11</v>
      </c>
      <c r="D69" s="11"/>
      <c r="E69" s="28" t="s">
        <v>55</v>
      </c>
      <c r="F69" s="20">
        <f t="shared" si="2"/>
        <v>7.7777777777777779E-2</v>
      </c>
      <c r="G69" s="7"/>
      <c r="H69" s="34" t="s">
        <v>56</v>
      </c>
      <c r="I69" s="25">
        <v>1</v>
      </c>
      <c r="J69" s="26">
        <f t="shared" si="1"/>
        <v>7.6923076923076927E-2</v>
      </c>
    </row>
    <row r="70" spans="1:10" x14ac:dyDescent="0.25">
      <c r="A70" s="8" t="s">
        <v>55</v>
      </c>
      <c r="B70" s="9"/>
      <c r="C70">
        <v>7</v>
      </c>
      <c r="D70" s="11"/>
      <c r="E70" s="28" t="s">
        <v>57</v>
      </c>
      <c r="F70" s="20">
        <f t="shared" si="2"/>
        <v>3.3333333333333333E-2</v>
      </c>
      <c r="G70" s="7"/>
    </row>
    <row r="71" spans="1:10" ht="15.75" thickBot="1" x14ac:dyDescent="0.3">
      <c r="A71" s="8" t="s">
        <v>57</v>
      </c>
      <c r="B71" s="9"/>
      <c r="C71">
        <v>3</v>
      </c>
      <c r="D71" s="11"/>
      <c r="E71" s="28" t="s">
        <v>58</v>
      </c>
      <c r="F71" s="20">
        <f t="shared" si="2"/>
        <v>3.3333333333333333E-2</v>
      </c>
      <c r="G71" s="11" t="s">
        <v>19</v>
      </c>
    </row>
    <row r="72" spans="1:10" x14ac:dyDescent="0.25">
      <c r="A72" s="8" t="s">
        <v>58</v>
      </c>
      <c r="B72" s="9"/>
      <c r="C72">
        <v>3</v>
      </c>
      <c r="D72" s="11"/>
      <c r="E72" s="28" t="s">
        <v>59</v>
      </c>
      <c r="F72" s="20">
        <f t="shared" si="2"/>
        <v>3.3333333333333333E-2</v>
      </c>
      <c r="G72" s="7"/>
      <c r="H72" s="14" t="s">
        <v>36</v>
      </c>
      <c r="I72" s="15">
        <v>12</v>
      </c>
      <c r="J72" s="16"/>
    </row>
    <row r="73" spans="1:10" x14ac:dyDescent="0.25">
      <c r="A73" s="8" t="s">
        <v>59</v>
      </c>
      <c r="B73" s="9"/>
      <c r="C73">
        <v>3</v>
      </c>
      <c r="D73" s="11"/>
      <c r="E73" s="28" t="s">
        <v>60</v>
      </c>
      <c r="F73" s="20">
        <f t="shared" si="2"/>
        <v>0</v>
      </c>
      <c r="G73" s="7"/>
      <c r="H73" s="27" t="s">
        <v>61</v>
      </c>
      <c r="I73" s="30">
        <v>3</v>
      </c>
      <c r="J73" s="20">
        <f>I73/I$72</f>
        <v>0.25</v>
      </c>
    </row>
    <row r="74" spans="1:10" ht="15.75" thickBot="1" x14ac:dyDescent="0.3">
      <c r="A74" s="8" t="s">
        <v>60</v>
      </c>
      <c r="B74" s="9"/>
      <c r="C74">
        <v>0</v>
      </c>
      <c r="D74" s="11"/>
      <c r="E74" s="28" t="s">
        <v>62</v>
      </c>
      <c r="F74" s="20">
        <f t="shared" si="2"/>
        <v>1.1111111111111112E-2</v>
      </c>
      <c r="G74" s="7"/>
      <c r="H74" s="29" t="s">
        <v>63</v>
      </c>
      <c r="I74" s="25">
        <v>9</v>
      </c>
      <c r="J74" s="26">
        <f>I74/I$72</f>
        <v>0.75</v>
      </c>
    </row>
    <row r="75" spans="1:10" x14ac:dyDescent="0.25">
      <c r="A75" s="8" t="s">
        <v>62</v>
      </c>
      <c r="B75" s="9"/>
      <c r="C75">
        <v>1</v>
      </c>
      <c r="D75" s="11"/>
      <c r="E75" s="28" t="s">
        <v>64</v>
      </c>
      <c r="F75" s="20">
        <f t="shared" si="2"/>
        <v>1.1111111111111112E-2</v>
      </c>
      <c r="G75" s="7"/>
    </row>
    <row r="76" spans="1:10" ht="15.75" thickBot="1" x14ac:dyDescent="0.3">
      <c r="A76" s="8" t="s">
        <v>64</v>
      </c>
      <c r="B76" s="9"/>
      <c r="C76">
        <v>1</v>
      </c>
      <c r="D76" s="11"/>
      <c r="E76" s="31" t="s">
        <v>65</v>
      </c>
      <c r="F76" s="26">
        <f t="shared" si="2"/>
        <v>8.8888888888888892E-2</v>
      </c>
      <c r="G76" s="7"/>
    </row>
    <row r="77" spans="1:10" ht="15.75" thickBot="1" x14ac:dyDescent="0.3">
      <c r="A77" s="8" t="s">
        <v>65</v>
      </c>
      <c r="B77" s="9"/>
      <c r="C77">
        <v>8</v>
      </c>
      <c r="D77" s="11"/>
      <c r="E77" s="8"/>
      <c r="F77" s="24"/>
      <c r="G77" s="7"/>
      <c r="H77" s="14" t="s">
        <v>66</v>
      </c>
      <c r="I77" s="15">
        <v>3</v>
      </c>
      <c r="J77" s="16"/>
    </row>
    <row r="78" spans="1:10" x14ac:dyDescent="0.25">
      <c r="A78" s="8" t="s">
        <v>67</v>
      </c>
      <c r="B78" s="9"/>
      <c r="C78">
        <f>SUM(C68:C77)</f>
        <v>90</v>
      </c>
      <c r="D78" s="11"/>
      <c r="E78" s="33" t="s">
        <v>68</v>
      </c>
      <c r="F78" s="13"/>
      <c r="G78" s="7"/>
      <c r="H78" s="27" t="s">
        <v>69</v>
      </c>
      <c r="I78" s="19">
        <v>2</v>
      </c>
      <c r="J78" s="20">
        <f t="shared" ref="J78:J83" si="3">I78/I$77</f>
        <v>0.66666666666666663</v>
      </c>
    </row>
    <row r="79" spans="1:10" x14ac:dyDescent="0.25">
      <c r="A79" s="8"/>
      <c r="B79" s="9"/>
      <c r="D79" s="11"/>
      <c r="E79" s="35" t="s">
        <v>70</v>
      </c>
      <c r="F79" s="20">
        <f>C80/C$50</f>
        <v>0.74358974358974361</v>
      </c>
      <c r="G79" s="7"/>
      <c r="H79" s="27" t="s">
        <v>71</v>
      </c>
      <c r="I79" s="19">
        <v>1</v>
      </c>
      <c r="J79" s="20">
        <f t="shared" si="3"/>
        <v>0.33333333333333331</v>
      </c>
    </row>
    <row r="80" spans="1:10" x14ac:dyDescent="0.25">
      <c r="A80" s="8" t="s">
        <v>72</v>
      </c>
      <c r="B80" s="9"/>
      <c r="C80">
        <v>29</v>
      </c>
      <c r="D80" s="11"/>
      <c r="E80" s="35" t="s">
        <v>73</v>
      </c>
      <c r="F80" s="20">
        <f>C81/C$50</f>
        <v>0</v>
      </c>
      <c r="G80" s="7"/>
      <c r="H80" s="27" t="s">
        <v>74</v>
      </c>
      <c r="I80" s="19">
        <v>0</v>
      </c>
      <c r="J80" s="20">
        <f t="shared" si="3"/>
        <v>0</v>
      </c>
    </row>
    <row r="81" spans="1:10" ht="15.75" thickBot="1" x14ac:dyDescent="0.3">
      <c r="A81" s="8" t="s">
        <v>75</v>
      </c>
      <c r="B81" s="9"/>
      <c r="C81">
        <v>0</v>
      </c>
      <c r="D81" s="11"/>
      <c r="E81" s="36" t="s">
        <v>76</v>
      </c>
      <c r="F81" s="26">
        <f>C82/C$50</f>
        <v>0.25641025641025639</v>
      </c>
      <c r="G81" s="7"/>
      <c r="H81" s="27" t="s">
        <v>77</v>
      </c>
      <c r="I81" s="30">
        <v>0</v>
      </c>
      <c r="J81" s="20">
        <f t="shared" si="3"/>
        <v>0</v>
      </c>
    </row>
    <row r="82" spans="1:10" ht="15.75" thickBot="1" x14ac:dyDescent="0.3">
      <c r="A82" s="8" t="s">
        <v>78</v>
      </c>
      <c r="B82" s="9"/>
      <c r="C82">
        <v>10</v>
      </c>
      <c r="D82" s="11"/>
      <c r="E82" s="37"/>
      <c r="F82" s="24"/>
      <c r="G82" s="11" t="s">
        <v>19</v>
      </c>
      <c r="H82" s="27" t="s">
        <v>79</v>
      </c>
      <c r="I82" s="30">
        <v>0</v>
      </c>
      <c r="J82" s="20">
        <f t="shared" si="3"/>
        <v>0</v>
      </c>
    </row>
    <row r="83" spans="1:10" ht="15.75" thickBot="1" x14ac:dyDescent="0.3">
      <c r="A83" s="8"/>
      <c r="B83" s="9"/>
      <c r="D83" s="11"/>
      <c r="E83" s="38" t="s">
        <v>20</v>
      </c>
      <c r="F83" s="13"/>
      <c r="G83" s="7"/>
      <c r="H83" s="29" t="s">
        <v>80</v>
      </c>
      <c r="I83" s="25">
        <v>0</v>
      </c>
      <c r="J83" s="26">
        <f t="shared" si="3"/>
        <v>0</v>
      </c>
    </row>
    <row r="84" spans="1:10" x14ac:dyDescent="0.25">
      <c r="A84" s="8" t="s">
        <v>20</v>
      </c>
      <c r="B84" s="9"/>
      <c r="D84" s="11"/>
      <c r="E84" s="28" t="s">
        <v>81</v>
      </c>
      <c r="F84" s="20">
        <f>C85/C$50</f>
        <v>0.35897435897435898</v>
      </c>
      <c r="G84" s="7"/>
    </row>
    <row r="85" spans="1:10" ht="15.75" thickBot="1" x14ac:dyDescent="0.3">
      <c r="A85" s="8" t="s">
        <v>82</v>
      </c>
      <c r="B85" s="9"/>
      <c r="C85">
        <v>14</v>
      </c>
      <c r="D85" s="11"/>
      <c r="E85" s="31" t="s">
        <v>83</v>
      </c>
      <c r="F85" s="26">
        <f>C86/C$50</f>
        <v>0.64102564102564108</v>
      </c>
      <c r="G85" s="7"/>
    </row>
    <row r="86" spans="1:10" ht="15.75" thickBot="1" x14ac:dyDescent="0.3">
      <c r="A86" s="8" t="s">
        <v>83</v>
      </c>
      <c r="B86" s="9"/>
      <c r="C86">
        <v>25</v>
      </c>
      <c r="D86" s="11"/>
      <c r="E86" s="39"/>
      <c r="F86" s="40"/>
      <c r="G86" s="7"/>
      <c r="H86" s="14" t="s">
        <v>40</v>
      </c>
      <c r="I86" s="15">
        <v>10</v>
      </c>
      <c r="J86" s="16"/>
    </row>
    <row r="87" spans="1:10" x14ac:dyDescent="0.25">
      <c r="A87" s="8"/>
      <c r="B87" s="9"/>
      <c r="D87" s="11"/>
      <c r="E87" s="14" t="s">
        <v>84</v>
      </c>
      <c r="F87" s="13"/>
      <c r="G87" s="7"/>
      <c r="H87" s="27" t="s">
        <v>85</v>
      </c>
      <c r="I87" s="30">
        <v>0</v>
      </c>
      <c r="J87" s="20">
        <f>I87/I$86</f>
        <v>0</v>
      </c>
    </row>
    <row r="88" spans="1:10" x14ac:dyDescent="0.25">
      <c r="A88" t="s">
        <v>84</v>
      </c>
      <c r="D88" s="11"/>
      <c r="E88" s="27" t="s">
        <v>86</v>
      </c>
      <c r="F88" s="20">
        <f>C89/C$86</f>
        <v>0.64</v>
      </c>
      <c r="G88" s="7"/>
      <c r="H88" s="27" t="s">
        <v>87</v>
      </c>
      <c r="I88" s="19">
        <v>2</v>
      </c>
      <c r="J88" s="20">
        <f>I88/I$86</f>
        <v>0.2</v>
      </c>
    </row>
    <row r="89" spans="1:10" ht="15.75" thickBot="1" x14ac:dyDescent="0.3">
      <c r="A89" t="s">
        <v>86</v>
      </c>
      <c r="C89">
        <v>16</v>
      </c>
      <c r="D89" s="11"/>
      <c r="E89" s="29" t="s">
        <v>88</v>
      </c>
      <c r="F89" s="26">
        <f>C90/C$86</f>
        <v>0.36</v>
      </c>
      <c r="G89" s="7"/>
      <c r="H89" s="27" t="s">
        <v>89</v>
      </c>
      <c r="I89" s="30">
        <v>2</v>
      </c>
      <c r="J89" s="20">
        <f>I89/I$86</f>
        <v>0.2</v>
      </c>
    </row>
    <row r="90" spans="1:10" ht="15.75" thickBot="1" x14ac:dyDescent="0.3">
      <c r="A90" t="s">
        <v>88</v>
      </c>
      <c r="C90">
        <v>9</v>
      </c>
      <c r="D90" s="11"/>
      <c r="E90" s="39"/>
      <c r="F90" s="40"/>
      <c r="G90" s="7"/>
      <c r="H90" s="27" t="s">
        <v>90</v>
      </c>
      <c r="I90" s="30">
        <v>1</v>
      </c>
      <c r="J90" s="20">
        <f>I90/I$86</f>
        <v>0.1</v>
      </c>
    </row>
    <row r="91" spans="1:10" ht="15.75" thickBot="1" x14ac:dyDescent="0.3">
      <c r="A91" s="8"/>
      <c r="B91" s="9"/>
      <c r="D91" s="11"/>
      <c r="E91" s="33" t="s">
        <v>91</v>
      </c>
      <c r="F91" s="13"/>
      <c r="G91" s="7"/>
      <c r="H91" s="29" t="s">
        <v>92</v>
      </c>
      <c r="I91" s="25">
        <v>5</v>
      </c>
      <c r="J91" s="26">
        <f>I91/I$86</f>
        <v>0.5</v>
      </c>
    </row>
    <row r="92" spans="1:10" x14ac:dyDescent="0.25">
      <c r="A92" s="8" t="s">
        <v>93</v>
      </c>
      <c r="B92" s="9"/>
      <c r="D92" s="11"/>
      <c r="E92" s="28" t="s">
        <v>94</v>
      </c>
      <c r="F92" s="20">
        <f t="shared" ref="F92:F97" si="4">C93/C$50</f>
        <v>0.25641025641025639</v>
      </c>
      <c r="G92" s="7"/>
    </row>
    <row r="93" spans="1:10" ht="15.75" thickBot="1" x14ac:dyDescent="0.3">
      <c r="A93" s="8" t="s">
        <v>94</v>
      </c>
      <c r="B93" s="9"/>
      <c r="C93">
        <v>10</v>
      </c>
      <c r="D93" s="11"/>
      <c r="E93" s="17" t="s">
        <v>95</v>
      </c>
      <c r="F93" s="20">
        <f t="shared" si="4"/>
        <v>0.10256410256410256</v>
      </c>
      <c r="G93" s="7"/>
    </row>
    <row r="94" spans="1:10" x14ac:dyDescent="0.25">
      <c r="A94" s="8" t="s">
        <v>95</v>
      </c>
      <c r="B94" s="9"/>
      <c r="C94">
        <v>4</v>
      </c>
      <c r="D94" s="11"/>
      <c r="E94" s="17" t="s">
        <v>96</v>
      </c>
      <c r="F94" s="20">
        <f t="shared" si="4"/>
        <v>0</v>
      </c>
      <c r="G94" s="7"/>
      <c r="H94" s="14" t="s">
        <v>44</v>
      </c>
      <c r="I94" s="15">
        <v>12</v>
      </c>
      <c r="J94" s="16"/>
    </row>
    <row r="95" spans="1:10" x14ac:dyDescent="0.25">
      <c r="A95" s="8" t="s">
        <v>96</v>
      </c>
      <c r="B95" s="9"/>
      <c r="C95">
        <v>0</v>
      </c>
      <c r="D95" s="11"/>
      <c r="E95" s="17" t="s">
        <v>97</v>
      </c>
      <c r="F95" s="20">
        <f t="shared" si="4"/>
        <v>0</v>
      </c>
      <c r="G95" s="7"/>
      <c r="H95" s="27" t="s">
        <v>98</v>
      </c>
      <c r="I95" s="19">
        <v>4</v>
      </c>
      <c r="J95" s="20">
        <f>I95/I$94</f>
        <v>0.33333333333333331</v>
      </c>
    </row>
    <row r="96" spans="1:10" x14ac:dyDescent="0.25">
      <c r="A96" s="8" t="s">
        <v>97</v>
      </c>
      <c r="B96" s="9"/>
      <c r="C96">
        <v>0</v>
      </c>
      <c r="D96" s="11"/>
      <c r="E96" s="17" t="s">
        <v>99</v>
      </c>
      <c r="F96" s="20">
        <f t="shared" si="4"/>
        <v>0.64102564102564108</v>
      </c>
      <c r="G96" s="7"/>
      <c r="H96" s="27" t="s">
        <v>100</v>
      </c>
      <c r="I96" s="19">
        <v>1</v>
      </c>
      <c r="J96" s="20">
        <f t="shared" ref="J96:J104" si="5">I96/I$94</f>
        <v>8.3333333333333329E-2</v>
      </c>
    </row>
    <row r="97" spans="1:10" ht="15.75" thickBot="1" x14ac:dyDescent="0.3">
      <c r="A97" s="8" t="s">
        <v>99</v>
      </c>
      <c r="B97" s="9"/>
      <c r="C97">
        <v>25</v>
      </c>
      <c r="D97" s="11"/>
      <c r="E97" s="22" t="s">
        <v>44</v>
      </c>
      <c r="F97" s="26">
        <f t="shared" si="4"/>
        <v>0</v>
      </c>
      <c r="G97" s="7"/>
      <c r="H97" s="27" t="s">
        <v>101</v>
      </c>
      <c r="I97" s="19">
        <v>0</v>
      </c>
      <c r="J97" s="20">
        <f t="shared" si="5"/>
        <v>0</v>
      </c>
    </row>
    <row r="98" spans="1:10" ht="15.75" thickBot="1" x14ac:dyDescent="0.3">
      <c r="A98" s="8" t="s">
        <v>44</v>
      </c>
      <c r="B98" s="9"/>
      <c r="C98">
        <v>0</v>
      </c>
      <c r="D98" s="11"/>
      <c r="E98" s="11"/>
      <c r="F98" s="24"/>
      <c r="G98" s="7"/>
      <c r="H98" s="27" t="s">
        <v>102</v>
      </c>
      <c r="I98" s="30">
        <v>2</v>
      </c>
      <c r="J98" s="20">
        <f t="shared" si="5"/>
        <v>0.16666666666666666</v>
      </c>
    </row>
    <row r="99" spans="1:10" x14ac:dyDescent="0.25">
      <c r="A99" s="8"/>
      <c r="B99" s="9"/>
      <c r="D99" s="11"/>
      <c r="E99" s="12" t="s">
        <v>103</v>
      </c>
      <c r="F99" s="13"/>
      <c r="G99" s="7"/>
      <c r="H99" s="27" t="s">
        <v>104</v>
      </c>
      <c r="I99" s="30">
        <v>1</v>
      </c>
      <c r="J99" s="20">
        <f t="shared" si="5"/>
        <v>8.3333333333333329E-2</v>
      </c>
    </row>
    <row r="100" spans="1:10" x14ac:dyDescent="0.25">
      <c r="A100" s="8" t="s">
        <v>105</v>
      </c>
      <c r="B100" s="9"/>
      <c r="D100" s="11"/>
      <c r="E100" s="17" t="s">
        <v>106</v>
      </c>
      <c r="F100" s="20">
        <f>C101/C$50</f>
        <v>0.71794871794871795</v>
      </c>
      <c r="G100" s="7"/>
      <c r="H100" s="41" t="s">
        <v>107</v>
      </c>
      <c r="I100" s="30">
        <v>0</v>
      </c>
      <c r="J100" s="20">
        <f t="shared" si="5"/>
        <v>0</v>
      </c>
    </row>
    <row r="101" spans="1:10" x14ac:dyDescent="0.25">
      <c r="A101" s="8" t="s">
        <v>106</v>
      </c>
      <c r="B101" s="9"/>
      <c r="C101">
        <v>28</v>
      </c>
      <c r="D101" s="11"/>
      <c r="E101" s="17" t="s">
        <v>108</v>
      </c>
      <c r="F101" s="20">
        <f>C102/C$50</f>
        <v>0.17948717948717949</v>
      </c>
      <c r="G101" s="7"/>
      <c r="H101" s="41" t="s">
        <v>109</v>
      </c>
      <c r="I101" s="30">
        <v>1</v>
      </c>
      <c r="J101" s="20">
        <f t="shared" si="5"/>
        <v>8.3333333333333329E-2</v>
      </c>
    </row>
    <row r="102" spans="1:10" x14ac:dyDescent="0.25">
      <c r="A102" s="8" t="s">
        <v>108</v>
      </c>
      <c r="B102" s="9"/>
      <c r="C102">
        <v>7</v>
      </c>
      <c r="D102" s="11"/>
      <c r="E102" s="17" t="s">
        <v>110</v>
      </c>
      <c r="F102" s="20">
        <f>C103/C$50</f>
        <v>2.564102564102564E-2</v>
      </c>
      <c r="G102" s="7"/>
      <c r="H102" s="41" t="s">
        <v>111</v>
      </c>
      <c r="I102" s="30">
        <v>2</v>
      </c>
      <c r="J102" s="20">
        <f t="shared" si="5"/>
        <v>0.16666666666666666</v>
      </c>
    </row>
    <row r="103" spans="1:10" x14ac:dyDescent="0.25">
      <c r="A103" s="8" t="s">
        <v>110</v>
      </c>
      <c r="B103" s="9"/>
      <c r="C103">
        <v>1</v>
      </c>
      <c r="D103" s="11"/>
      <c r="E103" s="17" t="s">
        <v>112</v>
      </c>
      <c r="F103" s="20">
        <f>C104/C$50</f>
        <v>7.6923076923076927E-2</v>
      </c>
      <c r="G103" s="7"/>
      <c r="H103" s="41" t="s">
        <v>113</v>
      </c>
      <c r="I103" s="30">
        <v>0</v>
      </c>
      <c r="J103" s="20">
        <f t="shared" si="5"/>
        <v>0</v>
      </c>
    </row>
    <row r="104" spans="1:10" ht="15.75" thickBot="1" x14ac:dyDescent="0.3">
      <c r="A104" s="8" t="s">
        <v>112</v>
      </c>
      <c r="B104" s="9"/>
      <c r="C104">
        <v>3</v>
      </c>
      <c r="E104" s="22" t="s">
        <v>114</v>
      </c>
      <c r="F104" s="26">
        <f>C105/C$50</f>
        <v>0</v>
      </c>
      <c r="H104" s="42" t="s">
        <v>115</v>
      </c>
      <c r="I104" s="25">
        <v>1</v>
      </c>
      <c r="J104" s="26">
        <f t="shared" si="5"/>
        <v>8.3333333333333329E-2</v>
      </c>
    </row>
    <row r="105" spans="1:10" x14ac:dyDescent="0.25">
      <c r="A105" s="8" t="s">
        <v>114</v>
      </c>
      <c r="B105" s="9"/>
      <c r="C105">
        <v>0</v>
      </c>
      <c r="E105" s="11"/>
      <c r="F105" s="24"/>
    </row>
    <row r="106" spans="1:10" x14ac:dyDescent="0.25">
      <c r="A106" s="8" t="s">
        <v>116</v>
      </c>
      <c r="B106" s="9"/>
      <c r="C106">
        <v>0</v>
      </c>
      <c r="E106" s="11"/>
      <c r="F106" s="24"/>
    </row>
    <row r="107" spans="1:10" x14ac:dyDescent="0.25">
      <c r="A107" s="8"/>
      <c r="B107" s="9"/>
      <c r="E107" s="11"/>
      <c r="F107" s="24"/>
    </row>
    <row r="108" spans="1:10" ht="15.75" thickBot="1" x14ac:dyDescent="0.3"/>
    <row r="109" spans="1:10" x14ac:dyDescent="0.25">
      <c r="A109" s="43" t="s">
        <v>117</v>
      </c>
      <c r="B109" s="82">
        <f>SUM(B110:B114)</f>
        <v>87030.41</v>
      </c>
    </row>
    <row r="110" spans="1:10" x14ac:dyDescent="0.25">
      <c r="A110" s="44" t="s">
        <v>94</v>
      </c>
      <c r="B110" s="45">
        <f>SUM(F3,F5:F7,F15,F18:F19,F26,F30,F39:F40,)</f>
        <v>29249.67</v>
      </c>
    </row>
    <row r="111" spans="1:10" x14ac:dyDescent="0.25">
      <c r="A111" s="44" t="s">
        <v>118</v>
      </c>
      <c r="B111" s="45">
        <f>SUM(F2,F4,F8:F9,,F11:F13,F16:F17,F20,F22:F25,F27:F29,F31:F32,F34:F38,)</f>
        <v>50182.740000000005</v>
      </c>
    </row>
    <row r="112" spans="1:10" x14ac:dyDescent="0.25">
      <c r="A112" s="44" t="s">
        <v>119</v>
      </c>
      <c r="B112" s="45">
        <f>SUM(F10,F14,F21,F33)</f>
        <v>7598</v>
      </c>
    </row>
    <row r="113" spans="1:2" x14ac:dyDescent="0.25">
      <c r="A113" s="44" t="s">
        <v>44</v>
      </c>
      <c r="B113" s="46">
        <v>0</v>
      </c>
    </row>
    <row r="114" spans="1:2" ht="15.75" thickBot="1" x14ac:dyDescent="0.3">
      <c r="A114" s="47"/>
      <c r="B114" s="48"/>
    </row>
  </sheetData>
  <mergeCells count="1">
    <mergeCell ref="A46:F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opLeftCell="A55" workbookViewId="0">
      <selection activeCell="B105" sqref="B105"/>
    </sheetView>
  </sheetViews>
  <sheetFormatPr baseColWidth="10" defaultRowHeight="15" customHeight="1" x14ac:dyDescent="0.25"/>
  <cols>
    <col min="1" max="1" width="11.5703125" customWidth="1"/>
    <col min="2" max="2" width="34.140625" customWidth="1"/>
    <col min="3" max="3" width="11.85546875" customWidth="1"/>
    <col min="4" max="4" width="5.5703125" customWidth="1"/>
    <col min="5" max="5" width="7.28515625" customWidth="1"/>
    <col min="7" max="7" width="34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ht="15" customHeight="1" x14ac:dyDescent="0.25">
      <c r="A2" s="9">
        <v>45717</v>
      </c>
      <c r="B2" t="s">
        <v>552</v>
      </c>
      <c r="C2" t="s">
        <v>554</v>
      </c>
      <c r="E2" t="s">
        <v>118</v>
      </c>
      <c r="F2" s="59">
        <v>1309</v>
      </c>
      <c r="G2" t="s">
        <v>555</v>
      </c>
      <c r="H2" s="11" t="s">
        <v>557</v>
      </c>
    </row>
    <row r="3" spans="1:8" ht="15" customHeight="1" x14ac:dyDescent="0.25">
      <c r="A3" s="9">
        <v>45719</v>
      </c>
      <c r="B3" t="s">
        <v>559</v>
      </c>
      <c r="C3" t="s">
        <v>561</v>
      </c>
      <c r="E3" t="s">
        <v>190</v>
      </c>
      <c r="F3" s="59">
        <v>1360</v>
      </c>
      <c r="G3" t="s">
        <v>562</v>
      </c>
      <c r="H3" s="11" t="s">
        <v>338</v>
      </c>
    </row>
    <row r="4" spans="1:8" ht="15" customHeight="1" x14ac:dyDescent="0.25">
      <c r="A4" s="9">
        <v>45721</v>
      </c>
      <c r="B4" t="s">
        <v>575</v>
      </c>
      <c r="C4" t="s">
        <v>577</v>
      </c>
      <c r="E4" t="s">
        <v>118</v>
      </c>
      <c r="F4" s="59">
        <v>1650</v>
      </c>
      <c r="G4" t="s">
        <v>578</v>
      </c>
      <c r="H4" s="11" t="s">
        <v>215</v>
      </c>
    </row>
    <row r="5" spans="1:8" ht="15" customHeight="1" x14ac:dyDescent="0.25">
      <c r="A5" s="9">
        <v>45722</v>
      </c>
      <c r="B5" t="s">
        <v>580</v>
      </c>
      <c r="C5" t="s">
        <v>582</v>
      </c>
      <c r="E5" t="s">
        <v>190</v>
      </c>
      <c r="F5" s="59">
        <v>3979.97</v>
      </c>
      <c r="G5" t="s">
        <v>583</v>
      </c>
      <c r="H5" s="11" t="s">
        <v>223</v>
      </c>
    </row>
    <row r="6" spans="1:8" ht="15" customHeight="1" x14ac:dyDescent="0.25">
      <c r="A6" s="9">
        <v>45724</v>
      </c>
      <c r="B6" t="s">
        <v>585</v>
      </c>
      <c r="C6" t="s">
        <v>587</v>
      </c>
      <c r="E6" t="s">
        <v>190</v>
      </c>
      <c r="F6" s="59">
        <v>11044.55</v>
      </c>
      <c r="G6" t="s">
        <v>588</v>
      </c>
      <c r="H6" s="11" t="s">
        <v>192</v>
      </c>
    </row>
    <row r="7" spans="1:8" ht="15" customHeight="1" x14ac:dyDescent="0.25">
      <c r="A7" s="9">
        <v>45724</v>
      </c>
      <c r="B7" t="s">
        <v>595</v>
      </c>
      <c r="C7" t="s">
        <v>597</v>
      </c>
      <c r="E7" t="s">
        <v>118</v>
      </c>
      <c r="F7" s="59">
        <v>4998.6000000000004</v>
      </c>
      <c r="G7" t="s">
        <v>598</v>
      </c>
      <c r="H7" s="11" t="s">
        <v>295</v>
      </c>
    </row>
    <row r="8" spans="1:8" ht="15" customHeight="1" x14ac:dyDescent="0.25">
      <c r="A8" s="9">
        <v>45722</v>
      </c>
      <c r="B8" t="s">
        <v>605</v>
      </c>
      <c r="C8" t="s">
        <v>607</v>
      </c>
      <c r="E8" t="s">
        <v>118</v>
      </c>
      <c r="F8" s="59">
        <v>1434.68</v>
      </c>
      <c r="G8" t="s">
        <v>608</v>
      </c>
      <c r="H8" s="11" t="s">
        <v>630</v>
      </c>
    </row>
    <row r="9" spans="1:8" ht="15" customHeight="1" x14ac:dyDescent="0.25">
      <c r="A9" s="9">
        <v>45723</v>
      </c>
      <c r="B9" t="s">
        <v>610</v>
      </c>
      <c r="C9" t="s">
        <v>612</v>
      </c>
      <c r="E9" t="s">
        <v>190</v>
      </c>
      <c r="F9" s="59">
        <v>3430.6</v>
      </c>
      <c r="G9" t="s">
        <v>613</v>
      </c>
      <c r="H9" s="11" t="s">
        <v>192</v>
      </c>
    </row>
    <row r="10" spans="1:8" ht="15" customHeight="1" x14ac:dyDescent="0.25">
      <c r="A10" s="9">
        <v>45728</v>
      </c>
      <c r="B10" t="s">
        <v>615</v>
      </c>
      <c r="C10" t="s">
        <v>617</v>
      </c>
      <c r="E10" t="s">
        <v>118</v>
      </c>
      <c r="F10" s="59">
        <v>1596</v>
      </c>
      <c r="G10" t="s">
        <v>618</v>
      </c>
      <c r="H10" s="11" t="s">
        <v>192</v>
      </c>
    </row>
    <row r="11" spans="1:8" ht="15" customHeight="1" x14ac:dyDescent="0.25">
      <c r="A11" s="9">
        <v>45729</v>
      </c>
      <c r="B11" t="s">
        <v>620</v>
      </c>
      <c r="C11" t="s">
        <v>622</v>
      </c>
      <c r="E11" t="s">
        <v>118</v>
      </c>
      <c r="F11" s="59">
        <v>2334</v>
      </c>
      <c r="G11" t="s">
        <v>623</v>
      </c>
      <c r="H11" s="11" t="s">
        <v>631</v>
      </c>
    </row>
    <row r="12" spans="1:8" ht="15" customHeight="1" x14ac:dyDescent="0.25">
      <c r="A12" s="9">
        <v>45729</v>
      </c>
      <c r="B12" t="s">
        <v>625</v>
      </c>
      <c r="C12" t="s">
        <v>627</v>
      </c>
      <c r="E12" t="s">
        <v>118</v>
      </c>
      <c r="F12" s="59">
        <v>1589</v>
      </c>
      <c r="G12" t="s">
        <v>628</v>
      </c>
      <c r="H12" s="11" t="s">
        <v>632</v>
      </c>
    </row>
    <row r="13" spans="1:8" ht="15" customHeight="1" x14ac:dyDescent="0.25">
      <c r="A13" s="9">
        <v>45727</v>
      </c>
      <c r="B13" t="s">
        <v>634</v>
      </c>
      <c r="C13" t="s">
        <v>636</v>
      </c>
      <c r="E13" t="s">
        <v>118</v>
      </c>
      <c r="F13" s="59">
        <v>1519.2</v>
      </c>
      <c r="G13" t="s">
        <v>637</v>
      </c>
      <c r="H13" s="11" t="s">
        <v>646</v>
      </c>
    </row>
    <row r="14" spans="1:8" ht="15" customHeight="1" x14ac:dyDescent="0.25">
      <c r="A14" s="9">
        <v>45734</v>
      </c>
      <c r="B14" t="s">
        <v>642</v>
      </c>
      <c r="C14" t="s">
        <v>644</v>
      </c>
      <c r="E14" t="s">
        <v>118</v>
      </c>
      <c r="F14" s="59">
        <v>7261.74</v>
      </c>
      <c r="G14" t="s">
        <v>645</v>
      </c>
      <c r="H14" s="11" t="s">
        <v>192</v>
      </c>
    </row>
    <row r="15" spans="1:8" ht="15" customHeight="1" x14ac:dyDescent="0.25">
      <c r="A15" s="9">
        <v>45734</v>
      </c>
      <c r="B15" t="s">
        <v>648</v>
      </c>
      <c r="C15" t="s">
        <v>650</v>
      </c>
      <c r="E15" t="s">
        <v>119</v>
      </c>
      <c r="F15" s="59">
        <v>1359</v>
      </c>
      <c r="G15" t="s">
        <v>651</v>
      </c>
      <c r="H15" s="11" t="s">
        <v>657</v>
      </c>
    </row>
    <row r="16" spans="1:8" ht="15" customHeight="1" x14ac:dyDescent="0.25">
      <c r="A16" s="9">
        <v>45735</v>
      </c>
      <c r="B16" t="s">
        <v>653</v>
      </c>
      <c r="C16" t="s">
        <v>655</v>
      </c>
      <c r="E16" t="s">
        <v>190</v>
      </c>
      <c r="F16" s="59">
        <v>1521.92</v>
      </c>
      <c r="G16" t="s">
        <v>656</v>
      </c>
      <c r="H16" s="11" t="s">
        <v>668</v>
      </c>
    </row>
    <row r="17" spans="1:9" ht="15" customHeight="1" x14ac:dyDescent="0.25">
      <c r="A17" s="9">
        <v>45735</v>
      </c>
      <c r="B17" t="s">
        <v>659</v>
      </c>
      <c r="C17" t="s">
        <v>661</v>
      </c>
      <c r="E17" t="s">
        <v>118</v>
      </c>
      <c r="F17" s="59">
        <v>1703</v>
      </c>
      <c r="G17" t="s">
        <v>662</v>
      </c>
      <c r="H17" s="11" t="s">
        <v>669</v>
      </c>
    </row>
    <row r="18" spans="1:9" ht="15" customHeight="1" x14ac:dyDescent="0.25">
      <c r="A18" s="9">
        <v>45736</v>
      </c>
      <c r="B18" t="s">
        <v>664</v>
      </c>
      <c r="C18" t="s">
        <v>666</v>
      </c>
      <c r="E18" t="s">
        <v>118</v>
      </c>
      <c r="F18" s="59">
        <v>1203</v>
      </c>
      <c r="G18" t="s">
        <v>667</v>
      </c>
      <c r="H18" s="11" t="s">
        <v>295</v>
      </c>
    </row>
    <row r="19" spans="1:9" ht="15" customHeight="1" x14ac:dyDescent="0.25">
      <c r="A19" s="9">
        <v>45736</v>
      </c>
      <c r="B19" t="s">
        <v>671</v>
      </c>
      <c r="C19" t="s">
        <v>673</v>
      </c>
      <c r="E19" t="s">
        <v>190</v>
      </c>
      <c r="F19" s="59">
        <v>950</v>
      </c>
      <c r="G19" t="s">
        <v>674</v>
      </c>
      <c r="H19" s="11" t="s">
        <v>192</v>
      </c>
    </row>
    <row r="20" spans="1:9" ht="15" customHeight="1" x14ac:dyDescent="0.25">
      <c r="A20" s="9">
        <v>45736</v>
      </c>
      <c r="B20" t="s">
        <v>675</v>
      </c>
      <c r="C20" t="s">
        <v>677</v>
      </c>
      <c r="E20" t="s">
        <v>119</v>
      </c>
      <c r="F20" s="59">
        <v>1122</v>
      </c>
      <c r="G20" t="s">
        <v>375</v>
      </c>
      <c r="H20" s="11" t="s">
        <v>678</v>
      </c>
    </row>
    <row r="21" spans="1:9" ht="15" customHeight="1" x14ac:dyDescent="0.25">
      <c r="A21" s="9">
        <v>45735</v>
      </c>
      <c r="B21" t="s">
        <v>680</v>
      </c>
      <c r="C21" t="s">
        <v>682</v>
      </c>
      <c r="E21" t="s">
        <v>118</v>
      </c>
      <c r="F21" s="59">
        <v>2459.96</v>
      </c>
      <c r="G21" t="s">
        <v>683</v>
      </c>
      <c r="H21" s="11" t="s">
        <v>223</v>
      </c>
    </row>
    <row r="22" spans="1:9" ht="15" customHeight="1" x14ac:dyDescent="0.25">
      <c r="A22" s="9">
        <v>45741</v>
      </c>
      <c r="B22" t="s">
        <v>685</v>
      </c>
      <c r="C22" t="s">
        <v>687</v>
      </c>
      <c r="E22" t="s">
        <v>118</v>
      </c>
      <c r="F22" s="59">
        <v>1922</v>
      </c>
      <c r="G22" t="s">
        <v>688</v>
      </c>
      <c r="H22" s="11" t="s">
        <v>221</v>
      </c>
    </row>
    <row r="23" spans="1:9" ht="15" customHeight="1" x14ac:dyDescent="0.25">
      <c r="A23" s="9">
        <v>45741</v>
      </c>
      <c r="B23" t="s">
        <v>690</v>
      </c>
      <c r="C23" t="s">
        <v>692</v>
      </c>
      <c r="E23" t="s">
        <v>190</v>
      </c>
      <c r="F23" s="59">
        <v>1624.5</v>
      </c>
      <c r="G23" t="s">
        <v>693</v>
      </c>
      <c r="H23" s="11" t="s">
        <v>223</v>
      </c>
    </row>
    <row r="24" spans="1:9" ht="15" customHeight="1" x14ac:dyDescent="0.25">
      <c r="A24" s="9">
        <v>45742</v>
      </c>
      <c r="B24" t="s">
        <v>695</v>
      </c>
      <c r="C24" t="s">
        <v>697</v>
      </c>
      <c r="E24" t="s">
        <v>119</v>
      </c>
      <c r="F24" s="59">
        <v>2070</v>
      </c>
      <c r="G24" t="s">
        <v>698</v>
      </c>
      <c r="H24" s="11" t="s">
        <v>699</v>
      </c>
    </row>
    <row r="25" spans="1:9" ht="15" customHeight="1" x14ac:dyDescent="0.25">
      <c r="A25" s="9">
        <v>45744</v>
      </c>
      <c r="B25" t="s">
        <v>701</v>
      </c>
      <c r="C25" t="s">
        <v>702</v>
      </c>
      <c r="E25" t="s">
        <v>119</v>
      </c>
      <c r="F25" s="59">
        <v>10702.68</v>
      </c>
      <c r="G25" t="s">
        <v>703</v>
      </c>
      <c r="H25" s="11" t="s">
        <v>704</v>
      </c>
    </row>
    <row r="26" spans="1:9" ht="15" customHeight="1" x14ac:dyDescent="0.25">
      <c r="A26" s="9">
        <v>45745</v>
      </c>
      <c r="B26" t="s">
        <v>706</v>
      </c>
      <c r="C26" t="s">
        <v>708</v>
      </c>
      <c r="E26" t="s">
        <v>119</v>
      </c>
      <c r="F26" s="59">
        <v>2445.3000000000002</v>
      </c>
      <c r="G26" t="s">
        <v>709</v>
      </c>
      <c r="H26" s="11" t="s">
        <v>568</v>
      </c>
      <c r="I26" s="11" t="s">
        <v>19</v>
      </c>
    </row>
    <row r="27" spans="1:9" ht="15" customHeight="1" x14ac:dyDescent="0.25">
      <c r="A27" s="9">
        <v>45747</v>
      </c>
      <c r="B27" t="s">
        <v>717</v>
      </c>
      <c r="C27" t="s">
        <v>719</v>
      </c>
      <c r="E27" t="s">
        <v>190</v>
      </c>
      <c r="F27" s="59">
        <v>2495.2399999999998</v>
      </c>
      <c r="G27" t="s">
        <v>720</v>
      </c>
      <c r="H27" s="11" t="s">
        <v>568</v>
      </c>
    </row>
    <row r="28" spans="1:9" ht="15" customHeight="1" x14ac:dyDescent="0.25">
      <c r="A28" s="9"/>
      <c r="F28" s="59"/>
    </row>
    <row r="29" spans="1:9" ht="15" customHeight="1" x14ac:dyDescent="0.25">
      <c r="A29" s="9"/>
      <c r="F29" s="59"/>
    </row>
    <row r="30" spans="1:9" ht="15" customHeight="1" x14ac:dyDescent="0.25">
      <c r="A30" s="9"/>
      <c r="F30" s="59"/>
    </row>
    <row r="31" spans="1:9" ht="15" customHeight="1" x14ac:dyDescent="0.25">
      <c r="A31" s="9"/>
      <c r="F31" s="59"/>
    </row>
    <row r="32" spans="1:9" ht="15" customHeight="1" x14ac:dyDescent="0.25">
      <c r="A32" s="9"/>
      <c r="F32" s="59"/>
    </row>
    <row r="33" spans="1:10" ht="15" customHeight="1" x14ac:dyDescent="0.25">
      <c r="A33" s="9"/>
      <c r="F33" s="59"/>
    </row>
    <row r="34" spans="1:10" ht="15" customHeight="1" x14ac:dyDescent="0.25">
      <c r="A34" s="9"/>
      <c r="F34" s="59"/>
    </row>
    <row r="35" spans="1:10" ht="15" customHeight="1" x14ac:dyDescent="0.25">
      <c r="A35" s="9"/>
      <c r="F35" s="59"/>
    </row>
    <row r="41" spans="1:10" ht="15" customHeight="1" thickBot="1" x14ac:dyDescent="0.3">
      <c r="A41" s="99" t="s">
        <v>8</v>
      </c>
      <c r="B41" s="99"/>
      <c r="C41" s="99"/>
      <c r="D41" s="99"/>
      <c r="E41" s="99"/>
      <c r="F41" s="99"/>
      <c r="G41" s="7"/>
    </row>
    <row r="42" spans="1:10" ht="15" customHeight="1" x14ac:dyDescent="0.25">
      <c r="A42" s="8" t="s">
        <v>9</v>
      </c>
      <c r="B42" s="9"/>
      <c r="C42" s="10">
        <f>SUM(F2:F38)</f>
        <v>75085.94</v>
      </c>
      <c r="D42" s="11"/>
      <c r="E42" s="12" t="s">
        <v>10</v>
      </c>
      <c r="F42" s="85"/>
      <c r="G42" s="7"/>
      <c r="H42" s="14" t="s">
        <v>11</v>
      </c>
      <c r="I42" s="15">
        <v>14</v>
      </c>
      <c r="J42" s="16"/>
    </row>
    <row r="43" spans="1:10" ht="15" customHeight="1" x14ac:dyDescent="0.25">
      <c r="A43" s="8"/>
      <c r="B43" s="9"/>
      <c r="C43" s="10"/>
      <c r="D43" s="11"/>
      <c r="E43" s="17" t="s">
        <v>12</v>
      </c>
      <c r="F43" s="84">
        <v>43402.36</v>
      </c>
      <c r="G43" s="7"/>
      <c r="H43" s="17" t="s">
        <v>13</v>
      </c>
      <c r="I43" s="19">
        <v>3</v>
      </c>
      <c r="J43" s="20">
        <f>I43/I$42</f>
        <v>0.21428571428571427</v>
      </c>
    </row>
    <row r="44" spans="1:10" ht="15" customHeight="1" thickBot="1" x14ac:dyDescent="0.3">
      <c r="A44" s="8" t="s">
        <v>14</v>
      </c>
      <c r="B44" s="9"/>
      <c r="C44" s="21">
        <v>23</v>
      </c>
      <c r="D44" s="11"/>
      <c r="E44" s="22" t="s">
        <v>15</v>
      </c>
      <c r="F44" s="23">
        <f>C42/C44</f>
        <v>3264.6060869565217</v>
      </c>
      <c r="G44" s="7"/>
      <c r="H44" s="17" t="s">
        <v>16</v>
      </c>
      <c r="I44" s="19">
        <v>11</v>
      </c>
      <c r="J44" s="20">
        <f>I44/I$42</f>
        <v>0.7857142857142857</v>
      </c>
    </row>
    <row r="45" spans="1:10" ht="15" customHeight="1" thickBot="1" x14ac:dyDescent="0.3">
      <c r="A45" s="8" t="s">
        <v>17</v>
      </c>
      <c r="B45" s="9"/>
      <c r="C45">
        <v>23</v>
      </c>
      <c r="D45" s="11"/>
      <c r="E45" s="11"/>
      <c r="F45" s="24"/>
      <c r="G45" s="7"/>
      <c r="H45" s="22" t="s">
        <v>18</v>
      </c>
      <c r="I45" s="25">
        <v>0</v>
      </c>
      <c r="J45" s="26">
        <f>I45/I$42</f>
        <v>0</v>
      </c>
    </row>
    <row r="46" spans="1:10" ht="15" customHeight="1" x14ac:dyDescent="0.25">
      <c r="A46" s="8"/>
      <c r="B46" s="9"/>
      <c r="D46" s="11" t="s">
        <v>19</v>
      </c>
      <c r="E46" s="12" t="s">
        <v>20</v>
      </c>
      <c r="F46" s="13"/>
      <c r="G46" s="7"/>
    </row>
    <row r="47" spans="1:10" ht="15" customHeight="1" thickBot="1" x14ac:dyDescent="0.3">
      <c r="A47" s="8" t="s">
        <v>21</v>
      </c>
      <c r="B47" s="9"/>
      <c r="C47">
        <v>22</v>
      </c>
      <c r="D47" s="11" t="s">
        <v>19</v>
      </c>
      <c r="E47" s="17" t="s">
        <v>22</v>
      </c>
      <c r="F47" s="20">
        <f>C47/C$45</f>
        <v>0.95652173913043481</v>
      </c>
      <c r="G47" s="7"/>
    </row>
    <row r="48" spans="1:10" ht="15" customHeight="1" thickBot="1" x14ac:dyDescent="0.3">
      <c r="A48" s="8" t="s">
        <v>23</v>
      </c>
      <c r="B48" s="9"/>
      <c r="C48">
        <v>1</v>
      </c>
      <c r="D48" s="11"/>
      <c r="E48" s="22" t="s">
        <v>24</v>
      </c>
      <c r="F48" s="26">
        <f>C48/C$45</f>
        <v>4.3478260869565216E-2</v>
      </c>
      <c r="G48" s="7"/>
      <c r="H48" s="14" t="s">
        <v>25</v>
      </c>
      <c r="I48" s="15">
        <v>8</v>
      </c>
      <c r="J48" s="16"/>
    </row>
    <row r="49" spans="1:10" ht="15" customHeight="1" thickBot="1" x14ac:dyDescent="0.3">
      <c r="A49" s="8"/>
      <c r="B49" s="9"/>
      <c r="D49" s="11"/>
      <c r="E49" s="11"/>
      <c r="F49" s="24"/>
      <c r="G49" s="7"/>
      <c r="H49" s="27" t="s">
        <v>26</v>
      </c>
      <c r="I49" s="30">
        <v>3</v>
      </c>
      <c r="J49" s="20">
        <f>I49/I$48</f>
        <v>0.375</v>
      </c>
    </row>
    <row r="50" spans="1:10" ht="15" customHeight="1" x14ac:dyDescent="0.25">
      <c r="A50" s="8" t="s">
        <v>27</v>
      </c>
      <c r="B50" s="9"/>
      <c r="D50" s="11"/>
      <c r="E50" s="12" t="s">
        <v>28</v>
      </c>
      <c r="F50" s="13"/>
      <c r="G50" s="7"/>
      <c r="H50" s="27" t="s">
        <v>29</v>
      </c>
      <c r="I50" s="30">
        <v>3</v>
      </c>
      <c r="J50" s="20">
        <f>I50/I$48</f>
        <v>0.375</v>
      </c>
    </row>
    <row r="51" spans="1:10" ht="15" customHeight="1" thickBot="1" x14ac:dyDescent="0.3">
      <c r="A51" s="8" t="s">
        <v>30</v>
      </c>
      <c r="B51" s="9"/>
      <c r="C51">
        <v>0</v>
      </c>
      <c r="D51" s="11"/>
      <c r="E51" s="28" t="s">
        <v>30</v>
      </c>
      <c r="F51" s="20">
        <f>C51/C$60</f>
        <v>0</v>
      </c>
      <c r="G51" s="7"/>
      <c r="H51" s="29" t="s">
        <v>31</v>
      </c>
      <c r="I51" s="25">
        <v>2</v>
      </c>
      <c r="J51" s="26">
        <f>I51/I$48</f>
        <v>0.25</v>
      </c>
    </row>
    <row r="52" spans="1:10" ht="15" customHeight="1" thickBot="1" x14ac:dyDescent="0.3">
      <c r="A52" s="8" t="s">
        <v>11</v>
      </c>
      <c r="B52" s="9"/>
      <c r="C52">
        <v>14</v>
      </c>
      <c r="D52" s="11"/>
      <c r="E52" s="28" t="s">
        <v>11</v>
      </c>
      <c r="F52" s="20">
        <f t="shared" ref="F52:F59" si="0">C52/C$60</f>
        <v>0.3783783783783784</v>
      </c>
      <c r="G52" s="7"/>
    </row>
    <row r="53" spans="1:10" ht="15" customHeight="1" x14ac:dyDescent="0.25">
      <c r="A53" s="8" t="s">
        <v>32</v>
      </c>
      <c r="B53" s="9"/>
      <c r="C53">
        <v>8</v>
      </c>
      <c r="D53" s="11"/>
      <c r="E53" s="28" t="s">
        <v>32</v>
      </c>
      <c r="F53" s="20">
        <f t="shared" si="0"/>
        <v>0.21621621621621623</v>
      </c>
      <c r="G53" s="11" t="s">
        <v>19</v>
      </c>
      <c r="H53" s="14" t="s">
        <v>33</v>
      </c>
      <c r="I53" s="15">
        <v>1</v>
      </c>
      <c r="J53" s="13">
        <f t="shared" ref="J53:J64" si="1">I53/I$48</f>
        <v>0.125</v>
      </c>
    </row>
    <row r="54" spans="1:10" ht="15" customHeight="1" x14ac:dyDescent="0.25">
      <c r="A54" s="8" t="s">
        <v>34</v>
      </c>
      <c r="B54" s="9"/>
      <c r="C54">
        <v>0</v>
      </c>
      <c r="D54" s="11"/>
      <c r="E54" s="28" t="s">
        <v>34</v>
      </c>
      <c r="F54" s="20">
        <f t="shared" si="0"/>
        <v>0</v>
      </c>
      <c r="G54" s="7"/>
      <c r="H54" s="27" t="s">
        <v>35</v>
      </c>
      <c r="I54" s="30">
        <v>2</v>
      </c>
      <c r="J54" s="20">
        <f t="shared" si="1"/>
        <v>0.25</v>
      </c>
    </row>
    <row r="55" spans="1:10" ht="15" customHeight="1" x14ac:dyDescent="0.25">
      <c r="A55" s="8" t="s">
        <v>36</v>
      </c>
      <c r="B55" s="9"/>
      <c r="C55">
        <v>5</v>
      </c>
      <c r="D55" s="11"/>
      <c r="E55" s="28" t="s">
        <v>36</v>
      </c>
      <c r="F55" s="20">
        <f t="shared" si="0"/>
        <v>0.13513513513513514</v>
      </c>
      <c r="G55" s="7"/>
      <c r="H55" s="27" t="s">
        <v>37</v>
      </c>
      <c r="I55" s="30">
        <v>1</v>
      </c>
      <c r="J55" s="20">
        <f t="shared" si="1"/>
        <v>0.125</v>
      </c>
    </row>
    <row r="56" spans="1:10" ht="15" customHeight="1" x14ac:dyDescent="0.25">
      <c r="A56" s="8" t="s">
        <v>38</v>
      </c>
      <c r="B56" s="9"/>
      <c r="C56">
        <v>0</v>
      </c>
      <c r="D56" s="11"/>
      <c r="E56" s="28" t="s">
        <v>38</v>
      </c>
      <c r="F56" s="20">
        <f t="shared" si="0"/>
        <v>0</v>
      </c>
      <c r="G56" s="7"/>
      <c r="H56" s="27" t="s">
        <v>39</v>
      </c>
      <c r="I56" s="30">
        <v>1</v>
      </c>
      <c r="J56" s="20">
        <f t="shared" si="1"/>
        <v>0.125</v>
      </c>
    </row>
    <row r="57" spans="1:10" ht="15" customHeight="1" x14ac:dyDescent="0.25">
      <c r="A57" s="8" t="s">
        <v>40</v>
      </c>
      <c r="B57" s="9"/>
      <c r="C57">
        <v>7</v>
      </c>
      <c r="D57" s="11"/>
      <c r="E57" s="28" t="s">
        <v>40</v>
      </c>
      <c r="F57" s="20">
        <f t="shared" si="0"/>
        <v>0.1891891891891892</v>
      </c>
      <c r="G57" s="7"/>
      <c r="H57" s="27" t="s">
        <v>41</v>
      </c>
      <c r="I57" s="30">
        <v>0</v>
      </c>
      <c r="J57" s="20">
        <f t="shared" si="1"/>
        <v>0</v>
      </c>
    </row>
    <row r="58" spans="1:10" ht="15" customHeight="1" x14ac:dyDescent="0.25">
      <c r="A58" s="8" t="s">
        <v>42</v>
      </c>
      <c r="B58" s="9"/>
      <c r="C58">
        <v>0</v>
      </c>
      <c r="D58" s="11"/>
      <c r="E58" s="28" t="s">
        <v>42</v>
      </c>
      <c r="F58" s="20">
        <f t="shared" si="0"/>
        <v>0</v>
      </c>
      <c r="G58" s="7"/>
      <c r="H58" s="27" t="s">
        <v>43</v>
      </c>
      <c r="I58" s="30">
        <v>3</v>
      </c>
      <c r="J58" s="20">
        <f t="shared" si="1"/>
        <v>0.375</v>
      </c>
    </row>
    <row r="59" spans="1:10" ht="15" customHeight="1" thickBot="1" x14ac:dyDescent="0.3">
      <c r="A59" s="8" t="s">
        <v>44</v>
      </c>
      <c r="B59" s="9"/>
      <c r="C59">
        <v>3</v>
      </c>
      <c r="D59" s="11"/>
      <c r="E59" s="31" t="s">
        <v>44</v>
      </c>
      <c r="F59" s="26">
        <f t="shared" si="0"/>
        <v>8.1081081081081086E-2</v>
      </c>
      <c r="G59" s="11" t="s">
        <v>19</v>
      </c>
      <c r="H59" s="32" t="s">
        <v>45</v>
      </c>
      <c r="I59" s="30">
        <v>0</v>
      </c>
      <c r="J59" s="20">
        <f t="shared" si="1"/>
        <v>0</v>
      </c>
    </row>
    <row r="60" spans="1:10" ht="15" customHeight="1" thickBot="1" x14ac:dyDescent="0.3">
      <c r="A60" s="8" t="s">
        <v>46</v>
      </c>
      <c r="B60" s="9"/>
      <c r="C60">
        <f>SUM(C51:C59)</f>
        <v>37</v>
      </c>
      <c r="D60" s="11"/>
      <c r="E60" s="8"/>
      <c r="F60" s="24"/>
      <c r="G60" s="7"/>
      <c r="H60" s="32" t="s">
        <v>47</v>
      </c>
      <c r="I60" s="30">
        <v>0</v>
      </c>
      <c r="J60" s="20">
        <f t="shared" si="1"/>
        <v>0</v>
      </c>
    </row>
    <row r="61" spans="1:10" ht="15" customHeight="1" x14ac:dyDescent="0.25">
      <c r="A61" s="8"/>
      <c r="B61" s="9"/>
      <c r="D61" s="11"/>
      <c r="E61" s="33" t="s">
        <v>48</v>
      </c>
      <c r="F61" s="13"/>
      <c r="G61" s="7"/>
      <c r="H61" s="32" t="s">
        <v>49</v>
      </c>
      <c r="I61" s="30">
        <v>0</v>
      </c>
      <c r="J61" s="20">
        <f t="shared" si="1"/>
        <v>0</v>
      </c>
    </row>
    <row r="62" spans="1:10" ht="15" customHeight="1" x14ac:dyDescent="0.25">
      <c r="A62" s="8" t="s">
        <v>50</v>
      </c>
      <c r="B62" s="9"/>
      <c r="D62" s="11"/>
      <c r="E62" s="28" t="s">
        <v>51</v>
      </c>
      <c r="F62" s="20">
        <f>C63/C$73</f>
        <v>0.5</v>
      </c>
      <c r="G62" s="7"/>
      <c r="H62" s="27" t="s">
        <v>52</v>
      </c>
      <c r="I62" s="30">
        <v>0</v>
      </c>
      <c r="J62" s="20">
        <f t="shared" si="1"/>
        <v>0</v>
      </c>
    </row>
    <row r="63" spans="1:10" ht="15" customHeight="1" x14ac:dyDescent="0.25">
      <c r="A63" s="8" t="s">
        <v>51</v>
      </c>
      <c r="B63" s="9"/>
      <c r="C63">
        <v>20</v>
      </c>
      <c r="D63" s="11"/>
      <c r="E63" s="28" t="s">
        <v>53</v>
      </c>
      <c r="F63" s="20">
        <f t="shared" ref="F63:F71" si="2">C64/C$73</f>
        <v>0.125</v>
      </c>
      <c r="G63" s="7"/>
      <c r="H63" s="32" t="s">
        <v>54</v>
      </c>
      <c r="I63" s="30">
        <v>0</v>
      </c>
      <c r="J63" s="20">
        <f t="shared" si="1"/>
        <v>0</v>
      </c>
    </row>
    <row r="64" spans="1:10" ht="15" customHeight="1" thickBot="1" x14ac:dyDescent="0.3">
      <c r="A64" s="8" t="s">
        <v>53</v>
      </c>
      <c r="B64" s="9"/>
      <c r="C64">
        <v>5</v>
      </c>
      <c r="D64" s="11"/>
      <c r="E64" s="28" t="s">
        <v>55</v>
      </c>
      <c r="F64" s="20">
        <f t="shared" si="2"/>
        <v>0</v>
      </c>
      <c r="G64" s="7"/>
      <c r="H64" s="34" t="s">
        <v>56</v>
      </c>
      <c r="I64" s="25">
        <v>0</v>
      </c>
      <c r="J64" s="26">
        <f t="shared" si="1"/>
        <v>0</v>
      </c>
    </row>
    <row r="65" spans="1:10" ht="15" customHeight="1" x14ac:dyDescent="0.25">
      <c r="A65" s="8" t="s">
        <v>55</v>
      </c>
      <c r="B65" s="9"/>
      <c r="C65">
        <v>0</v>
      </c>
      <c r="D65" s="11"/>
      <c r="E65" s="28" t="s">
        <v>57</v>
      </c>
      <c r="F65" s="20">
        <f t="shared" si="2"/>
        <v>0.15</v>
      </c>
      <c r="G65" s="7"/>
    </row>
    <row r="66" spans="1:10" ht="15" customHeight="1" thickBot="1" x14ac:dyDescent="0.3">
      <c r="A66" s="8" t="s">
        <v>57</v>
      </c>
      <c r="B66" s="9"/>
      <c r="C66">
        <v>6</v>
      </c>
      <c r="D66" s="11"/>
      <c r="E66" s="28" t="s">
        <v>58</v>
      </c>
      <c r="F66" s="20">
        <f t="shared" si="2"/>
        <v>0.15</v>
      </c>
      <c r="G66" s="11" t="s">
        <v>19</v>
      </c>
    </row>
    <row r="67" spans="1:10" ht="15" customHeight="1" x14ac:dyDescent="0.25">
      <c r="A67" s="8" t="s">
        <v>58</v>
      </c>
      <c r="B67" s="9"/>
      <c r="C67">
        <v>6</v>
      </c>
      <c r="D67" s="11"/>
      <c r="E67" s="28" t="s">
        <v>59</v>
      </c>
      <c r="F67" s="20">
        <f t="shared" si="2"/>
        <v>0</v>
      </c>
      <c r="G67" s="7"/>
      <c r="H67" s="14" t="s">
        <v>36</v>
      </c>
      <c r="I67" s="15">
        <v>5</v>
      </c>
      <c r="J67" s="16"/>
    </row>
    <row r="68" spans="1:10" ht="15" customHeight="1" x14ac:dyDescent="0.25">
      <c r="A68" s="8" t="s">
        <v>59</v>
      </c>
      <c r="B68" s="9"/>
      <c r="C68">
        <v>0</v>
      </c>
      <c r="D68" s="11"/>
      <c r="E68" s="28" t="s">
        <v>60</v>
      </c>
      <c r="F68" s="20">
        <f t="shared" si="2"/>
        <v>0</v>
      </c>
      <c r="G68" s="7"/>
      <c r="H68" s="27" t="s">
        <v>61</v>
      </c>
      <c r="I68" s="30">
        <v>1</v>
      </c>
      <c r="J68" s="20">
        <f>I68/I$67</f>
        <v>0.2</v>
      </c>
    </row>
    <row r="69" spans="1:10" ht="15" customHeight="1" thickBot="1" x14ac:dyDescent="0.3">
      <c r="A69" s="8" t="s">
        <v>60</v>
      </c>
      <c r="B69" s="9"/>
      <c r="C69">
        <v>0</v>
      </c>
      <c r="D69" s="11"/>
      <c r="E69" s="28" t="s">
        <v>62</v>
      </c>
      <c r="F69" s="20">
        <f t="shared" si="2"/>
        <v>0</v>
      </c>
      <c r="G69" s="7"/>
      <c r="H69" s="29" t="s">
        <v>63</v>
      </c>
      <c r="I69" s="25">
        <v>4</v>
      </c>
      <c r="J69" s="26">
        <f>I69/I$67</f>
        <v>0.8</v>
      </c>
    </row>
    <row r="70" spans="1:10" ht="15" customHeight="1" x14ac:dyDescent="0.25">
      <c r="A70" s="8" t="s">
        <v>62</v>
      </c>
      <c r="B70" s="9"/>
      <c r="C70">
        <v>0</v>
      </c>
      <c r="D70" s="11"/>
      <c r="E70" s="28" t="s">
        <v>64</v>
      </c>
      <c r="F70" s="20">
        <f t="shared" si="2"/>
        <v>0</v>
      </c>
      <c r="G70" s="7"/>
    </row>
    <row r="71" spans="1:10" ht="15" customHeight="1" thickBot="1" x14ac:dyDescent="0.3">
      <c r="A71" s="8" t="s">
        <v>64</v>
      </c>
      <c r="B71" s="9"/>
      <c r="C71">
        <v>0</v>
      </c>
      <c r="D71" s="11"/>
      <c r="E71" s="31" t="s">
        <v>65</v>
      </c>
      <c r="F71" s="26">
        <f t="shared" si="2"/>
        <v>7.4999999999999997E-2</v>
      </c>
      <c r="G71" s="7"/>
    </row>
    <row r="72" spans="1:10" ht="15" customHeight="1" thickBot="1" x14ac:dyDescent="0.3">
      <c r="A72" s="8" t="s">
        <v>65</v>
      </c>
      <c r="B72" s="9"/>
      <c r="C72">
        <v>3</v>
      </c>
      <c r="D72" s="11"/>
      <c r="E72" s="8"/>
      <c r="F72" s="24"/>
      <c r="G72" s="7"/>
      <c r="H72" s="14" t="s">
        <v>66</v>
      </c>
      <c r="I72" s="15">
        <v>0</v>
      </c>
      <c r="J72" s="16"/>
    </row>
    <row r="73" spans="1:10" ht="15" customHeight="1" x14ac:dyDescent="0.25">
      <c r="A73" s="8" t="s">
        <v>67</v>
      </c>
      <c r="B73" s="9"/>
      <c r="C73">
        <f>SUM(C63:C72)</f>
        <v>40</v>
      </c>
      <c r="D73" s="11"/>
      <c r="E73" s="33" t="s">
        <v>68</v>
      </c>
      <c r="F73" s="13"/>
      <c r="G73" s="7"/>
      <c r="H73" s="27" t="s">
        <v>69</v>
      </c>
      <c r="I73" s="30">
        <v>0</v>
      </c>
      <c r="J73" s="20">
        <f t="shared" ref="J73:J78" si="3">I73/I$89</f>
        <v>0</v>
      </c>
    </row>
    <row r="74" spans="1:10" ht="15" customHeight="1" x14ac:dyDescent="0.25">
      <c r="A74" s="8"/>
      <c r="B74" s="9"/>
      <c r="D74" s="11"/>
      <c r="E74" s="35" t="s">
        <v>70</v>
      </c>
      <c r="F74" s="20">
        <f>C75/C$45</f>
        <v>0.82608695652173914</v>
      </c>
      <c r="G74" s="7"/>
      <c r="H74" s="27" t="s">
        <v>71</v>
      </c>
      <c r="I74" s="30">
        <v>0</v>
      </c>
      <c r="J74" s="20">
        <f t="shared" si="3"/>
        <v>0</v>
      </c>
    </row>
    <row r="75" spans="1:10" ht="15" customHeight="1" x14ac:dyDescent="0.25">
      <c r="A75" s="8" t="s">
        <v>72</v>
      </c>
      <c r="B75" s="9"/>
      <c r="C75">
        <v>19</v>
      </c>
      <c r="D75" s="11"/>
      <c r="E75" s="35" t="s">
        <v>73</v>
      </c>
      <c r="F75" s="20">
        <f>C76/C$45</f>
        <v>4.3478260869565216E-2</v>
      </c>
      <c r="G75" s="7"/>
      <c r="H75" s="27" t="s">
        <v>74</v>
      </c>
      <c r="I75" s="30">
        <v>0</v>
      </c>
      <c r="J75" s="20">
        <f t="shared" si="3"/>
        <v>0</v>
      </c>
    </row>
    <row r="76" spans="1:10" ht="15" customHeight="1" thickBot="1" x14ac:dyDescent="0.3">
      <c r="A76" s="8" t="s">
        <v>75</v>
      </c>
      <c r="B76" s="9"/>
      <c r="C76">
        <v>1</v>
      </c>
      <c r="D76" s="11"/>
      <c r="E76" s="36" t="s">
        <v>76</v>
      </c>
      <c r="F76" s="26">
        <f>C77/C$45</f>
        <v>0.13043478260869565</v>
      </c>
      <c r="G76" s="7"/>
      <c r="H76" s="27" t="s">
        <v>77</v>
      </c>
      <c r="I76" s="30">
        <v>0</v>
      </c>
      <c r="J76" s="20">
        <f t="shared" si="3"/>
        <v>0</v>
      </c>
    </row>
    <row r="77" spans="1:10" ht="15" customHeight="1" thickBot="1" x14ac:dyDescent="0.3">
      <c r="A77" s="8" t="s">
        <v>78</v>
      </c>
      <c r="B77" s="9"/>
      <c r="C77">
        <v>3</v>
      </c>
      <c r="D77" s="11"/>
      <c r="E77" s="37"/>
      <c r="F77" s="24"/>
      <c r="G77" s="11" t="s">
        <v>19</v>
      </c>
      <c r="H77" s="27" t="s">
        <v>79</v>
      </c>
      <c r="I77" s="30">
        <v>0</v>
      </c>
      <c r="J77" s="20">
        <f t="shared" si="3"/>
        <v>0</v>
      </c>
    </row>
    <row r="78" spans="1:10" ht="15" customHeight="1" thickBot="1" x14ac:dyDescent="0.3">
      <c r="A78" s="8"/>
      <c r="B78" s="9"/>
      <c r="D78" s="11"/>
      <c r="E78" s="38" t="s">
        <v>20</v>
      </c>
      <c r="F78" s="13"/>
      <c r="G78" s="7"/>
      <c r="H78" s="29" t="s">
        <v>80</v>
      </c>
      <c r="I78" s="25">
        <v>0</v>
      </c>
      <c r="J78" s="26">
        <f t="shared" si="3"/>
        <v>0</v>
      </c>
    </row>
    <row r="79" spans="1:10" ht="15" customHeight="1" x14ac:dyDescent="0.25">
      <c r="A79" s="8" t="s">
        <v>20</v>
      </c>
      <c r="B79" s="9"/>
      <c r="D79" s="11"/>
      <c r="E79" s="28" t="s">
        <v>81</v>
      </c>
      <c r="F79" s="20">
        <f>C80/C$45</f>
        <v>0.34782608695652173</v>
      </c>
      <c r="G79" s="7"/>
    </row>
    <row r="80" spans="1:10" ht="15" customHeight="1" thickBot="1" x14ac:dyDescent="0.3">
      <c r="A80" s="8" t="s">
        <v>82</v>
      </c>
      <c r="B80" s="9"/>
      <c r="C80">
        <v>8</v>
      </c>
      <c r="D80" s="11"/>
      <c r="E80" s="31" t="s">
        <v>83</v>
      </c>
      <c r="F80" s="26">
        <f>C81/C$45</f>
        <v>0.65217391304347827</v>
      </c>
      <c r="G80" s="7"/>
    </row>
    <row r="81" spans="1:10" ht="15" customHeight="1" thickBot="1" x14ac:dyDescent="0.3">
      <c r="A81" s="8" t="s">
        <v>83</v>
      </c>
      <c r="B81" s="9"/>
      <c r="C81">
        <v>15</v>
      </c>
      <c r="D81" s="11"/>
      <c r="E81" s="39"/>
      <c r="F81" s="40"/>
      <c r="G81" s="7"/>
      <c r="H81" s="14" t="s">
        <v>40</v>
      </c>
      <c r="I81" s="15">
        <v>7</v>
      </c>
      <c r="J81" s="16"/>
    </row>
    <row r="82" spans="1:10" ht="15" customHeight="1" x14ac:dyDescent="0.25">
      <c r="A82" s="8"/>
      <c r="B82" s="9"/>
      <c r="D82" s="11"/>
      <c r="E82" s="14" t="s">
        <v>84</v>
      </c>
      <c r="F82" s="13"/>
      <c r="G82" s="7"/>
      <c r="H82" s="27" t="s">
        <v>85</v>
      </c>
      <c r="I82" s="30">
        <v>0</v>
      </c>
      <c r="J82" s="20">
        <f>I82/I$81</f>
        <v>0</v>
      </c>
    </row>
    <row r="83" spans="1:10" ht="15" customHeight="1" x14ac:dyDescent="0.25">
      <c r="A83" t="s">
        <v>84</v>
      </c>
      <c r="D83" s="11"/>
      <c r="E83" s="27" t="s">
        <v>86</v>
      </c>
      <c r="F83" s="20">
        <f>C84/C$81</f>
        <v>0.8</v>
      </c>
      <c r="G83" s="7"/>
      <c r="H83" s="27" t="s">
        <v>87</v>
      </c>
      <c r="I83" s="30">
        <v>1</v>
      </c>
      <c r="J83" s="20">
        <f>I83/I$81</f>
        <v>0.14285714285714285</v>
      </c>
    </row>
    <row r="84" spans="1:10" ht="15" customHeight="1" thickBot="1" x14ac:dyDescent="0.3">
      <c r="A84" t="s">
        <v>86</v>
      </c>
      <c r="C84">
        <v>12</v>
      </c>
      <c r="D84" s="11"/>
      <c r="E84" s="29" t="s">
        <v>88</v>
      </c>
      <c r="F84" s="26">
        <f>C85/C$81</f>
        <v>0.2</v>
      </c>
      <c r="G84" s="7"/>
      <c r="H84" s="27" t="s">
        <v>89</v>
      </c>
      <c r="I84" s="30">
        <v>3</v>
      </c>
      <c r="J84" s="20">
        <f>I84/I$81</f>
        <v>0.42857142857142855</v>
      </c>
    </row>
    <row r="85" spans="1:10" ht="15" customHeight="1" thickBot="1" x14ac:dyDescent="0.3">
      <c r="A85" t="s">
        <v>88</v>
      </c>
      <c r="C85">
        <v>3</v>
      </c>
      <c r="D85" s="11"/>
      <c r="E85" s="39"/>
      <c r="F85" s="40"/>
      <c r="G85" s="7"/>
      <c r="H85" s="27" t="s">
        <v>90</v>
      </c>
      <c r="I85" s="30">
        <v>2</v>
      </c>
      <c r="J85" s="20">
        <f>I85/I$81</f>
        <v>0.2857142857142857</v>
      </c>
    </row>
    <row r="86" spans="1:10" ht="15" customHeight="1" thickBot="1" x14ac:dyDescent="0.3">
      <c r="A86" s="8"/>
      <c r="B86" s="9"/>
      <c r="D86" s="11"/>
      <c r="E86" s="33" t="s">
        <v>91</v>
      </c>
      <c r="F86" s="13"/>
      <c r="G86" s="7"/>
      <c r="H86" s="29" t="s">
        <v>92</v>
      </c>
      <c r="I86" s="25">
        <v>1</v>
      </c>
      <c r="J86" s="26">
        <f>I86/I$81</f>
        <v>0.14285714285714285</v>
      </c>
    </row>
    <row r="87" spans="1:10" ht="15" customHeight="1" x14ac:dyDescent="0.25">
      <c r="A87" s="8" t="s">
        <v>93</v>
      </c>
      <c r="B87" s="9"/>
      <c r="D87" s="11"/>
      <c r="E87" s="28" t="s">
        <v>94</v>
      </c>
      <c r="F87" s="20">
        <f t="shared" ref="F87:F92" si="4">C88/C$45</f>
        <v>0.30434782608695654</v>
      </c>
      <c r="G87" s="7"/>
    </row>
    <row r="88" spans="1:10" ht="15" customHeight="1" thickBot="1" x14ac:dyDescent="0.3">
      <c r="A88" s="8" t="s">
        <v>94</v>
      </c>
      <c r="B88" s="9"/>
      <c r="C88">
        <v>7</v>
      </c>
      <c r="D88" s="11"/>
      <c r="E88" s="17" t="s">
        <v>95</v>
      </c>
      <c r="F88" s="20">
        <f t="shared" si="4"/>
        <v>4.3478260869565216E-2</v>
      </c>
      <c r="G88" s="7"/>
    </row>
    <row r="89" spans="1:10" ht="15" customHeight="1" x14ac:dyDescent="0.25">
      <c r="A89" s="8" t="s">
        <v>95</v>
      </c>
      <c r="B89" s="9"/>
      <c r="C89">
        <v>1</v>
      </c>
      <c r="D89" s="11"/>
      <c r="E89" s="17" t="s">
        <v>96</v>
      </c>
      <c r="F89" s="20">
        <f t="shared" si="4"/>
        <v>0</v>
      </c>
      <c r="G89" s="7"/>
      <c r="H89" s="14" t="s">
        <v>44</v>
      </c>
      <c r="I89" s="15">
        <v>3</v>
      </c>
      <c r="J89" s="16"/>
    </row>
    <row r="90" spans="1:10" ht="15" customHeight="1" x14ac:dyDescent="0.25">
      <c r="A90" s="8" t="s">
        <v>96</v>
      </c>
      <c r="B90" s="9"/>
      <c r="C90">
        <v>0</v>
      </c>
      <c r="D90" s="11"/>
      <c r="E90" s="17" t="s">
        <v>97</v>
      </c>
      <c r="F90" s="20">
        <f t="shared" si="4"/>
        <v>0</v>
      </c>
      <c r="G90" s="7"/>
      <c r="H90" s="27" t="s">
        <v>98</v>
      </c>
      <c r="I90" s="30">
        <v>1</v>
      </c>
      <c r="J90" s="20">
        <f>I90/I$89</f>
        <v>0.33333333333333331</v>
      </c>
    </row>
    <row r="91" spans="1:10" ht="15" customHeight="1" x14ac:dyDescent="0.25">
      <c r="A91" s="8" t="s">
        <v>97</v>
      </c>
      <c r="B91" s="9"/>
      <c r="C91">
        <v>0</v>
      </c>
      <c r="D91" s="11"/>
      <c r="E91" s="17" t="s">
        <v>99</v>
      </c>
      <c r="F91" s="20">
        <f t="shared" si="4"/>
        <v>0.65217391304347827</v>
      </c>
      <c r="G91" s="7"/>
      <c r="H91" s="27" t="s">
        <v>100</v>
      </c>
      <c r="I91" s="30">
        <v>1</v>
      </c>
      <c r="J91" s="20">
        <f t="shared" ref="J91:J99" si="5">I91/I$89</f>
        <v>0.33333333333333331</v>
      </c>
    </row>
    <row r="92" spans="1:10" ht="15" customHeight="1" thickBot="1" x14ac:dyDescent="0.3">
      <c r="A92" s="8" t="s">
        <v>99</v>
      </c>
      <c r="B92" s="9"/>
      <c r="C92">
        <v>15</v>
      </c>
      <c r="D92" s="11"/>
      <c r="E92" s="22" t="s">
        <v>44</v>
      </c>
      <c r="F92" s="26">
        <f t="shared" si="4"/>
        <v>0</v>
      </c>
      <c r="G92" s="7"/>
      <c r="H92" s="27" t="s">
        <v>101</v>
      </c>
      <c r="I92" s="30">
        <v>0</v>
      </c>
      <c r="J92" s="20">
        <f t="shared" si="5"/>
        <v>0</v>
      </c>
    </row>
    <row r="93" spans="1:10" ht="15" customHeight="1" thickBot="1" x14ac:dyDescent="0.3">
      <c r="A93" s="8" t="s">
        <v>44</v>
      </c>
      <c r="B93" s="9"/>
      <c r="C93">
        <v>0</v>
      </c>
      <c r="D93" s="11"/>
      <c r="E93" s="11"/>
      <c r="F93" s="24"/>
      <c r="G93" s="7"/>
      <c r="H93" s="27" t="s">
        <v>102</v>
      </c>
      <c r="I93" s="30">
        <v>0</v>
      </c>
      <c r="J93" s="20">
        <f t="shared" si="5"/>
        <v>0</v>
      </c>
    </row>
    <row r="94" spans="1:10" ht="15" customHeight="1" x14ac:dyDescent="0.25">
      <c r="A94" s="8"/>
      <c r="B94" s="9"/>
      <c r="D94" s="11"/>
      <c r="E94" s="12" t="s">
        <v>103</v>
      </c>
      <c r="F94" s="13"/>
      <c r="G94" s="7"/>
      <c r="H94" s="27" t="s">
        <v>104</v>
      </c>
      <c r="I94" s="30">
        <v>0</v>
      </c>
      <c r="J94" s="20">
        <f t="shared" si="5"/>
        <v>0</v>
      </c>
    </row>
    <row r="95" spans="1:10" ht="15" customHeight="1" x14ac:dyDescent="0.25">
      <c r="A95" s="8" t="s">
        <v>105</v>
      </c>
      <c r="B95" s="9"/>
      <c r="D95" s="11"/>
      <c r="E95" s="17" t="s">
        <v>106</v>
      </c>
      <c r="F95" s="20">
        <f>C96/C$45</f>
        <v>0.86956521739130432</v>
      </c>
      <c r="G95" s="7"/>
      <c r="H95" s="41" t="s">
        <v>107</v>
      </c>
      <c r="I95" s="30">
        <v>1</v>
      </c>
      <c r="J95" s="20">
        <f t="shared" si="5"/>
        <v>0.33333333333333331</v>
      </c>
    </row>
    <row r="96" spans="1:10" ht="15" customHeight="1" x14ac:dyDescent="0.25">
      <c r="A96" s="8" t="s">
        <v>106</v>
      </c>
      <c r="B96" s="9"/>
      <c r="C96">
        <v>20</v>
      </c>
      <c r="D96" s="11"/>
      <c r="E96" s="17" t="s">
        <v>108</v>
      </c>
      <c r="F96" s="20">
        <f>C97/C$45</f>
        <v>8.6956521739130432E-2</v>
      </c>
      <c r="G96" s="7"/>
      <c r="H96" s="41" t="s">
        <v>109</v>
      </c>
      <c r="I96" s="30">
        <v>0</v>
      </c>
      <c r="J96" s="20">
        <f t="shared" si="5"/>
        <v>0</v>
      </c>
    </row>
    <row r="97" spans="1:10" ht="15" customHeight="1" x14ac:dyDescent="0.25">
      <c r="A97" s="8" t="s">
        <v>108</v>
      </c>
      <c r="B97" s="9"/>
      <c r="C97">
        <v>2</v>
      </c>
      <c r="D97" s="11"/>
      <c r="E97" s="17" t="s">
        <v>110</v>
      </c>
      <c r="F97" s="20">
        <f>C98/C$45</f>
        <v>4.3478260869565216E-2</v>
      </c>
      <c r="G97" s="7"/>
      <c r="H97" s="41" t="s">
        <v>111</v>
      </c>
      <c r="I97" s="30">
        <v>0</v>
      </c>
      <c r="J97" s="20">
        <f t="shared" si="5"/>
        <v>0</v>
      </c>
    </row>
    <row r="98" spans="1:10" ht="15" customHeight="1" x14ac:dyDescent="0.25">
      <c r="A98" s="8" t="s">
        <v>110</v>
      </c>
      <c r="B98" s="9"/>
      <c r="C98">
        <v>1</v>
      </c>
      <c r="D98" s="11"/>
      <c r="E98" s="17" t="s">
        <v>112</v>
      </c>
      <c r="F98" s="20">
        <f>C99/C$45</f>
        <v>0</v>
      </c>
      <c r="G98" s="7"/>
      <c r="H98" s="41" t="s">
        <v>113</v>
      </c>
      <c r="I98" s="30">
        <v>0</v>
      </c>
      <c r="J98" s="20">
        <f t="shared" si="5"/>
        <v>0</v>
      </c>
    </row>
    <row r="99" spans="1:10" ht="15" customHeight="1" thickBot="1" x14ac:dyDescent="0.3">
      <c r="A99" s="8" t="s">
        <v>112</v>
      </c>
      <c r="B99" s="9"/>
      <c r="C99">
        <v>0</v>
      </c>
      <c r="E99" s="22" t="s">
        <v>114</v>
      </c>
      <c r="F99" s="26">
        <f>C100/C$45</f>
        <v>0</v>
      </c>
      <c r="H99" s="42" t="s">
        <v>115</v>
      </c>
      <c r="I99" s="25">
        <v>0</v>
      </c>
      <c r="J99" s="26">
        <f t="shared" si="5"/>
        <v>0</v>
      </c>
    </row>
    <row r="100" spans="1:10" ht="15" customHeight="1" x14ac:dyDescent="0.25">
      <c r="A100" s="8" t="s">
        <v>114</v>
      </c>
      <c r="B100" s="9"/>
      <c r="C100">
        <v>0</v>
      </c>
      <c r="E100" s="11"/>
      <c r="F100" s="24"/>
    </row>
    <row r="101" spans="1:10" ht="15" customHeight="1" x14ac:dyDescent="0.25">
      <c r="A101" s="8" t="s">
        <v>116</v>
      </c>
      <c r="B101" s="9"/>
      <c r="C101">
        <v>0</v>
      </c>
      <c r="E101" s="11"/>
      <c r="F101" s="24"/>
    </row>
    <row r="102" spans="1:10" ht="15" customHeight="1" x14ac:dyDescent="0.25">
      <c r="A102" s="8"/>
      <c r="B102" s="9"/>
      <c r="E102" s="11"/>
      <c r="F102" s="24"/>
    </row>
    <row r="103" spans="1:10" ht="15" customHeight="1" thickBot="1" x14ac:dyDescent="0.3"/>
    <row r="104" spans="1:10" ht="15" customHeight="1" x14ac:dyDescent="0.25">
      <c r="A104" s="43" t="s">
        <v>117</v>
      </c>
      <c r="B104" s="82">
        <f>SUM(B105:B108)</f>
        <v>78215.939999999988</v>
      </c>
    </row>
    <row r="105" spans="1:10" ht="15" customHeight="1" x14ac:dyDescent="0.25">
      <c r="A105" s="44" t="s">
        <v>94</v>
      </c>
      <c r="B105" s="45">
        <f>SUM(F2,F16,F19:F20,F22,F27,F29,)</f>
        <v>9320.16</v>
      </c>
    </row>
    <row r="106" spans="1:10" ht="15" customHeight="1" x14ac:dyDescent="0.25">
      <c r="A106" s="44" t="s">
        <v>118</v>
      </c>
      <c r="B106" s="45">
        <f>SUM(F3:F15,F17:F18,F21,F23:F26,F28,F30:F33,F35,)</f>
        <v>65765.779999999984</v>
      </c>
    </row>
    <row r="107" spans="1:10" ht="15" customHeight="1" x14ac:dyDescent="0.25">
      <c r="A107" s="44" t="s">
        <v>119</v>
      </c>
      <c r="B107" s="45">
        <v>3130</v>
      </c>
    </row>
    <row r="108" spans="1:10" ht="15" customHeight="1" x14ac:dyDescent="0.25">
      <c r="A108" s="44" t="s">
        <v>44</v>
      </c>
      <c r="B108" s="46">
        <v>0</v>
      </c>
    </row>
    <row r="109" spans="1:10" ht="15" customHeight="1" thickBot="1" x14ac:dyDescent="0.3">
      <c r="A109" s="47"/>
      <c r="B109" s="48"/>
    </row>
  </sheetData>
  <mergeCells count="1">
    <mergeCell ref="A41:F41"/>
  </mergeCells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52" workbookViewId="0">
      <selection activeCell="B108" sqref="B108"/>
    </sheetView>
  </sheetViews>
  <sheetFormatPr baseColWidth="10" defaultRowHeight="15" x14ac:dyDescent="0.25"/>
  <cols>
    <col min="1" max="1" width="11" customWidth="1"/>
    <col min="2" max="2" width="34.7109375" customWidth="1"/>
    <col min="3" max="3" width="12.28515625" customWidth="1"/>
    <col min="4" max="4" width="5" customWidth="1"/>
    <col min="5" max="5" width="7.140625" customWidth="1"/>
    <col min="6" max="6" width="13.28515625" customWidth="1"/>
    <col min="7" max="7" width="34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45748</v>
      </c>
      <c r="B2" t="s">
        <v>711</v>
      </c>
      <c r="C2" t="s">
        <v>106</v>
      </c>
      <c r="D2" t="s">
        <v>22</v>
      </c>
      <c r="E2" t="s">
        <v>118</v>
      </c>
      <c r="F2" s="59">
        <v>4000</v>
      </c>
      <c r="G2" t="s">
        <v>712</v>
      </c>
      <c r="H2" s="11" t="s">
        <v>215</v>
      </c>
    </row>
    <row r="3" spans="1:8" x14ac:dyDescent="0.25">
      <c r="A3" s="9">
        <v>45752</v>
      </c>
      <c r="B3" t="s">
        <v>722</v>
      </c>
      <c r="C3" t="s">
        <v>106</v>
      </c>
      <c r="D3" t="s">
        <v>22</v>
      </c>
      <c r="E3" t="s">
        <v>190</v>
      </c>
      <c r="F3" s="59">
        <v>2422</v>
      </c>
      <c r="G3" t="s">
        <v>725</v>
      </c>
      <c r="H3" s="11" t="s">
        <v>322</v>
      </c>
    </row>
    <row r="4" spans="1:8" x14ac:dyDescent="0.25">
      <c r="A4" s="9">
        <v>45752</v>
      </c>
      <c r="B4" t="s">
        <v>690</v>
      </c>
      <c r="C4" t="s">
        <v>106</v>
      </c>
      <c r="D4" t="s">
        <v>22</v>
      </c>
      <c r="E4" t="s">
        <v>118</v>
      </c>
      <c r="F4" s="59">
        <v>1290</v>
      </c>
      <c r="G4" t="s">
        <v>727</v>
      </c>
      <c r="H4" s="11" t="s">
        <v>734</v>
      </c>
    </row>
    <row r="5" spans="1:8" x14ac:dyDescent="0.25">
      <c r="A5" s="9">
        <v>45748</v>
      </c>
      <c r="B5" t="s">
        <v>729</v>
      </c>
      <c r="C5" t="s">
        <v>106</v>
      </c>
      <c r="D5" t="s">
        <v>22</v>
      </c>
      <c r="E5" t="s">
        <v>118</v>
      </c>
      <c r="F5" s="59">
        <v>2371.1999999999998</v>
      </c>
      <c r="G5" t="s">
        <v>732</v>
      </c>
      <c r="H5" s="11" t="s">
        <v>743</v>
      </c>
    </row>
    <row r="6" spans="1:8" x14ac:dyDescent="0.25">
      <c r="A6" s="9">
        <v>45749</v>
      </c>
      <c r="B6" t="s">
        <v>736</v>
      </c>
      <c r="C6" t="s">
        <v>106</v>
      </c>
      <c r="D6" t="s">
        <v>22</v>
      </c>
      <c r="E6" t="s">
        <v>118</v>
      </c>
      <c r="F6" s="59">
        <v>3133.7</v>
      </c>
      <c r="G6" t="s">
        <v>765</v>
      </c>
      <c r="H6" s="11" t="s">
        <v>766</v>
      </c>
    </row>
    <row r="7" spans="1:8" x14ac:dyDescent="0.25">
      <c r="A7" s="9">
        <v>45751</v>
      </c>
      <c r="B7" t="s">
        <v>739</v>
      </c>
      <c r="C7" t="s">
        <v>639</v>
      </c>
      <c r="D7" t="s">
        <v>22</v>
      </c>
      <c r="E7" t="s">
        <v>118</v>
      </c>
      <c r="F7" s="59">
        <v>1084</v>
      </c>
      <c r="G7" t="s">
        <v>742</v>
      </c>
      <c r="H7" t="s">
        <v>755</v>
      </c>
    </row>
    <row r="8" spans="1:8" x14ac:dyDescent="0.25">
      <c r="A8" s="9">
        <v>45756</v>
      </c>
      <c r="B8" t="s">
        <v>745</v>
      </c>
      <c r="C8" t="s">
        <v>638</v>
      </c>
      <c r="D8" t="s">
        <v>22</v>
      </c>
      <c r="E8" t="s">
        <v>118</v>
      </c>
      <c r="F8" s="59">
        <v>1755</v>
      </c>
      <c r="G8" t="s">
        <v>748</v>
      </c>
      <c r="H8" t="s">
        <v>295</v>
      </c>
    </row>
    <row r="9" spans="1:8" x14ac:dyDescent="0.25">
      <c r="A9" s="9">
        <v>45754</v>
      </c>
      <c r="B9" t="s">
        <v>750</v>
      </c>
      <c r="C9" t="s">
        <v>106</v>
      </c>
      <c r="D9" t="s">
        <v>22</v>
      </c>
      <c r="E9" t="s">
        <v>119</v>
      </c>
      <c r="F9" s="59">
        <v>3322.76</v>
      </c>
      <c r="G9" t="s">
        <v>753</v>
      </c>
      <c r="H9" t="s">
        <v>754</v>
      </c>
    </row>
    <row r="10" spans="1:8" x14ac:dyDescent="0.25">
      <c r="A10" s="9">
        <v>45758</v>
      </c>
      <c r="B10" t="s">
        <v>757</v>
      </c>
      <c r="C10" t="s">
        <v>106</v>
      </c>
      <c r="D10" t="s">
        <v>22</v>
      </c>
      <c r="E10" t="s">
        <v>118</v>
      </c>
      <c r="F10" s="59">
        <v>1122</v>
      </c>
      <c r="G10" t="s">
        <v>375</v>
      </c>
      <c r="H10" t="s">
        <v>773</v>
      </c>
    </row>
    <row r="11" spans="1:8" x14ac:dyDescent="0.25">
      <c r="A11" s="9">
        <v>45759</v>
      </c>
      <c r="B11" t="s">
        <v>761</v>
      </c>
      <c r="C11" t="s">
        <v>106</v>
      </c>
      <c r="D11" t="s">
        <v>24</v>
      </c>
      <c r="E11" t="s">
        <v>190</v>
      </c>
      <c r="F11" s="59">
        <v>1531.2</v>
      </c>
      <c r="G11" t="s">
        <v>764</v>
      </c>
      <c r="H11" t="s">
        <v>388</v>
      </c>
    </row>
    <row r="12" spans="1:8" x14ac:dyDescent="0.25">
      <c r="A12" s="9">
        <v>45761</v>
      </c>
      <c r="B12" t="s">
        <v>768</v>
      </c>
      <c r="C12" t="s">
        <v>106</v>
      </c>
      <c r="D12" t="s">
        <v>22</v>
      </c>
      <c r="E12" t="s">
        <v>190</v>
      </c>
      <c r="F12" s="59">
        <v>1403</v>
      </c>
      <c r="G12" t="s">
        <v>771</v>
      </c>
      <c r="H12" t="s">
        <v>772</v>
      </c>
    </row>
    <row r="13" spans="1:8" x14ac:dyDescent="0.25">
      <c r="A13" s="9">
        <v>45762</v>
      </c>
      <c r="B13" t="s">
        <v>775</v>
      </c>
      <c r="C13" t="s">
        <v>106</v>
      </c>
      <c r="D13" t="s">
        <v>22</v>
      </c>
      <c r="E13" t="s">
        <v>190</v>
      </c>
      <c r="F13" s="59">
        <v>2400</v>
      </c>
      <c r="G13" t="s">
        <v>778</v>
      </c>
      <c r="H13" t="s">
        <v>261</v>
      </c>
    </row>
    <row r="14" spans="1:8" x14ac:dyDescent="0.25">
      <c r="A14" s="9">
        <v>45763</v>
      </c>
      <c r="B14" t="s">
        <v>482</v>
      </c>
      <c r="C14" t="s">
        <v>106</v>
      </c>
      <c r="D14" t="s">
        <v>22</v>
      </c>
      <c r="E14" t="s">
        <v>118</v>
      </c>
      <c r="F14" s="59">
        <v>1650</v>
      </c>
      <c r="G14" t="s">
        <v>780</v>
      </c>
      <c r="H14" t="s">
        <v>229</v>
      </c>
    </row>
    <row r="15" spans="1:8" x14ac:dyDescent="0.25">
      <c r="A15" s="9">
        <v>45763</v>
      </c>
      <c r="B15" t="s">
        <v>782</v>
      </c>
      <c r="C15" t="s">
        <v>106</v>
      </c>
      <c r="D15" t="s">
        <v>22</v>
      </c>
      <c r="E15" t="s">
        <v>118</v>
      </c>
      <c r="F15" s="59">
        <v>1476</v>
      </c>
      <c r="G15" t="s">
        <v>785</v>
      </c>
      <c r="H15" t="s">
        <v>223</v>
      </c>
    </row>
    <row r="16" spans="1:8" x14ac:dyDescent="0.25">
      <c r="A16" s="9">
        <v>45764</v>
      </c>
      <c r="B16" t="s">
        <v>787</v>
      </c>
      <c r="C16" t="s">
        <v>106</v>
      </c>
      <c r="D16" t="s">
        <v>22</v>
      </c>
      <c r="E16" t="s">
        <v>118</v>
      </c>
      <c r="F16" s="59">
        <v>1640</v>
      </c>
      <c r="G16" t="s">
        <v>790</v>
      </c>
      <c r="H16" t="s">
        <v>322</v>
      </c>
    </row>
    <row r="17" spans="1:8" x14ac:dyDescent="0.25">
      <c r="A17" s="9">
        <v>45757</v>
      </c>
      <c r="B17" t="s">
        <v>792</v>
      </c>
      <c r="C17" t="s">
        <v>640</v>
      </c>
      <c r="D17" t="s">
        <v>22</v>
      </c>
      <c r="E17" t="s">
        <v>118</v>
      </c>
      <c r="F17" s="59">
        <v>4581.8999999999996</v>
      </c>
      <c r="G17" t="s">
        <v>919</v>
      </c>
      <c r="H17" t="s">
        <v>815</v>
      </c>
    </row>
    <row r="18" spans="1:8" x14ac:dyDescent="0.25">
      <c r="A18" s="9">
        <v>45764</v>
      </c>
      <c r="B18" t="s">
        <v>798</v>
      </c>
      <c r="C18" t="s">
        <v>106</v>
      </c>
      <c r="D18" t="s">
        <v>22</v>
      </c>
      <c r="E18" t="s">
        <v>118</v>
      </c>
      <c r="F18" s="59">
        <v>4914.32</v>
      </c>
      <c r="G18" t="s">
        <v>799</v>
      </c>
      <c r="H18" t="s">
        <v>817</v>
      </c>
    </row>
    <row r="19" spans="1:8" x14ac:dyDescent="0.25">
      <c r="A19" s="9">
        <v>45768</v>
      </c>
      <c r="B19" t="s">
        <v>801</v>
      </c>
      <c r="C19" t="s">
        <v>106</v>
      </c>
      <c r="D19" t="s">
        <v>22</v>
      </c>
      <c r="E19" t="s">
        <v>190</v>
      </c>
      <c r="F19" s="59">
        <v>1196</v>
      </c>
      <c r="G19" t="s">
        <v>804</v>
      </c>
      <c r="H19" t="s">
        <v>734</v>
      </c>
    </row>
    <row r="20" spans="1:8" x14ac:dyDescent="0.25">
      <c r="A20" s="9">
        <v>45769</v>
      </c>
      <c r="B20" t="s">
        <v>806</v>
      </c>
      <c r="C20" t="s">
        <v>640</v>
      </c>
      <c r="D20" t="s">
        <v>22</v>
      </c>
      <c r="E20" t="s">
        <v>190</v>
      </c>
      <c r="F20" s="59">
        <v>1510</v>
      </c>
      <c r="G20" t="s">
        <v>918</v>
      </c>
      <c r="H20" t="s">
        <v>818</v>
      </c>
    </row>
    <row r="21" spans="1:8" x14ac:dyDescent="0.25">
      <c r="A21" s="9">
        <v>45772</v>
      </c>
      <c r="B21" t="s">
        <v>811</v>
      </c>
      <c r="C21" t="s">
        <v>106</v>
      </c>
      <c r="D21" t="s">
        <v>24</v>
      </c>
      <c r="E21" t="s">
        <v>119</v>
      </c>
      <c r="F21" s="59">
        <v>1837.4</v>
      </c>
      <c r="G21" t="s">
        <v>814</v>
      </c>
      <c r="H21" t="s">
        <v>279</v>
      </c>
    </row>
    <row r="22" spans="1:8" x14ac:dyDescent="0.25">
      <c r="A22" s="9">
        <v>45762</v>
      </c>
      <c r="B22" t="s">
        <v>820</v>
      </c>
      <c r="C22" t="s">
        <v>106</v>
      </c>
      <c r="D22" t="s">
        <v>22</v>
      </c>
      <c r="E22" t="s">
        <v>118</v>
      </c>
      <c r="F22" s="59">
        <v>1068</v>
      </c>
      <c r="G22" t="s">
        <v>823</v>
      </c>
      <c r="H22" t="s">
        <v>734</v>
      </c>
    </row>
    <row r="23" spans="1:8" x14ac:dyDescent="0.25">
      <c r="A23" s="9">
        <v>45771</v>
      </c>
      <c r="B23" t="s">
        <v>825</v>
      </c>
      <c r="C23" t="s">
        <v>640</v>
      </c>
      <c r="D23" t="s">
        <v>22</v>
      </c>
      <c r="E23" t="s">
        <v>190</v>
      </c>
      <c r="F23" s="59">
        <v>3341.72</v>
      </c>
      <c r="G23" t="s">
        <v>828</v>
      </c>
      <c r="H23" t="s">
        <v>223</v>
      </c>
    </row>
    <row r="24" spans="1:8" x14ac:dyDescent="0.25">
      <c r="A24" s="9">
        <v>45770</v>
      </c>
      <c r="B24" t="s">
        <v>275</v>
      </c>
      <c r="C24" t="s">
        <v>106</v>
      </c>
      <c r="D24" t="s">
        <v>24</v>
      </c>
      <c r="E24" t="s">
        <v>118</v>
      </c>
      <c r="F24" s="59">
        <v>1197.5</v>
      </c>
      <c r="G24" t="s">
        <v>831</v>
      </c>
      <c r="H24" t="s">
        <v>215</v>
      </c>
    </row>
    <row r="25" spans="1:8" x14ac:dyDescent="0.25">
      <c r="A25" s="9">
        <v>45776</v>
      </c>
      <c r="B25" t="s">
        <v>833</v>
      </c>
      <c r="C25" t="s">
        <v>106</v>
      </c>
      <c r="D25" t="s">
        <v>24</v>
      </c>
      <c r="E25" t="s">
        <v>190</v>
      </c>
      <c r="F25" s="59">
        <v>3186</v>
      </c>
      <c r="G25" t="s">
        <v>836</v>
      </c>
      <c r="H25" t="s">
        <v>223</v>
      </c>
    </row>
    <row r="26" spans="1:8" x14ac:dyDescent="0.25">
      <c r="A26" s="9">
        <v>45776</v>
      </c>
      <c r="B26" t="s">
        <v>432</v>
      </c>
      <c r="C26" t="s">
        <v>106</v>
      </c>
      <c r="D26" t="s">
        <v>22</v>
      </c>
      <c r="E26" t="s">
        <v>118</v>
      </c>
      <c r="F26" s="59">
        <v>1053</v>
      </c>
      <c r="G26" t="s">
        <v>435</v>
      </c>
      <c r="H26" t="s">
        <v>838</v>
      </c>
    </row>
    <row r="27" spans="1:8" x14ac:dyDescent="0.25">
      <c r="A27" s="9">
        <v>45776</v>
      </c>
      <c r="B27" t="s">
        <v>840</v>
      </c>
      <c r="C27" t="s">
        <v>106</v>
      </c>
      <c r="D27" t="s">
        <v>22</v>
      </c>
      <c r="E27" t="s">
        <v>190</v>
      </c>
      <c r="F27" s="59">
        <v>2325</v>
      </c>
      <c r="G27" t="s">
        <v>843</v>
      </c>
      <c r="H27" t="s">
        <v>734</v>
      </c>
    </row>
    <row r="28" spans="1:8" x14ac:dyDescent="0.25">
      <c r="A28" s="9">
        <v>45761</v>
      </c>
      <c r="B28" t="s">
        <v>851</v>
      </c>
      <c r="C28" t="s">
        <v>638</v>
      </c>
      <c r="D28" t="s">
        <v>22</v>
      </c>
      <c r="E28" t="s">
        <v>118</v>
      </c>
      <c r="F28" s="59">
        <v>6675.65</v>
      </c>
      <c r="G28" t="s">
        <v>859</v>
      </c>
    </row>
    <row r="29" spans="1:8" x14ac:dyDescent="0.25">
      <c r="A29" s="9">
        <v>45762</v>
      </c>
      <c r="B29" t="s">
        <v>851</v>
      </c>
      <c r="C29" t="s">
        <v>106</v>
      </c>
      <c r="D29" t="s">
        <v>22</v>
      </c>
      <c r="E29" t="s">
        <v>118</v>
      </c>
      <c r="F29" s="59">
        <v>6105.65</v>
      </c>
      <c r="G29" t="s">
        <v>859</v>
      </c>
    </row>
    <row r="30" spans="1:8" x14ac:dyDescent="0.25">
      <c r="A30" s="9">
        <v>45763</v>
      </c>
      <c r="B30" t="s">
        <v>851</v>
      </c>
      <c r="C30" t="s">
        <v>106</v>
      </c>
      <c r="D30" t="s">
        <v>22</v>
      </c>
      <c r="E30" t="s">
        <v>118</v>
      </c>
      <c r="F30" s="59">
        <v>6624.35</v>
      </c>
      <c r="G30" t="s">
        <v>859</v>
      </c>
    </row>
    <row r="31" spans="1:8" x14ac:dyDescent="0.25">
      <c r="A31" s="9">
        <v>45768</v>
      </c>
      <c r="B31" t="s">
        <v>851</v>
      </c>
      <c r="C31" t="s">
        <v>640</v>
      </c>
      <c r="D31" t="s">
        <v>22</v>
      </c>
      <c r="E31" t="s">
        <v>118</v>
      </c>
      <c r="F31" s="59">
        <v>5593.6</v>
      </c>
      <c r="G31" t="s">
        <v>859</v>
      </c>
    </row>
    <row r="32" spans="1:8" x14ac:dyDescent="0.25">
      <c r="A32" s="9">
        <v>45769</v>
      </c>
      <c r="B32" t="s">
        <v>851</v>
      </c>
      <c r="C32" t="s">
        <v>106</v>
      </c>
      <c r="D32" t="s">
        <v>22</v>
      </c>
      <c r="E32" t="s">
        <v>118</v>
      </c>
      <c r="F32" s="59">
        <v>5241.1499999999996</v>
      </c>
      <c r="G32" t="s">
        <v>859</v>
      </c>
    </row>
    <row r="33" spans="1:10" x14ac:dyDescent="0.25">
      <c r="A33" s="9">
        <v>45771</v>
      </c>
      <c r="B33" t="s">
        <v>851</v>
      </c>
      <c r="C33" t="s">
        <v>106</v>
      </c>
      <c r="D33" t="s">
        <v>22</v>
      </c>
      <c r="E33" t="s">
        <v>118</v>
      </c>
      <c r="F33" s="59">
        <v>6423.9</v>
      </c>
      <c r="G33" t="s">
        <v>859</v>
      </c>
    </row>
    <row r="34" spans="1:10" x14ac:dyDescent="0.25">
      <c r="A34" s="9">
        <v>45772</v>
      </c>
      <c r="B34" t="s">
        <v>851</v>
      </c>
      <c r="C34" t="s">
        <v>639</v>
      </c>
      <c r="D34" t="s">
        <v>22</v>
      </c>
      <c r="E34" t="s">
        <v>118</v>
      </c>
      <c r="F34" s="59">
        <v>5618.3</v>
      </c>
      <c r="G34" t="s">
        <v>859</v>
      </c>
    </row>
    <row r="35" spans="1:10" x14ac:dyDescent="0.25">
      <c r="A35" s="9">
        <v>45777</v>
      </c>
      <c r="B35" t="s">
        <v>861</v>
      </c>
      <c r="C35" t="s">
        <v>106</v>
      </c>
      <c r="D35" t="s">
        <v>22</v>
      </c>
      <c r="E35" t="s">
        <v>213</v>
      </c>
      <c r="F35" s="59">
        <v>1794</v>
      </c>
      <c r="G35" t="s">
        <v>864</v>
      </c>
      <c r="H35" t="s">
        <v>865</v>
      </c>
    </row>
    <row r="36" spans="1:10" x14ac:dyDescent="0.25">
      <c r="A36" s="9">
        <v>45769</v>
      </c>
      <c r="B36" t="s">
        <v>867</v>
      </c>
      <c r="C36" t="s">
        <v>106</v>
      </c>
      <c r="D36" t="s">
        <v>22</v>
      </c>
      <c r="E36" t="s">
        <v>118</v>
      </c>
      <c r="F36" s="59">
        <v>3950.6</v>
      </c>
      <c r="G36" t="s">
        <v>870</v>
      </c>
      <c r="H36" t="s">
        <v>322</v>
      </c>
    </row>
    <row r="37" spans="1:10" x14ac:dyDescent="0.25">
      <c r="A37" s="9">
        <v>45762</v>
      </c>
      <c r="B37" t="s">
        <v>891</v>
      </c>
      <c r="C37" t="s">
        <v>106</v>
      </c>
      <c r="D37" t="s">
        <v>22</v>
      </c>
      <c r="E37" t="s">
        <v>213</v>
      </c>
      <c r="F37" s="59">
        <v>2133.5500000000002</v>
      </c>
      <c r="G37" t="s">
        <v>454</v>
      </c>
      <c r="H37" t="s">
        <v>920</v>
      </c>
    </row>
    <row r="38" spans="1:10" x14ac:dyDescent="0.25">
      <c r="A38" s="9">
        <v>45773</v>
      </c>
      <c r="B38" t="s">
        <v>904</v>
      </c>
      <c r="C38" t="s">
        <v>106</v>
      </c>
      <c r="D38" t="s">
        <v>22</v>
      </c>
      <c r="E38" t="s">
        <v>118</v>
      </c>
      <c r="F38" s="59">
        <v>3857.79</v>
      </c>
      <c r="G38" t="s">
        <v>907</v>
      </c>
      <c r="H38" t="s">
        <v>388</v>
      </c>
    </row>
    <row r="39" spans="1:10" x14ac:dyDescent="0.25">
      <c r="A39" s="9"/>
      <c r="F39" s="59"/>
    </row>
    <row r="40" spans="1:10" x14ac:dyDescent="0.25">
      <c r="A40" s="9"/>
      <c r="F40" s="59"/>
    </row>
    <row r="44" spans="1:10" ht="15.75" thickBot="1" x14ac:dyDescent="0.3">
      <c r="A44" s="99" t="s">
        <v>8</v>
      </c>
      <c r="B44" s="99"/>
      <c r="C44" s="99"/>
      <c r="D44" s="99"/>
      <c r="E44" s="99"/>
      <c r="F44" s="99"/>
      <c r="G44" s="7"/>
    </row>
    <row r="45" spans="1:10" x14ac:dyDescent="0.25">
      <c r="A45" s="8" t="s">
        <v>9</v>
      </c>
      <c r="B45" s="9"/>
      <c r="C45" s="10">
        <f>SUM(F2:F43)</f>
        <v>110830.24</v>
      </c>
      <c r="D45" s="11"/>
      <c r="E45" s="12" t="s">
        <v>10</v>
      </c>
      <c r="F45" s="13"/>
      <c r="G45" s="7"/>
      <c r="H45" s="14" t="s">
        <v>11</v>
      </c>
      <c r="I45" s="15">
        <v>22</v>
      </c>
      <c r="J45" s="16"/>
    </row>
    <row r="46" spans="1:10" x14ac:dyDescent="0.25">
      <c r="A46" s="8"/>
      <c r="B46" s="9"/>
      <c r="C46" s="10"/>
      <c r="D46" s="11"/>
      <c r="E46" s="17" t="s">
        <v>12</v>
      </c>
      <c r="F46" s="18">
        <v>110830.24</v>
      </c>
      <c r="G46" s="7"/>
      <c r="H46" s="17" t="s">
        <v>13</v>
      </c>
      <c r="I46" s="19">
        <v>4</v>
      </c>
      <c r="J46" s="20">
        <f>I46/I$45</f>
        <v>0.18181818181818182</v>
      </c>
    </row>
    <row r="47" spans="1:10" ht="15.75" thickBot="1" x14ac:dyDescent="0.3">
      <c r="A47" s="8" t="s">
        <v>14</v>
      </c>
      <c r="B47" s="9"/>
      <c r="C47" s="21">
        <v>26</v>
      </c>
      <c r="D47" s="11"/>
      <c r="E47" s="22" t="s">
        <v>15</v>
      </c>
      <c r="F47" s="23">
        <f>C45/C47</f>
        <v>4262.7015384615388</v>
      </c>
      <c r="G47" s="7"/>
      <c r="H47" s="17" t="s">
        <v>16</v>
      </c>
      <c r="I47" s="19">
        <v>18</v>
      </c>
      <c r="J47" s="20">
        <f>I47/I$45</f>
        <v>0.81818181818181823</v>
      </c>
    </row>
    <row r="48" spans="1:10" ht="15.75" thickBot="1" x14ac:dyDescent="0.3">
      <c r="A48" s="8" t="s">
        <v>17</v>
      </c>
      <c r="B48" s="9"/>
      <c r="C48">
        <v>37</v>
      </c>
      <c r="D48" s="11"/>
      <c r="E48" s="11"/>
      <c r="F48" s="24"/>
      <c r="G48" s="7"/>
      <c r="H48" s="22" t="s">
        <v>18</v>
      </c>
      <c r="I48" s="25">
        <v>0</v>
      </c>
      <c r="J48" s="26">
        <f>I48/I$45</f>
        <v>0</v>
      </c>
    </row>
    <row r="49" spans="1:10" x14ac:dyDescent="0.25">
      <c r="A49" s="8"/>
      <c r="B49" s="9"/>
      <c r="D49" s="11" t="s">
        <v>19</v>
      </c>
      <c r="E49" s="12" t="s">
        <v>20</v>
      </c>
      <c r="F49" s="13"/>
      <c r="G49" s="7"/>
    </row>
    <row r="50" spans="1:10" ht="15.75" thickBot="1" x14ac:dyDescent="0.3">
      <c r="A50" s="8" t="s">
        <v>21</v>
      </c>
      <c r="B50" s="9"/>
      <c r="C50">
        <v>33</v>
      </c>
      <c r="D50" s="11" t="s">
        <v>19</v>
      </c>
      <c r="E50" s="17" t="s">
        <v>22</v>
      </c>
      <c r="F50" s="20">
        <f>C50/C$48</f>
        <v>0.89189189189189189</v>
      </c>
      <c r="G50" s="7"/>
    </row>
    <row r="51" spans="1:10" ht="15.75" thickBot="1" x14ac:dyDescent="0.3">
      <c r="A51" s="8" t="s">
        <v>23</v>
      </c>
      <c r="B51" s="9"/>
      <c r="C51">
        <v>4</v>
      </c>
      <c r="D51" s="11"/>
      <c r="E51" s="22" t="s">
        <v>24</v>
      </c>
      <c r="F51" s="26">
        <f>C51/C$48</f>
        <v>0.10810810810810811</v>
      </c>
      <c r="G51" s="7"/>
      <c r="H51" s="14" t="s">
        <v>25</v>
      </c>
      <c r="I51" s="15">
        <v>19</v>
      </c>
      <c r="J51" s="16"/>
    </row>
    <row r="52" spans="1:10" ht="15.75" thickBot="1" x14ac:dyDescent="0.3">
      <c r="A52" s="8"/>
      <c r="B52" s="9"/>
      <c r="D52" s="11"/>
      <c r="E52" s="11"/>
      <c r="F52" s="24"/>
      <c r="G52" s="7"/>
      <c r="H52" s="27" t="s">
        <v>26</v>
      </c>
      <c r="I52" s="30">
        <v>11</v>
      </c>
      <c r="J52" s="20">
        <f>I52/I$51</f>
        <v>0.57894736842105265</v>
      </c>
    </row>
    <row r="53" spans="1:10" x14ac:dyDescent="0.25">
      <c r="A53" s="8" t="s">
        <v>27</v>
      </c>
      <c r="B53" s="9"/>
      <c r="D53" s="11"/>
      <c r="E53" s="12" t="s">
        <v>28</v>
      </c>
      <c r="F53" s="13"/>
      <c r="G53" s="7"/>
      <c r="H53" s="27" t="s">
        <v>29</v>
      </c>
      <c r="I53" s="30">
        <v>5</v>
      </c>
      <c r="J53" s="20">
        <f>I53/I$51</f>
        <v>0.26315789473684209</v>
      </c>
    </row>
    <row r="54" spans="1:10" ht="15.75" thickBot="1" x14ac:dyDescent="0.3">
      <c r="A54" s="8" t="s">
        <v>30</v>
      </c>
      <c r="B54" s="9"/>
      <c r="C54">
        <v>1</v>
      </c>
      <c r="D54" s="11"/>
      <c r="E54" s="28" t="s">
        <v>30</v>
      </c>
      <c r="F54" s="20">
        <f>C54/C$63</f>
        <v>1.4705882352941176E-2</v>
      </c>
      <c r="G54" s="7"/>
      <c r="H54" s="29" t="s">
        <v>31</v>
      </c>
      <c r="I54" s="25">
        <v>3</v>
      </c>
      <c r="J54" s="26">
        <f>I54/I$51</f>
        <v>0.15789473684210525</v>
      </c>
    </row>
    <row r="55" spans="1:10" ht="15.75" thickBot="1" x14ac:dyDescent="0.3">
      <c r="A55" s="8" t="s">
        <v>11</v>
      </c>
      <c r="B55" s="9"/>
      <c r="C55">
        <v>22</v>
      </c>
      <c r="D55" s="11"/>
      <c r="E55" s="28" t="s">
        <v>11</v>
      </c>
      <c r="F55" s="20">
        <f t="shared" ref="F55:F62" si="0">C55/C$63</f>
        <v>0.3235294117647059</v>
      </c>
      <c r="G55" s="7"/>
    </row>
    <row r="56" spans="1:10" x14ac:dyDescent="0.25">
      <c r="A56" s="8" t="s">
        <v>32</v>
      </c>
      <c r="B56" s="9"/>
      <c r="C56">
        <v>19</v>
      </c>
      <c r="D56" s="11"/>
      <c r="E56" s="28" t="s">
        <v>32</v>
      </c>
      <c r="F56" s="20">
        <f t="shared" si="0"/>
        <v>0.27941176470588236</v>
      </c>
      <c r="G56" s="11" t="s">
        <v>19</v>
      </c>
      <c r="H56" s="14" t="s">
        <v>33</v>
      </c>
      <c r="I56" s="15">
        <v>0</v>
      </c>
      <c r="J56" s="13">
        <f t="shared" ref="J56:J67" si="1">I56/I$51</f>
        <v>0</v>
      </c>
    </row>
    <row r="57" spans="1:10" x14ac:dyDescent="0.25">
      <c r="A57" s="8" t="s">
        <v>34</v>
      </c>
      <c r="B57" s="9"/>
      <c r="C57">
        <v>0</v>
      </c>
      <c r="D57" s="11"/>
      <c r="E57" s="28" t="s">
        <v>34</v>
      </c>
      <c r="F57" s="20">
        <f t="shared" si="0"/>
        <v>0</v>
      </c>
      <c r="G57" s="7"/>
      <c r="H57" s="27" t="s">
        <v>35</v>
      </c>
      <c r="I57" s="30">
        <v>9</v>
      </c>
      <c r="J57" s="20">
        <f t="shared" si="1"/>
        <v>0.47368421052631576</v>
      </c>
    </row>
    <row r="58" spans="1:10" x14ac:dyDescent="0.25">
      <c r="A58" s="8" t="s">
        <v>36</v>
      </c>
      <c r="B58" s="9"/>
      <c r="C58">
        <v>13</v>
      </c>
      <c r="D58" s="11"/>
      <c r="E58" s="28" t="s">
        <v>36</v>
      </c>
      <c r="F58" s="20">
        <f t="shared" si="0"/>
        <v>0.19117647058823528</v>
      </c>
      <c r="G58" s="7"/>
      <c r="H58" s="27" t="s">
        <v>37</v>
      </c>
      <c r="I58" s="30">
        <v>1</v>
      </c>
      <c r="J58" s="20">
        <f t="shared" si="1"/>
        <v>5.2631578947368418E-2</v>
      </c>
    </row>
    <row r="59" spans="1:10" x14ac:dyDescent="0.25">
      <c r="A59" s="8" t="s">
        <v>38</v>
      </c>
      <c r="B59" s="9"/>
      <c r="C59">
        <v>1</v>
      </c>
      <c r="D59" s="11"/>
      <c r="E59" s="28" t="s">
        <v>38</v>
      </c>
      <c r="F59" s="20">
        <f t="shared" si="0"/>
        <v>1.4705882352941176E-2</v>
      </c>
      <c r="G59" s="7"/>
      <c r="H59" s="27" t="s">
        <v>39</v>
      </c>
      <c r="I59" s="30">
        <v>2</v>
      </c>
      <c r="J59" s="20">
        <f t="shared" si="1"/>
        <v>0.10526315789473684</v>
      </c>
    </row>
    <row r="60" spans="1:10" x14ac:dyDescent="0.25">
      <c r="A60" s="8" t="s">
        <v>40</v>
      </c>
      <c r="B60" s="9"/>
      <c r="C60">
        <v>5</v>
      </c>
      <c r="D60" s="11"/>
      <c r="E60" s="28" t="s">
        <v>40</v>
      </c>
      <c r="F60" s="20">
        <f t="shared" si="0"/>
        <v>7.3529411764705885E-2</v>
      </c>
      <c r="G60" s="7"/>
      <c r="H60" s="27" t="s">
        <v>41</v>
      </c>
      <c r="I60" s="30">
        <v>2</v>
      </c>
      <c r="J60" s="20">
        <f t="shared" si="1"/>
        <v>0.10526315789473684</v>
      </c>
    </row>
    <row r="61" spans="1:10" x14ac:dyDescent="0.25">
      <c r="A61" s="8" t="s">
        <v>42</v>
      </c>
      <c r="B61" s="9"/>
      <c r="C61">
        <v>0</v>
      </c>
      <c r="D61" s="11"/>
      <c r="E61" s="28" t="s">
        <v>42</v>
      </c>
      <c r="F61" s="20">
        <f t="shared" si="0"/>
        <v>0</v>
      </c>
      <c r="G61" s="7"/>
      <c r="H61" s="27" t="s">
        <v>43</v>
      </c>
      <c r="I61" s="30">
        <v>3</v>
      </c>
      <c r="J61" s="20">
        <f>I61/I$51</f>
        <v>0.15789473684210525</v>
      </c>
    </row>
    <row r="62" spans="1:10" ht="15.75" thickBot="1" x14ac:dyDescent="0.3">
      <c r="A62" s="8" t="s">
        <v>44</v>
      </c>
      <c r="B62" s="9"/>
      <c r="C62">
        <v>7</v>
      </c>
      <c r="D62" s="11"/>
      <c r="E62" s="31" t="s">
        <v>44</v>
      </c>
      <c r="F62" s="26">
        <f t="shared" si="0"/>
        <v>0.10294117647058823</v>
      </c>
      <c r="G62" s="11" t="s">
        <v>19</v>
      </c>
      <c r="H62" s="32" t="s">
        <v>45</v>
      </c>
      <c r="I62" s="30">
        <v>0</v>
      </c>
      <c r="J62" s="20">
        <f t="shared" si="1"/>
        <v>0</v>
      </c>
    </row>
    <row r="63" spans="1:10" ht="15.75" thickBot="1" x14ac:dyDescent="0.3">
      <c r="A63" s="8" t="s">
        <v>46</v>
      </c>
      <c r="B63" s="9"/>
      <c r="C63">
        <f>SUM(C54:C62)</f>
        <v>68</v>
      </c>
      <c r="D63" s="11"/>
      <c r="E63" s="8"/>
      <c r="F63" s="24"/>
      <c r="G63" s="7"/>
      <c r="H63" s="32" t="s">
        <v>47</v>
      </c>
      <c r="I63" s="30">
        <v>1</v>
      </c>
      <c r="J63" s="20">
        <f t="shared" si="1"/>
        <v>5.2631578947368418E-2</v>
      </c>
    </row>
    <row r="64" spans="1:10" x14ac:dyDescent="0.25">
      <c r="A64" s="8"/>
      <c r="B64" s="9"/>
      <c r="D64" s="11"/>
      <c r="E64" s="33" t="s">
        <v>48</v>
      </c>
      <c r="F64" s="13"/>
      <c r="G64" s="7"/>
      <c r="H64" s="32" t="s">
        <v>49</v>
      </c>
      <c r="I64" s="30">
        <v>1</v>
      </c>
      <c r="J64" s="20">
        <f t="shared" si="1"/>
        <v>5.2631578947368418E-2</v>
      </c>
    </row>
    <row r="65" spans="1:10" x14ac:dyDescent="0.25">
      <c r="A65" s="8" t="s">
        <v>50</v>
      </c>
      <c r="B65" s="9"/>
      <c r="D65" s="11"/>
      <c r="E65" s="28" t="s">
        <v>51</v>
      </c>
      <c r="F65" s="20">
        <f>C66/C$76</f>
        <v>0.27631578947368424</v>
      </c>
      <c r="G65" s="7"/>
      <c r="H65" s="27" t="s">
        <v>52</v>
      </c>
      <c r="I65" s="30">
        <v>0</v>
      </c>
      <c r="J65" s="20">
        <f t="shared" si="1"/>
        <v>0</v>
      </c>
    </row>
    <row r="66" spans="1:10" x14ac:dyDescent="0.25">
      <c r="A66" s="8" t="s">
        <v>51</v>
      </c>
      <c r="B66" s="9"/>
      <c r="C66">
        <v>21</v>
      </c>
      <c r="D66" s="11"/>
      <c r="E66" s="28" t="s">
        <v>53</v>
      </c>
      <c r="F66" s="20">
        <f t="shared" ref="F66:F74" si="2">C67/C$76</f>
        <v>0.17105263157894737</v>
      </c>
      <c r="G66" s="7"/>
      <c r="H66" s="32" t="s">
        <v>54</v>
      </c>
      <c r="I66" s="30">
        <v>0</v>
      </c>
      <c r="J66" s="20">
        <f t="shared" si="1"/>
        <v>0</v>
      </c>
    </row>
    <row r="67" spans="1:10" ht="15.75" thickBot="1" x14ac:dyDescent="0.3">
      <c r="A67" s="8" t="s">
        <v>53</v>
      </c>
      <c r="B67" s="9"/>
      <c r="C67">
        <v>13</v>
      </c>
      <c r="D67" s="11"/>
      <c r="E67" s="28" t="s">
        <v>55</v>
      </c>
      <c r="F67" s="20">
        <f t="shared" si="2"/>
        <v>0.19736842105263158</v>
      </c>
      <c r="G67" s="7"/>
      <c r="H67" s="34" t="s">
        <v>56</v>
      </c>
      <c r="I67" s="25">
        <v>0</v>
      </c>
      <c r="J67" s="26">
        <f t="shared" si="1"/>
        <v>0</v>
      </c>
    </row>
    <row r="68" spans="1:10" x14ac:dyDescent="0.25">
      <c r="A68" s="8" t="s">
        <v>55</v>
      </c>
      <c r="B68" s="9"/>
      <c r="C68">
        <v>15</v>
      </c>
      <c r="D68" s="11"/>
      <c r="E68" s="28" t="s">
        <v>57</v>
      </c>
      <c r="F68" s="20">
        <f t="shared" si="2"/>
        <v>0.15789473684210525</v>
      </c>
      <c r="G68" s="7"/>
    </row>
    <row r="69" spans="1:10" ht="15.75" thickBot="1" x14ac:dyDescent="0.3">
      <c r="A69" s="8" t="s">
        <v>57</v>
      </c>
      <c r="B69" s="9"/>
      <c r="C69">
        <v>12</v>
      </c>
      <c r="D69" s="11"/>
      <c r="E69" s="28" t="s">
        <v>58</v>
      </c>
      <c r="F69" s="20">
        <f t="shared" si="2"/>
        <v>7.8947368421052627E-2</v>
      </c>
      <c r="G69" s="11" t="s">
        <v>19</v>
      </c>
    </row>
    <row r="70" spans="1:10" x14ac:dyDescent="0.25">
      <c r="A70" s="8" t="s">
        <v>58</v>
      </c>
      <c r="B70" s="9"/>
      <c r="C70">
        <v>6</v>
      </c>
      <c r="D70" s="11"/>
      <c r="E70" s="28" t="s">
        <v>59</v>
      </c>
      <c r="F70" s="20">
        <f t="shared" si="2"/>
        <v>0</v>
      </c>
      <c r="G70" s="7"/>
      <c r="H70" s="14" t="s">
        <v>36</v>
      </c>
      <c r="I70" s="15">
        <v>13</v>
      </c>
      <c r="J70" s="16"/>
    </row>
    <row r="71" spans="1:10" x14ac:dyDescent="0.25">
      <c r="A71" s="8" t="s">
        <v>59</v>
      </c>
      <c r="B71" s="9"/>
      <c r="C71">
        <v>0</v>
      </c>
      <c r="D71" s="11"/>
      <c r="E71" s="28" t="s">
        <v>60</v>
      </c>
      <c r="F71" s="20">
        <f t="shared" si="2"/>
        <v>0</v>
      </c>
      <c r="G71" s="7"/>
      <c r="H71" s="27" t="s">
        <v>61</v>
      </c>
      <c r="I71" s="19">
        <v>2</v>
      </c>
      <c r="J71" s="20">
        <f>I71/I$70</f>
        <v>0.15384615384615385</v>
      </c>
    </row>
    <row r="72" spans="1:10" ht="15.75" thickBot="1" x14ac:dyDescent="0.3">
      <c r="A72" s="8" t="s">
        <v>60</v>
      </c>
      <c r="B72" s="9"/>
      <c r="C72">
        <v>0</v>
      </c>
      <c r="D72" s="11"/>
      <c r="E72" s="28" t="s">
        <v>62</v>
      </c>
      <c r="F72" s="20">
        <f t="shared" si="2"/>
        <v>0</v>
      </c>
      <c r="G72" s="7"/>
      <c r="H72" s="29" t="s">
        <v>63</v>
      </c>
      <c r="I72" s="25">
        <v>11</v>
      </c>
      <c r="J72" s="26">
        <f>I72/I$70</f>
        <v>0.84615384615384615</v>
      </c>
    </row>
    <row r="73" spans="1:10" x14ac:dyDescent="0.25">
      <c r="A73" s="8" t="s">
        <v>62</v>
      </c>
      <c r="B73" s="9"/>
      <c r="C73">
        <v>0</v>
      </c>
      <c r="D73" s="11"/>
      <c r="E73" s="28" t="s">
        <v>64</v>
      </c>
      <c r="F73" s="20">
        <f t="shared" si="2"/>
        <v>0</v>
      </c>
      <c r="G73" s="7"/>
    </row>
    <row r="74" spans="1:10" ht="15.75" thickBot="1" x14ac:dyDescent="0.3">
      <c r="A74" s="8" t="s">
        <v>64</v>
      </c>
      <c r="B74" s="9"/>
      <c r="C74">
        <v>0</v>
      </c>
      <c r="D74" s="11"/>
      <c r="E74" s="31" t="s">
        <v>65</v>
      </c>
      <c r="F74" s="26">
        <f t="shared" si="2"/>
        <v>0.11842105263157894</v>
      </c>
      <c r="G74" s="7"/>
    </row>
    <row r="75" spans="1:10" ht="15.75" thickBot="1" x14ac:dyDescent="0.3">
      <c r="A75" s="8" t="s">
        <v>65</v>
      </c>
      <c r="B75" s="9"/>
      <c r="C75">
        <v>9</v>
      </c>
      <c r="D75" s="11"/>
      <c r="E75" s="8"/>
      <c r="F75" s="24"/>
      <c r="G75" s="7"/>
      <c r="H75" s="14" t="s">
        <v>66</v>
      </c>
      <c r="I75" s="15">
        <v>1</v>
      </c>
      <c r="J75" s="16"/>
    </row>
    <row r="76" spans="1:10" x14ac:dyDescent="0.25">
      <c r="A76" s="8" t="s">
        <v>67</v>
      </c>
      <c r="B76" s="9"/>
      <c r="C76">
        <f>SUM(C66:C75)</f>
        <v>76</v>
      </c>
      <c r="D76" s="11"/>
      <c r="E76" s="33" t="s">
        <v>68</v>
      </c>
      <c r="F76" s="13"/>
      <c r="G76" s="7"/>
      <c r="H76" s="27" t="s">
        <v>69</v>
      </c>
      <c r="I76" s="30">
        <v>0</v>
      </c>
      <c r="J76" s="20">
        <f t="shared" ref="J76:J81" si="3">I76/I$75</f>
        <v>0</v>
      </c>
    </row>
    <row r="77" spans="1:10" x14ac:dyDescent="0.25">
      <c r="A77" s="8"/>
      <c r="B77" s="9"/>
      <c r="D77" s="11"/>
      <c r="E77" s="35" t="s">
        <v>70</v>
      </c>
      <c r="F77" s="20">
        <f>C78/C$48</f>
        <v>0.64864864864864868</v>
      </c>
      <c r="G77" s="7"/>
      <c r="H77" s="27" t="s">
        <v>71</v>
      </c>
      <c r="I77" s="30">
        <v>1</v>
      </c>
      <c r="J77" s="20">
        <f t="shared" si="3"/>
        <v>1</v>
      </c>
    </row>
    <row r="78" spans="1:10" x14ac:dyDescent="0.25">
      <c r="A78" s="8" t="s">
        <v>72</v>
      </c>
      <c r="B78" s="9"/>
      <c r="C78">
        <v>24</v>
      </c>
      <c r="D78" s="11"/>
      <c r="E78" s="35" t="s">
        <v>73</v>
      </c>
      <c r="F78" s="20">
        <f>C79/C$48</f>
        <v>5.4054054054054057E-2</v>
      </c>
      <c r="G78" s="7"/>
      <c r="H78" s="27" t="s">
        <v>74</v>
      </c>
      <c r="I78" s="30">
        <v>0</v>
      </c>
      <c r="J78" s="20">
        <f t="shared" si="3"/>
        <v>0</v>
      </c>
    </row>
    <row r="79" spans="1:10" ht="15.75" thickBot="1" x14ac:dyDescent="0.3">
      <c r="A79" s="8" t="s">
        <v>75</v>
      </c>
      <c r="B79" s="9"/>
      <c r="C79">
        <v>2</v>
      </c>
      <c r="D79" s="11"/>
      <c r="E79" s="36" t="s">
        <v>76</v>
      </c>
      <c r="F79" s="26">
        <f>C80/C$48</f>
        <v>0.29729729729729731</v>
      </c>
      <c r="G79" s="7"/>
      <c r="H79" s="27" t="s">
        <v>77</v>
      </c>
      <c r="I79" s="30">
        <v>0</v>
      </c>
      <c r="J79" s="20">
        <f t="shared" si="3"/>
        <v>0</v>
      </c>
    </row>
    <row r="80" spans="1:10" ht="15.75" thickBot="1" x14ac:dyDescent="0.3">
      <c r="A80" s="8" t="s">
        <v>78</v>
      </c>
      <c r="B80" s="9"/>
      <c r="C80">
        <v>11</v>
      </c>
      <c r="D80" s="11"/>
      <c r="E80" s="37"/>
      <c r="F80" s="24"/>
      <c r="G80" s="11" t="s">
        <v>19</v>
      </c>
      <c r="H80" s="27" t="s">
        <v>79</v>
      </c>
      <c r="I80" s="30">
        <v>0</v>
      </c>
      <c r="J80" s="20">
        <f t="shared" si="3"/>
        <v>0</v>
      </c>
    </row>
    <row r="81" spans="1:10" ht="15.75" thickBot="1" x14ac:dyDescent="0.3">
      <c r="A81" s="8"/>
      <c r="B81" s="9"/>
      <c r="D81" s="11"/>
      <c r="E81" s="38" t="s">
        <v>20</v>
      </c>
      <c r="F81" s="13"/>
      <c r="G81" s="7"/>
      <c r="H81" s="29" t="s">
        <v>80</v>
      </c>
      <c r="I81" s="25">
        <v>0</v>
      </c>
      <c r="J81" s="26">
        <f t="shared" si="3"/>
        <v>0</v>
      </c>
    </row>
    <row r="82" spans="1:10" x14ac:dyDescent="0.25">
      <c r="A82" s="8" t="s">
        <v>20</v>
      </c>
      <c r="B82" s="9"/>
      <c r="D82" s="11"/>
      <c r="E82" s="28" t="s">
        <v>81</v>
      </c>
      <c r="F82" s="20">
        <f>C83/C$48</f>
        <v>0.35135135135135137</v>
      </c>
      <c r="G82" s="7"/>
    </row>
    <row r="83" spans="1:10" ht="15.75" thickBot="1" x14ac:dyDescent="0.3">
      <c r="A83" s="8" t="s">
        <v>82</v>
      </c>
      <c r="B83" s="9"/>
      <c r="C83">
        <v>13</v>
      </c>
      <c r="D83" s="11"/>
      <c r="E83" s="31" t="s">
        <v>83</v>
      </c>
      <c r="F83" s="26">
        <f>C84/C$48</f>
        <v>0.64864864864864868</v>
      </c>
      <c r="G83" s="7"/>
    </row>
    <row r="84" spans="1:10" ht="15.75" thickBot="1" x14ac:dyDescent="0.3">
      <c r="A84" s="8" t="s">
        <v>83</v>
      </c>
      <c r="B84" s="9"/>
      <c r="C84">
        <v>24</v>
      </c>
      <c r="D84" s="11"/>
      <c r="E84" s="39"/>
      <c r="F84" s="40"/>
      <c r="G84" s="7"/>
      <c r="H84" s="14" t="s">
        <v>40</v>
      </c>
      <c r="I84" s="15">
        <v>5</v>
      </c>
      <c r="J84" s="16"/>
    </row>
    <row r="85" spans="1:10" x14ac:dyDescent="0.25">
      <c r="A85" s="8"/>
      <c r="B85" s="9"/>
      <c r="D85" s="11"/>
      <c r="E85" s="14" t="s">
        <v>84</v>
      </c>
      <c r="F85" s="13"/>
      <c r="G85" s="7"/>
      <c r="H85" s="27" t="s">
        <v>85</v>
      </c>
      <c r="I85" s="30">
        <v>0</v>
      </c>
      <c r="J85" s="20">
        <f>I85/I$84</f>
        <v>0</v>
      </c>
    </row>
    <row r="86" spans="1:10" x14ac:dyDescent="0.25">
      <c r="A86" t="s">
        <v>84</v>
      </c>
      <c r="D86" s="11"/>
      <c r="E86" s="27" t="s">
        <v>86</v>
      </c>
      <c r="F86" s="20">
        <f>C87/C$84</f>
        <v>0.70833333333333337</v>
      </c>
      <c r="G86" s="7"/>
      <c r="H86" s="27" t="s">
        <v>87</v>
      </c>
      <c r="I86" s="30">
        <v>0</v>
      </c>
      <c r="J86" s="20">
        <f>I86/I$84</f>
        <v>0</v>
      </c>
    </row>
    <row r="87" spans="1:10" ht="15.75" thickBot="1" x14ac:dyDescent="0.3">
      <c r="A87" t="s">
        <v>86</v>
      </c>
      <c r="C87">
        <v>17</v>
      </c>
      <c r="D87" s="11"/>
      <c r="E87" s="29" t="s">
        <v>88</v>
      </c>
      <c r="F87" s="26">
        <f>C88/C$84</f>
        <v>0.29166666666666669</v>
      </c>
      <c r="G87" s="7"/>
      <c r="H87" s="27" t="s">
        <v>89</v>
      </c>
      <c r="I87" s="30">
        <v>3</v>
      </c>
      <c r="J87" s="20">
        <f>I87/I$84</f>
        <v>0.6</v>
      </c>
    </row>
    <row r="88" spans="1:10" ht="15.75" thickBot="1" x14ac:dyDescent="0.3">
      <c r="A88" t="s">
        <v>88</v>
      </c>
      <c r="C88">
        <v>7</v>
      </c>
      <c r="D88" s="11"/>
      <c r="E88" s="39"/>
      <c r="F88" s="40"/>
      <c r="G88" s="7"/>
      <c r="H88" s="27" t="s">
        <v>90</v>
      </c>
      <c r="I88" s="30">
        <v>1</v>
      </c>
      <c r="J88" s="20">
        <f>I88/I$84</f>
        <v>0.2</v>
      </c>
    </row>
    <row r="89" spans="1:10" ht="15.75" thickBot="1" x14ac:dyDescent="0.3">
      <c r="A89" s="8"/>
      <c r="B89" s="9"/>
      <c r="D89" s="11"/>
      <c r="E89" s="33" t="s">
        <v>91</v>
      </c>
      <c r="F89" s="13"/>
      <c r="G89" s="7"/>
      <c r="H89" s="29" t="s">
        <v>92</v>
      </c>
      <c r="I89" s="25">
        <v>1</v>
      </c>
      <c r="J89" s="26">
        <f>I89/I$84</f>
        <v>0.2</v>
      </c>
    </row>
    <row r="90" spans="1:10" x14ac:dyDescent="0.25">
      <c r="A90" s="8" t="s">
        <v>93</v>
      </c>
      <c r="B90" s="9"/>
      <c r="D90" s="11"/>
      <c r="E90" s="28" t="s">
        <v>94</v>
      </c>
      <c r="F90" s="20">
        <f t="shared" ref="F90:F95" si="4">C91/C$48</f>
        <v>0.24324324324324326</v>
      </c>
      <c r="G90" s="7"/>
    </row>
    <row r="91" spans="1:10" ht="15.75" thickBot="1" x14ac:dyDescent="0.3">
      <c r="A91" s="8" t="s">
        <v>94</v>
      </c>
      <c r="B91" s="9"/>
      <c r="C91">
        <v>9</v>
      </c>
      <c r="D91" s="11"/>
      <c r="E91" s="17" t="s">
        <v>95</v>
      </c>
      <c r="F91" s="20">
        <f t="shared" si="4"/>
        <v>5.4054054054054057E-2</v>
      </c>
      <c r="G91" s="7"/>
    </row>
    <row r="92" spans="1:10" x14ac:dyDescent="0.25">
      <c r="A92" s="8" t="s">
        <v>95</v>
      </c>
      <c r="B92" s="9"/>
      <c r="C92">
        <v>2</v>
      </c>
      <c r="D92" s="11"/>
      <c r="E92" s="17" t="s">
        <v>96</v>
      </c>
      <c r="F92" s="20">
        <f t="shared" si="4"/>
        <v>0</v>
      </c>
      <c r="G92" s="7"/>
      <c r="H92" s="14" t="s">
        <v>44</v>
      </c>
      <c r="I92" s="15">
        <v>7</v>
      </c>
      <c r="J92" s="16"/>
    </row>
    <row r="93" spans="1:10" x14ac:dyDescent="0.25">
      <c r="A93" s="8" t="s">
        <v>96</v>
      </c>
      <c r="B93" s="9"/>
      <c r="C93">
        <v>0</v>
      </c>
      <c r="D93" s="11"/>
      <c r="E93" s="17" t="s">
        <v>97</v>
      </c>
      <c r="F93" s="20">
        <f t="shared" si="4"/>
        <v>0</v>
      </c>
      <c r="G93" s="7"/>
      <c r="H93" s="27" t="s">
        <v>98</v>
      </c>
      <c r="I93" s="19">
        <v>0</v>
      </c>
      <c r="J93" s="20">
        <f>I93/I$92</f>
        <v>0</v>
      </c>
    </row>
    <row r="94" spans="1:10" x14ac:dyDescent="0.25">
      <c r="A94" s="8" t="s">
        <v>97</v>
      </c>
      <c r="B94" s="9"/>
      <c r="C94">
        <v>0</v>
      </c>
      <c r="D94" s="11"/>
      <c r="E94" s="17" t="s">
        <v>99</v>
      </c>
      <c r="F94" s="20">
        <f t="shared" si="4"/>
        <v>0.64864864864864868</v>
      </c>
      <c r="G94" s="7"/>
      <c r="H94" s="27" t="s">
        <v>100</v>
      </c>
      <c r="I94" s="19">
        <v>0</v>
      </c>
      <c r="J94" s="20">
        <f t="shared" ref="J94:J102" si="5">I94/I$92</f>
        <v>0</v>
      </c>
    </row>
    <row r="95" spans="1:10" ht="15.75" thickBot="1" x14ac:dyDescent="0.3">
      <c r="A95" s="8" t="s">
        <v>99</v>
      </c>
      <c r="B95" s="9"/>
      <c r="C95">
        <v>24</v>
      </c>
      <c r="D95" s="11"/>
      <c r="E95" s="22" t="s">
        <v>44</v>
      </c>
      <c r="F95" s="26">
        <f t="shared" si="4"/>
        <v>5.4054054054054057E-2</v>
      </c>
      <c r="G95" s="7"/>
      <c r="H95" s="27" t="s">
        <v>101</v>
      </c>
      <c r="I95" s="19">
        <v>0</v>
      </c>
      <c r="J95" s="20">
        <f t="shared" si="5"/>
        <v>0</v>
      </c>
    </row>
    <row r="96" spans="1:10" ht="15.75" thickBot="1" x14ac:dyDescent="0.3">
      <c r="A96" s="8" t="s">
        <v>44</v>
      </c>
      <c r="B96" s="9"/>
      <c r="C96">
        <v>2</v>
      </c>
      <c r="D96" s="11"/>
      <c r="E96" s="11"/>
      <c r="F96" s="24"/>
      <c r="G96" s="7"/>
      <c r="H96" s="27" t="s">
        <v>102</v>
      </c>
      <c r="I96" s="30">
        <v>1</v>
      </c>
      <c r="J96" s="20">
        <f>I96/I$92</f>
        <v>0.14285714285714285</v>
      </c>
    </row>
    <row r="97" spans="1:10" x14ac:dyDescent="0.25">
      <c r="A97" s="8"/>
      <c r="B97" s="9"/>
      <c r="D97" s="11"/>
      <c r="E97" s="12" t="s">
        <v>103</v>
      </c>
      <c r="F97" s="13"/>
      <c r="G97" s="7"/>
      <c r="H97" s="27" t="s">
        <v>104</v>
      </c>
      <c r="I97" s="30">
        <v>2</v>
      </c>
      <c r="J97" s="20">
        <f t="shared" si="5"/>
        <v>0.2857142857142857</v>
      </c>
    </row>
    <row r="98" spans="1:10" x14ac:dyDescent="0.25">
      <c r="A98" s="8" t="s">
        <v>105</v>
      </c>
      <c r="B98" s="9"/>
      <c r="D98" s="11"/>
      <c r="E98" s="17" t="s">
        <v>106</v>
      </c>
      <c r="F98" s="20">
        <f>C99/C$48</f>
        <v>0.78378378378378377</v>
      </c>
      <c r="G98" s="7"/>
      <c r="H98" s="41" t="s">
        <v>107</v>
      </c>
      <c r="I98" s="30">
        <v>0</v>
      </c>
      <c r="J98" s="20">
        <f t="shared" si="5"/>
        <v>0</v>
      </c>
    </row>
    <row r="99" spans="1:10" x14ac:dyDescent="0.25">
      <c r="A99" s="8" t="s">
        <v>106</v>
      </c>
      <c r="B99" s="9"/>
      <c r="C99">
        <v>29</v>
      </c>
      <c r="D99" s="11"/>
      <c r="E99" s="17" t="s">
        <v>108</v>
      </c>
      <c r="F99" s="20">
        <f>C100/C$48</f>
        <v>5.4054054054054057E-2</v>
      </c>
      <c r="G99" s="7"/>
      <c r="H99" s="41" t="s">
        <v>109</v>
      </c>
      <c r="I99" s="30">
        <v>3</v>
      </c>
      <c r="J99" s="20">
        <f t="shared" si="5"/>
        <v>0.42857142857142855</v>
      </c>
    </row>
    <row r="100" spans="1:10" x14ac:dyDescent="0.25">
      <c r="A100" s="8" t="s">
        <v>108</v>
      </c>
      <c r="B100" s="9"/>
      <c r="C100">
        <v>2</v>
      </c>
      <c r="D100" s="11"/>
      <c r="E100" s="17" t="s">
        <v>110</v>
      </c>
      <c r="F100" s="20">
        <f>C101/C$48</f>
        <v>5.4054054054054057E-2</v>
      </c>
      <c r="G100" s="7"/>
      <c r="H100" s="41" t="s">
        <v>111</v>
      </c>
      <c r="I100" s="30">
        <v>0</v>
      </c>
      <c r="J100" s="20">
        <f t="shared" si="5"/>
        <v>0</v>
      </c>
    </row>
    <row r="101" spans="1:10" x14ac:dyDescent="0.25">
      <c r="A101" s="8" t="s">
        <v>110</v>
      </c>
      <c r="B101" s="9"/>
      <c r="C101">
        <v>2</v>
      </c>
      <c r="D101" s="11"/>
      <c r="E101" s="17" t="s">
        <v>112</v>
      </c>
      <c r="F101" s="20">
        <f>C102/C$48</f>
        <v>0.10810810810810811</v>
      </c>
      <c r="G101" s="7"/>
      <c r="H101" s="41" t="s">
        <v>113</v>
      </c>
      <c r="I101" s="30">
        <v>0</v>
      </c>
      <c r="J101" s="20">
        <f t="shared" si="5"/>
        <v>0</v>
      </c>
    </row>
    <row r="102" spans="1:10" ht="15.75" thickBot="1" x14ac:dyDescent="0.3">
      <c r="A102" s="8" t="s">
        <v>112</v>
      </c>
      <c r="B102" s="9"/>
      <c r="C102">
        <v>4</v>
      </c>
      <c r="E102" s="22" t="s">
        <v>114</v>
      </c>
      <c r="F102" s="26">
        <f>C103/C$48</f>
        <v>0</v>
      </c>
      <c r="H102" s="42" t="s">
        <v>115</v>
      </c>
      <c r="I102" s="25">
        <v>1</v>
      </c>
      <c r="J102" s="26">
        <f t="shared" si="5"/>
        <v>0.14285714285714285</v>
      </c>
    </row>
    <row r="103" spans="1:10" x14ac:dyDescent="0.25">
      <c r="A103" s="8" t="s">
        <v>114</v>
      </c>
      <c r="B103" s="9"/>
      <c r="C103">
        <v>0</v>
      </c>
      <c r="E103" s="11"/>
      <c r="F103" s="24"/>
    </row>
    <row r="104" spans="1:10" x14ac:dyDescent="0.25">
      <c r="A104" s="8" t="s">
        <v>116</v>
      </c>
      <c r="B104" s="9"/>
      <c r="E104" s="11"/>
      <c r="F104" s="24"/>
    </row>
    <row r="105" spans="1:10" x14ac:dyDescent="0.25">
      <c r="A105" s="8"/>
      <c r="B105" s="9"/>
      <c r="E105" s="11"/>
      <c r="F105" s="24"/>
    </row>
    <row r="106" spans="1:10" ht="15.75" thickBot="1" x14ac:dyDescent="0.3"/>
    <row r="107" spans="1:10" x14ac:dyDescent="0.25">
      <c r="A107" s="43" t="s">
        <v>117</v>
      </c>
      <c r="B107" s="82">
        <f>SUM(B108:B111)</f>
        <v>110830.24</v>
      </c>
    </row>
    <row r="108" spans="1:10" x14ac:dyDescent="0.25">
      <c r="A108" s="44" t="s">
        <v>94</v>
      </c>
      <c r="B108" s="45">
        <f>SUM(F3,F11:F13,F19:F20,F23,F25,F27,,)</f>
        <v>19314.919999999998</v>
      </c>
    </row>
    <row r="109" spans="1:10" x14ac:dyDescent="0.25">
      <c r="A109" s="44" t="s">
        <v>118</v>
      </c>
      <c r="B109" s="45">
        <f>SUM(F2,F4:F8,F10,F14:F18,F22,F24,F26,F28:F34,F36,F38)</f>
        <v>82427.61</v>
      </c>
    </row>
    <row r="110" spans="1:10" x14ac:dyDescent="0.25">
      <c r="A110" s="44" t="s">
        <v>119</v>
      </c>
      <c r="B110" s="45">
        <f>SUM(F9,F21,)</f>
        <v>5160.16</v>
      </c>
    </row>
    <row r="111" spans="1:10" x14ac:dyDescent="0.25">
      <c r="A111" s="44" t="s">
        <v>44</v>
      </c>
      <c r="B111" s="46">
        <f>SUM(F35,F37)</f>
        <v>3927.55</v>
      </c>
    </row>
    <row r="112" spans="1:10" ht="15.75" thickBot="1" x14ac:dyDescent="0.3">
      <c r="A112" s="47"/>
      <c r="B112" s="48"/>
    </row>
  </sheetData>
  <mergeCells count="1">
    <mergeCell ref="A44:F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C34" sqref="C34"/>
    </sheetView>
  </sheetViews>
  <sheetFormatPr baseColWidth="10" defaultRowHeight="15" x14ac:dyDescent="0.25"/>
  <cols>
    <col min="1" max="1" width="10.5703125" customWidth="1"/>
    <col min="2" max="2" width="34.140625" customWidth="1"/>
    <col min="3" max="3" width="11.85546875" customWidth="1"/>
    <col min="4" max="4" width="5.5703125" customWidth="1"/>
    <col min="5" max="5" width="7.28515625" customWidth="1"/>
    <col min="7" max="7" width="42.4257812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45780</v>
      </c>
      <c r="B2" t="s">
        <v>872</v>
      </c>
      <c r="C2" t="s">
        <v>106</v>
      </c>
      <c r="D2" t="s">
        <v>22</v>
      </c>
      <c r="E2" t="s">
        <v>213</v>
      </c>
      <c r="F2" s="59">
        <v>1263.5</v>
      </c>
      <c r="G2" t="s">
        <v>875</v>
      </c>
      <c r="H2" t="s">
        <v>880</v>
      </c>
    </row>
    <row r="3" spans="1:8" x14ac:dyDescent="0.25">
      <c r="A3" s="9">
        <v>45782</v>
      </c>
      <c r="B3" t="s">
        <v>877</v>
      </c>
      <c r="C3" t="s">
        <v>639</v>
      </c>
      <c r="D3" t="s">
        <v>24</v>
      </c>
      <c r="E3" t="s">
        <v>190</v>
      </c>
      <c r="F3" s="59">
        <v>3528.77</v>
      </c>
      <c r="G3" t="s">
        <v>203</v>
      </c>
      <c r="H3" t="s">
        <v>192</v>
      </c>
    </row>
    <row r="4" spans="1:8" x14ac:dyDescent="0.25">
      <c r="A4" s="9">
        <v>45782</v>
      </c>
      <c r="B4" t="s">
        <v>882</v>
      </c>
      <c r="C4" t="s">
        <v>638</v>
      </c>
      <c r="D4" t="s">
        <v>22</v>
      </c>
      <c r="E4" t="s">
        <v>190</v>
      </c>
      <c r="F4" s="59">
        <v>1122</v>
      </c>
      <c r="G4" t="s">
        <v>375</v>
      </c>
      <c r="H4" t="s">
        <v>894</v>
      </c>
    </row>
    <row r="5" spans="1:8" x14ac:dyDescent="0.25">
      <c r="A5" s="9">
        <v>45782</v>
      </c>
      <c r="B5" t="s">
        <v>886</v>
      </c>
      <c r="C5" t="s">
        <v>106</v>
      </c>
      <c r="D5" t="s">
        <v>24</v>
      </c>
      <c r="E5" t="s">
        <v>190</v>
      </c>
      <c r="F5" s="59">
        <v>1632.64</v>
      </c>
      <c r="G5" t="s">
        <v>889</v>
      </c>
      <c r="H5" t="s">
        <v>895</v>
      </c>
    </row>
    <row r="6" spans="1:8" x14ac:dyDescent="0.25">
      <c r="A6" s="9">
        <v>45783</v>
      </c>
      <c r="B6" t="s">
        <v>620</v>
      </c>
      <c r="C6" t="s">
        <v>106</v>
      </c>
      <c r="D6" t="s">
        <v>22</v>
      </c>
      <c r="E6" t="s">
        <v>118</v>
      </c>
      <c r="F6" s="59">
        <v>1592</v>
      </c>
      <c r="G6" t="s">
        <v>897</v>
      </c>
      <c r="H6" t="s">
        <v>223</v>
      </c>
    </row>
    <row r="7" spans="1:8" x14ac:dyDescent="0.25">
      <c r="A7" s="9">
        <v>45784</v>
      </c>
      <c r="B7" t="s">
        <v>900</v>
      </c>
      <c r="C7" t="s">
        <v>106</v>
      </c>
      <c r="D7" t="s">
        <v>24</v>
      </c>
      <c r="E7" t="s">
        <v>190</v>
      </c>
      <c r="F7" s="59">
        <v>7911.2</v>
      </c>
      <c r="G7" t="s">
        <v>903</v>
      </c>
      <c r="H7" t="s">
        <v>296</v>
      </c>
    </row>
    <row r="8" spans="1:8" x14ac:dyDescent="0.25">
      <c r="A8" s="9">
        <v>45784</v>
      </c>
      <c r="B8" t="s">
        <v>909</v>
      </c>
      <c r="C8" t="s">
        <v>106</v>
      </c>
      <c r="D8" t="s">
        <v>24</v>
      </c>
      <c r="E8" t="s">
        <v>118</v>
      </c>
      <c r="F8" s="59">
        <v>993.88</v>
      </c>
      <c r="G8" t="s">
        <v>912</v>
      </c>
      <c r="H8" t="s">
        <v>926</v>
      </c>
    </row>
    <row r="9" spans="1:8" x14ac:dyDescent="0.25">
      <c r="A9" s="9">
        <v>45785</v>
      </c>
      <c r="B9" t="s">
        <v>914</v>
      </c>
      <c r="C9" t="s">
        <v>106</v>
      </c>
      <c r="D9" t="s">
        <v>22</v>
      </c>
      <c r="E9" t="s">
        <v>190</v>
      </c>
      <c r="F9" s="59">
        <v>984</v>
      </c>
      <c r="G9" t="s">
        <v>917</v>
      </c>
      <c r="H9" t="s">
        <v>223</v>
      </c>
    </row>
    <row r="10" spans="1:8" x14ac:dyDescent="0.25">
      <c r="A10" s="9">
        <v>45791</v>
      </c>
      <c r="B10" t="s">
        <v>922</v>
      </c>
      <c r="C10" t="s">
        <v>638</v>
      </c>
      <c r="D10" t="s">
        <v>24</v>
      </c>
      <c r="E10" t="s">
        <v>190</v>
      </c>
      <c r="F10" s="59">
        <v>1561.36</v>
      </c>
      <c r="G10" t="s">
        <v>925</v>
      </c>
      <c r="H10" t="s">
        <v>192</v>
      </c>
    </row>
    <row r="11" spans="1:8" x14ac:dyDescent="0.25">
      <c r="A11" s="9">
        <v>45790</v>
      </c>
      <c r="B11" t="s">
        <v>928</v>
      </c>
      <c r="C11" t="s">
        <v>106</v>
      </c>
      <c r="D11" t="s">
        <v>22</v>
      </c>
      <c r="E11" t="s">
        <v>190</v>
      </c>
      <c r="F11" s="59">
        <v>5172.24</v>
      </c>
      <c r="G11" t="s">
        <v>931</v>
      </c>
      <c r="H11" t="s">
        <v>322</v>
      </c>
    </row>
    <row r="12" spans="1:8" x14ac:dyDescent="0.25">
      <c r="A12" s="9">
        <v>45792</v>
      </c>
      <c r="B12" s="9" t="s">
        <v>933</v>
      </c>
      <c r="C12" t="s">
        <v>106</v>
      </c>
      <c r="D12" t="s">
        <v>22</v>
      </c>
      <c r="E12" t="s">
        <v>190</v>
      </c>
      <c r="F12" s="59">
        <v>985</v>
      </c>
      <c r="G12" t="s">
        <v>936</v>
      </c>
      <c r="H12" t="s">
        <v>192</v>
      </c>
    </row>
    <row r="13" spans="1:8" x14ac:dyDescent="0.25">
      <c r="A13" s="9">
        <v>45793</v>
      </c>
      <c r="B13" t="s">
        <v>938</v>
      </c>
      <c r="C13" t="s">
        <v>106</v>
      </c>
      <c r="D13" t="s">
        <v>22</v>
      </c>
      <c r="E13" t="s">
        <v>119</v>
      </c>
      <c r="F13" s="59">
        <v>991</v>
      </c>
      <c r="G13" t="s">
        <v>941</v>
      </c>
      <c r="H13" t="s">
        <v>322</v>
      </c>
    </row>
    <row r="14" spans="1:8" x14ac:dyDescent="0.25">
      <c r="A14" s="9">
        <v>45793</v>
      </c>
      <c r="B14" t="s">
        <v>943</v>
      </c>
      <c r="C14" t="s">
        <v>106</v>
      </c>
      <c r="D14" t="s">
        <v>24</v>
      </c>
      <c r="E14" t="s">
        <v>190</v>
      </c>
      <c r="F14" s="59">
        <v>1607.76</v>
      </c>
      <c r="G14" t="s">
        <v>946</v>
      </c>
      <c r="H14" t="s">
        <v>568</v>
      </c>
    </row>
    <row r="15" spans="1:8" x14ac:dyDescent="0.25">
      <c r="A15" s="9">
        <v>45794</v>
      </c>
      <c r="B15" t="s">
        <v>948</v>
      </c>
      <c r="C15" t="s">
        <v>638</v>
      </c>
      <c r="D15" t="s">
        <v>22</v>
      </c>
      <c r="E15" t="s">
        <v>118</v>
      </c>
      <c r="F15" s="59">
        <v>1350</v>
      </c>
      <c r="G15" t="s">
        <v>951</v>
      </c>
      <c r="H15" t="s">
        <v>952</v>
      </c>
    </row>
    <row r="16" spans="1:8" x14ac:dyDescent="0.25">
      <c r="A16" s="9">
        <v>45795</v>
      </c>
      <c r="B16" t="s">
        <v>954</v>
      </c>
      <c r="C16" t="s">
        <v>638</v>
      </c>
      <c r="D16" t="s">
        <v>24</v>
      </c>
      <c r="E16" t="s">
        <v>118</v>
      </c>
      <c r="F16" s="59">
        <v>2233.4</v>
      </c>
      <c r="G16" t="s">
        <v>519</v>
      </c>
      <c r="H16" t="s">
        <v>316</v>
      </c>
    </row>
    <row r="17" spans="1:8" x14ac:dyDescent="0.25">
      <c r="A17" s="9">
        <v>45797</v>
      </c>
      <c r="B17" t="s">
        <v>958</v>
      </c>
      <c r="C17" t="s">
        <v>116</v>
      </c>
      <c r="D17" t="s">
        <v>22</v>
      </c>
      <c r="E17" t="s">
        <v>190</v>
      </c>
      <c r="F17" s="59">
        <v>1888.92</v>
      </c>
      <c r="G17" t="s">
        <v>961</v>
      </c>
      <c r="H17" t="s">
        <v>962</v>
      </c>
    </row>
    <row r="18" spans="1:8" x14ac:dyDescent="0.25">
      <c r="A18" s="9">
        <v>45797</v>
      </c>
      <c r="B18" t="s">
        <v>964</v>
      </c>
      <c r="C18" t="s">
        <v>638</v>
      </c>
      <c r="D18" t="s">
        <v>22</v>
      </c>
      <c r="E18" t="s">
        <v>118</v>
      </c>
      <c r="F18" s="59">
        <v>1856</v>
      </c>
      <c r="G18" t="s">
        <v>967</v>
      </c>
      <c r="H18" t="s">
        <v>973</v>
      </c>
    </row>
    <row r="19" spans="1:8" x14ac:dyDescent="0.25">
      <c r="A19" s="9">
        <v>45798</v>
      </c>
      <c r="B19" t="s">
        <v>969</v>
      </c>
      <c r="C19" t="s">
        <v>106</v>
      </c>
      <c r="D19" t="s">
        <v>22</v>
      </c>
      <c r="E19" t="s">
        <v>190</v>
      </c>
      <c r="F19" s="59">
        <v>2586</v>
      </c>
      <c r="G19" t="s">
        <v>972</v>
      </c>
      <c r="H19" t="s">
        <v>223</v>
      </c>
    </row>
    <row r="20" spans="1:8" x14ac:dyDescent="0.25">
      <c r="A20" s="9">
        <v>45799</v>
      </c>
      <c r="B20" t="s">
        <v>975</v>
      </c>
      <c r="C20" t="s">
        <v>106</v>
      </c>
      <c r="D20" t="s">
        <v>22</v>
      </c>
      <c r="E20" t="s">
        <v>190</v>
      </c>
      <c r="F20" s="59">
        <v>11403</v>
      </c>
      <c r="G20" t="s">
        <v>978</v>
      </c>
      <c r="H20" t="s">
        <v>986</v>
      </c>
    </row>
    <row r="21" spans="1:8" x14ac:dyDescent="0.25">
      <c r="A21" s="9">
        <v>45799</v>
      </c>
      <c r="B21" t="s">
        <v>980</v>
      </c>
      <c r="C21" t="s">
        <v>638</v>
      </c>
      <c r="D21" t="s">
        <v>22</v>
      </c>
      <c r="E21" t="s">
        <v>118</v>
      </c>
      <c r="F21" s="59">
        <v>2246.6999999999998</v>
      </c>
      <c r="G21" t="s">
        <v>983</v>
      </c>
      <c r="H21" t="s">
        <v>755</v>
      </c>
    </row>
    <row r="22" spans="1:8" x14ac:dyDescent="0.25">
      <c r="A22" s="9">
        <v>45800</v>
      </c>
      <c r="B22" t="s">
        <v>275</v>
      </c>
      <c r="C22" t="s">
        <v>106</v>
      </c>
      <c r="D22" t="s">
        <v>22</v>
      </c>
      <c r="E22" t="s">
        <v>118</v>
      </c>
      <c r="F22" s="59">
        <v>978</v>
      </c>
      <c r="G22" t="s">
        <v>985</v>
      </c>
      <c r="H22" t="s">
        <v>192</v>
      </c>
    </row>
    <row r="23" spans="1:8" x14ac:dyDescent="0.25">
      <c r="A23" s="9">
        <v>45801</v>
      </c>
      <c r="B23" t="s">
        <v>988</v>
      </c>
      <c r="C23" t="s">
        <v>106</v>
      </c>
      <c r="D23" t="s">
        <v>22</v>
      </c>
      <c r="E23" t="s">
        <v>190</v>
      </c>
      <c r="F23" s="59">
        <v>2111</v>
      </c>
      <c r="G23" t="s">
        <v>991</v>
      </c>
      <c r="H23" t="s">
        <v>992</v>
      </c>
    </row>
    <row r="24" spans="1:8" x14ac:dyDescent="0.25">
      <c r="A24" s="9">
        <v>45804</v>
      </c>
      <c r="B24" t="s">
        <v>994</v>
      </c>
      <c r="C24" t="s">
        <v>638</v>
      </c>
      <c r="D24" t="s">
        <v>22</v>
      </c>
      <c r="E24" t="s">
        <v>118</v>
      </c>
      <c r="F24" s="59">
        <v>2700</v>
      </c>
      <c r="G24" t="s">
        <v>203</v>
      </c>
      <c r="H24" t="s">
        <v>1002</v>
      </c>
    </row>
    <row r="25" spans="1:8" x14ac:dyDescent="0.25">
      <c r="A25" s="9">
        <v>45806</v>
      </c>
      <c r="B25" t="s">
        <v>998</v>
      </c>
      <c r="C25" t="s">
        <v>638</v>
      </c>
      <c r="D25" t="s">
        <v>22</v>
      </c>
      <c r="E25" t="s">
        <v>118</v>
      </c>
      <c r="F25" s="59">
        <v>2589.6</v>
      </c>
      <c r="G25" t="s">
        <v>1001</v>
      </c>
      <c r="H25" t="s">
        <v>295</v>
      </c>
    </row>
    <row r="26" spans="1:8" x14ac:dyDescent="0.25">
      <c r="A26" s="9">
        <v>45806</v>
      </c>
      <c r="B26" t="s">
        <v>1004</v>
      </c>
      <c r="C26" t="s">
        <v>106</v>
      </c>
      <c r="D26" t="s">
        <v>22</v>
      </c>
      <c r="E26" t="s">
        <v>190</v>
      </c>
      <c r="F26" s="59">
        <v>1465</v>
      </c>
      <c r="G26" t="s">
        <v>1007</v>
      </c>
      <c r="H26" t="s">
        <v>1008</v>
      </c>
    </row>
    <row r="27" spans="1:8" x14ac:dyDescent="0.25">
      <c r="A27" s="9">
        <v>45807</v>
      </c>
      <c r="B27" t="s">
        <v>329</v>
      </c>
      <c r="C27" t="s">
        <v>106</v>
      </c>
      <c r="D27" t="s">
        <v>24</v>
      </c>
      <c r="E27" t="s">
        <v>118</v>
      </c>
      <c r="F27" s="59">
        <v>9830</v>
      </c>
      <c r="G27" t="s">
        <v>1011</v>
      </c>
      <c r="H27" t="s">
        <v>192</v>
      </c>
    </row>
    <row r="28" spans="1:8" x14ac:dyDescent="0.25">
      <c r="A28" s="9">
        <v>45789</v>
      </c>
      <c r="B28" t="s">
        <v>1029</v>
      </c>
      <c r="C28" t="s">
        <v>106</v>
      </c>
      <c r="D28" t="s">
        <v>22</v>
      </c>
      <c r="E28" t="s">
        <v>118</v>
      </c>
      <c r="F28" s="59">
        <v>3900</v>
      </c>
      <c r="G28" t="s">
        <v>1032</v>
      </c>
      <c r="H28" t="s">
        <v>1033</v>
      </c>
    </row>
    <row r="29" spans="1:8" x14ac:dyDescent="0.25">
      <c r="A29" s="9">
        <v>45803</v>
      </c>
      <c r="B29" t="s">
        <v>1035</v>
      </c>
      <c r="C29" t="s">
        <v>640</v>
      </c>
      <c r="D29" t="s">
        <v>22</v>
      </c>
      <c r="E29" t="s">
        <v>118</v>
      </c>
      <c r="F29" s="59">
        <v>2619</v>
      </c>
      <c r="G29" t="s">
        <v>454</v>
      </c>
      <c r="H29" t="s">
        <v>1063</v>
      </c>
    </row>
    <row r="30" spans="1:8" x14ac:dyDescent="0.25">
      <c r="A30" s="9"/>
      <c r="F30" s="59"/>
    </row>
    <row r="31" spans="1:8" x14ac:dyDescent="0.25">
      <c r="A31" s="9"/>
      <c r="F31" s="59"/>
    </row>
    <row r="33" spans="1:10" ht="15.75" thickBot="1" x14ac:dyDescent="0.3">
      <c r="A33" s="99" t="s">
        <v>8</v>
      </c>
      <c r="B33" s="99"/>
      <c r="C33" s="99"/>
      <c r="D33" s="99"/>
      <c r="E33" s="99"/>
      <c r="F33" s="99"/>
      <c r="G33" s="7"/>
    </row>
    <row r="34" spans="1:10" x14ac:dyDescent="0.25">
      <c r="A34" s="8" t="s">
        <v>9</v>
      </c>
      <c r="B34" s="9"/>
      <c r="C34" s="10">
        <f>SUM(F2:F31)</f>
        <v>79101.97</v>
      </c>
      <c r="D34" s="11"/>
      <c r="E34" s="12" t="s">
        <v>10</v>
      </c>
      <c r="F34" s="13"/>
      <c r="G34" s="7"/>
      <c r="H34" s="14" t="s">
        <v>11</v>
      </c>
      <c r="I34" s="15">
        <v>10</v>
      </c>
      <c r="J34" s="16"/>
    </row>
    <row r="35" spans="1:10" x14ac:dyDescent="0.25">
      <c r="A35" s="8"/>
      <c r="B35" s="9"/>
      <c r="C35" s="10"/>
      <c r="D35" s="11"/>
      <c r="E35" s="17" t="s">
        <v>12</v>
      </c>
      <c r="F35" s="18">
        <v>91981.860000000015</v>
      </c>
      <c r="G35" s="7"/>
      <c r="H35" s="17" t="s">
        <v>13</v>
      </c>
      <c r="I35" s="19">
        <v>2</v>
      </c>
      <c r="J35" s="20">
        <f>I35/I$34</f>
        <v>0.2</v>
      </c>
    </row>
    <row r="36" spans="1:10" ht="15.75" thickBot="1" x14ac:dyDescent="0.3">
      <c r="A36" s="8" t="s">
        <v>14</v>
      </c>
      <c r="B36" s="9"/>
      <c r="C36" s="21">
        <v>26</v>
      </c>
      <c r="D36" s="11"/>
      <c r="E36" s="22" t="s">
        <v>15</v>
      </c>
      <c r="F36" s="23">
        <f>C34/C36</f>
        <v>3042.3834615384617</v>
      </c>
      <c r="G36" s="7"/>
      <c r="H36" s="17" t="s">
        <v>16</v>
      </c>
      <c r="I36" s="19">
        <v>8</v>
      </c>
      <c r="J36" s="20">
        <f>I36/I$34</f>
        <v>0.8</v>
      </c>
    </row>
    <row r="37" spans="1:10" ht="15.75" thickBot="1" x14ac:dyDescent="0.3">
      <c r="A37" s="8" t="s">
        <v>17</v>
      </c>
      <c r="B37" s="9"/>
      <c r="C37">
        <v>28</v>
      </c>
      <c r="D37" s="11"/>
      <c r="E37" s="11"/>
      <c r="F37" s="24"/>
      <c r="G37" s="7"/>
      <c r="H37" s="22" t="s">
        <v>18</v>
      </c>
      <c r="I37" s="25">
        <v>0</v>
      </c>
      <c r="J37" s="26">
        <f>I37/I$34</f>
        <v>0</v>
      </c>
    </row>
    <row r="38" spans="1:10" x14ac:dyDescent="0.25">
      <c r="A38" s="8"/>
      <c r="B38" s="9"/>
      <c r="D38" s="11" t="s">
        <v>19</v>
      </c>
      <c r="E38" s="12" t="s">
        <v>20</v>
      </c>
      <c r="F38" s="13"/>
      <c r="G38" s="7"/>
    </row>
    <row r="39" spans="1:10" ht="15.75" thickBot="1" x14ac:dyDescent="0.3">
      <c r="A39" s="8" t="s">
        <v>21</v>
      </c>
      <c r="B39" s="9"/>
      <c r="C39">
        <v>20</v>
      </c>
      <c r="D39" s="11" t="s">
        <v>19</v>
      </c>
      <c r="E39" s="17" t="s">
        <v>22</v>
      </c>
      <c r="F39" s="20">
        <f>C39/C$37</f>
        <v>0.7142857142857143</v>
      </c>
      <c r="G39" s="7"/>
    </row>
    <row r="40" spans="1:10" ht="15.75" thickBot="1" x14ac:dyDescent="0.3">
      <c r="A40" s="8" t="s">
        <v>23</v>
      </c>
      <c r="B40" s="9"/>
      <c r="C40">
        <v>8</v>
      </c>
      <c r="D40" s="11"/>
      <c r="E40" s="22" t="s">
        <v>24</v>
      </c>
      <c r="F40" s="26">
        <f>C40/C$37</f>
        <v>0.2857142857142857</v>
      </c>
      <c r="G40" s="7"/>
      <c r="H40" s="14" t="s">
        <v>25</v>
      </c>
      <c r="I40" s="15">
        <v>18</v>
      </c>
      <c r="J40" s="16"/>
    </row>
    <row r="41" spans="1:10" ht="15.75" thickBot="1" x14ac:dyDescent="0.3">
      <c r="A41" s="8"/>
      <c r="B41" s="9"/>
      <c r="D41" s="11"/>
      <c r="E41" s="11"/>
      <c r="F41" s="24"/>
      <c r="G41" s="7"/>
      <c r="H41" s="27" t="s">
        <v>26</v>
      </c>
      <c r="I41" s="30">
        <v>11</v>
      </c>
      <c r="J41" s="20">
        <f>I41/I$40</f>
        <v>0.61111111111111116</v>
      </c>
    </row>
    <row r="42" spans="1:10" x14ac:dyDescent="0.25">
      <c r="A42" s="8" t="s">
        <v>27</v>
      </c>
      <c r="B42" s="9"/>
      <c r="D42" s="11"/>
      <c r="E42" s="12" t="s">
        <v>28</v>
      </c>
      <c r="F42" s="13"/>
      <c r="G42" s="7"/>
      <c r="H42" s="27" t="s">
        <v>29</v>
      </c>
      <c r="I42" s="30">
        <v>4</v>
      </c>
      <c r="J42" s="20">
        <f>I42/I$40</f>
        <v>0.22222222222222221</v>
      </c>
    </row>
    <row r="43" spans="1:10" ht="15.75" thickBot="1" x14ac:dyDescent="0.3">
      <c r="A43" s="8" t="s">
        <v>30</v>
      </c>
      <c r="B43" s="9"/>
      <c r="C43">
        <v>5</v>
      </c>
      <c r="D43" s="11"/>
      <c r="E43" s="28" t="s">
        <v>30</v>
      </c>
      <c r="F43" s="20">
        <f>C43/C$52</f>
        <v>8.4745762711864403E-2</v>
      </c>
      <c r="G43" s="7"/>
      <c r="H43" s="29" t="s">
        <v>31</v>
      </c>
      <c r="I43" s="25">
        <v>3</v>
      </c>
      <c r="J43" s="26">
        <f>I43/I$40</f>
        <v>0.16666666666666666</v>
      </c>
    </row>
    <row r="44" spans="1:10" ht="15.75" thickBot="1" x14ac:dyDescent="0.3">
      <c r="A44" s="8" t="s">
        <v>11</v>
      </c>
      <c r="B44" s="9"/>
      <c r="C44">
        <v>10</v>
      </c>
      <c r="D44" s="11"/>
      <c r="E44" s="28" t="s">
        <v>11</v>
      </c>
      <c r="F44" s="20">
        <f t="shared" ref="F44:F51" si="0">C44/C$52</f>
        <v>0.16949152542372881</v>
      </c>
      <c r="G44" s="7"/>
    </row>
    <row r="45" spans="1:10" x14ac:dyDescent="0.25">
      <c r="A45" s="8" t="s">
        <v>32</v>
      </c>
      <c r="B45" s="9"/>
      <c r="C45">
        <v>18</v>
      </c>
      <c r="D45" s="11"/>
      <c r="E45" s="28" t="s">
        <v>32</v>
      </c>
      <c r="F45" s="20">
        <f t="shared" si="0"/>
        <v>0.30508474576271188</v>
      </c>
      <c r="G45" s="11" t="s">
        <v>19</v>
      </c>
      <c r="H45" s="14" t="s">
        <v>33</v>
      </c>
      <c r="I45" s="15">
        <v>2</v>
      </c>
      <c r="J45" s="13">
        <f t="shared" ref="J45:J56" si="1">I45/I$40</f>
        <v>0.1111111111111111</v>
      </c>
    </row>
    <row r="46" spans="1:10" x14ac:dyDescent="0.25">
      <c r="A46" s="8" t="s">
        <v>34</v>
      </c>
      <c r="B46" s="9"/>
      <c r="C46">
        <v>0</v>
      </c>
      <c r="D46" s="11"/>
      <c r="E46" s="28" t="s">
        <v>34</v>
      </c>
      <c r="F46" s="20">
        <f t="shared" si="0"/>
        <v>0</v>
      </c>
      <c r="G46" s="7"/>
      <c r="H46" s="27" t="s">
        <v>35</v>
      </c>
      <c r="I46" s="30">
        <v>0</v>
      </c>
      <c r="J46" s="20">
        <f t="shared" si="1"/>
        <v>0</v>
      </c>
    </row>
    <row r="47" spans="1:10" x14ac:dyDescent="0.25">
      <c r="A47" s="8" t="s">
        <v>36</v>
      </c>
      <c r="B47" s="9"/>
      <c r="C47">
        <v>8</v>
      </c>
      <c r="D47" s="11"/>
      <c r="E47" s="28" t="s">
        <v>36</v>
      </c>
      <c r="F47" s="20">
        <f t="shared" si="0"/>
        <v>0.13559322033898305</v>
      </c>
      <c r="G47" s="7"/>
      <c r="H47" s="27" t="s">
        <v>37</v>
      </c>
      <c r="I47" s="30">
        <v>6</v>
      </c>
      <c r="J47" s="20">
        <f t="shared" si="1"/>
        <v>0.33333333333333331</v>
      </c>
    </row>
    <row r="48" spans="1:10" x14ac:dyDescent="0.25">
      <c r="A48" s="8" t="s">
        <v>38</v>
      </c>
      <c r="B48" s="9"/>
      <c r="C48">
        <v>0</v>
      </c>
      <c r="D48" s="11"/>
      <c r="E48" s="28" t="s">
        <v>38</v>
      </c>
      <c r="F48" s="20">
        <f t="shared" si="0"/>
        <v>0</v>
      </c>
      <c r="G48" s="7"/>
      <c r="H48" s="27" t="s">
        <v>39</v>
      </c>
      <c r="I48" s="30">
        <v>1</v>
      </c>
      <c r="J48" s="20">
        <f t="shared" si="1"/>
        <v>5.5555555555555552E-2</v>
      </c>
    </row>
    <row r="49" spans="1:10" x14ac:dyDescent="0.25">
      <c r="A49" s="8" t="s">
        <v>40</v>
      </c>
      <c r="B49" s="9"/>
      <c r="C49">
        <v>9</v>
      </c>
      <c r="D49" s="11"/>
      <c r="E49" s="28" t="s">
        <v>40</v>
      </c>
      <c r="F49" s="20">
        <f t="shared" si="0"/>
        <v>0.15254237288135594</v>
      </c>
      <c r="G49" s="7"/>
      <c r="H49" s="27" t="s">
        <v>41</v>
      </c>
      <c r="I49" s="30">
        <v>5</v>
      </c>
      <c r="J49" s="20">
        <f t="shared" si="1"/>
        <v>0.27777777777777779</v>
      </c>
    </row>
    <row r="50" spans="1:10" x14ac:dyDescent="0.25">
      <c r="A50" s="8" t="s">
        <v>42</v>
      </c>
      <c r="B50" s="9"/>
      <c r="C50">
        <v>0</v>
      </c>
      <c r="D50" s="11"/>
      <c r="E50" s="28" t="s">
        <v>42</v>
      </c>
      <c r="F50" s="20">
        <f t="shared" si="0"/>
        <v>0</v>
      </c>
      <c r="G50" s="7"/>
      <c r="H50" s="27" t="s">
        <v>43</v>
      </c>
      <c r="I50" s="30">
        <v>2</v>
      </c>
      <c r="J50" s="20">
        <f t="shared" si="1"/>
        <v>0.1111111111111111</v>
      </c>
    </row>
    <row r="51" spans="1:10" ht="15.75" thickBot="1" x14ac:dyDescent="0.3">
      <c r="A51" s="8" t="s">
        <v>44</v>
      </c>
      <c r="B51" s="9"/>
      <c r="C51">
        <v>9</v>
      </c>
      <c r="D51" s="11"/>
      <c r="E51" s="31" t="s">
        <v>44</v>
      </c>
      <c r="F51" s="26">
        <f t="shared" si="0"/>
        <v>0.15254237288135594</v>
      </c>
      <c r="G51" s="11" t="s">
        <v>19</v>
      </c>
      <c r="H51" s="32" t="s">
        <v>45</v>
      </c>
      <c r="I51" s="30">
        <v>0</v>
      </c>
      <c r="J51" s="20">
        <f t="shared" si="1"/>
        <v>0</v>
      </c>
    </row>
    <row r="52" spans="1:10" ht="15.75" thickBot="1" x14ac:dyDescent="0.3">
      <c r="A52" s="8" t="s">
        <v>46</v>
      </c>
      <c r="B52" s="9"/>
      <c r="C52">
        <f>SUM(C43:C51)</f>
        <v>59</v>
      </c>
      <c r="D52" s="11"/>
      <c r="E52" s="8"/>
      <c r="F52" s="24"/>
      <c r="G52" s="7"/>
      <c r="H52" s="32" t="s">
        <v>47</v>
      </c>
      <c r="I52" s="30">
        <v>0</v>
      </c>
      <c r="J52" s="20">
        <f t="shared" si="1"/>
        <v>0</v>
      </c>
    </row>
    <row r="53" spans="1:10" x14ac:dyDescent="0.25">
      <c r="A53" s="8"/>
      <c r="B53" s="9"/>
      <c r="D53" s="11"/>
      <c r="E53" s="33" t="s">
        <v>48</v>
      </c>
      <c r="F53" s="13"/>
      <c r="G53" s="7"/>
      <c r="H53" s="32" t="s">
        <v>49</v>
      </c>
      <c r="I53" s="30">
        <v>1</v>
      </c>
      <c r="J53" s="20">
        <f t="shared" si="1"/>
        <v>5.5555555555555552E-2</v>
      </c>
    </row>
    <row r="54" spans="1:10" x14ac:dyDescent="0.25">
      <c r="A54" s="8" t="s">
        <v>50</v>
      </c>
      <c r="B54" s="9"/>
      <c r="D54" s="11"/>
      <c r="E54" s="28" t="s">
        <v>51</v>
      </c>
      <c r="F54" s="20">
        <f>C55/C$65</f>
        <v>0.19047619047619047</v>
      </c>
      <c r="G54" s="7"/>
      <c r="H54" s="27" t="s">
        <v>52</v>
      </c>
      <c r="I54" s="30">
        <v>0</v>
      </c>
      <c r="J54" s="20">
        <f t="shared" si="1"/>
        <v>0</v>
      </c>
    </row>
    <row r="55" spans="1:10" x14ac:dyDescent="0.25">
      <c r="A55" s="8" t="s">
        <v>51</v>
      </c>
      <c r="B55" s="9"/>
      <c r="C55">
        <v>12</v>
      </c>
      <c r="D55" s="11"/>
      <c r="E55" s="28" t="s">
        <v>53</v>
      </c>
      <c r="F55" s="20">
        <f t="shared" ref="F55:F63" si="2">C56/C$65</f>
        <v>0.34920634920634919</v>
      </c>
      <c r="G55" s="7"/>
      <c r="H55" s="32" t="s">
        <v>54</v>
      </c>
      <c r="I55" s="30">
        <v>1</v>
      </c>
      <c r="J55" s="20">
        <f t="shared" si="1"/>
        <v>5.5555555555555552E-2</v>
      </c>
    </row>
    <row r="56" spans="1:10" ht="15.75" thickBot="1" x14ac:dyDescent="0.3">
      <c r="A56" s="8" t="s">
        <v>53</v>
      </c>
      <c r="B56" s="9"/>
      <c r="C56">
        <v>22</v>
      </c>
      <c r="D56" s="11"/>
      <c r="E56" s="28" t="s">
        <v>55</v>
      </c>
      <c r="F56" s="20">
        <f t="shared" si="2"/>
        <v>0.34920634920634919</v>
      </c>
      <c r="G56" s="7"/>
      <c r="H56" s="34" t="s">
        <v>56</v>
      </c>
      <c r="I56" s="25">
        <v>0</v>
      </c>
      <c r="J56" s="26">
        <f t="shared" si="1"/>
        <v>0</v>
      </c>
    </row>
    <row r="57" spans="1:10" x14ac:dyDescent="0.25">
      <c r="A57" s="8" t="s">
        <v>55</v>
      </c>
      <c r="B57" s="9"/>
      <c r="C57">
        <v>22</v>
      </c>
      <c r="D57" s="11"/>
      <c r="E57" s="28" t="s">
        <v>57</v>
      </c>
      <c r="F57" s="20">
        <f t="shared" si="2"/>
        <v>4.7619047619047616E-2</v>
      </c>
      <c r="G57" s="7"/>
    </row>
    <row r="58" spans="1:10" ht="15.75" thickBot="1" x14ac:dyDescent="0.3">
      <c r="A58" s="8" t="s">
        <v>57</v>
      </c>
      <c r="B58" s="9"/>
      <c r="C58">
        <v>3</v>
      </c>
      <c r="D58" s="11"/>
      <c r="E58" s="28" t="s">
        <v>58</v>
      </c>
      <c r="F58" s="20">
        <f t="shared" si="2"/>
        <v>0</v>
      </c>
      <c r="G58" s="11" t="s">
        <v>19</v>
      </c>
    </row>
    <row r="59" spans="1:10" x14ac:dyDescent="0.25">
      <c r="A59" s="8" t="s">
        <v>58</v>
      </c>
      <c r="B59" s="9"/>
      <c r="C59">
        <v>0</v>
      </c>
      <c r="D59" s="11"/>
      <c r="E59" s="28" t="s">
        <v>59</v>
      </c>
      <c r="F59" s="20">
        <f t="shared" si="2"/>
        <v>0</v>
      </c>
      <c r="G59" s="7"/>
      <c r="H59" s="14" t="s">
        <v>36</v>
      </c>
      <c r="I59" s="15">
        <v>8</v>
      </c>
      <c r="J59" s="16"/>
    </row>
    <row r="60" spans="1:10" x14ac:dyDescent="0.25">
      <c r="A60" s="8" t="s">
        <v>59</v>
      </c>
      <c r="B60" s="9"/>
      <c r="C60">
        <v>0</v>
      </c>
      <c r="D60" s="11"/>
      <c r="E60" s="28" t="s">
        <v>60</v>
      </c>
      <c r="F60" s="20">
        <f t="shared" si="2"/>
        <v>0</v>
      </c>
      <c r="G60" s="7"/>
      <c r="H60" s="27" t="s">
        <v>61</v>
      </c>
      <c r="I60" s="30">
        <v>1</v>
      </c>
      <c r="J60" s="20">
        <f>I60/I$59</f>
        <v>0.125</v>
      </c>
    </row>
    <row r="61" spans="1:10" ht="15.75" thickBot="1" x14ac:dyDescent="0.3">
      <c r="A61" s="8" t="s">
        <v>60</v>
      </c>
      <c r="B61" s="9"/>
      <c r="C61">
        <v>0</v>
      </c>
      <c r="D61" s="11"/>
      <c r="E61" s="28" t="s">
        <v>62</v>
      </c>
      <c r="F61" s="20">
        <f t="shared" si="2"/>
        <v>0</v>
      </c>
      <c r="G61" s="7"/>
      <c r="H61" s="29" t="s">
        <v>63</v>
      </c>
      <c r="I61" s="25">
        <v>7</v>
      </c>
      <c r="J61" s="26">
        <f>I61/I$59</f>
        <v>0.875</v>
      </c>
    </row>
    <row r="62" spans="1:10" x14ac:dyDescent="0.25">
      <c r="A62" s="8" t="s">
        <v>62</v>
      </c>
      <c r="B62" s="9"/>
      <c r="C62">
        <v>0</v>
      </c>
      <c r="D62" s="11"/>
      <c r="E62" s="28" t="s">
        <v>64</v>
      </c>
      <c r="F62" s="20">
        <f t="shared" si="2"/>
        <v>0</v>
      </c>
      <c r="G62" s="7"/>
    </row>
    <row r="63" spans="1:10" ht="15.75" thickBot="1" x14ac:dyDescent="0.3">
      <c r="A63" s="8" t="s">
        <v>64</v>
      </c>
      <c r="B63" s="9"/>
      <c r="C63">
        <v>0</v>
      </c>
      <c r="D63" s="11"/>
      <c r="E63" s="31" t="s">
        <v>65</v>
      </c>
      <c r="F63" s="26">
        <f t="shared" si="2"/>
        <v>6.3492063492063489E-2</v>
      </c>
      <c r="G63" s="7"/>
    </row>
    <row r="64" spans="1:10" ht="15.75" thickBot="1" x14ac:dyDescent="0.3">
      <c r="A64" s="8" t="s">
        <v>65</v>
      </c>
      <c r="B64" s="9"/>
      <c r="C64">
        <v>4</v>
      </c>
      <c r="D64" s="11"/>
      <c r="E64" s="8"/>
      <c r="F64" s="24"/>
      <c r="G64" s="7"/>
      <c r="H64" s="14" t="s">
        <v>66</v>
      </c>
      <c r="I64" s="15">
        <v>0</v>
      </c>
      <c r="J64" s="16"/>
    </row>
    <row r="65" spans="1:10" x14ac:dyDescent="0.25">
      <c r="A65" s="8" t="s">
        <v>67</v>
      </c>
      <c r="B65" s="9"/>
      <c r="C65">
        <f>SUM(C55:C64)</f>
        <v>63</v>
      </c>
      <c r="D65" s="11"/>
      <c r="E65" s="33" t="s">
        <v>68</v>
      </c>
      <c r="F65" s="13"/>
      <c r="G65" s="7"/>
      <c r="H65" s="27" t="s">
        <v>69</v>
      </c>
      <c r="I65" s="30">
        <v>0</v>
      </c>
      <c r="J65" s="20">
        <v>0</v>
      </c>
    </row>
    <row r="66" spans="1:10" x14ac:dyDescent="0.25">
      <c r="A66" s="8"/>
      <c r="B66" s="9"/>
      <c r="D66" s="11"/>
      <c r="E66" s="35" t="s">
        <v>70</v>
      </c>
      <c r="F66" s="20">
        <f>C67/C$37</f>
        <v>0.7142857142857143</v>
      </c>
      <c r="G66" s="7"/>
      <c r="H66" s="27" t="s">
        <v>71</v>
      </c>
      <c r="I66" s="30">
        <v>0</v>
      </c>
      <c r="J66" s="20">
        <v>0</v>
      </c>
    </row>
    <row r="67" spans="1:10" x14ac:dyDescent="0.25">
      <c r="A67" s="8" t="s">
        <v>72</v>
      </c>
      <c r="B67" s="9"/>
      <c r="C67">
        <v>20</v>
      </c>
      <c r="D67" s="11"/>
      <c r="E67" s="35" t="s">
        <v>73</v>
      </c>
      <c r="F67" s="20">
        <f>C68/C$37</f>
        <v>7.1428571428571425E-2</v>
      </c>
      <c r="G67" s="7"/>
      <c r="H67" s="27" t="s">
        <v>74</v>
      </c>
      <c r="I67" s="30">
        <v>0</v>
      </c>
      <c r="J67" s="20">
        <v>0</v>
      </c>
    </row>
    <row r="68" spans="1:10" ht="15.75" thickBot="1" x14ac:dyDescent="0.3">
      <c r="A68" s="8" t="s">
        <v>75</v>
      </c>
      <c r="B68" s="9"/>
      <c r="C68">
        <v>2</v>
      </c>
      <c r="D68" s="11"/>
      <c r="E68" s="36" t="s">
        <v>76</v>
      </c>
      <c r="F68" s="26">
        <f>C69/C$37</f>
        <v>0.21428571428571427</v>
      </c>
      <c r="G68" s="7"/>
      <c r="H68" s="27" t="s">
        <v>77</v>
      </c>
      <c r="I68" s="30">
        <v>0</v>
      </c>
      <c r="J68" s="20">
        <v>0</v>
      </c>
    </row>
    <row r="69" spans="1:10" ht="15.75" thickBot="1" x14ac:dyDescent="0.3">
      <c r="A69" s="8" t="s">
        <v>78</v>
      </c>
      <c r="B69" s="9"/>
      <c r="C69">
        <v>6</v>
      </c>
      <c r="D69" s="11"/>
      <c r="E69" s="37"/>
      <c r="F69" s="24"/>
      <c r="G69" s="11" t="s">
        <v>19</v>
      </c>
      <c r="H69" s="27" t="s">
        <v>79</v>
      </c>
      <c r="I69" s="30">
        <v>0</v>
      </c>
      <c r="J69" s="20">
        <v>0</v>
      </c>
    </row>
    <row r="70" spans="1:10" ht="15.75" thickBot="1" x14ac:dyDescent="0.3">
      <c r="A70" s="8"/>
      <c r="B70" s="9"/>
      <c r="D70" s="11"/>
      <c r="E70" s="38" t="s">
        <v>20</v>
      </c>
      <c r="F70" s="13"/>
      <c r="G70" s="7"/>
      <c r="H70" s="29" t="s">
        <v>80</v>
      </c>
      <c r="I70" s="25">
        <v>0</v>
      </c>
      <c r="J70" s="26">
        <v>0</v>
      </c>
    </row>
    <row r="71" spans="1:10" x14ac:dyDescent="0.25">
      <c r="A71" s="8" t="s">
        <v>20</v>
      </c>
      <c r="B71" s="9"/>
      <c r="D71" s="11"/>
      <c r="E71" s="28" t="s">
        <v>81</v>
      </c>
      <c r="F71" s="20">
        <f>C72/C$37</f>
        <v>0.5714285714285714</v>
      </c>
      <c r="G71" s="7"/>
    </row>
    <row r="72" spans="1:10" ht="15.75" thickBot="1" x14ac:dyDescent="0.3">
      <c r="A72" s="8" t="s">
        <v>82</v>
      </c>
      <c r="B72" s="9"/>
      <c r="C72">
        <v>16</v>
      </c>
      <c r="D72" s="11"/>
      <c r="E72" s="31" t="s">
        <v>83</v>
      </c>
      <c r="F72" s="26">
        <f>C73/C$37</f>
        <v>0.42857142857142855</v>
      </c>
      <c r="G72" s="7"/>
    </row>
    <row r="73" spans="1:10" ht="15.75" thickBot="1" x14ac:dyDescent="0.3">
      <c r="A73" s="8" t="s">
        <v>83</v>
      </c>
      <c r="B73" s="9"/>
      <c r="C73">
        <v>12</v>
      </c>
      <c r="D73" s="11"/>
      <c r="E73" s="39"/>
      <c r="F73" s="40"/>
      <c r="G73" s="7"/>
      <c r="H73" s="14" t="s">
        <v>40</v>
      </c>
      <c r="I73" s="15">
        <v>9</v>
      </c>
      <c r="J73" s="16"/>
    </row>
    <row r="74" spans="1:10" x14ac:dyDescent="0.25">
      <c r="A74" s="8"/>
      <c r="B74" s="9"/>
      <c r="D74" s="11"/>
      <c r="E74" s="14" t="s">
        <v>84</v>
      </c>
      <c r="F74" s="13"/>
      <c r="G74" s="7"/>
      <c r="H74" s="27" t="s">
        <v>85</v>
      </c>
      <c r="I74" s="30">
        <v>0</v>
      </c>
      <c r="J74" s="20">
        <f>I74/I$73</f>
        <v>0</v>
      </c>
    </row>
    <row r="75" spans="1:10" x14ac:dyDescent="0.25">
      <c r="A75" t="s">
        <v>84</v>
      </c>
      <c r="D75" s="11"/>
      <c r="E75" s="27" t="s">
        <v>86</v>
      </c>
      <c r="F75" s="20">
        <f>C76/C$73</f>
        <v>0.66666666666666663</v>
      </c>
      <c r="G75" s="7"/>
      <c r="H75" s="27" t="s">
        <v>87</v>
      </c>
      <c r="I75" s="19">
        <v>4</v>
      </c>
      <c r="J75" s="20">
        <f>I75/I$73</f>
        <v>0.44444444444444442</v>
      </c>
    </row>
    <row r="76" spans="1:10" ht="15.75" thickBot="1" x14ac:dyDescent="0.3">
      <c r="A76" t="s">
        <v>86</v>
      </c>
      <c r="C76">
        <v>8</v>
      </c>
      <c r="D76" s="11"/>
      <c r="E76" s="29" t="s">
        <v>88</v>
      </c>
      <c r="F76" s="26">
        <f>C77/C$73</f>
        <v>0.25</v>
      </c>
      <c r="G76" s="7"/>
      <c r="H76" s="27" t="s">
        <v>89</v>
      </c>
      <c r="I76" s="19">
        <v>0</v>
      </c>
      <c r="J76" s="20">
        <f>I76/I$73</f>
        <v>0</v>
      </c>
    </row>
    <row r="77" spans="1:10" ht="15.75" thickBot="1" x14ac:dyDescent="0.3">
      <c r="A77" t="s">
        <v>88</v>
      </c>
      <c r="C77">
        <v>3</v>
      </c>
      <c r="D77" s="11"/>
      <c r="E77" s="39"/>
      <c r="F77" s="40"/>
      <c r="G77" s="7"/>
      <c r="H77" s="27" t="s">
        <v>90</v>
      </c>
      <c r="I77" s="30">
        <v>2</v>
      </c>
      <c r="J77" s="20">
        <f>I77/I$73</f>
        <v>0.22222222222222221</v>
      </c>
    </row>
    <row r="78" spans="1:10" ht="15.75" thickBot="1" x14ac:dyDescent="0.3">
      <c r="A78" s="8"/>
      <c r="B78" s="9"/>
      <c r="D78" s="11"/>
      <c r="E78" s="33" t="s">
        <v>91</v>
      </c>
      <c r="F78" s="13"/>
      <c r="G78" s="7"/>
      <c r="H78" s="29" t="s">
        <v>92</v>
      </c>
      <c r="I78" s="25">
        <v>3</v>
      </c>
      <c r="J78" s="26">
        <f>I78/I$73</f>
        <v>0.33333333333333331</v>
      </c>
    </row>
    <row r="79" spans="1:10" x14ac:dyDescent="0.25">
      <c r="A79" s="8" t="s">
        <v>93</v>
      </c>
      <c r="B79" s="9"/>
      <c r="D79" s="11"/>
      <c r="E79" s="28" t="s">
        <v>94</v>
      </c>
      <c r="F79" s="20">
        <f t="shared" ref="F79:F84" si="3">C80/C$37</f>
        <v>0.5</v>
      </c>
      <c r="G79" s="7"/>
    </row>
    <row r="80" spans="1:10" ht="15.75" thickBot="1" x14ac:dyDescent="0.3">
      <c r="A80" s="8" t="s">
        <v>94</v>
      </c>
      <c r="B80" s="9"/>
      <c r="C80">
        <v>14</v>
      </c>
      <c r="D80" s="11"/>
      <c r="E80" s="17" t="s">
        <v>95</v>
      </c>
      <c r="F80" s="20">
        <f t="shared" si="3"/>
        <v>7.1428571428571425E-2</v>
      </c>
      <c r="G80" s="7"/>
    </row>
    <row r="81" spans="1:10" x14ac:dyDescent="0.25">
      <c r="A81" s="8" t="s">
        <v>95</v>
      </c>
      <c r="B81" s="9"/>
      <c r="C81">
        <v>2</v>
      </c>
      <c r="D81" s="11"/>
      <c r="E81" s="17" t="s">
        <v>96</v>
      </c>
      <c r="F81" s="20">
        <f t="shared" si="3"/>
        <v>0</v>
      </c>
      <c r="G81" s="7"/>
      <c r="H81" s="14" t="s">
        <v>44</v>
      </c>
      <c r="I81" s="15">
        <v>9</v>
      </c>
      <c r="J81" s="16"/>
    </row>
    <row r="82" spans="1:10" x14ac:dyDescent="0.25">
      <c r="A82" s="8" t="s">
        <v>96</v>
      </c>
      <c r="B82" s="9"/>
      <c r="C82">
        <v>0</v>
      </c>
      <c r="D82" s="11"/>
      <c r="E82" s="17" t="s">
        <v>97</v>
      </c>
      <c r="F82" s="20">
        <f t="shared" si="3"/>
        <v>0</v>
      </c>
      <c r="G82" s="7"/>
      <c r="H82" s="27" t="s">
        <v>98</v>
      </c>
      <c r="I82" s="19">
        <v>2</v>
      </c>
      <c r="J82" s="20">
        <f>I82/I$81</f>
        <v>0.22222222222222221</v>
      </c>
    </row>
    <row r="83" spans="1:10" x14ac:dyDescent="0.25">
      <c r="A83" s="8" t="s">
        <v>97</v>
      </c>
      <c r="B83" s="9"/>
      <c r="C83">
        <v>0</v>
      </c>
      <c r="D83" s="11"/>
      <c r="E83" s="17" t="s">
        <v>99</v>
      </c>
      <c r="F83" s="20">
        <f t="shared" si="3"/>
        <v>0.42857142857142855</v>
      </c>
      <c r="G83" s="7"/>
      <c r="H83" s="27" t="s">
        <v>100</v>
      </c>
      <c r="I83" s="30">
        <v>2</v>
      </c>
      <c r="J83" s="20">
        <f t="shared" ref="J83:J91" si="4">I83/I$81</f>
        <v>0.22222222222222221</v>
      </c>
    </row>
    <row r="84" spans="1:10" ht="15.75" thickBot="1" x14ac:dyDescent="0.3">
      <c r="A84" s="8" t="s">
        <v>99</v>
      </c>
      <c r="B84" s="9"/>
      <c r="C84">
        <v>12</v>
      </c>
      <c r="D84" s="11"/>
      <c r="E84" s="22" t="s">
        <v>44</v>
      </c>
      <c r="F84" s="26">
        <f t="shared" si="3"/>
        <v>0</v>
      </c>
      <c r="G84" s="7"/>
      <c r="H84" s="27" t="s">
        <v>101</v>
      </c>
      <c r="I84" s="30">
        <v>0</v>
      </c>
      <c r="J84" s="20">
        <f t="shared" si="4"/>
        <v>0</v>
      </c>
    </row>
    <row r="85" spans="1:10" ht="15.75" thickBot="1" x14ac:dyDescent="0.3">
      <c r="A85" s="8" t="s">
        <v>44</v>
      </c>
      <c r="B85" s="9"/>
      <c r="C85">
        <v>0</v>
      </c>
      <c r="D85" s="11"/>
      <c r="E85" s="11"/>
      <c r="F85" s="24"/>
      <c r="G85" s="7"/>
      <c r="H85" s="27" t="s">
        <v>102</v>
      </c>
      <c r="I85" s="30">
        <v>0</v>
      </c>
      <c r="J85" s="20">
        <f t="shared" si="4"/>
        <v>0</v>
      </c>
    </row>
    <row r="86" spans="1:10" x14ac:dyDescent="0.25">
      <c r="A86" s="8"/>
      <c r="B86" s="9"/>
      <c r="D86" s="11"/>
      <c r="E86" s="12" t="s">
        <v>103</v>
      </c>
      <c r="F86" s="13"/>
      <c r="G86" s="7"/>
      <c r="H86" s="27" t="s">
        <v>104</v>
      </c>
      <c r="I86" s="30">
        <v>3</v>
      </c>
      <c r="J86" s="20">
        <f t="shared" si="4"/>
        <v>0.33333333333333331</v>
      </c>
    </row>
    <row r="87" spans="1:10" x14ac:dyDescent="0.25">
      <c r="A87" s="8" t="s">
        <v>105</v>
      </c>
      <c r="B87" s="9"/>
      <c r="D87" s="11"/>
      <c r="E87" s="17" t="s">
        <v>106</v>
      </c>
      <c r="F87" s="20">
        <f>C88/C$37</f>
        <v>0.6071428571428571</v>
      </c>
      <c r="G87" s="7"/>
      <c r="H87" s="41" t="s">
        <v>107</v>
      </c>
      <c r="I87" s="30">
        <v>0</v>
      </c>
      <c r="J87" s="20">
        <f t="shared" si="4"/>
        <v>0</v>
      </c>
    </row>
    <row r="88" spans="1:10" x14ac:dyDescent="0.25">
      <c r="A88" s="8" t="s">
        <v>106</v>
      </c>
      <c r="B88" s="9"/>
      <c r="C88">
        <v>17</v>
      </c>
      <c r="D88" s="11"/>
      <c r="E88" s="17" t="s">
        <v>108</v>
      </c>
      <c r="F88" s="20">
        <f>C89/C$37</f>
        <v>0.2857142857142857</v>
      </c>
      <c r="G88" s="7"/>
      <c r="H88" s="41" t="s">
        <v>109</v>
      </c>
      <c r="I88" s="30">
        <v>0</v>
      </c>
      <c r="J88" s="20">
        <f t="shared" si="4"/>
        <v>0</v>
      </c>
    </row>
    <row r="89" spans="1:10" x14ac:dyDescent="0.25">
      <c r="A89" s="8" t="s">
        <v>108</v>
      </c>
      <c r="B89" s="9"/>
      <c r="C89">
        <v>8</v>
      </c>
      <c r="D89" s="11"/>
      <c r="E89" s="17" t="s">
        <v>110</v>
      </c>
      <c r="F89" s="20">
        <f>C90/C$37</f>
        <v>3.5714285714285712E-2</v>
      </c>
      <c r="G89" s="7"/>
      <c r="H89" s="41" t="s">
        <v>111</v>
      </c>
      <c r="I89" s="30">
        <v>1</v>
      </c>
      <c r="J89" s="20">
        <f t="shared" si="4"/>
        <v>0.1111111111111111</v>
      </c>
    </row>
    <row r="90" spans="1:10" x14ac:dyDescent="0.25">
      <c r="A90" s="8" t="s">
        <v>110</v>
      </c>
      <c r="B90" s="9"/>
      <c r="C90">
        <v>1</v>
      </c>
      <c r="D90" s="11"/>
      <c r="E90" s="17" t="s">
        <v>112</v>
      </c>
      <c r="F90" s="20">
        <f>C91/C$37</f>
        <v>3.5714285714285712E-2</v>
      </c>
      <c r="G90" s="7"/>
      <c r="H90" s="41" t="s">
        <v>113</v>
      </c>
      <c r="I90" s="30">
        <v>0</v>
      </c>
      <c r="J90" s="20">
        <f t="shared" si="4"/>
        <v>0</v>
      </c>
    </row>
    <row r="91" spans="1:10" ht="15.75" thickBot="1" x14ac:dyDescent="0.3">
      <c r="A91" s="8" t="s">
        <v>112</v>
      </c>
      <c r="B91" s="9"/>
      <c r="C91">
        <v>1</v>
      </c>
      <c r="E91" s="22" t="s">
        <v>114</v>
      </c>
      <c r="F91" s="26">
        <f>C92/C$37</f>
        <v>0</v>
      </c>
      <c r="H91" s="42" t="s">
        <v>115</v>
      </c>
      <c r="I91" s="25">
        <v>1</v>
      </c>
      <c r="J91" s="26">
        <f t="shared" si="4"/>
        <v>0.1111111111111111</v>
      </c>
    </row>
    <row r="92" spans="1:10" x14ac:dyDescent="0.25">
      <c r="A92" s="8" t="s">
        <v>114</v>
      </c>
      <c r="B92" s="9"/>
      <c r="C92">
        <v>0</v>
      </c>
      <c r="E92" s="11"/>
      <c r="F92" s="24"/>
    </row>
    <row r="93" spans="1:10" x14ac:dyDescent="0.25">
      <c r="A93" s="8" t="s">
        <v>116</v>
      </c>
      <c r="B93" s="9"/>
      <c r="C93">
        <v>1</v>
      </c>
      <c r="E93" s="11"/>
      <c r="F93" s="24"/>
    </row>
    <row r="94" spans="1:10" x14ac:dyDescent="0.25">
      <c r="A94" s="8"/>
      <c r="B94" s="9"/>
      <c r="E94" s="11"/>
      <c r="F94" s="24"/>
    </row>
    <row r="95" spans="1:10" ht="15.75" thickBot="1" x14ac:dyDescent="0.3"/>
    <row r="96" spans="1:10" x14ac:dyDescent="0.25">
      <c r="A96" s="43" t="s">
        <v>117</v>
      </c>
      <c r="B96" s="82">
        <f>SUM(B97:B100)</f>
        <v>79101.97</v>
      </c>
    </row>
    <row r="97" spans="1:2" x14ac:dyDescent="0.25">
      <c r="A97" s="44" t="s">
        <v>94</v>
      </c>
      <c r="B97" s="45">
        <f>SUM(F3:F5,F7,F9:F12,F14,F17,F19:F20,F23,F26)</f>
        <v>43958.89</v>
      </c>
    </row>
    <row r="98" spans="1:2" x14ac:dyDescent="0.25">
      <c r="A98" s="44" t="s">
        <v>118</v>
      </c>
      <c r="B98" s="87">
        <f>SUM(F6,F8,F15:F16,F18,F21:F22,F24:F25,F27:F29)</f>
        <v>32888.58</v>
      </c>
    </row>
    <row r="99" spans="1:2" x14ac:dyDescent="0.25">
      <c r="A99" s="44" t="s">
        <v>119</v>
      </c>
      <c r="B99" s="45">
        <f>SUM(F2,F13)</f>
        <v>2254.5</v>
      </c>
    </row>
    <row r="100" spans="1:2" x14ac:dyDescent="0.25">
      <c r="A100" s="44" t="s">
        <v>44</v>
      </c>
      <c r="B100" s="46">
        <v>0</v>
      </c>
    </row>
    <row r="101" spans="1:2" ht="15.75" thickBot="1" x14ac:dyDescent="0.3">
      <c r="A101" s="47"/>
      <c r="B101" s="48"/>
    </row>
  </sheetData>
  <mergeCells count="1">
    <mergeCell ref="A33:F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topLeftCell="A58" workbookViewId="0">
      <selection activeCell="B113" sqref="B113"/>
    </sheetView>
  </sheetViews>
  <sheetFormatPr baseColWidth="10" defaultRowHeight="15" x14ac:dyDescent="0.25"/>
  <cols>
    <col min="2" max="2" width="35.28515625" customWidth="1"/>
    <col min="3" max="3" width="12.5703125" customWidth="1"/>
    <col min="4" max="4" width="5.7109375" customWidth="1"/>
    <col min="5" max="5" width="7" customWidth="1"/>
    <col min="6" max="6" width="13.140625" customWidth="1"/>
    <col min="7" max="7" width="45.710937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45811</v>
      </c>
      <c r="B2" t="s">
        <v>1013</v>
      </c>
      <c r="C2" t="s">
        <v>106</v>
      </c>
      <c r="D2" t="s">
        <v>22</v>
      </c>
      <c r="E2" t="s">
        <v>190</v>
      </c>
      <c r="F2" s="59">
        <v>1746</v>
      </c>
      <c r="G2" t="s">
        <v>1016</v>
      </c>
      <c r="H2" t="s">
        <v>1027</v>
      </c>
    </row>
    <row r="3" spans="1:8" x14ac:dyDescent="0.25">
      <c r="A3" s="9">
        <v>45811</v>
      </c>
      <c r="B3" t="s">
        <v>1018</v>
      </c>
      <c r="C3" t="s">
        <v>106</v>
      </c>
      <c r="D3" t="s">
        <v>22</v>
      </c>
      <c r="E3" t="s">
        <v>190</v>
      </c>
      <c r="F3" s="59">
        <v>1070</v>
      </c>
      <c r="G3" t="s">
        <v>1021</v>
      </c>
      <c r="H3" t="s">
        <v>223</v>
      </c>
    </row>
    <row r="4" spans="1:8" x14ac:dyDescent="0.25">
      <c r="A4" s="9">
        <v>45811</v>
      </c>
      <c r="B4" t="s">
        <v>1023</v>
      </c>
      <c r="C4" t="s">
        <v>106</v>
      </c>
      <c r="D4" t="s">
        <v>22</v>
      </c>
      <c r="E4" t="s">
        <v>119</v>
      </c>
      <c r="F4" s="59">
        <v>2064</v>
      </c>
      <c r="G4" t="s">
        <v>1026</v>
      </c>
      <c r="H4" t="s">
        <v>295</v>
      </c>
    </row>
    <row r="5" spans="1:8" x14ac:dyDescent="0.25">
      <c r="A5" s="9">
        <v>45812</v>
      </c>
      <c r="B5" t="s">
        <v>1039</v>
      </c>
      <c r="C5" t="s">
        <v>106</v>
      </c>
      <c r="D5" t="s">
        <v>22</v>
      </c>
      <c r="E5" t="s">
        <v>118</v>
      </c>
      <c r="F5" s="59">
        <v>1407</v>
      </c>
      <c r="G5" t="s">
        <v>1042</v>
      </c>
      <c r="H5" t="s">
        <v>215</v>
      </c>
    </row>
    <row r="6" spans="1:8" x14ac:dyDescent="0.25">
      <c r="A6" s="9">
        <v>45813</v>
      </c>
      <c r="B6" t="s">
        <v>1044</v>
      </c>
      <c r="C6" t="s">
        <v>640</v>
      </c>
      <c r="D6" t="s">
        <v>22</v>
      </c>
      <c r="E6" t="s">
        <v>118</v>
      </c>
      <c r="F6" s="59">
        <v>1135</v>
      </c>
      <c r="G6" t="s">
        <v>306</v>
      </c>
      <c r="H6" t="s">
        <v>223</v>
      </c>
    </row>
    <row r="7" spans="1:8" x14ac:dyDescent="0.25">
      <c r="A7" s="9">
        <v>45814</v>
      </c>
      <c r="B7" t="s">
        <v>1048</v>
      </c>
      <c r="C7" t="s">
        <v>638</v>
      </c>
      <c r="D7" t="s">
        <v>22</v>
      </c>
      <c r="E7" t="s">
        <v>118</v>
      </c>
      <c r="F7" s="59">
        <v>1525</v>
      </c>
      <c r="G7" t="s">
        <v>1051</v>
      </c>
      <c r="H7" t="s">
        <v>1063</v>
      </c>
    </row>
    <row r="8" spans="1:8" x14ac:dyDescent="0.25">
      <c r="A8" s="9">
        <v>45814</v>
      </c>
      <c r="B8" t="s">
        <v>1054</v>
      </c>
      <c r="C8" t="s">
        <v>638</v>
      </c>
      <c r="D8" t="s">
        <v>22</v>
      </c>
      <c r="E8" t="s">
        <v>190</v>
      </c>
      <c r="F8" s="59">
        <v>2403.6</v>
      </c>
      <c r="G8" t="s">
        <v>464</v>
      </c>
      <c r="H8" t="s">
        <v>1068</v>
      </c>
    </row>
    <row r="9" spans="1:8" x14ac:dyDescent="0.25">
      <c r="A9" s="9">
        <v>45815</v>
      </c>
      <c r="B9" t="s">
        <v>1058</v>
      </c>
      <c r="C9" t="s">
        <v>106</v>
      </c>
      <c r="D9" t="s">
        <v>22</v>
      </c>
      <c r="E9" t="s">
        <v>119</v>
      </c>
      <c r="F9" s="59">
        <v>1843.2</v>
      </c>
      <c r="G9" t="s">
        <v>1061</v>
      </c>
      <c r="H9" t="s">
        <v>1062</v>
      </c>
    </row>
    <row r="10" spans="1:8" x14ac:dyDescent="0.25">
      <c r="A10" s="9">
        <v>45817</v>
      </c>
      <c r="B10" t="s">
        <v>1064</v>
      </c>
      <c r="C10" t="s">
        <v>638</v>
      </c>
      <c r="D10" t="s">
        <v>22</v>
      </c>
      <c r="E10" t="s">
        <v>119</v>
      </c>
      <c r="F10" s="59">
        <v>1837</v>
      </c>
      <c r="G10" t="s">
        <v>1067</v>
      </c>
      <c r="H10" t="s">
        <v>295</v>
      </c>
    </row>
    <row r="11" spans="1:8" x14ac:dyDescent="0.25">
      <c r="A11" s="9">
        <v>45818</v>
      </c>
      <c r="B11" t="s">
        <v>1071</v>
      </c>
      <c r="C11" t="s">
        <v>106</v>
      </c>
      <c r="D11" t="s">
        <v>22</v>
      </c>
      <c r="E11" t="s">
        <v>190</v>
      </c>
      <c r="F11" s="59">
        <v>1300</v>
      </c>
      <c r="G11" t="s">
        <v>1074</v>
      </c>
      <c r="H11" t="s">
        <v>1075</v>
      </c>
    </row>
    <row r="12" spans="1:8" x14ac:dyDescent="0.25">
      <c r="A12" s="9">
        <v>45820</v>
      </c>
      <c r="B12" t="s">
        <v>1004</v>
      </c>
      <c r="C12" t="s">
        <v>106</v>
      </c>
      <c r="D12" t="s">
        <v>22</v>
      </c>
      <c r="E12" t="s">
        <v>118</v>
      </c>
      <c r="F12" s="59">
        <v>1465</v>
      </c>
      <c r="G12" t="s">
        <v>1077</v>
      </c>
      <c r="H12" t="s">
        <v>1089</v>
      </c>
    </row>
    <row r="13" spans="1:8" x14ac:dyDescent="0.25">
      <c r="A13" s="9">
        <v>45820</v>
      </c>
      <c r="B13" t="s">
        <v>1079</v>
      </c>
      <c r="C13" t="s">
        <v>106</v>
      </c>
      <c r="D13" t="s">
        <v>22</v>
      </c>
      <c r="E13" t="s">
        <v>190</v>
      </c>
      <c r="F13" s="59">
        <v>3309</v>
      </c>
      <c r="G13" t="s">
        <v>1082</v>
      </c>
      <c r="H13" t="s">
        <v>1083</v>
      </c>
    </row>
    <row r="14" spans="1:8" x14ac:dyDescent="0.25">
      <c r="A14" s="9">
        <v>45817</v>
      </c>
      <c r="B14" t="s">
        <v>1085</v>
      </c>
      <c r="C14" t="s">
        <v>640</v>
      </c>
      <c r="D14" t="s">
        <v>22</v>
      </c>
      <c r="E14" t="s">
        <v>190</v>
      </c>
      <c r="F14" s="59">
        <v>3881.32</v>
      </c>
      <c r="G14" t="s">
        <v>1591</v>
      </c>
      <c r="H14" t="s">
        <v>1090</v>
      </c>
    </row>
    <row r="15" spans="1:8" x14ac:dyDescent="0.25">
      <c r="A15" s="9">
        <v>45822</v>
      </c>
      <c r="B15" t="s">
        <v>1092</v>
      </c>
      <c r="C15" t="s">
        <v>106</v>
      </c>
      <c r="D15" t="s">
        <v>22</v>
      </c>
      <c r="E15" t="s">
        <v>190</v>
      </c>
      <c r="F15" s="59">
        <v>2400</v>
      </c>
      <c r="G15" t="s">
        <v>1095</v>
      </c>
      <c r="H15" t="s">
        <v>1099</v>
      </c>
    </row>
    <row r="16" spans="1:8" x14ac:dyDescent="0.25">
      <c r="A16" s="9">
        <v>45822</v>
      </c>
      <c r="B16" t="s">
        <v>329</v>
      </c>
      <c r="C16" t="s">
        <v>106</v>
      </c>
      <c r="D16" t="s">
        <v>24</v>
      </c>
      <c r="E16" t="s">
        <v>118</v>
      </c>
      <c r="F16" s="59">
        <v>2096.44</v>
      </c>
      <c r="G16" t="s">
        <v>1098</v>
      </c>
      <c r="H16" t="s">
        <v>1100</v>
      </c>
    </row>
    <row r="17" spans="1:8" x14ac:dyDescent="0.25">
      <c r="A17" s="9">
        <v>45813</v>
      </c>
      <c r="B17" t="s">
        <v>1102</v>
      </c>
      <c r="C17" t="s">
        <v>106</v>
      </c>
      <c r="D17" t="s">
        <v>22</v>
      </c>
      <c r="E17" t="s">
        <v>118</v>
      </c>
      <c r="F17" s="59">
        <v>4063.15</v>
      </c>
      <c r="G17" t="s">
        <v>1105</v>
      </c>
      <c r="H17" t="s">
        <v>316</v>
      </c>
    </row>
    <row r="18" spans="1:8" x14ac:dyDescent="0.25">
      <c r="A18" s="9">
        <v>45814</v>
      </c>
      <c r="B18" t="s">
        <v>1107</v>
      </c>
      <c r="C18" t="s">
        <v>106</v>
      </c>
      <c r="D18" t="s">
        <v>22</v>
      </c>
      <c r="E18" t="s">
        <v>118</v>
      </c>
      <c r="F18" s="59">
        <v>4525.55</v>
      </c>
      <c r="G18" t="s">
        <v>1110</v>
      </c>
      <c r="H18" t="s">
        <v>223</v>
      </c>
    </row>
    <row r="19" spans="1:8" x14ac:dyDescent="0.25">
      <c r="A19" s="9">
        <v>45825</v>
      </c>
      <c r="B19" t="s">
        <v>1112</v>
      </c>
      <c r="C19" t="s">
        <v>639</v>
      </c>
      <c r="D19" t="s">
        <v>22</v>
      </c>
      <c r="E19" t="s">
        <v>190</v>
      </c>
      <c r="F19" s="59">
        <v>935</v>
      </c>
      <c r="G19" t="s">
        <v>375</v>
      </c>
      <c r="H19" t="s">
        <v>1115</v>
      </c>
    </row>
    <row r="20" spans="1:8" x14ac:dyDescent="0.25">
      <c r="A20" s="9">
        <v>45826</v>
      </c>
      <c r="B20" t="s">
        <v>1117</v>
      </c>
      <c r="C20" t="s">
        <v>640</v>
      </c>
      <c r="D20" t="s">
        <v>22</v>
      </c>
      <c r="E20" t="s">
        <v>118</v>
      </c>
      <c r="F20" s="59">
        <v>3581</v>
      </c>
      <c r="G20" t="s">
        <v>1120</v>
      </c>
      <c r="H20" t="s">
        <v>1131</v>
      </c>
    </row>
    <row r="21" spans="1:8" x14ac:dyDescent="0.25">
      <c r="A21" s="9">
        <v>45826</v>
      </c>
      <c r="B21" t="s">
        <v>1122</v>
      </c>
      <c r="C21" t="s">
        <v>106</v>
      </c>
      <c r="D21" t="s">
        <v>22</v>
      </c>
      <c r="E21" t="s">
        <v>190</v>
      </c>
      <c r="F21" s="59">
        <v>1627</v>
      </c>
      <c r="G21" t="s">
        <v>1125</v>
      </c>
      <c r="H21" t="s">
        <v>316</v>
      </c>
    </row>
    <row r="22" spans="1:8" x14ac:dyDescent="0.25">
      <c r="A22" s="9">
        <v>45819</v>
      </c>
      <c r="B22" t="s">
        <v>1127</v>
      </c>
      <c r="C22" t="s">
        <v>106</v>
      </c>
      <c r="D22" t="s">
        <v>22</v>
      </c>
      <c r="E22" t="s">
        <v>190</v>
      </c>
      <c r="F22" s="59">
        <v>1284</v>
      </c>
      <c r="G22" t="s">
        <v>1130</v>
      </c>
      <c r="H22" t="s">
        <v>1008</v>
      </c>
    </row>
    <row r="23" spans="1:8" x14ac:dyDescent="0.25">
      <c r="A23" s="9">
        <v>45827</v>
      </c>
      <c r="B23" t="s">
        <v>1133</v>
      </c>
      <c r="C23" t="s">
        <v>106</v>
      </c>
      <c r="D23" t="s">
        <v>22</v>
      </c>
      <c r="E23" t="s">
        <v>190</v>
      </c>
      <c r="F23" s="59">
        <v>2374</v>
      </c>
      <c r="G23" t="s">
        <v>1136</v>
      </c>
      <c r="H23" t="s">
        <v>1137</v>
      </c>
    </row>
    <row r="24" spans="1:8" x14ac:dyDescent="0.25">
      <c r="A24" s="9">
        <v>45821</v>
      </c>
      <c r="B24" t="s">
        <v>1139</v>
      </c>
      <c r="C24" t="s">
        <v>106</v>
      </c>
      <c r="D24" t="s">
        <v>22</v>
      </c>
      <c r="E24" t="s">
        <v>118</v>
      </c>
      <c r="F24" s="59">
        <v>3909.82</v>
      </c>
      <c r="G24" t="s">
        <v>1142</v>
      </c>
      <c r="H24" t="s">
        <v>223</v>
      </c>
    </row>
    <row r="25" spans="1:8" x14ac:dyDescent="0.25">
      <c r="A25" s="9">
        <v>45829</v>
      </c>
      <c r="B25" t="s">
        <v>1107</v>
      </c>
      <c r="C25" t="s">
        <v>106</v>
      </c>
      <c r="D25" t="s">
        <v>22</v>
      </c>
      <c r="E25" t="s">
        <v>118</v>
      </c>
      <c r="F25" s="59">
        <v>700</v>
      </c>
      <c r="G25" t="s">
        <v>1144</v>
      </c>
      <c r="H25" t="s">
        <v>1148</v>
      </c>
    </row>
    <row r="26" spans="1:8" x14ac:dyDescent="0.25">
      <c r="A26" s="9">
        <v>45829</v>
      </c>
      <c r="B26" t="s">
        <v>329</v>
      </c>
      <c r="C26" t="s">
        <v>106</v>
      </c>
      <c r="D26" t="s">
        <v>24</v>
      </c>
      <c r="E26" t="s">
        <v>118</v>
      </c>
      <c r="F26" s="59">
        <v>5021.26</v>
      </c>
      <c r="G26" t="s">
        <v>1146</v>
      </c>
      <c r="H26" t="s">
        <v>1147</v>
      </c>
    </row>
    <row r="27" spans="1:8" x14ac:dyDescent="0.25">
      <c r="A27" s="9">
        <v>45833</v>
      </c>
      <c r="B27" t="s">
        <v>1150</v>
      </c>
      <c r="C27" t="s">
        <v>106</v>
      </c>
      <c r="D27" t="s">
        <v>22</v>
      </c>
      <c r="E27" t="s">
        <v>1151</v>
      </c>
      <c r="F27" s="59">
        <v>1899</v>
      </c>
      <c r="G27" t="s">
        <v>1152</v>
      </c>
      <c r="H27" t="s">
        <v>1153</v>
      </c>
    </row>
    <row r="28" spans="1:8" x14ac:dyDescent="0.25">
      <c r="A28" s="9">
        <v>45833</v>
      </c>
      <c r="B28" t="s">
        <v>1155</v>
      </c>
      <c r="C28" t="s">
        <v>106</v>
      </c>
      <c r="D28" t="s">
        <v>22</v>
      </c>
      <c r="E28" t="s">
        <v>190</v>
      </c>
      <c r="F28" s="59">
        <v>2670</v>
      </c>
      <c r="G28" t="s">
        <v>1592</v>
      </c>
      <c r="H28" t="s">
        <v>1159</v>
      </c>
    </row>
    <row r="29" spans="1:8" x14ac:dyDescent="0.25">
      <c r="A29" s="9">
        <v>45835</v>
      </c>
      <c r="B29" t="s">
        <v>1161</v>
      </c>
      <c r="C29" t="s">
        <v>106</v>
      </c>
      <c r="D29" t="s">
        <v>22</v>
      </c>
      <c r="E29" t="s">
        <v>213</v>
      </c>
      <c r="F29" s="59">
        <v>1335.6</v>
      </c>
      <c r="G29" t="s">
        <v>1164</v>
      </c>
      <c r="H29" t="s">
        <v>1212</v>
      </c>
    </row>
    <row r="30" spans="1:8" x14ac:dyDescent="0.25">
      <c r="A30" s="9">
        <v>45835</v>
      </c>
      <c r="B30" t="s">
        <v>1166</v>
      </c>
      <c r="C30" t="s">
        <v>106</v>
      </c>
      <c r="D30" t="s">
        <v>22</v>
      </c>
      <c r="E30" t="s">
        <v>1151</v>
      </c>
      <c r="F30" s="59">
        <v>2322.1999999999998</v>
      </c>
      <c r="G30" t="s">
        <v>1169</v>
      </c>
      <c r="H30" t="s">
        <v>192</v>
      </c>
    </row>
    <row r="31" spans="1:8" x14ac:dyDescent="0.25">
      <c r="A31" s="9">
        <v>45836</v>
      </c>
      <c r="B31" t="s">
        <v>1171</v>
      </c>
      <c r="C31" t="s">
        <v>106</v>
      </c>
      <c r="D31" t="s">
        <v>22</v>
      </c>
      <c r="E31" t="s">
        <v>118</v>
      </c>
      <c r="F31" s="59">
        <v>1987</v>
      </c>
      <c r="G31" t="s">
        <v>1174</v>
      </c>
      <c r="H31" t="s">
        <v>388</v>
      </c>
    </row>
    <row r="32" spans="1:8" x14ac:dyDescent="0.25">
      <c r="A32" s="9">
        <v>45836</v>
      </c>
      <c r="B32" t="s">
        <v>1176</v>
      </c>
      <c r="C32" t="s">
        <v>106</v>
      </c>
      <c r="D32" t="s">
        <v>24</v>
      </c>
      <c r="E32" t="s">
        <v>118</v>
      </c>
      <c r="F32" s="59">
        <v>1914</v>
      </c>
      <c r="G32" t="s">
        <v>203</v>
      </c>
      <c r="H32" t="s">
        <v>1587</v>
      </c>
    </row>
    <row r="33" spans="1:9" x14ac:dyDescent="0.25">
      <c r="A33" s="9">
        <v>45831</v>
      </c>
      <c r="B33" t="s">
        <v>1179</v>
      </c>
      <c r="C33" t="s">
        <v>106</v>
      </c>
      <c r="D33" t="s">
        <v>22</v>
      </c>
      <c r="E33" t="s">
        <v>118</v>
      </c>
      <c r="F33" s="59">
        <v>1440</v>
      </c>
      <c r="G33" t="s">
        <v>912</v>
      </c>
      <c r="H33" t="s">
        <v>1181</v>
      </c>
    </row>
    <row r="34" spans="1:9" x14ac:dyDescent="0.25">
      <c r="A34" s="9">
        <v>45838</v>
      </c>
      <c r="B34" t="s">
        <v>1184</v>
      </c>
      <c r="C34" t="s">
        <v>106</v>
      </c>
      <c r="D34" t="s">
        <v>22</v>
      </c>
      <c r="E34" t="s">
        <v>190</v>
      </c>
      <c r="F34" s="59">
        <v>985</v>
      </c>
      <c r="G34" t="s">
        <v>936</v>
      </c>
      <c r="H34" t="s">
        <v>1588</v>
      </c>
    </row>
    <row r="35" spans="1:9" x14ac:dyDescent="0.25">
      <c r="A35" s="9">
        <v>45838</v>
      </c>
      <c r="B35" t="s">
        <v>1188</v>
      </c>
      <c r="C35" t="s">
        <v>106</v>
      </c>
      <c r="D35" t="s">
        <v>22</v>
      </c>
      <c r="E35" t="s">
        <v>190</v>
      </c>
      <c r="F35" s="59">
        <v>2370</v>
      </c>
      <c r="G35" t="s">
        <v>1191</v>
      </c>
      <c r="H35" t="s">
        <v>215</v>
      </c>
    </row>
    <row r="36" spans="1:9" x14ac:dyDescent="0.25">
      <c r="A36" s="9">
        <v>45838</v>
      </c>
      <c r="B36" t="s">
        <v>383</v>
      </c>
      <c r="C36" t="s">
        <v>106</v>
      </c>
      <c r="D36" t="s">
        <v>24</v>
      </c>
      <c r="E36" t="s">
        <v>118</v>
      </c>
      <c r="F36" s="59">
        <v>1276</v>
      </c>
      <c r="G36" t="s">
        <v>386</v>
      </c>
      <c r="H36" t="s">
        <v>192</v>
      </c>
    </row>
    <row r="37" spans="1:9" x14ac:dyDescent="0.25">
      <c r="A37" s="9">
        <v>45835</v>
      </c>
      <c r="B37" t="s">
        <v>1166</v>
      </c>
      <c r="C37" t="s">
        <v>106</v>
      </c>
      <c r="D37" t="s">
        <v>22</v>
      </c>
      <c r="E37" t="s">
        <v>118</v>
      </c>
      <c r="F37" s="59">
        <v>682.28</v>
      </c>
      <c r="G37" t="s">
        <v>1204</v>
      </c>
      <c r="H37" t="s">
        <v>296</v>
      </c>
    </row>
    <row r="38" spans="1:9" x14ac:dyDescent="0.25">
      <c r="A38" s="9">
        <v>45831</v>
      </c>
      <c r="B38" t="s">
        <v>1207</v>
      </c>
      <c r="C38" t="s">
        <v>638</v>
      </c>
      <c r="D38" t="s">
        <v>22</v>
      </c>
      <c r="E38" t="s">
        <v>118</v>
      </c>
      <c r="F38" s="59">
        <v>3193.15</v>
      </c>
      <c r="G38" t="s">
        <v>1211</v>
      </c>
      <c r="H38" t="s">
        <v>1589</v>
      </c>
    </row>
    <row r="39" spans="1:9" x14ac:dyDescent="0.25">
      <c r="A39" s="9">
        <v>45835</v>
      </c>
      <c r="B39" t="s">
        <v>1161</v>
      </c>
      <c r="C39" t="s">
        <v>106</v>
      </c>
      <c r="D39" t="s">
        <v>22</v>
      </c>
      <c r="E39" t="s">
        <v>118</v>
      </c>
      <c r="F39" s="59">
        <v>998.64</v>
      </c>
      <c r="G39" t="s">
        <v>1226</v>
      </c>
      <c r="H39" t="s">
        <v>1227</v>
      </c>
    </row>
    <row r="40" spans="1:9" x14ac:dyDescent="0.25">
      <c r="A40" s="9">
        <v>45829</v>
      </c>
      <c r="B40" t="s">
        <v>1243</v>
      </c>
      <c r="C40" t="s">
        <v>106</v>
      </c>
      <c r="D40" t="s">
        <v>22</v>
      </c>
      <c r="E40" t="s">
        <v>118</v>
      </c>
      <c r="F40" s="59">
        <v>2435.3200000000002</v>
      </c>
      <c r="G40" t="s">
        <v>1247</v>
      </c>
      <c r="H40" t="s">
        <v>223</v>
      </c>
    </row>
    <row r="41" spans="1:9" x14ac:dyDescent="0.25">
      <c r="A41" s="9">
        <v>45828</v>
      </c>
      <c r="B41" t="s">
        <v>564</v>
      </c>
      <c r="C41" t="s">
        <v>106</v>
      </c>
      <c r="D41" t="s">
        <v>22</v>
      </c>
      <c r="E41" t="s">
        <v>118</v>
      </c>
      <c r="F41" s="59">
        <v>2518.1</v>
      </c>
      <c r="G41" t="s">
        <v>1265</v>
      </c>
      <c r="H41" t="s">
        <v>223</v>
      </c>
      <c r="I41" t="s">
        <v>19</v>
      </c>
    </row>
    <row r="42" spans="1:9" x14ac:dyDescent="0.25">
      <c r="A42" s="9">
        <v>45812</v>
      </c>
      <c r="B42" t="s">
        <v>1282</v>
      </c>
      <c r="C42" t="s">
        <v>106</v>
      </c>
      <c r="D42" t="s">
        <v>22</v>
      </c>
      <c r="E42" t="s">
        <v>119</v>
      </c>
      <c r="F42" s="59">
        <v>5803.2</v>
      </c>
      <c r="G42" t="s">
        <v>390</v>
      </c>
      <c r="H42" t="s">
        <v>223</v>
      </c>
    </row>
    <row r="43" spans="1:9" x14ac:dyDescent="0.25">
      <c r="A43" s="9">
        <v>45824</v>
      </c>
      <c r="B43" t="s">
        <v>1576</v>
      </c>
      <c r="C43" t="s">
        <v>106</v>
      </c>
      <c r="D43" t="s">
        <v>22</v>
      </c>
      <c r="E43" t="s">
        <v>118</v>
      </c>
      <c r="F43" s="59">
        <v>1842</v>
      </c>
      <c r="G43" t="s">
        <v>344</v>
      </c>
      <c r="H43" t="s">
        <v>1590</v>
      </c>
    </row>
    <row r="44" spans="1:9" x14ac:dyDescent="0.25">
      <c r="A44" s="9">
        <v>45812</v>
      </c>
      <c r="B44" t="s">
        <v>281</v>
      </c>
      <c r="C44" t="s">
        <v>638</v>
      </c>
      <c r="D44" t="s">
        <v>24</v>
      </c>
      <c r="E44" t="s">
        <v>118</v>
      </c>
      <c r="F44" s="59">
        <v>4618</v>
      </c>
      <c r="G44" t="s">
        <v>1580</v>
      </c>
      <c r="H44" t="s">
        <v>229</v>
      </c>
    </row>
    <row r="45" spans="1:9" x14ac:dyDescent="0.25">
      <c r="A45" s="9">
        <v>45819</v>
      </c>
      <c r="B45" t="s">
        <v>1582</v>
      </c>
      <c r="C45" t="s">
        <v>638</v>
      </c>
      <c r="D45" t="s">
        <v>22</v>
      </c>
      <c r="E45" t="s">
        <v>190</v>
      </c>
      <c r="F45" s="59">
        <v>1034</v>
      </c>
      <c r="G45" t="s">
        <v>1585</v>
      </c>
      <c r="H45" t="s">
        <v>1586</v>
      </c>
    </row>
    <row r="49" spans="1:10" ht="15.75" thickBot="1" x14ac:dyDescent="0.3">
      <c r="A49" s="99" t="s">
        <v>8</v>
      </c>
      <c r="B49" s="99"/>
      <c r="C49" s="99"/>
      <c r="D49" s="99"/>
      <c r="E49" s="99"/>
      <c r="F49" s="99"/>
      <c r="G49" s="7"/>
    </row>
    <row r="50" spans="1:10" x14ac:dyDescent="0.25">
      <c r="A50" s="8" t="s">
        <v>9</v>
      </c>
      <c r="B50" s="9"/>
      <c r="C50" s="10">
        <f>SUM(F2:F48)</f>
        <v>98826.83</v>
      </c>
      <c r="D50" s="11"/>
      <c r="E50" s="12" t="s">
        <v>10</v>
      </c>
      <c r="F50" s="13"/>
      <c r="G50" s="7"/>
      <c r="H50" s="14" t="s">
        <v>11</v>
      </c>
      <c r="I50" s="15">
        <v>34</v>
      </c>
      <c r="J50" s="16"/>
    </row>
    <row r="51" spans="1:10" x14ac:dyDescent="0.25">
      <c r="A51" s="8"/>
      <c r="B51" s="9"/>
      <c r="C51" s="10"/>
      <c r="D51" s="11"/>
      <c r="E51" s="17" t="s">
        <v>12</v>
      </c>
      <c r="F51" s="18">
        <v>98826.83</v>
      </c>
      <c r="G51" s="7"/>
      <c r="H51" s="17" t="s">
        <v>13</v>
      </c>
      <c r="I51" s="19">
        <v>6</v>
      </c>
      <c r="J51" s="20">
        <f>I51/I$50</f>
        <v>0.17647058823529413</v>
      </c>
    </row>
    <row r="52" spans="1:10" ht="15.75" thickBot="1" x14ac:dyDescent="0.3">
      <c r="A52" s="8" t="s">
        <v>14</v>
      </c>
      <c r="B52" s="9"/>
      <c r="C52" s="21">
        <v>25</v>
      </c>
      <c r="D52" s="11"/>
      <c r="E52" s="22" t="s">
        <v>15</v>
      </c>
      <c r="F52" s="23">
        <f>C50/C52</f>
        <v>3953.0732000000003</v>
      </c>
      <c r="G52" s="7"/>
      <c r="H52" s="17" t="s">
        <v>16</v>
      </c>
      <c r="I52" s="19">
        <v>14</v>
      </c>
      <c r="J52" s="20">
        <f>I52/I$50</f>
        <v>0.41176470588235292</v>
      </c>
    </row>
    <row r="53" spans="1:10" ht="15.75" thickBot="1" x14ac:dyDescent="0.3">
      <c r="A53" s="8" t="s">
        <v>17</v>
      </c>
      <c r="B53" s="9"/>
      <c r="C53">
        <v>45</v>
      </c>
      <c r="D53" s="11"/>
      <c r="E53" s="11"/>
      <c r="F53" s="24"/>
      <c r="G53" s="7"/>
      <c r="H53" s="22" t="s">
        <v>18</v>
      </c>
      <c r="I53" s="25">
        <v>14</v>
      </c>
      <c r="J53" s="26">
        <f>I53/I$50</f>
        <v>0.41176470588235292</v>
      </c>
    </row>
    <row r="54" spans="1:10" x14ac:dyDescent="0.25">
      <c r="A54" s="8"/>
      <c r="B54" s="9"/>
      <c r="D54" s="11" t="s">
        <v>19</v>
      </c>
      <c r="E54" s="12" t="s">
        <v>20</v>
      </c>
      <c r="F54" s="13"/>
      <c r="G54" s="7"/>
    </row>
    <row r="55" spans="1:10" ht="15.75" thickBot="1" x14ac:dyDescent="0.3">
      <c r="A55" s="8" t="s">
        <v>21</v>
      </c>
      <c r="B55" s="9"/>
      <c r="C55">
        <v>40</v>
      </c>
      <c r="D55" s="11" t="s">
        <v>19</v>
      </c>
      <c r="E55" s="17" t="s">
        <v>22</v>
      </c>
      <c r="F55" s="20">
        <f>C55/C$53</f>
        <v>0.88888888888888884</v>
      </c>
      <c r="G55" s="7"/>
    </row>
    <row r="56" spans="1:10" ht="15.75" thickBot="1" x14ac:dyDescent="0.3">
      <c r="A56" s="8" t="s">
        <v>23</v>
      </c>
      <c r="B56" s="9"/>
      <c r="C56">
        <v>5</v>
      </c>
      <c r="D56" s="11"/>
      <c r="E56" s="22" t="s">
        <v>24</v>
      </c>
      <c r="F56" s="26">
        <f>C56/C$53</f>
        <v>0.1111111111111111</v>
      </c>
      <c r="G56" s="7"/>
      <c r="H56" s="14" t="s">
        <v>25</v>
      </c>
      <c r="I56" s="15">
        <v>26</v>
      </c>
      <c r="J56" s="16"/>
    </row>
    <row r="57" spans="1:10" ht="15.75" thickBot="1" x14ac:dyDescent="0.3">
      <c r="A57" s="8"/>
      <c r="B57" s="9"/>
      <c r="D57" s="11"/>
      <c r="E57" s="11"/>
      <c r="F57" s="24"/>
      <c r="G57" s="7"/>
      <c r="H57" s="27" t="s">
        <v>26</v>
      </c>
      <c r="I57" s="30">
        <v>12</v>
      </c>
      <c r="J57" s="20">
        <f>I57/I$56</f>
        <v>0.46153846153846156</v>
      </c>
    </row>
    <row r="58" spans="1:10" x14ac:dyDescent="0.25">
      <c r="A58" s="8" t="s">
        <v>27</v>
      </c>
      <c r="B58" s="9"/>
      <c r="D58" s="11"/>
      <c r="E58" s="12" t="s">
        <v>28</v>
      </c>
      <c r="F58" s="13"/>
      <c r="G58" s="7"/>
      <c r="H58" s="27" t="s">
        <v>29</v>
      </c>
      <c r="I58" s="30">
        <v>9</v>
      </c>
      <c r="J58" s="20">
        <f>I58/I$56</f>
        <v>0.34615384615384615</v>
      </c>
    </row>
    <row r="59" spans="1:10" ht="15.75" thickBot="1" x14ac:dyDescent="0.3">
      <c r="A59" s="8" t="s">
        <v>30</v>
      </c>
      <c r="B59" s="9"/>
      <c r="C59">
        <v>2</v>
      </c>
      <c r="D59" s="11"/>
      <c r="E59" s="28" t="s">
        <v>30</v>
      </c>
      <c r="F59" s="20">
        <f>C59/C$68</f>
        <v>2.197802197802198E-2</v>
      </c>
      <c r="G59" s="7"/>
      <c r="H59" s="29" t="s">
        <v>31</v>
      </c>
      <c r="I59" s="25">
        <v>5</v>
      </c>
      <c r="J59" s="26">
        <f>I59/I$56</f>
        <v>0.19230769230769232</v>
      </c>
    </row>
    <row r="60" spans="1:10" ht="15.75" thickBot="1" x14ac:dyDescent="0.3">
      <c r="A60" s="8" t="s">
        <v>11</v>
      </c>
      <c r="B60" s="9"/>
      <c r="C60">
        <v>34</v>
      </c>
      <c r="D60" s="11"/>
      <c r="E60" s="28" t="s">
        <v>11</v>
      </c>
      <c r="F60" s="20">
        <f t="shared" ref="F60:F67" si="0">C60/C$68</f>
        <v>0.37362637362637363</v>
      </c>
      <c r="G60" s="7"/>
    </row>
    <row r="61" spans="1:10" x14ac:dyDescent="0.25">
      <c r="A61" s="8" t="s">
        <v>32</v>
      </c>
      <c r="B61" s="9"/>
      <c r="C61">
        <v>26</v>
      </c>
      <c r="D61" s="11"/>
      <c r="E61" s="28" t="s">
        <v>32</v>
      </c>
      <c r="F61" s="20">
        <f t="shared" si="0"/>
        <v>0.2857142857142857</v>
      </c>
      <c r="G61" s="11" t="s">
        <v>19</v>
      </c>
      <c r="H61" s="14" t="s">
        <v>33</v>
      </c>
      <c r="I61" s="15">
        <v>1</v>
      </c>
      <c r="J61" s="13">
        <f t="shared" ref="J61:J72" si="1">I61/I$56</f>
        <v>3.8461538461538464E-2</v>
      </c>
    </row>
    <row r="62" spans="1:10" x14ac:dyDescent="0.25">
      <c r="A62" s="8" t="s">
        <v>34</v>
      </c>
      <c r="B62" s="9"/>
      <c r="C62">
        <v>1</v>
      </c>
      <c r="D62" s="11"/>
      <c r="E62" s="28" t="s">
        <v>34</v>
      </c>
      <c r="F62" s="20">
        <f t="shared" si="0"/>
        <v>1.098901098901099E-2</v>
      </c>
      <c r="G62" s="7"/>
      <c r="H62" s="27" t="s">
        <v>35</v>
      </c>
      <c r="I62" s="30">
        <v>3</v>
      </c>
      <c r="J62" s="20">
        <f t="shared" si="1"/>
        <v>0.11538461538461539</v>
      </c>
    </row>
    <row r="63" spans="1:10" x14ac:dyDescent="0.25">
      <c r="A63" s="8" t="s">
        <v>36</v>
      </c>
      <c r="B63" s="9"/>
      <c r="C63">
        <v>7</v>
      </c>
      <c r="D63" s="11"/>
      <c r="E63" s="28" t="s">
        <v>36</v>
      </c>
      <c r="F63" s="20">
        <f t="shared" si="0"/>
        <v>7.6923076923076927E-2</v>
      </c>
      <c r="G63" s="7"/>
      <c r="H63" s="27" t="s">
        <v>37</v>
      </c>
      <c r="I63" s="30">
        <v>1</v>
      </c>
      <c r="J63" s="20">
        <f t="shared" si="1"/>
        <v>3.8461538461538464E-2</v>
      </c>
    </row>
    <row r="64" spans="1:10" x14ac:dyDescent="0.25">
      <c r="A64" s="8" t="s">
        <v>38</v>
      </c>
      <c r="B64" s="9"/>
      <c r="C64">
        <v>1</v>
      </c>
      <c r="D64" s="11"/>
      <c r="E64" s="28" t="s">
        <v>38</v>
      </c>
      <c r="F64" s="20">
        <f t="shared" si="0"/>
        <v>1.098901098901099E-2</v>
      </c>
      <c r="G64" s="7"/>
      <c r="H64" s="27" t="s">
        <v>39</v>
      </c>
      <c r="I64" s="30">
        <v>3</v>
      </c>
      <c r="J64" s="20">
        <f t="shared" si="1"/>
        <v>0.11538461538461539</v>
      </c>
    </row>
    <row r="65" spans="1:10" x14ac:dyDescent="0.25">
      <c r="A65" s="8" t="s">
        <v>40</v>
      </c>
      <c r="B65" s="9"/>
      <c r="C65">
        <v>7</v>
      </c>
      <c r="D65" s="11"/>
      <c r="E65" s="28" t="s">
        <v>40</v>
      </c>
      <c r="F65" s="20">
        <f t="shared" si="0"/>
        <v>7.6923076923076927E-2</v>
      </c>
      <c r="G65" s="7"/>
      <c r="H65" s="27" t="s">
        <v>41</v>
      </c>
      <c r="I65" s="30">
        <v>9</v>
      </c>
      <c r="J65" s="20">
        <f t="shared" si="1"/>
        <v>0.34615384615384615</v>
      </c>
    </row>
    <row r="66" spans="1:10" x14ac:dyDescent="0.25">
      <c r="A66" s="8" t="s">
        <v>42</v>
      </c>
      <c r="B66" s="9"/>
      <c r="C66">
        <v>0</v>
      </c>
      <c r="D66" s="11"/>
      <c r="E66" s="28" t="s">
        <v>42</v>
      </c>
      <c r="F66" s="20">
        <f t="shared" si="0"/>
        <v>0</v>
      </c>
      <c r="G66" s="7"/>
      <c r="H66" s="27" t="s">
        <v>43</v>
      </c>
      <c r="I66" s="30">
        <v>7</v>
      </c>
      <c r="J66" s="20">
        <f t="shared" si="1"/>
        <v>0.26923076923076922</v>
      </c>
    </row>
    <row r="67" spans="1:10" ht="15.75" thickBot="1" x14ac:dyDescent="0.3">
      <c r="A67" s="8" t="s">
        <v>44</v>
      </c>
      <c r="B67" s="9"/>
      <c r="C67">
        <v>13</v>
      </c>
      <c r="D67" s="11"/>
      <c r="E67" s="31" t="s">
        <v>44</v>
      </c>
      <c r="F67" s="26">
        <f t="shared" si="0"/>
        <v>0.14285714285714285</v>
      </c>
      <c r="G67" s="11" t="s">
        <v>19</v>
      </c>
      <c r="H67" s="32" t="s">
        <v>45</v>
      </c>
      <c r="I67" s="30">
        <v>2</v>
      </c>
      <c r="J67" s="20">
        <f t="shared" si="1"/>
        <v>7.6923076923076927E-2</v>
      </c>
    </row>
    <row r="68" spans="1:10" ht="15.75" thickBot="1" x14ac:dyDescent="0.3">
      <c r="A68" s="8" t="s">
        <v>46</v>
      </c>
      <c r="B68" s="9"/>
      <c r="C68">
        <f>SUM(C59:C67)</f>
        <v>91</v>
      </c>
      <c r="D68" s="11"/>
      <c r="E68" s="8"/>
      <c r="F68" s="24"/>
      <c r="G68" s="7"/>
      <c r="H68" s="32" t="s">
        <v>47</v>
      </c>
      <c r="I68" s="30">
        <v>0</v>
      </c>
      <c r="J68" s="20">
        <f t="shared" si="1"/>
        <v>0</v>
      </c>
    </row>
    <row r="69" spans="1:10" x14ac:dyDescent="0.25">
      <c r="A69" s="8"/>
      <c r="B69" s="9"/>
      <c r="D69" s="11"/>
      <c r="E69" s="33" t="s">
        <v>48</v>
      </c>
      <c r="F69" s="13"/>
      <c r="G69" s="7"/>
      <c r="H69" s="32" t="s">
        <v>49</v>
      </c>
      <c r="I69" s="30">
        <v>0</v>
      </c>
      <c r="J69" s="20">
        <f t="shared" si="1"/>
        <v>0</v>
      </c>
    </row>
    <row r="70" spans="1:10" x14ac:dyDescent="0.25">
      <c r="A70" s="8" t="s">
        <v>50</v>
      </c>
      <c r="B70" s="9"/>
      <c r="D70" s="11"/>
      <c r="E70" s="28" t="s">
        <v>51</v>
      </c>
      <c r="F70" s="20">
        <f>C71/C$81</f>
        <v>0.60194174757281549</v>
      </c>
      <c r="G70" s="7"/>
      <c r="H70" s="27" t="s">
        <v>52</v>
      </c>
      <c r="I70" s="30">
        <v>0</v>
      </c>
      <c r="J70" s="20">
        <f t="shared" si="1"/>
        <v>0</v>
      </c>
    </row>
    <row r="71" spans="1:10" x14ac:dyDescent="0.25">
      <c r="A71" s="8" t="s">
        <v>51</v>
      </c>
      <c r="B71" s="9"/>
      <c r="C71">
        <v>62</v>
      </c>
      <c r="D71" s="11"/>
      <c r="E71" s="28" t="s">
        <v>53</v>
      </c>
      <c r="F71" s="20">
        <f t="shared" ref="F71:F79" si="2">C72/C$81</f>
        <v>5.8252427184466021E-2</v>
      </c>
      <c r="G71" s="7"/>
      <c r="H71" s="32" t="s">
        <v>54</v>
      </c>
      <c r="I71" s="30">
        <v>0</v>
      </c>
      <c r="J71" s="20">
        <f t="shared" si="1"/>
        <v>0</v>
      </c>
    </row>
    <row r="72" spans="1:10" ht="15.75" thickBot="1" x14ac:dyDescent="0.3">
      <c r="A72" s="8" t="s">
        <v>53</v>
      </c>
      <c r="B72" s="9"/>
      <c r="C72">
        <v>6</v>
      </c>
      <c r="D72" s="11"/>
      <c r="E72" s="28" t="s">
        <v>55</v>
      </c>
      <c r="F72" s="20">
        <f t="shared" si="2"/>
        <v>7.7669902912621352E-2</v>
      </c>
      <c r="G72" s="7"/>
      <c r="H72" s="34" t="s">
        <v>56</v>
      </c>
      <c r="I72" s="25">
        <v>0</v>
      </c>
      <c r="J72" s="26">
        <f t="shared" si="1"/>
        <v>0</v>
      </c>
    </row>
    <row r="73" spans="1:10" x14ac:dyDescent="0.25">
      <c r="A73" s="8" t="s">
        <v>55</v>
      </c>
      <c r="B73" s="9"/>
      <c r="C73">
        <v>8</v>
      </c>
      <c r="D73" s="11"/>
      <c r="E73" s="28" t="s">
        <v>57</v>
      </c>
      <c r="F73" s="20">
        <f t="shared" si="2"/>
        <v>9.7087378640776698E-2</v>
      </c>
      <c r="G73" s="7"/>
    </row>
    <row r="74" spans="1:10" ht="15.75" thickBot="1" x14ac:dyDescent="0.3">
      <c r="A74" s="8" t="s">
        <v>57</v>
      </c>
      <c r="B74" s="9"/>
      <c r="C74">
        <v>10</v>
      </c>
      <c r="D74" s="11"/>
      <c r="E74" s="28" t="s">
        <v>58</v>
      </c>
      <c r="F74" s="20">
        <f t="shared" si="2"/>
        <v>3.8834951456310676E-2</v>
      </c>
      <c r="G74" s="11" t="s">
        <v>19</v>
      </c>
    </row>
    <row r="75" spans="1:10" x14ac:dyDescent="0.25">
      <c r="A75" s="8" t="s">
        <v>58</v>
      </c>
      <c r="B75" s="9"/>
      <c r="C75">
        <v>4</v>
      </c>
      <c r="D75" s="11"/>
      <c r="E75" s="28" t="s">
        <v>59</v>
      </c>
      <c r="F75" s="20">
        <f t="shared" si="2"/>
        <v>0</v>
      </c>
      <c r="G75" s="7"/>
      <c r="H75" s="14" t="s">
        <v>36</v>
      </c>
      <c r="I75" s="15">
        <v>7</v>
      </c>
      <c r="J75" s="16"/>
    </row>
    <row r="76" spans="1:10" x14ac:dyDescent="0.25">
      <c r="A76" s="8" t="s">
        <v>59</v>
      </c>
      <c r="B76" s="9"/>
      <c r="C76">
        <v>0</v>
      </c>
      <c r="D76" s="11"/>
      <c r="E76" s="28" t="s">
        <v>60</v>
      </c>
      <c r="F76" s="20">
        <f t="shared" si="2"/>
        <v>0</v>
      </c>
      <c r="G76" s="7"/>
      <c r="H76" s="27" t="s">
        <v>61</v>
      </c>
      <c r="I76" s="19">
        <v>0</v>
      </c>
      <c r="J76" s="20">
        <f>I76/I$75</f>
        <v>0</v>
      </c>
    </row>
    <row r="77" spans="1:10" ht="15.75" thickBot="1" x14ac:dyDescent="0.3">
      <c r="A77" s="8" t="s">
        <v>60</v>
      </c>
      <c r="B77" s="9"/>
      <c r="C77">
        <v>0</v>
      </c>
      <c r="D77" s="11"/>
      <c r="E77" s="28" t="s">
        <v>62</v>
      </c>
      <c r="F77" s="20">
        <f t="shared" si="2"/>
        <v>0</v>
      </c>
      <c r="G77" s="7"/>
      <c r="H77" s="29" t="s">
        <v>63</v>
      </c>
      <c r="I77" s="25">
        <v>7</v>
      </c>
      <c r="J77" s="26">
        <f>I77/I$75</f>
        <v>1</v>
      </c>
    </row>
    <row r="78" spans="1:10" x14ac:dyDescent="0.25">
      <c r="A78" s="8" t="s">
        <v>62</v>
      </c>
      <c r="B78" s="9"/>
      <c r="C78">
        <v>0</v>
      </c>
      <c r="D78" s="11"/>
      <c r="E78" s="28" t="s">
        <v>64</v>
      </c>
      <c r="F78" s="20">
        <f t="shared" si="2"/>
        <v>1.9417475728155338E-2</v>
      </c>
      <c r="G78" s="7"/>
    </row>
    <row r="79" spans="1:10" ht="15.75" thickBot="1" x14ac:dyDescent="0.3">
      <c r="A79" s="8" t="s">
        <v>64</v>
      </c>
      <c r="B79" s="9"/>
      <c r="C79">
        <v>2</v>
      </c>
      <c r="D79" s="11"/>
      <c r="E79" s="31" t="s">
        <v>65</v>
      </c>
      <c r="F79" s="26">
        <f t="shared" si="2"/>
        <v>0.10679611650485436</v>
      </c>
      <c r="G79" s="7"/>
    </row>
    <row r="80" spans="1:10" ht="15.75" thickBot="1" x14ac:dyDescent="0.3">
      <c r="A80" s="8" t="s">
        <v>65</v>
      </c>
      <c r="B80" s="9"/>
      <c r="C80">
        <v>11</v>
      </c>
      <c r="D80" s="11"/>
      <c r="E80" s="8"/>
      <c r="F80" s="24"/>
      <c r="G80" s="7"/>
      <c r="H80" s="14" t="s">
        <v>66</v>
      </c>
      <c r="I80" s="15">
        <v>1</v>
      </c>
      <c r="J80" s="16"/>
    </row>
    <row r="81" spans="1:10" x14ac:dyDescent="0.25">
      <c r="A81" s="8" t="s">
        <v>67</v>
      </c>
      <c r="B81" s="9"/>
      <c r="C81">
        <f>SUM(C71:C80)</f>
        <v>103</v>
      </c>
      <c r="D81" s="11"/>
      <c r="E81" s="33" t="s">
        <v>68</v>
      </c>
      <c r="F81" s="13"/>
      <c r="G81" s="7"/>
      <c r="H81" s="27" t="s">
        <v>69</v>
      </c>
      <c r="I81" s="30">
        <v>0</v>
      </c>
      <c r="J81" s="20">
        <f t="shared" ref="J81:J86" si="3">I81/I$80</f>
        <v>0</v>
      </c>
    </row>
    <row r="82" spans="1:10" x14ac:dyDescent="0.25">
      <c r="A82" s="8"/>
      <c r="B82" s="9"/>
      <c r="D82" s="11"/>
      <c r="E82" s="35" t="s">
        <v>70</v>
      </c>
      <c r="F82" s="20">
        <f>C83/C$53</f>
        <v>0.64444444444444449</v>
      </c>
      <c r="G82" s="7"/>
      <c r="H82" s="27" t="s">
        <v>71</v>
      </c>
      <c r="I82" s="30">
        <v>0</v>
      </c>
      <c r="J82" s="20">
        <f t="shared" si="3"/>
        <v>0</v>
      </c>
    </row>
    <row r="83" spans="1:10" x14ac:dyDescent="0.25">
      <c r="A83" s="8" t="s">
        <v>72</v>
      </c>
      <c r="B83" s="9"/>
      <c r="C83">
        <v>29</v>
      </c>
      <c r="D83" s="11"/>
      <c r="E83" s="35" t="s">
        <v>73</v>
      </c>
      <c r="F83" s="20">
        <f>C84/C$53</f>
        <v>6.6666666666666666E-2</v>
      </c>
      <c r="G83" s="7"/>
      <c r="H83" s="27" t="s">
        <v>74</v>
      </c>
      <c r="I83" s="30">
        <v>0</v>
      </c>
      <c r="J83" s="20">
        <f t="shared" si="3"/>
        <v>0</v>
      </c>
    </row>
    <row r="84" spans="1:10" ht="15.75" thickBot="1" x14ac:dyDescent="0.3">
      <c r="A84" s="8" t="s">
        <v>75</v>
      </c>
      <c r="B84" s="9"/>
      <c r="C84">
        <v>3</v>
      </c>
      <c r="D84" s="11"/>
      <c r="E84" s="36" t="s">
        <v>76</v>
      </c>
      <c r="F84" s="26">
        <f>C85/C$53</f>
        <v>0.28888888888888886</v>
      </c>
      <c r="G84" s="7"/>
      <c r="H84" s="27" t="s">
        <v>77</v>
      </c>
      <c r="I84" s="30">
        <v>0</v>
      </c>
      <c r="J84" s="20">
        <f t="shared" si="3"/>
        <v>0</v>
      </c>
    </row>
    <row r="85" spans="1:10" ht="15.75" thickBot="1" x14ac:dyDescent="0.3">
      <c r="A85" s="8" t="s">
        <v>78</v>
      </c>
      <c r="B85" s="9"/>
      <c r="C85">
        <v>13</v>
      </c>
      <c r="D85" s="11"/>
      <c r="E85" s="37"/>
      <c r="F85" s="24"/>
      <c r="G85" s="11" t="s">
        <v>19</v>
      </c>
      <c r="H85" s="27" t="s">
        <v>79</v>
      </c>
      <c r="I85" s="30">
        <v>0</v>
      </c>
      <c r="J85" s="20">
        <f t="shared" si="3"/>
        <v>0</v>
      </c>
    </row>
    <row r="86" spans="1:10" ht="15.75" thickBot="1" x14ac:dyDescent="0.3">
      <c r="A86" s="8"/>
      <c r="B86" s="9"/>
      <c r="D86" s="11"/>
      <c r="E86" s="38" t="s">
        <v>20</v>
      </c>
      <c r="F86" s="13"/>
      <c r="G86" s="7"/>
      <c r="H86" s="29" t="s">
        <v>80</v>
      </c>
      <c r="I86" s="25">
        <v>1</v>
      </c>
      <c r="J86" s="26">
        <f t="shared" si="3"/>
        <v>1</v>
      </c>
    </row>
    <row r="87" spans="1:10" x14ac:dyDescent="0.25">
      <c r="A87" s="8" t="s">
        <v>20</v>
      </c>
      <c r="B87" s="9"/>
      <c r="D87" s="11"/>
      <c r="E87" s="28" t="s">
        <v>81</v>
      </c>
      <c r="F87" s="20">
        <f>C88/C$53</f>
        <v>0.51111111111111107</v>
      </c>
      <c r="G87" s="7"/>
    </row>
    <row r="88" spans="1:10" ht="15.75" thickBot="1" x14ac:dyDescent="0.3">
      <c r="A88" s="8" t="s">
        <v>82</v>
      </c>
      <c r="B88" s="9"/>
      <c r="C88">
        <v>23</v>
      </c>
      <c r="D88" s="11"/>
      <c r="E88" s="31" t="s">
        <v>83</v>
      </c>
      <c r="F88" s="26">
        <f>C89/C$53</f>
        <v>0.48888888888888887</v>
      </c>
      <c r="G88" s="7"/>
    </row>
    <row r="89" spans="1:10" ht="15.75" thickBot="1" x14ac:dyDescent="0.3">
      <c r="A89" s="8" t="s">
        <v>83</v>
      </c>
      <c r="B89" s="9"/>
      <c r="C89">
        <v>22</v>
      </c>
      <c r="D89" s="11"/>
      <c r="E89" s="39"/>
      <c r="F89" s="40"/>
      <c r="G89" s="7"/>
      <c r="H89" s="14" t="s">
        <v>40</v>
      </c>
      <c r="I89" s="15">
        <v>7</v>
      </c>
      <c r="J89" s="16"/>
    </row>
    <row r="90" spans="1:10" x14ac:dyDescent="0.25">
      <c r="A90" s="8"/>
      <c r="B90" s="9"/>
      <c r="D90" s="11"/>
      <c r="E90" s="14" t="s">
        <v>84</v>
      </c>
      <c r="F90" s="13"/>
      <c r="G90" s="7"/>
      <c r="H90" s="27" t="s">
        <v>85</v>
      </c>
      <c r="I90" s="30">
        <v>0</v>
      </c>
      <c r="J90" s="20">
        <f>I90/I$89</f>
        <v>0</v>
      </c>
    </row>
    <row r="91" spans="1:10" x14ac:dyDescent="0.25">
      <c r="A91" t="s">
        <v>84</v>
      </c>
      <c r="D91" s="11"/>
      <c r="E91" s="27" t="s">
        <v>86</v>
      </c>
      <c r="F91" s="20">
        <f>C92/C$89</f>
        <v>0.72727272727272729</v>
      </c>
      <c r="G91" s="7"/>
      <c r="H91" s="27" t="s">
        <v>87</v>
      </c>
      <c r="I91" s="19">
        <v>2</v>
      </c>
      <c r="J91" s="20">
        <f>I91/I$89</f>
        <v>0.2857142857142857</v>
      </c>
    </row>
    <row r="92" spans="1:10" ht="15.75" thickBot="1" x14ac:dyDescent="0.3">
      <c r="A92" t="s">
        <v>86</v>
      </c>
      <c r="C92">
        <v>16</v>
      </c>
      <c r="D92" s="11"/>
      <c r="E92" s="29" t="s">
        <v>88</v>
      </c>
      <c r="F92" s="26">
        <f>C93/C$89</f>
        <v>0.27272727272727271</v>
      </c>
      <c r="G92" s="7"/>
      <c r="H92" s="27" t="s">
        <v>89</v>
      </c>
      <c r="I92" s="30">
        <v>2</v>
      </c>
      <c r="J92" s="20">
        <f>I92/I$89</f>
        <v>0.2857142857142857</v>
      </c>
    </row>
    <row r="93" spans="1:10" ht="15.75" thickBot="1" x14ac:dyDescent="0.3">
      <c r="A93" t="s">
        <v>88</v>
      </c>
      <c r="C93">
        <v>6</v>
      </c>
      <c r="D93" s="11"/>
      <c r="E93" s="39"/>
      <c r="F93" s="40"/>
      <c r="G93" s="7"/>
      <c r="H93" s="27" t="s">
        <v>90</v>
      </c>
      <c r="I93" s="30">
        <v>1</v>
      </c>
      <c r="J93" s="20">
        <f>I93/I$89</f>
        <v>0.14285714285714285</v>
      </c>
    </row>
    <row r="94" spans="1:10" ht="15.75" thickBot="1" x14ac:dyDescent="0.3">
      <c r="A94" s="8"/>
      <c r="B94" s="9"/>
      <c r="D94" s="11"/>
      <c r="E94" s="33" t="s">
        <v>91</v>
      </c>
      <c r="F94" s="13"/>
      <c r="G94" s="7"/>
      <c r="H94" s="29" t="s">
        <v>92</v>
      </c>
      <c r="I94" s="25">
        <v>3</v>
      </c>
      <c r="J94" s="26">
        <f>I94/I$89</f>
        <v>0.42857142857142855</v>
      </c>
    </row>
    <row r="95" spans="1:10" x14ac:dyDescent="0.25">
      <c r="A95" s="8" t="s">
        <v>93</v>
      </c>
      <c r="B95" s="9"/>
      <c r="D95" s="11"/>
      <c r="E95" s="28" t="s">
        <v>94</v>
      </c>
      <c r="F95" s="20">
        <f>C96/C$53</f>
        <v>0.35555555555555557</v>
      </c>
      <c r="G95" s="7"/>
    </row>
    <row r="96" spans="1:10" ht="15.75" thickBot="1" x14ac:dyDescent="0.3">
      <c r="A96" s="8" t="s">
        <v>94</v>
      </c>
      <c r="B96" s="9"/>
      <c r="C96">
        <v>16</v>
      </c>
      <c r="D96" s="11"/>
      <c r="E96" s="17" t="s">
        <v>95</v>
      </c>
      <c r="F96" s="20">
        <f t="shared" ref="F96:F100" si="4">C97/C$53</f>
        <v>8.8888888888888892E-2</v>
      </c>
      <c r="G96" s="7"/>
    </row>
    <row r="97" spans="1:10" x14ac:dyDescent="0.25">
      <c r="A97" s="8" t="s">
        <v>95</v>
      </c>
      <c r="B97" s="9"/>
      <c r="C97">
        <v>4</v>
      </c>
      <c r="D97" s="11"/>
      <c r="E97" s="17" t="s">
        <v>96</v>
      </c>
      <c r="F97" s="20">
        <f t="shared" si="4"/>
        <v>0</v>
      </c>
      <c r="G97" s="7"/>
      <c r="H97" s="14" t="s">
        <v>44</v>
      </c>
      <c r="I97" s="15">
        <v>13</v>
      </c>
      <c r="J97" s="16"/>
    </row>
    <row r="98" spans="1:10" x14ac:dyDescent="0.25">
      <c r="A98" s="8" t="s">
        <v>96</v>
      </c>
      <c r="B98" s="9"/>
      <c r="C98">
        <v>0</v>
      </c>
      <c r="D98" s="11"/>
      <c r="E98" s="17" t="s">
        <v>97</v>
      </c>
      <c r="F98" s="20">
        <f t="shared" si="4"/>
        <v>0</v>
      </c>
      <c r="G98" s="7"/>
      <c r="H98" s="27" t="s">
        <v>98</v>
      </c>
      <c r="I98" s="19">
        <v>2</v>
      </c>
      <c r="J98" s="20">
        <f>I98/I$97</f>
        <v>0.15384615384615385</v>
      </c>
    </row>
    <row r="99" spans="1:10" x14ac:dyDescent="0.25">
      <c r="A99" s="8" t="s">
        <v>97</v>
      </c>
      <c r="B99" s="9"/>
      <c r="C99">
        <v>0</v>
      </c>
      <c r="D99" s="11"/>
      <c r="E99" s="17" t="s">
        <v>99</v>
      </c>
      <c r="F99" s="20">
        <f t="shared" si="4"/>
        <v>0.48888888888888887</v>
      </c>
      <c r="G99" s="7"/>
      <c r="H99" s="27" t="s">
        <v>100</v>
      </c>
      <c r="I99" s="19">
        <v>2</v>
      </c>
      <c r="J99" s="20">
        <f t="shared" ref="J99:J107" si="5">I99/I$97</f>
        <v>0.15384615384615385</v>
      </c>
    </row>
    <row r="100" spans="1:10" ht="15.75" thickBot="1" x14ac:dyDescent="0.3">
      <c r="A100" s="8" t="s">
        <v>99</v>
      </c>
      <c r="B100" s="9"/>
      <c r="C100">
        <v>22</v>
      </c>
      <c r="D100" s="11"/>
      <c r="E100" s="22" t="s">
        <v>44</v>
      </c>
      <c r="F100" s="26">
        <f t="shared" si="4"/>
        <v>6.6666666666666666E-2</v>
      </c>
      <c r="G100" s="7"/>
      <c r="H100" s="27" t="s">
        <v>101</v>
      </c>
      <c r="I100" s="19">
        <v>0</v>
      </c>
      <c r="J100" s="20">
        <f t="shared" si="5"/>
        <v>0</v>
      </c>
    </row>
    <row r="101" spans="1:10" ht="15.75" thickBot="1" x14ac:dyDescent="0.3">
      <c r="A101" s="8" t="s">
        <v>44</v>
      </c>
      <c r="B101" s="9"/>
      <c r="C101">
        <v>3</v>
      </c>
      <c r="D101" s="11"/>
      <c r="E101" s="11"/>
      <c r="F101" s="24"/>
      <c r="G101" s="7"/>
      <c r="H101" s="27" t="s">
        <v>102</v>
      </c>
      <c r="I101" s="30">
        <v>3</v>
      </c>
      <c r="J101" s="20">
        <f t="shared" si="5"/>
        <v>0.23076923076923078</v>
      </c>
    </row>
    <row r="102" spans="1:10" x14ac:dyDescent="0.25">
      <c r="A102" s="8"/>
      <c r="B102" s="9"/>
      <c r="D102" s="11"/>
      <c r="E102" s="12" t="s">
        <v>103</v>
      </c>
      <c r="F102" s="13"/>
      <c r="G102" s="7"/>
      <c r="H102" s="27" t="s">
        <v>104</v>
      </c>
      <c r="I102" s="30">
        <v>3</v>
      </c>
      <c r="J102" s="20">
        <f t="shared" si="5"/>
        <v>0.23076923076923078</v>
      </c>
    </row>
    <row r="103" spans="1:10" x14ac:dyDescent="0.25">
      <c r="A103" s="8" t="s">
        <v>105</v>
      </c>
      <c r="B103" s="9"/>
      <c r="D103" s="11"/>
      <c r="E103" s="17" t="s">
        <v>106</v>
      </c>
      <c r="F103" s="20">
        <f>C104/C$53</f>
        <v>0.77777777777777779</v>
      </c>
      <c r="G103" s="7"/>
      <c r="H103" s="41" t="s">
        <v>107</v>
      </c>
      <c r="I103" s="30">
        <v>1</v>
      </c>
      <c r="J103" s="20">
        <f t="shared" si="5"/>
        <v>7.6923076923076927E-2</v>
      </c>
    </row>
    <row r="104" spans="1:10" x14ac:dyDescent="0.25">
      <c r="A104" s="8" t="s">
        <v>106</v>
      </c>
      <c r="B104" s="9"/>
      <c r="C104">
        <v>35</v>
      </c>
      <c r="D104" s="11"/>
      <c r="E104" s="17" t="s">
        <v>108</v>
      </c>
      <c r="F104" s="20">
        <f>C105/C$53</f>
        <v>0.13333333333333333</v>
      </c>
      <c r="G104" s="7"/>
      <c r="H104" s="41" t="s">
        <v>109</v>
      </c>
      <c r="I104" s="30">
        <v>1</v>
      </c>
      <c r="J104" s="20">
        <f t="shared" si="5"/>
        <v>7.6923076923076927E-2</v>
      </c>
    </row>
    <row r="105" spans="1:10" x14ac:dyDescent="0.25">
      <c r="A105" s="8" t="s">
        <v>108</v>
      </c>
      <c r="B105" s="9"/>
      <c r="C105">
        <v>6</v>
      </c>
      <c r="D105" s="11"/>
      <c r="E105" s="17" t="s">
        <v>110</v>
      </c>
      <c r="F105" s="20">
        <f>C106/C$53</f>
        <v>2.2222222222222223E-2</v>
      </c>
      <c r="G105" s="7"/>
      <c r="H105" s="41" t="s">
        <v>111</v>
      </c>
      <c r="I105" s="30">
        <v>1</v>
      </c>
      <c r="J105" s="20">
        <f t="shared" si="5"/>
        <v>7.6923076923076927E-2</v>
      </c>
    </row>
    <row r="106" spans="1:10" x14ac:dyDescent="0.25">
      <c r="A106" s="8" t="s">
        <v>110</v>
      </c>
      <c r="B106" s="9"/>
      <c r="C106">
        <v>1</v>
      </c>
      <c r="D106" s="11"/>
      <c r="E106" s="17" t="s">
        <v>112</v>
      </c>
      <c r="F106" s="20">
        <f>C107/C$53</f>
        <v>6.6666666666666666E-2</v>
      </c>
      <c r="G106" s="7"/>
      <c r="H106" s="41" t="s">
        <v>113</v>
      </c>
      <c r="I106" s="30">
        <v>2</v>
      </c>
      <c r="J106" s="20">
        <f t="shared" si="5"/>
        <v>0.15384615384615385</v>
      </c>
    </row>
    <row r="107" spans="1:10" ht="15.75" thickBot="1" x14ac:dyDescent="0.3">
      <c r="A107" s="8" t="s">
        <v>112</v>
      </c>
      <c r="B107" s="9"/>
      <c r="C107">
        <v>3</v>
      </c>
      <c r="E107" s="22" t="s">
        <v>114</v>
      </c>
      <c r="F107" s="26">
        <f>C108/C$53</f>
        <v>0</v>
      </c>
      <c r="H107" s="42" t="s">
        <v>115</v>
      </c>
      <c r="I107" s="25">
        <v>0</v>
      </c>
      <c r="J107" s="26">
        <f t="shared" si="5"/>
        <v>0</v>
      </c>
    </row>
    <row r="108" spans="1:10" x14ac:dyDescent="0.25">
      <c r="A108" s="8" t="s">
        <v>114</v>
      </c>
      <c r="B108" s="9"/>
      <c r="C108">
        <v>0</v>
      </c>
      <c r="E108" s="11"/>
      <c r="F108" s="24"/>
    </row>
    <row r="109" spans="1:10" x14ac:dyDescent="0.25">
      <c r="A109" s="8" t="s">
        <v>116</v>
      </c>
      <c r="B109" s="9"/>
      <c r="C109">
        <v>0</v>
      </c>
      <c r="E109" s="11"/>
      <c r="F109" s="24"/>
    </row>
    <row r="110" spans="1:10" x14ac:dyDescent="0.25">
      <c r="A110" s="8"/>
      <c r="B110" s="9"/>
      <c r="E110" s="11"/>
      <c r="F110" s="24"/>
    </row>
    <row r="111" spans="1:10" ht="15.75" thickBot="1" x14ac:dyDescent="0.3"/>
    <row r="112" spans="1:10" x14ac:dyDescent="0.25">
      <c r="A112" s="43" t="s">
        <v>117</v>
      </c>
      <c r="B112" s="82">
        <f>SUM(B113:B116)</f>
        <v>98826.83</v>
      </c>
    </row>
    <row r="113" spans="1:2" x14ac:dyDescent="0.25">
      <c r="A113" s="44" t="s">
        <v>94</v>
      </c>
      <c r="B113" s="45">
        <f>SUM(F2:F3,F8,F11,F13:F15,F19,F21:F23,F28,F34:F35,F45,)</f>
        <v>29388.92</v>
      </c>
    </row>
    <row r="114" spans="1:2" x14ac:dyDescent="0.25">
      <c r="A114" s="44" t="s">
        <v>118</v>
      </c>
      <c r="B114" s="45">
        <f>SUM(F5:F7,F12,F16:F18,F20,F24:F26,F31:F33,F36:F41,F43:F44,,)</f>
        <v>52333.71</v>
      </c>
    </row>
    <row r="115" spans="1:2" x14ac:dyDescent="0.25">
      <c r="A115" s="44" t="s">
        <v>119</v>
      </c>
      <c r="B115" s="45">
        <f>SUM(F4,F9:F10,F42,)</f>
        <v>11547.4</v>
      </c>
    </row>
    <row r="116" spans="1:2" x14ac:dyDescent="0.25">
      <c r="A116" s="44" t="s">
        <v>44</v>
      </c>
      <c r="B116" s="46">
        <f>SUM(F27,F29:F30,)</f>
        <v>5556.7999999999993</v>
      </c>
    </row>
    <row r="117" spans="1:2" ht="15.75" thickBot="1" x14ac:dyDescent="0.3">
      <c r="A117" s="47"/>
      <c r="B117" s="48"/>
    </row>
  </sheetData>
  <mergeCells count="1">
    <mergeCell ref="A49:F4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topLeftCell="A74" workbookViewId="0">
      <selection activeCell="F96" sqref="F96:F101"/>
    </sheetView>
  </sheetViews>
  <sheetFormatPr baseColWidth="10" defaultRowHeight="15" x14ac:dyDescent="0.25"/>
  <cols>
    <col min="1" max="1" width="11.5703125" customWidth="1"/>
    <col min="2" max="2" width="33.5703125" customWidth="1"/>
    <col min="3" max="3" width="12.7109375" customWidth="1"/>
    <col min="4" max="4" width="5.28515625" customWidth="1"/>
    <col min="5" max="5" width="8.28515625" customWidth="1"/>
    <col min="6" max="6" width="12.5703125" customWidth="1"/>
    <col min="7" max="7" width="39.7109375" customWidth="1"/>
  </cols>
  <sheetData>
    <row r="1" spans="1:11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11" x14ac:dyDescent="0.25">
      <c r="A2" s="9">
        <v>45839</v>
      </c>
      <c r="B2" t="s">
        <v>1194</v>
      </c>
      <c r="C2" t="s">
        <v>638</v>
      </c>
      <c r="D2" t="s">
        <v>22</v>
      </c>
      <c r="E2" t="s">
        <v>190</v>
      </c>
      <c r="F2" s="59">
        <v>1596</v>
      </c>
      <c r="G2" t="s">
        <v>618</v>
      </c>
      <c r="H2" t="s">
        <v>192</v>
      </c>
    </row>
    <row r="3" spans="1:11" x14ac:dyDescent="0.25">
      <c r="A3" s="9">
        <v>45840</v>
      </c>
      <c r="B3" t="s">
        <v>1199</v>
      </c>
      <c r="C3" t="s">
        <v>106</v>
      </c>
      <c r="D3" t="s">
        <v>22</v>
      </c>
      <c r="E3" t="s">
        <v>190</v>
      </c>
      <c r="F3" s="59">
        <v>3970</v>
      </c>
      <c r="G3" t="s">
        <v>1202</v>
      </c>
      <c r="H3" t="s">
        <v>1205</v>
      </c>
    </row>
    <row r="4" spans="1:11" x14ac:dyDescent="0.25">
      <c r="A4" s="9">
        <v>45842</v>
      </c>
      <c r="B4" t="s">
        <v>1214</v>
      </c>
      <c r="C4" t="s">
        <v>106</v>
      </c>
      <c r="D4" t="s">
        <v>22</v>
      </c>
      <c r="E4" t="s">
        <v>190</v>
      </c>
      <c r="F4" s="59">
        <v>1083</v>
      </c>
      <c r="G4" t="s">
        <v>1217</v>
      </c>
      <c r="H4" t="s">
        <v>1218</v>
      </c>
    </row>
    <row r="5" spans="1:11" x14ac:dyDescent="0.25">
      <c r="A5" s="9">
        <v>45843</v>
      </c>
      <c r="B5" t="s">
        <v>1220</v>
      </c>
      <c r="C5" t="s">
        <v>106</v>
      </c>
      <c r="D5" t="s">
        <v>22</v>
      </c>
      <c r="E5" t="s">
        <v>190</v>
      </c>
      <c r="F5" s="59">
        <v>1637</v>
      </c>
      <c r="G5" t="s">
        <v>1223</v>
      </c>
      <c r="H5" t="s">
        <v>1224</v>
      </c>
    </row>
    <row r="6" spans="1:11" x14ac:dyDescent="0.25">
      <c r="A6" s="9">
        <v>45845</v>
      </c>
      <c r="B6" t="s">
        <v>1229</v>
      </c>
      <c r="C6" t="s">
        <v>114</v>
      </c>
      <c r="D6" t="s">
        <v>22</v>
      </c>
      <c r="E6" t="s">
        <v>118</v>
      </c>
      <c r="F6" s="59">
        <v>984</v>
      </c>
      <c r="G6" t="s">
        <v>917</v>
      </c>
      <c r="H6" t="s">
        <v>192</v>
      </c>
    </row>
    <row r="7" spans="1:11" x14ac:dyDescent="0.25">
      <c r="A7" s="9">
        <v>45846</v>
      </c>
      <c r="B7" t="s">
        <v>1233</v>
      </c>
      <c r="C7" t="s">
        <v>640</v>
      </c>
      <c r="D7" t="s">
        <v>22</v>
      </c>
      <c r="E7" t="s">
        <v>190</v>
      </c>
      <c r="F7" s="59">
        <v>2367</v>
      </c>
      <c r="G7" t="s">
        <v>1236</v>
      </c>
      <c r="H7" t="s">
        <v>1237</v>
      </c>
    </row>
    <row r="8" spans="1:11" x14ac:dyDescent="0.25">
      <c r="A8" s="9">
        <v>45846</v>
      </c>
      <c r="B8" t="s">
        <v>1239</v>
      </c>
      <c r="C8" t="s">
        <v>106</v>
      </c>
      <c r="D8" t="s">
        <v>24</v>
      </c>
      <c r="E8" t="s">
        <v>190</v>
      </c>
      <c r="F8" s="59">
        <v>5097.04</v>
      </c>
      <c r="G8" t="s">
        <v>1241</v>
      </c>
      <c r="H8" t="s">
        <v>316</v>
      </c>
    </row>
    <row r="9" spans="1:11" x14ac:dyDescent="0.25">
      <c r="A9" s="9">
        <v>45847</v>
      </c>
      <c r="B9" t="s">
        <v>1250</v>
      </c>
      <c r="C9" t="s">
        <v>639</v>
      </c>
      <c r="D9" t="s">
        <v>22</v>
      </c>
      <c r="E9" t="s">
        <v>190</v>
      </c>
      <c r="F9" s="59">
        <v>1711</v>
      </c>
      <c r="G9" t="s">
        <v>1253</v>
      </c>
      <c r="H9" t="s">
        <v>1259</v>
      </c>
    </row>
    <row r="10" spans="1:11" x14ac:dyDescent="0.25">
      <c r="A10" s="9">
        <v>45839</v>
      </c>
      <c r="B10" t="s">
        <v>1255</v>
      </c>
      <c r="C10" t="s">
        <v>106</v>
      </c>
      <c r="D10" t="s">
        <v>22</v>
      </c>
      <c r="E10" t="s">
        <v>118</v>
      </c>
      <c r="F10" s="59">
        <v>1744.05</v>
      </c>
      <c r="G10" t="s">
        <v>1258</v>
      </c>
      <c r="H10" t="s">
        <v>1260</v>
      </c>
      <c r="K10" t="s">
        <v>19</v>
      </c>
    </row>
    <row r="11" spans="1:11" x14ac:dyDescent="0.25">
      <c r="A11" s="9">
        <v>45848</v>
      </c>
      <c r="B11" t="s">
        <v>383</v>
      </c>
      <c r="C11" t="s">
        <v>106</v>
      </c>
      <c r="D11" t="s">
        <v>24</v>
      </c>
      <c r="E11" t="s">
        <v>118</v>
      </c>
      <c r="F11" s="59">
        <v>1595</v>
      </c>
      <c r="G11" t="s">
        <v>1262</v>
      </c>
      <c r="H11" t="s">
        <v>1002</v>
      </c>
    </row>
    <row r="12" spans="1:11" x14ac:dyDescent="0.25">
      <c r="A12" s="9">
        <v>45843</v>
      </c>
      <c r="B12" t="s">
        <v>547</v>
      </c>
      <c r="C12" t="s">
        <v>106</v>
      </c>
      <c r="D12" t="s">
        <v>22</v>
      </c>
      <c r="E12" t="s">
        <v>118</v>
      </c>
      <c r="F12" s="59">
        <v>1600.56</v>
      </c>
      <c r="G12" t="s">
        <v>1269</v>
      </c>
      <c r="H12" t="s">
        <v>1285</v>
      </c>
    </row>
    <row r="13" spans="1:11" x14ac:dyDescent="0.25">
      <c r="A13" s="9">
        <v>45849</v>
      </c>
      <c r="B13" t="s">
        <v>1271</v>
      </c>
      <c r="C13" t="s">
        <v>106</v>
      </c>
      <c r="D13" t="s">
        <v>22</v>
      </c>
      <c r="E13" t="s">
        <v>190</v>
      </c>
      <c r="F13" s="59">
        <v>1235</v>
      </c>
      <c r="G13" t="s">
        <v>1274</v>
      </c>
      <c r="H13" t="s">
        <v>322</v>
      </c>
    </row>
    <row r="14" spans="1:11" x14ac:dyDescent="0.25">
      <c r="A14" s="9">
        <v>45850</v>
      </c>
      <c r="B14" t="s">
        <v>1276</v>
      </c>
      <c r="C14" t="s">
        <v>106</v>
      </c>
      <c r="D14" t="s">
        <v>22</v>
      </c>
      <c r="E14" t="s">
        <v>190</v>
      </c>
      <c r="F14" s="59">
        <v>1650</v>
      </c>
      <c r="G14" t="s">
        <v>1279</v>
      </c>
      <c r="H14" t="s">
        <v>1280</v>
      </c>
    </row>
    <row r="15" spans="1:11" x14ac:dyDescent="0.25">
      <c r="A15" s="9">
        <v>45845</v>
      </c>
      <c r="B15" t="s">
        <v>281</v>
      </c>
      <c r="C15" t="s">
        <v>638</v>
      </c>
      <c r="D15" t="s">
        <v>24</v>
      </c>
      <c r="E15" t="s">
        <v>118</v>
      </c>
      <c r="F15" s="59">
        <v>5113.2700000000004</v>
      </c>
      <c r="G15" t="s">
        <v>1287</v>
      </c>
      <c r="H15" t="s">
        <v>1323</v>
      </c>
    </row>
    <row r="16" spans="1:11" x14ac:dyDescent="0.25">
      <c r="A16" s="9">
        <v>45853</v>
      </c>
      <c r="B16" t="s">
        <v>1289</v>
      </c>
      <c r="C16" t="s">
        <v>638</v>
      </c>
      <c r="D16" t="s">
        <v>24</v>
      </c>
      <c r="E16" t="s">
        <v>118</v>
      </c>
      <c r="F16" s="59">
        <v>2968</v>
      </c>
      <c r="G16" t="s">
        <v>464</v>
      </c>
      <c r="H16" t="s">
        <v>223</v>
      </c>
    </row>
    <row r="17" spans="1:8" x14ac:dyDescent="0.25">
      <c r="A17" s="9">
        <v>45853</v>
      </c>
      <c r="B17" t="s">
        <v>1293</v>
      </c>
      <c r="C17" t="s">
        <v>638</v>
      </c>
      <c r="D17" t="s">
        <v>22</v>
      </c>
      <c r="E17" t="s">
        <v>118</v>
      </c>
      <c r="F17" s="59">
        <v>950</v>
      </c>
      <c r="G17" t="s">
        <v>419</v>
      </c>
      <c r="H17" t="s">
        <v>223</v>
      </c>
    </row>
    <row r="18" spans="1:8" x14ac:dyDescent="0.25">
      <c r="A18" s="9">
        <v>45850</v>
      </c>
      <c r="B18" t="s">
        <v>547</v>
      </c>
      <c r="C18" t="s">
        <v>106</v>
      </c>
      <c r="D18" t="s">
        <v>22</v>
      </c>
      <c r="E18" t="s">
        <v>118</v>
      </c>
      <c r="F18" s="59">
        <v>2682.9</v>
      </c>
      <c r="G18" t="s">
        <v>1297</v>
      </c>
      <c r="H18" t="s">
        <v>223</v>
      </c>
    </row>
    <row r="19" spans="1:8" x14ac:dyDescent="0.25">
      <c r="A19" s="9">
        <v>45855</v>
      </c>
      <c r="B19" t="s">
        <v>1299</v>
      </c>
      <c r="C19" t="s">
        <v>106</v>
      </c>
      <c r="D19" t="s">
        <v>22</v>
      </c>
      <c r="E19" t="s">
        <v>190</v>
      </c>
      <c r="F19" s="59">
        <v>2172.65</v>
      </c>
      <c r="G19" t="s">
        <v>1302</v>
      </c>
      <c r="H19" t="s">
        <v>1324</v>
      </c>
    </row>
    <row r="20" spans="1:8" x14ac:dyDescent="0.25">
      <c r="A20" s="9">
        <v>45856</v>
      </c>
      <c r="B20" s="9" t="s">
        <v>1304</v>
      </c>
      <c r="C20" t="s">
        <v>106</v>
      </c>
      <c r="D20" t="s">
        <v>24</v>
      </c>
      <c r="E20" t="s">
        <v>118</v>
      </c>
      <c r="F20" s="59">
        <v>9480.8799999999992</v>
      </c>
      <c r="G20" t="s">
        <v>203</v>
      </c>
      <c r="H20" t="s">
        <v>1307</v>
      </c>
    </row>
    <row r="21" spans="1:8" x14ac:dyDescent="0.25">
      <c r="A21" s="9">
        <v>45857</v>
      </c>
      <c r="B21" t="s">
        <v>1309</v>
      </c>
      <c r="C21" t="s">
        <v>114</v>
      </c>
      <c r="D21" t="s">
        <v>22</v>
      </c>
      <c r="E21" t="s">
        <v>190</v>
      </c>
      <c r="F21" s="59">
        <v>1122</v>
      </c>
      <c r="G21" t="s">
        <v>375</v>
      </c>
      <c r="H21" t="s">
        <v>1317</v>
      </c>
    </row>
    <row r="22" spans="1:8" x14ac:dyDescent="0.25">
      <c r="A22" s="9">
        <v>45859</v>
      </c>
      <c r="B22" t="s">
        <v>1313</v>
      </c>
      <c r="C22" t="s">
        <v>106</v>
      </c>
      <c r="D22" t="s">
        <v>22</v>
      </c>
      <c r="E22" t="s">
        <v>190</v>
      </c>
      <c r="F22" s="59">
        <v>1884</v>
      </c>
      <c r="G22" t="s">
        <v>1316</v>
      </c>
      <c r="H22" t="s">
        <v>1325</v>
      </c>
    </row>
    <row r="23" spans="1:8" x14ac:dyDescent="0.25">
      <c r="A23" s="9">
        <v>45860</v>
      </c>
      <c r="B23" t="s">
        <v>1319</v>
      </c>
      <c r="C23" t="s">
        <v>106</v>
      </c>
      <c r="D23" t="s">
        <v>22</v>
      </c>
      <c r="E23" t="s">
        <v>118</v>
      </c>
      <c r="F23" s="59">
        <v>2226</v>
      </c>
      <c r="G23" t="s">
        <v>1322</v>
      </c>
      <c r="H23" t="s">
        <v>734</v>
      </c>
    </row>
    <row r="24" spans="1:8" x14ac:dyDescent="0.25">
      <c r="A24" s="9">
        <v>45860</v>
      </c>
      <c r="B24" t="s">
        <v>1035</v>
      </c>
      <c r="C24" t="s">
        <v>106</v>
      </c>
      <c r="D24" t="s">
        <v>22</v>
      </c>
      <c r="E24" t="s">
        <v>118</v>
      </c>
      <c r="F24" s="59">
        <v>1322</v>
      </c>
      <c r="G24" t="s">
        <v>1327</v>
      </c>
      <c r="H24" t="s">
        <v>1328</v>
      </c>
    </row>
    <row r="25" spans="1:8" x14ac:dyDescent="0.25">
      <c r="A25" s="9">
        <v>45849</v>
      </c>
      <c r="B25" t="s">
        <v>1331</v>
      </c>
      <c r="C25" t="s">
        <v>106</v>
      </c>
      <c r="D25" t="s">
        <v>22</v>
      </c>
      <c r="E25" t="s">
        <v>190</v>
      </c>
      <c r="F25" s="59">
        <v>5523.75</v>
      </c>
      <c r="G25" t="s">
        <v>1334</v>
      </c>
      <c r="H25" t="s">
        <v>223</v>
      </c>
    </row>
    <row r="26" spans="1:8" x14ac:dyDescent="0.25">
      <c r="A26" s="9">
        <v>45861</v>
      </c>
      <c r="B26" t="s">
        <v>1336</v>
      </c>
      <c r="C26" t="s">
        <v>106</v>
      </c>
      <c r="D26" t="s">
        <v>22</v>
      </c>
      <c r="E26" t="s">
        <v>118</v>
      </c>
      <c r="F26" s="59">
        <v>2019</v>
      </c>
      <c r="G26" t="s">
        <v>1339</v>
      </c>
      <c r="H26" t="s">
        <v>316</v>
      </c>
    </row>
    <row r="27" spans="1:8" x14ac:dyDescent="0.25">
      <c r="A27" s="9">
        <v>45862</v>
      </c>
      <c r="B27" t="s">
        <v>642</v>
      </c>
      <c r="C27" t="s">
        <v>638</v>
      </c>
      <c r="D27" t="s">
        <v>22</v>
      </c>
      <c r="E27" t="s">
        <v>118</v>
      </c>
      <c r="F27" s="59">
        <v>5331.4</v>
      </c>
      <c r="G27" t="s">
        <v>1342</v>
      </c>
      <c r="H27" t="s">
        <v>1002</v>
      </c>
    </row>
    <row r="28" spans="1:8" x14ac:dyDescent="0.25">
      <c r="A28" s="9">
        <v>45854</v>
      </c>
      <c r="B28" t="s">
        <v>1344</v>
      </c>
      <c r="C28" t="s">
        <v>639</v>
      </c>
      <c r="D28" t="s">
        <v>22</v>
      </c>
      <c r="E28" t="s">
        <v>190</v>
      </c>
      <c r="F28" s="59">
        <v>2772</v>
      </c>
      <c r="G28" t="s">
        <v>1347</v>
      </c>
      <c r="H28" t="s">
        <v>192</v>
      </c>
    </row>
    <row r="29" spans="1:8" x14ac:dyDescent="0.25">
      <c r="A29" s="9">
        <v>45864</v>
      </c>
      <c r="B29" t="s">
        <v>1349</v>
      </c>
      <c r="C29" t="s">
        <v>106</v>
      </c>
      <c r="D29" t="s">
        <v>22</v>
      </c>
      <c r="E29" t="s">
        <v>118</v>
      </c>
      <c r="F29" s="59">
        <v>1643</v>
      </c>
      <c r="G29" t="s">
        <v>1352</v>
      </c>
      <c r="H29" t="s">
        <v>734</v>
      </c>
    </row>
    <row r="30" spans="1:8" x14ac:dyDescent="0.25">
      <c r="A30" s="9">
        <v>45866</v>
      </c>
      <c r="B30" t="s">
        <v>1354</v>
      </c>
      <c r="C30" t="s">
        <v>106</v>
      </c>
      <c r="D30" t="s">
        <v>24</v>
      </c>
      <c r="E30" t="s">
        <v>118</v>
      </c>
      <c r="F30" s="59">
        <v>20798.34</v>
      </c>
      <c r="G30" t="s">
        <v>1357</v>
      </c>
      <c r="H30" t="s">
        <v>223</v>
      </c>
    </row>
    <row r="31" spans="1:8" x14ac:dyDescent="0.25">
      <c r="A31" s="9">
        <v>45856</v>
      </c>
      <c r="B31" t="s">
        <v>1359</v>
      </c>
      <c r="C31" t="s">
        <v>106</v>
      </c>
      <c r="D31" t="s">
        <v>22</v>
      </c>
      <c r="E31" t="s">
        <v>118</v>
      </c>
      <c r="F31" s="59">
        <v>1744</v>
      </c>
      <c r="G31" t="s">
        <v>1361</v>
      </c>
      <c r="H31" t="s">
        <v>192</v>
      </c>
    </row>
    <row r="32" spans="1:8" x14ac:dyDescent="0.25">
      <c r="A32" s="9">
        <v>45868</v>
      </c>
      <c r="B32" t="s">
        <v>1363</v>
      </c>
      <c r="C32" t="s">
        <v>638</v>
      </c>
      <c r="D32" t="s">
        <v>22</v>
      </c>
      <c r="E32" t="s">
        <v>118</v>
      </c>
      <c r="F32" s="59">
        <v>1085</v>
      </c>
      <c r="G32" t="s">
        <v>401</v>
      </c>
      <c r="H32" t="s">
        <v>296</v>
      </c>
    </row>
    <row r="33" spans="1:8" x14ac:dyDescent="0.25">
      <c r="A33" s="9">
        <v>45839</v>
      </c>
      <c r="B33" t="s">
        <v>1367</v>
      </c>
      <c r="C33" t="s">
        <v>106</v>
      </c>
      <c r="D33" t="s">
        <v>22</v>
      </c>
      <c r="E33" t="s">
        <v>118</v>
      </c>
      <c r="F33" s="59">
        <v>2392.1999999999998</v>
      </c>
      <c r="G33" t="s">
        <v>1370</v>
      </c>
      <c r="H33" t="s">
        <v>322</v>
      </c>
    </row>
    <row r="34" spans="1:8" x14ac:dyDescent="0.25">
      <c r="A34" s="9">
        <v>45863</v>
      </c>
      <c r="B34" t="s">
        <v>1372</v>
      </c>
      <c r="C34" t="s">
        <v>106</v>
      </c>
      <c r="D34" t="s">
        <v>22</v>
      </c>
      <c r="E34" t="s">
        <v>118</v>
      </c>
      <c r="F34" s="59">
        <v>3286.75</v>
      </c>
      <c r="G34" t="s">
        <v>1375</v>
      </c>
      <c r="H34" t="s">
        <v>295</v>
      </c>
    </row>
    <row r="35" spans="1:8" x14ac:dyDescent="0.25">
      <c r="A35" s="9">
        <v>45869</v>
      </c>
      <c r="B35" t="s">
        <v>1377</v>
      </c>
      <c r="C35" t="s">
        <v>638</v>
      </c>
      <c r="D35" t="s">
        <v>22</v>
      </c>
      <c r="E35" t="s">
        <v>190</v>
      </c>
      <c r="F35" s="59">
        <v>1122</v>
      </c>
      <c r="G35" t="s">
        <v>375</v>
      </c>
      <c r="H35" t="s">
        <v>894</v>
      </c>
    </row>
    <row r="36" spans="1:8" x14ac:dyDescent="0.25">
      <c r="A36" s="9">
        <v>45852</v>
      </c>
      <c r="B36" t="s">
        <v>1381</v>
      </c>
      <c r="C36" t="s">
        <v>638</v>
      </c>
      <c r="D36" t="s">
        <v>24</v>
      </c>
      <c r="E36" t="s">
        <v>190</v>
      </c>
      <c r="F36" s="59">
        <v>7207.01</v>
      </c>
      <c r="G36" t="s">
        <v>1384</v>
      </c>
      <c r="H36" t="s">
        <v>817</v>
      </c>
    </row>
    <row r="37" spans="1:8" x14ac:dyDescent="0.25">
      <c r="A37" s="9">
        <v>45866</v>
      </c>
      <c r="B37" t="s">
        <v>275</v>
      </c>
      <c r="C37" t="s">
        <v>106</v>
      </c>
      <c r="D37" t="s">
        <v>22</v>
      </c>
      <c r="E37" t="s">
        <v>118</v>
      </c>
      <c r="F37" s="59">
        <v>1690.7</v>
      </c>
      <c r="G37" t="s">
        <v>1419</v>
      </c>
      <c r="H37" t="s">
        <v>215</v>
      </c>
    </row>
    <row r="38" spans="1:8" x14ac:dyDescent="0.25">
      <c r="A38" s="9">
        <v>45867</v>
      </c>
      <c r="B38" t="s">
        <v>1447</v>
      </c>
      <c r="C38" t="s">
        <v>640</v>
      </c>
      <c r="D38" t="s">
        <v>22</v>
      </c>
      <c r="E38" t="s">
        <v>118</v>
      </c>
      <c r="F38" s="59">
        <v>2412.8000000000002</v>
      </c>
      <c r="G38" t="s">
        <v>1450</v>
      </c>
      <c r="H38" t="s">
        <v>192</v>
      </c>
    </row>
    <row r="39" spans="1:8" x14ac:dyDescent="0.25">
      <c r="A39" s="9">
        <v>45867</v>
      </c>
      <c r="B39" t="s">
        <v>1455</v>
      </c>
      <c r="C39" t="s">
        <v>106</v>
      </c>
      <c r="D39" t="s">
        <v>24</v>
      </c>
      <c r="E39" t="s">
        <v>119</v>
      </c>
      <c r="F39" s="59">
        <v>7895.02</v>
      </c>
      <c r="G39" t="s">
        <v>1458</v>
      </c>
      <c r="H39" t="s">
        <v>322</v>
      </c>
    </row>
    <row r="40" spans="1:8" x14ac:dyDescent="0.25">
      <c r="A40" s="9">
        <v>45867</v>
      </c>
      <c r="B40" t="s">
        <v>1485</v>
      </c>
      <c r="C40" t="s">
        <v>106</v>
      </c>
      <c r="D40" t="s">
        <v>22</v>
      </c>
      <c r="E40" t="s">
        <v>119</v>
      </c>
      <c r="F40" s="59">
        <v>1173.5999999999999</v>
      </c>
      <c r="G40" t="s">
        <v>742</v>
      </c>
      <c r="H40" t="s">
        <v>1745</v>
      </c>
    </row>
    <row r="41" spans="1:8" x14ac:dyDescent="0.25">
      <c r="A41" s="9">
        <v>45863</v>
      </c>
      <c r="B41" t="s">
        <v>1504</v>
      </c>
      <c r="C41" t="s">
        <v>1521</v>
      </c>
      <c r="D41" t="s">
        <v>22</v>
      </c>
      <c r="E41" t="s">
        <v>190</v>
      </c>
      <c r="F41" s="59">
        <v>1882.12</v>
      </c>
      <c r="G41" t="s">
        <v>1507</v>
      </c>
      <c r="H41" t="s">
        <v>1746</v>
      </c>
    </row>
    <row r="42" spans="1:8" x14ac:dyDescent="0.25">
      <c r="A42" s="9">
        <v>45861</v>
      </c>
      <c r="B42" t="s">
        <v>642</v>
      </c>
      <c r="C42" t="s">
        <v>106</v>
      </c>
      <c r="D42" t="s">
        <v>22</v>
      </c>
      <c r="E42" t="s">
        <v>118</v>
      </c>
      <c r="F42" s="59">
        <v>5202.7299999999996</v>
      </c>
      <c r="G42" t="s">
        <v>1667</v>
      </c>
      <c r="H42" t="s">
        <v>1668</v>
      </c>
    </row>
    <row r="43" spans="1:8" x14ac:dyDescent="0.25">
      <c r="A43" s="9">
        <v>45854</v>
      </c>
      <c r="B43" t="s">
        <v>1029</v>
      </c>
      <c r="C43" t="s">
        <v>106</v>
      </c>
      <c r="D43" t="s">
        <v>22</v>
      </c>
      <c r="E43" t="s">
        <v>118</v>
      </c>
      <c r="F43" s="59">
        <v>3165</v>
      </c>
      <c r="G43" t="s">
        <v>2320</v>
      </c>
      <c r="H43" t="s">
        <v>2321</v>
      </c>
    </row>
    <row r="44" spans="1:8" x14ac:dyDescent="0.25">
      <c r="A44" s="9"/>
      <c r="F44" s="59"/>
    </row>
    <row r="45" spans="1:8" x14ac:dyDescent="0.25">
      <c r="A45" s="9"/>
      <c r="F45" s="59"/>
    </row>
    <row r="46" spans="1:8" x14ac:dyDescent="0.25">
      <c r="A46" s="9"/>
      <c r="F46" s="59"/>
    </row>
    <row r="47" spans="1:8" x14ac:dyDescent="0.25">
      <c r="A47" s="9"/>
      <c r="F47" s="59"/>
    </row>
    <row r="50" spans="1:10" ht="15.75" thickBot="1" x14ac:dyDescent="0.3">
      <c r="A50" s="99" t="s">
        <v>8</v>
      </c>
      <c r="B50" s="99"/>
      <c r="C50" s="99"/>
      <c r="D50" s="99"/>
      <c r="E50" s="99"/>
      <c r="F50" s="99"/>
      <c r="G50" s="7"/>
    </row>
    <row r="51" spans="1:10" x14ac:dyDescent="0.25">
      <c r="A51" s="8" t="s">
        <v>9</v>
      </c>
      <c r="B51" s="9"/>
      <c r="C51" s="10">
        <f>SUM(F2:F48)</f>
        <v>134537.76999999999</v>
      </c>
      <c r="D51" s="11"/>
      <c r="E51" s="12" t="s">
        <v>10</v>
      </c>
      <c r="F51" s="13"/>
      <c r="G51" s="7"/>
      <c r="H51" s="14" t="s">
        <v>11</v>
      </c>
      <c r="I51" s="15">
        <v>32</v>
      </c>
      <c r="J51" s="16"/>
    </row>
    <row r="52" spans="1:10" x14ac:dyDescent="0.25">
      <c r="A52" s="8"/>
      <c r="B52" s="9"/>
      <c r="C52" s="10"/>
      <c r="D52" s="11"/>
      <c r="E52" s="17" t="s">
        <v>12</v>
      </c>
      <c r="F52" s="18">
        <v>134537.76999999999</v>
      </c>
      <c r="G52" s="7"/>
      <c r="H52" s="17" t="s">
        <v>13</v>
      </c>
      <c r="I52" s="19">
        <v>15</v>
      </c>
      <c r="J52" s="20">
        <f>I52/I$51</f>
        <v>0.46875</v>
      </c>
    </row>
    <row r="53" spans="1:10" ht="15.75" thickBot="1" x14ac:dyDescent="0.3">
      <c r="A53" s="8" t="s">
        <v>14</v>
      </c>
      <c r="B53" s="9"/>
      <c r="C53" s="21">
        <v>26</v>
      </c>
      <c r="D53" s="11"/>
      <c r="E53" s="22" t="s">
        <v>15</v>
      </c>
      <c r="F53" s="23">
        <f>C51/C53</f>
        <v>5174.5296153846148</v>
      </c>
      <c r="G53" s="7"/>
      <c r="H53" s="17" t="s">
        <v>16</v>
      </c>
      <c r="I53" s="19">
        <v>16</v>
      </c>
      <c r="J53" s="20">
        <f>I53/I$51</f>
        <v>0.5</v>
      </c>
    </row>
    <row r="54" spans="1:10" ht="15.75" thickBot="1" x14ac:dyDescent="0.3">
      <c r="A54" s="8" t="s">
        <v>17</v>
      </c>
      <c r="B54" s="9"/>
      <c r="C54">
        <v>42</v>
      </c>
      <c r="D54" s="11"/>
      <c r="E54" s="11"/>
      <c r="F54" s="24"/>
      <c r="G54" s="7"/>
      <c r="H54" s="22" t="s">
        <v>18</v>
      </c>
      <c r="I54" s="25">
        <v>1</v>
      </c>
      <c r="J54" s="26">
        <f>I54/I$51</f>
        <v>3.125E-2</v>
      </c>
    </row>
    <row r="55" spans="1:10" x14ac:dyDescent="0.25">
      <c r="A55" s="8"/>
      <c r="B55" s="9"/>
      <c r="D55" s="11" t="s">
        <v>19</v>
      </c>
      <c r="E55" s="12" t="s">
        <v>20</v>
      </c>
      <c r="F55" s="13"/>
      <c r="G55" s="7"/>
    </row>
    <row r="56" spans="1:10" ht="15.75" thickBot="1" x14ac:dyDescent="0.3">
      <c r="A56" s="8" t="s">
        <v>21</v>
      </c>
      <c r="B56" s="9"/>
      <c r="C56">
        <v>34</v>
      </c>
      <c r="D56" s="11" t="s">
        <v>19</v>
      </c>
      <c r="E56" s="17" t="s">
        <v>22</v>
      </c>
      <c r="F56" s="20">
        <f>C56/C$54</f>
        <v>0.80952380952380953</v>
      </c>
      <c r="G56" s="7"/>
    </row>
    <row r="57" spans="1:10" ht="15.75" thickBot="1" x14ac:dyDescent="0.3">
      <c r="A57" s="8" t="s">
        <v>23</v>
      </c>
      <c r="B57" s="9"/>
      <c r="C57">
        <v>8</v>
      </c>
      <c r="D57" s="11"/>
      <c r="E57" s="22" t="s">
        <v>24</v>
      </c>
      <c r="F57" s="26">
        <f>C57/C$54</f>
        <v>0.19047619047619047</v>
      </c>
      <c r="G57" s="7"/>
      <c r="H57" s="14" t="s">
        <v>25</v>
      </c>
      <c r="I57" s="15">
        <v>27</v>
      </c>
      <c r="J57" s="16"/>
    </row>
    <row r="58" spans="1:10" ht="15.75" thickBot="1" x14ac:dyDescent="0.3">
      <c r="A58" s="8"/>
      <c r="B58" s="9"/>
      <c r="D58" s="11"/>
      <c r="E58" s="11"/>
      <c r="F58" s="24"/>
      <c r="G58" s="7"/>
      <c r="H58" s="27" t="s">
        <v>26</v>
      </c>
      <c r="I58" s="30">
        <v>18</v>
      </c>
      <c r="J58" s="20">
        <f>I58/I$57</f>
        <v>0.66666666666666663</v>
      </c>
    </row>
    <row r="59" spans="1:10" x14ac:dyDescent="0.25">
      <c r="A59" s="8" t="s">
        <v>27</v>
      </c>
      <c r="B59" s="9"/>
      <c r="D59" s="11"/>
      <c r="E59" s="12" t="s">
        <v>28</v>
      </c>
      <c r="F59" s="13"/>
      <c r="G59" s="7"/>
      <c r="H59" s="27" t="s">
        <v>29</v>
      </c>
      <c r="I59" s="30">
        <v>12</v>
      </c>
      <c r="J59" s="20">
        <f>I59/I$57</f>
        <v>0.44444444444444442</v>
      </c>
    </row>
    <row r="60" spans="1:10" ht="15.75" thickBot="1" x14ac:dyDescent="0.3">
      <c r="A60" s="8" t="s">
        <v>30</v>
      </c>
      <c r="B60" s="9"/>
      <c r="C60">
        <v>3</v>
      </c>
      <c r="D60" s="11"/>
      <c r="E60" s="28" t="s">
        <v>30</v>
      </c>
      <c r="F60" s="20">
        <f>C60/C$69</f>
        <v>3.1914893617021274E-2</v>
      </c>
      <c r="G60" s="7"/>
      <c r="H60" s="29" t="s">
        <v>31</v>
      </c>
      <c r="I60" s="25">
        <v>3</v>
      </c>
      <c r="J60" s="26">
        <f>I60/I$57</f>
        <v>0.1111111111111111</v>
      </c>
    </row>
    <row r="61" spans="1:10" ht="15.75" thickBot="1" x14ac:dyDescent="0.3">
      <c r="A61" s="8" t="s">
        <v>11</v>
      </c>
      <c r="B61" s="9"/>
      <c r="C61">
        <v>32</v>
      </c>
      <c r="D61" s="11"/>
      <c r="E61" s="28" t="s">
        <v>11</v>
      </c>
      <c r="F61" s="20">
        <f t="shared" ref="F61:F68" si="0">C61/C$69</f>
        <v>0.34042553191489361</v>
      </c>
      <c r="G61" s="7"/>
    </row>
    <row r="62" spans="1:10" x14ac:dyDescent="0.25">
      <c r="A62" s="8" t="s">
        <v>32</v>
      </c>
      <c r="B62" s="9"/>
      <c r="C62">
        <v>27</v>
      </c>
      <c r="D62" s="11"/>
      <c r="E62" s="28" t="s">
        <v>32</v>
      </c>
      <c r="F62" s="20">
        <f t="shared" si="0"/>
        <v>0.28723404255319152</v>
      </c>
      <c r="G62" s="11" t="s">
        <v>19</v>
      </c>
      <c r="H62" s="14" t="s">
        <v>33</v>
      </c>
      <c r="I62" s="15">
        <v>5</v>
      </c>
      <c r="J62" s="13">
        <f t="shared" ref="J62:J73" si="1">I62/I$57</f>
        <v>0.18518518518518517</v>
      </c>
    </row>
    <row r="63" spans="1:10" x14ac:dyDescent="0.25">
      <c r="A63" s="8" t="s">
        <v>34</v>
      </c>
      <c r="B63" s="9"/>
      <c r="C63">
        <v>0</v>
      </c>
      <c r="D63" s="11"/>
      <c r="E63" s="28" t="s">
        <v>34</v>
      </c>
      <c r="F63" s="20">
        <f t="shared" si="0"/>
        <v>0</v>
      </c>
      <c r="G63" s="7"/>
      <c r="H63" s="27" t="s">
        <v>35</v>
      </c>
      <c r="I63" s="30">
        <v>1</v>
      </c>
      <c r="J63" s="20">
        <f t="shared" si="1"/>
        <v>3.7037037037037035E-2</v>
      </c>
    </row>
    <row r="64" spans="1:10" x14ac:dyDescent="0.25">
      <c r="A64" s="8" t="s">
        <v>36</v>
      </c>
      <c r="B64" s="9"/>
      <c r="C64">
        <v>8</v>
      </c>
      <c r="D64" s="11"/>
      <c r="E64" s="28" t="s">
        <v>36</v>
      </c>
      <c r="F64" s="20">
        <f t="shared" si="0"/>
        <v>8.5106382978723402E-2</v>
      </c>
      <c r="G64" s="7"/>
      <c r="H64" s="27" t="s">
        <v>37</v>
      </c>
      <c r="I64" s="30">
        <v>4</v>
      </c>
      <c r="J64" s="20">
        <f t="shared" si="1"/>
        <v>0.14814814814814814</v>
      </c>
    </row>
    <row r="65" spans="1:10" x14ac:dyDescent="0.25">
      <c r="A65" s="8" t="s">
        <v>38</v>
      </c>
      <c r="B65" s="9"/>
      <c r="C65">
        <v>0</v>
      </c>
      <c r="D65" s="11"/>
      <c r="E65" s="28" t="s">
        <v>38</v>
      </c>
      <c r="F65" s="20">
        <f t="shared" si="0"/>
        <v>0</v>
      </c>
      <c r="G65" s="7"/>
      <c r="H65" s="27" t="s">
        <v>39</v>
      </c>
      <c r="I65" s="30">
        <v>2</v>
      </c>
      <c r="J65" s="20">
        <f t="shared" si="1"/>
        <v>7.407407407407407E-2</v>
      </c>
    </row>
    <row r="66" spans="1:10" x14ac:dyDescent="0.25">
      <c r="A66" s="8" t="s">
        <v>40</v>
      </c>
      <c r="B66" s="9"/>
      <c r="C66">
        <v>7</v>
      </c>
      <c r="D66" s="11"/>
      <c r="E66" s="28" t="s">
        <v>40</v>
      </c>
      <c r="F66" s="20">
        <f t="shared" si="0"/>
        <v>7.4468085106382975E-2</v>
      </c>
      <c r="G66" s="7"/>
      <c r="H66" s="27" t="s">
        <v>41</v>
      </c>
      <c r="I66" s="30">
        <v>5</v>
      </c>
      <c r="J66" s="20">
        <f t="shared" si="1"/>
        <v>0.18518518518518517</v>
      </c>
    </row>
    <row r="67" spans="1:10" x14ac:dyDescent="0.25">
      <c r="A67" s="8" t="s">
        <v>42</v>
      </c>
      <c r="B67" s="9"/>
      <c r="C67">
        <v>0</v>
      </c>
      <c r="D67" s="11"/>
      <c r="E67" s="28" t="s">
        <v>42</v>
      </c>
      <c r="F67" s="20">
        <f t="shared" si="0"/>
        <v>0</v>
      </c>
      <c r="G67" s="7"/>
      <c r="H67" s="27" t="s">
        <v>43</v>
      </c>
      <c r="I67" s="30">
        <v>8</v>
      </c>
      <c r="J67" s="20">
        <f t="shared" si="1"/>
        <v>0.29629629629629628</v>
      </c>
    </row>
    <row r="68" spans="1:10" ht="15.75" thickBot="1" x14ac:dyDescent="0.3">
      <c r="A68" s="8" t="s">
        <v>44</v>
      </c>
      <c r="B68" s="9"/>
      <c r="C68">
        <v>17</v>
      </c>
      <c r="D68" s="11"/>
      <c r="E68" s="31" t="s">
        <v>44</v>
      </c>
      <c r="F68" s="26">
        <f t="shared" si="0"/>
        <v>0.18085106382978725</v>
      </c>
      <c r="G68" s="11" t="s">
        <v>19</v>
      </c>
      <c r="H68" s="32" t="s">
        <v>45</v>
      </c>
      <c r="I68" s="30">
        <v>0</v>
      </c>
      <c r="J68" s="20">
        <f t="shared" si="1"/>
        <v>0</v>
      </c>
    </row>
    <row r="69" spans="1:10" ht="15.75" thickBot="1" x14ac:dyDescent="0.3">
      <c r="A69" s="8" t="s">
        <v>46</v>
      </c>
      <c r="B69" s="9"/>
      <c r="C69">
        <f>SUM(C60:C68)</f>
        <v>94</v>
      </c>
      <c r="D69" s="11"/>
      <c r="E69" s="8"/>
      <c r="F69" s="24"/>
      <c r="G69" s="7"/>
      <c r="H69" s="32" t="s">
        <v>47</v>
      </c>
      <c r="I69" s="30">
        <v>1</v>
      </c>
      <c r="J69" s="20">
        <f t="shared" si="1"/>
        <v>3.7037037037037035E-2</v>
      </c>
    </row>
    <row r="70" spans="1:10" x14ac:dyDescent="0.25">
      <c r="A70" s="8"/>
      <c r="B70" s="9"/>
      <c r="D70" s="11"/>
      <c r="E70" s="33" t="s">
        <v>48</v>
      </c>
      <c r="F70" s="13"/>
      <c r="G70" s="7"/>
      <c r="H70" s="32" t="s">
        <v>49</v>
      </c>
      <c r="I70" s="30">
        <v>1</v>
      </c>
      <c r="J70" s="20">
        <f t="shared" si="1"/>
        <v>3.7037037037037035E-2</v>
      </c>
    </row>
    <row r="71" spans="1:10" x14ac:dyDescent="0.25">
      <c r="A71" s="8" t="s">
        <v>50</v>
      </c>
      <c r="B71" s="9"/>
      <c r="D71" s="11"/>
      <c r="E71" s="28" t="s">
        <v>51</v>
      </c>
      <c r="F71" s="20">
        <f>C72/C$82</f>
        <v>0.23584905660377359</v>
      </c>
      <c r="G71" s="7"/>
      <c r="H71" s="27" t="s">
        <v>52</v>
      </c>
      <c r="I71" s="30">
        <v>0</v>
      </c>
      <c r="J71" s="20">
        <f t="shared" si="1"/>
        <v>0</v>
      </c>
    </row>
    <row r="72" spans="1:10" x14ac:dyDescent="0.25">
      <c r="A72" s="8" t="s">
        <v>51</v>
      </c>
      <c r="B72" s="9"/>
      <c r="C72">
        <v>25</v>
      </c>
      <c r="D72" s="11"/>
      <c r="E72" s="28" t="s">
        <v>53</v>
      </c>
      <c r="F72" s="20">
        <f t="shared" ref="F72:F80" si="2">C73/C$82</f>
        <v>0.31132075471698112</v>
      </c>
      <c r="G72" s="7"/>
      <c r="H72" s="32" t="s">
        <v>54</v>
      </c>
      <c r="I72" s="30">
        <v>0</v>
      </c>
      <c r="J72" s="20">
        <f t="shared" si="1"/>
        <v>0</v>
      </c>
    </row>
    <row r="73" spans="1:10" ht="15.75" thickBot="1" x14ac:dyDescent="0.3">
      <c r="A73" s="8" t="s">
        <v>53</v>
      </c>
      <c r="B73" s="9"/>
      <c r="C73">
        <v>33</v>
      </c>
      <c r="D73" s="11"/>
      <c r="E73" s="28" t="s">
        <v>55</v>
      </c>
      <c r="F73" s="20">
        <f t="shared" si="2"/>
        <v>0.11320754716981132</v>
      </c>
      <c r="G73" s="7"/>
      <c r="H73" s="34" t="s">
        <v>56</v>
      </c>
      <c r="I73" s="25">
        <v>0</v>
      </c>
      <c r="J73" s="26">
        <f t="shared" si="1"/>
        <v>0</v>
      </c>
    </row>
    <row r="74" spans="1:10" x14ac:dyDescent="0.25">
      <c r="A74" s="8" t="s">
        <v>55</v>
      </c>
      <c r="B74" s="9"/>
      <c r="C74">
        <v>12</v>
      </c>
      <c r="D74" s="11"/>
      <c r="E74" s="28" t="s">
        <v>57</v>
      </c>
      <c r="F74" s="20">
        <f t="shared" si="2"/>
        <v>8.4905660377358486E-2</v>
      </c>
      <c r="G74" s="7"/>
    </row>
    <row r="75" spans="1:10" ht="15.75" thickBot="1" x14ac:dyDescent="0.3">
      <c r="A75" s="8" t="s">
        <v>57</v>
      </c>
      <c r="B75" s="9"/>
      <c r="C75">
        <v>9</v>
      </c>
      <c r="D75" s="11"/>
      <c r="E75" s="28" t="s">
        <v>58</v>
      </c>
      <c r="F75" s="20">
        <f t="shared" si="2"/>
        <v>9.4339622641509441E-2</v>
      </c>
      <c r="G75" s="11" t="s">
        <v>19</v>
      </c>
    </row>
    <row r="76" spans="1:10" x14ac:dyDescent="0.25">
      <c r="A76" s="8" t="s">
        <v>58</v>
      </c>
      <c r="B76" s="9"/>
      <c r="C76">
        <v>10</v>
      </c>
      <c r="D76" s="11"/>
      <c r="E76" s="28" t="s">
        <v>59</v>
      </c>
      <c r="F76" s="20">
        <f t="shared" si="2"/>
        <v>4.716981132075472E-2</v>
      </c>
      <c r="G76" s="7"/>
      <c r="H76" s="14" t="s">
        <v>36</v>
      </c>
      <c r="I76" s="15">
        <v>8</v>
      </c>
      <c r="J76" s="16"/>
    </row>
    <row r="77" spans="1:10" x14ac:dyDescent="0.25">
      <c r="A77" s="8" t="s">
        <v>59</v>
      </c>
      <c r="B77" s="9"/>
      <c r="C77">
        <v>5</v>
      </c>
      <c r="D77" s="11"/>
      <c r="E77" s="28" t="s">
        <v>60</v>
      </c>
      <c r="F77" s="20">
        <f t="shared" si="2"/>
        <v>0</v>
      </c>
      <c r="G77" s="7"/>
      <c r="H77" s="27" t="s">
        <v>61</v>
      </c>
      <c r="I77" s="19">
        <v>0</v>
      </c>
      <c r="J77" s="20">
        <f>I77/I$76</f>
        <v>0</v>
      </c>
    </row>
    <row r="78" spans="1:10" ht="15.75" thickBot="1" x14ac:dyDescent="0.3">
      <c r="A78" s="8" t="s">
        <v>60</v>
      </c>
      <c r="B78" s="9"/>
      <c r="C78">
        <v>0</v>
      </c>
      <c r="D78" s="11"/>
      <c r="E78" s="28" t="s">
        <v>62</v>
      </c>
      <c r="F78" s="20">
        <f t="shared" si="2"/>
        <v>0</v>
      </c>
      <c r="G78" s="7"/>
      <c r="H78" s="29" t="s">
        <v>63</v>
      </c>
      <c r="I78" s="25">
        <v>8</v>
      </c>
      <c r="J78" s="26">
        <f>I78/I$76</f>
        <v>1</v>
      </c>
    </row>
    <row r="79" spans="1:10" x14ac:dyDescent="0.25">
      <c r="A79" s="8" t="s">
        <v>62</v>
      </c>
      <c r="B79" s="9"/>
      <c r="C79">
        <v>0</v>
      </c>
      <c r="D79" s="11"/>
      <c r="E79" s="28" t="s">
        <v>64</v>
      </c>
      <c r="F79" s="20">
        <f t="shared" si="2"/>
        <v>0</v>
      </c>
      <c r="G79" s="7"/>
    </row>
    <row r="80" spans="1:10" ht="15.75" thickBot="1" x14ac:dyDescent="0.3">
      <c r="A80" s="8" t="s">
        <v>64</v>
      </c>
      <c r="B80" s="9"/>
      <c r="C80">
        <v>0</v>
      </c>
      <c r="D80" s="11"/>
      <c r="E80" s="31" t="s">
        <v>65</v>
      </c>
      <c r="F80" s="26">
        <f t="shared" si="2"/>
        <v>0.11320754716981132</v>
      </c>
      <c r="G80" s="7"/>
    </row>
    <row r="81" spans="1:10" ht="15.75" thickBot="1" x14ac:dyDescent="0.3">
      <c r="A81" s="8" t="s">
        <v>65</v>
      </c>
      <c r="B81" s="9"/>
      <c r="C81">
        <v>12</v>
      </c>
      <c r="D81" s="11"/>
      <c r="E81" s="8"/>
      <c r="F81" s="24"/>
      <c r="G81" s="7"/>
      <c r="H81" s="14" t="s">
        <v>66</v>
      </c>
      <c r="I81" s="15">
        <v>0</v>
      </c>
      <c r="J81" s="16"/>
    </row>
    <row r="82" spans="1:10" x14ac:dyDescent="0.25">
      <c r="A82" s="8" t="s">
        <v>67</v>
      </c>
      <c r="B82" s="9"/>
      <c r="C82">
        <f>SUM(C72:C81)</f>
        <v>106</v>
      </c>
      <c r="D82" s="11"/>
      <c r="E82" s="33" t="s">
        <v>68</v>
      </c>
      <c r="F82" s="13"/>
      <c r="G82" s="7"/>
      <c r="H82" s="27" t="s">
        <v>69</v>
      </c>
      <c r="I82" s="30">
        <v>0</v>
      </c>
      <c r="J82" s="20" t="e">
        <f t="shared" ref="J82:J87" si="3">I82/I$81</f>
        <v>#DIV/0!</v>
      </c>
    </row>
    <row r="83" spans="1:10" x14ac:dyDescent="0.25">
      <c r="A83" s="8"/>
      <c r="B83" s="9"/>
      <c r="D83" s="11"/>
      <c r="E83" s="35" t="s">
        <v>70</v>
      </c>
      <c r="F83" s="20">
        <f>C84/C$54</f>
        <v>0.54761904761904767</v>
      </c>
      <c r="G83" s="7"/>
      <c r="H83" s="27" t="s">
        <v>71</v>
      </c>
      <c r="I83" s="30">
        <v>0</v>
      </c>
      <c r="J83" s="20" t="e">
        <f t="shared" si="3"/>
        <v>#DIV/0!</v>
      </c>
    </row>
    <row r="84" spans="1:10" x14ac:dyDescent="0.25">
      <c r="A84" s="8" t="s">
        <v>72</v>
      </c>
      <c r="B84" s="9"/>
      <c r="C84">
        <v>23</v>
      </c>
      <c r="D84" s="11"/>
      <c r="E84" s="35" t="s">
        <v>73</v>
      </c>
      <c r="F84" s="20">
        <f>C85/C$54</f>
        <v>0.19047619047619047</v>
      </c>
      <c r="G84" s="7"/>
      <c r="H84" s="27" t="s">
        <v>74</v>
      </c>
      <c r="I84" s="30">
        <v>0</v>
      </c>
      <c r="J84" s="20" t="e">
        <f t="shared" si="3"/>
        <v>#DIV/0!</v>
      </c>
    </row>
    <row r="85" spans="1:10" ht="15.75" thickBot="1" x14ac:dyDescent="0.3">
      <c r="A85" s="8" t="s">
        <v>75</v>
      </c>
      <c r="B85" s="9"/>
      <c r="C85">
        <v>8</v>
      </c>
      <c r="D85" s="11"/>
      <c r="E85" s="36" t="s">
        <v>76</v>
      </c>
      <c r="F85" s="26">
        <f>C86/C$54</f>
        <v>0.26190476190476192</v>
      </c>
      <c r="G85" s="7"/>
      <c r="H85" s="27" t="s">
        <v>77</v>
      </c>
      <c r="I85" s="30">
        <v>0</v>
      </c>
      <c r="J85" s="20" t="e">
        <f t="shared" si="3"/>
        <v>#DIV/0!</v>
      </c>
    </row>
    <row r="86" spans="1:10" ht="15.75" thickBot="1" x14ac:dyDescent="0.3">
      <c r="A86" s="8" t="s">
        <v>78</v>
      </c>
      <c r="B86" s="9"/>
      <c r="C86">
        <v>11</v>
      </c>
      <c r="D86" s="11"/>
      <c r="E86" s="37"/>
      <c r="F86" s="24"/>
      <c r="G86" s="11" t="s">
        <v>19</v>
      </c>
      <c r="H86" s="27" t="s">
        <v>79</v>
      </c>
      <c r="I86" s="30">
        <v>0</v>
      </c>
      <c r="J86" s="20" t="e">
        <f t="shared" si="3"/>
        <v>#DIV/0!</v>
      </c>
    </row>
    <row r="87" spans="1:10" ht="15.75" thickBot="1" x14ac:dyDescent="0.3">
      <c r="A87" s="8"/>
      <c r="B87" s="9"/>
      <c r="D87" s="11"/>
      <c r="E87" s="38" t="s">
        <v>20</v>
      </c>
      <c r="F87" s="13"/>
      <c r="G87" s="7"/>
      <c r="H87" s="29" t="s">
        <v>80</v>
      </c>
      <c r="I87" s="25">
        <v>0</v>
      </c>
      <c r="J87" s="26" t="e">
        <f t="shared" si="3"/>
        <v>#DIV/0!</v>
      </c>
    </row>
    <row r="88" spans="1:10" x14ac:dyDescent="0.25">
      <c r="A88" s="8" t="s">
        <v>20</v>
      </c>
      <c r="B88" s="9"/>
      <c r="D88" s="11"/>
      <c r="E88" s="28" t="s">
        <v>81</v>
      </c>
      <c r="F88" s="20">
        <f>C89/C$54</f>
        <v>0.45238095238095238</v>
      </c>
      <c r="G88" s="7"/>
    </row>
    <row r="89" spans="1:10" ht="15.75" thickBot="1" x14ac:dyDescent="0.3">
      <c r="A89" s="8" t="s">
        <v>82</v>
      </c>
      <c r="B89" s="9"/>
      <c r="C89">
        <v>19</v>
      </c>
      <c r="D89" s="11"/>
      <c r="E89" s="31" t="s">
        <v>83</v>
      </c>
      <c r="F89" s="26">
        <f>C90/C$54</f>
        <v>0.54761904761904767</v>
      </c>
      <c r="G89" s="7"/>
    </row>
    <row r="90" spans="1:10" ht="15.75" thickBot="1" x14ac:dyDescent="0.3">
      <c r="A90" s="8" t="s">
        <v>83</v>
      </c>
      <c r="B90" s="9"/>
      <c r="C90">
        <v>23</v>
      </c>
      <c r="D90" s="11"/>
      <c r="E90" s="39"/>
      <c r="F90" s="40"/>
      <c r="G90" s="7"/>
      <c r="H90" s="14" t="s">
        <v>40</v>
      </c>
      <c r="I90" s="15">
        <v>7</v>
      </c>
      <c r="J90" s="16"/>
    </row>
    <row r="91" spans="1:10" x14ac:dyDescent="0.25">
      <c r="A91" s="8"/>
      <c r="B91" s="9"/>
      <c r="D91" s="11"/>
      <c r="E91" s="14" t="s">
        <v>84</v>
      </c>
      <c r="F91" s="13"/>
      <c r="G91" s="7"/>
      <c r="H91" s="27" t="s">
        <v>85</v>
      </c>
      <c r="I91" s="30">
        <v>0</v>
      </c>
      <c r="J91" s="20">
        <f>I91/I$90</f>
        <v>0</v>
      </c>
    </row>
    <row r="92" spans="1:10" x14ac:dyDescent="0.25">
      <c r="A92" t="s">
        <v>84</v>
      </c>
      <c r="D92" s="11"/>
      <c r="E92" s="27" t="s">
        <v>86</v>
      </c>
      <c r="F92" s="20">
        <f>C93/C$90</f>
        <v>0.69565217391304346</v>
      </c>
      <c r="G92" s="7"/>
      <c r="H92" s="27" t="s">
        <v>87</v>
      </c>
      <c r="I92" s="19">
        <v>0</v>
      </c>
      <c r="J92" s="20">
        <f>I92/I$90</f>
        <v>0</v>
      </c>
    </row>
    <row r="93" spans="1:10" ht="15.75" thickBot="1" x14ac:dyDescent="0.3">
      <c r="A93" t="s">
        <v>86</v>
      </c>
      <c r="C93">
        <v>16</v>
      </c>
      <c r="D93" s="11"/>
      <c r="E93" s="29" t="s">
        <v>88</v>
      </c>
      <c r="F93" s="26">
        <f>C94/C$90</f>
        <v>0.30434782608695654</v>
      </c>
      <c r="G93" s="7"/>
      <c r="H93" s="27" t="s">
        <v>89</v>
      </c>
      <c r="I93" s="30">
        <v>2</v>
      </c>
      <c r="J93" s="20">
        <f>I93/I$90</f>
        <v>0.2857142857142857</v>
      </c>
    </row>
    <row r="94" spans="1:10" ht="15.75" thickBot="1" x14ac:dyDescent="0.3">
      <c r="A94" t="s">
        <v>88</v>
      </c>
      <c r="C94">
        <v>7</v>
      </c>
      <c r="D94" s="11"/>
      <c r="E94" s="39"/>
      <c r="F94" s="40"/>
      <c r="G94" s="7"/>
      <c r="H94" s="27" t="s">
        <v>90</v>
      </c>
      <c r="I94" s="30">
        <v>1</v>
      </c>
      <c r="J94" s="20">
        <f>I94/I$90</f>
        <v>0.14285714285714285</v>
      </c>
    </row>
    <row r="95" spans="1:10" ht="15.75" thickBot="1" x14ac:dyDescent="0.3">
      <c r="A95" s="8"/>
      <c r="B95" s="9"/>
      <c r="D95" s="11"/>
      <c r="E95" s="33" t="s">
        <v>91</v>
      </c>
      <c r="F95" s="13"/>
      <c r="G95" s="7"/>
      <c r="H95" s="29" t="s">
        <v>92</v>
      </c>
      <c r="I95" s="25">
        <v>4</v>
      </c>
      <c r="J95" s="26">
        <f>I95/I$90</f>
        <v>0.5714285714285714</v>
      </c>
    </row>
    <row r="96" spans="1:10" x14ac:dyDescent="0.25">
      <c r="A96" s="8" t="s">
        <v>93</v>
      </c>
      <c r="B96" s="9"/>
      <c r="D96" s="11"/>
      <c r="E96" s="28" t="s">
        <v>94</v>
      </c>
      <c r="F96" s="20">
        <f t="shared" ref="F96:F101" si="4">C97/C$54</f>
        <v>0.40476190476190477</v>
      </c>
      <c r="G96" s="7"/>
    </row>
    <row r="97" spans="1:10" ht="15.75" thickBot="1" x14ac:dyDescent="0.3">
      <c r="A97" s="8" t="s">
        <v>94</v>
      </c>
      <c r="B97" s="9"/>
      <c r="C97">
        <v>17</v>
      </c>
      <c r="D97" s="11"/>
      <c r="E97" s="17" t="s">
        <v>95</v>
      </c>
      <c r="F97" s="20">
        <f t="shared" si="4"/>
        <v>4.7619047619047616E-2</v>
      </c>
      <c r="G97" s="7"/>
    </row>
    <row r="98" spans="1:10" x14ac:dyDescent="0.25">
      <c r="A98" s="8" t="s">
        <v>95</v>
      </c>
      <c r="B98" s="9"/>
      <c r="C98">
        <v>2</v>
      </c>
      <c r="D98" s="11"/>
      <c r="E98" s="17" t="s">
        <v>96</v>
      </c>
      <c r="F98" s="20">
        <f t="shared" si="4"/>
        <v>0</v>
      </c>
      <c r="G98" s="7"/>
      <c r="H98" s="14" t="s">
        <v>44</v>
      </c>
      <c r="I98" s="15">
        <v>17</v>
      </c>
      <c r="J98" s="16"/>
    </row>
    <row r="99" spans="1:10" x14ac:dyDescent="0.25">
      <c r="A99" s="8" t="s">
        <v>96</v>
      </c>
      <c r="B99" s="9"/>
      <c r="C99">
        <v>0</v>
      </c>
      <c r="D99" s="11"/>
      <c r="E99" s="17" t="s">
        <v>97</v>
      </c>
      <c r="F99" s="20">
        <f t="shared" si="4"/>
        <v>0</v>
      </c>
      <c r="G99" s="7"/>
      <c r="H99" s="27" t="s">
        <v>98</v>
      </c>
      <c r="I99" s="30">
        <v>2</v>
      </c>
      <c r="J99" s="20">
        <f>I99/I$98</f>
        <v>0.11764705882352941</v>
      </c>
    </row>
    <row r="100" spans="1:10" x14ac:dyDescent="0.25">
      <c r="A100" s="8" t="s">
        <v>97</v>
      </c>
      <c r="B100" s="9"/>
      <c r="C100">
        <v>0</v>
      </c>
      <c r="D100" s="11"/>
      <c r="E100" s="17" t="s">
        <v>99</v>
      </c>
      <c r="F100" s="20">
        <f t="shared" si="4"/>
        <v>0.54761904761904767</v>
      </c>
      <c r="G100" s="7"/>
      <c r="H100" s="27" t="s">
        <v>100</v>
      </c>
      <c r="I100" s="30">
        <v>0</v>
      </c>
      <c r="J100" s="20">
        <f t="shared" ref="J100:J108" si="5">I100/I$98</f>
        <v>0</v>
      </c>
    </row>
    <row r="101" spans="1:10" ht="15.75" thickBot="1" x14ac:dyDescent="0.3">
      <c r="A101" s="8" t="s">
        <v>99</v>
      </c>
      <c r="B101" s="9"/>
      <c r="C101">
        <v>23</v>
      </c>
      <c r="D101" s="11"/>
      <c r="E101" s="22" t="s">
        <v>44</v>
      </c>
      <c r="F101" s="26">
        <f t="shared" si="4"/>
        <v>0</v>
      </c>
      <c r="G101" s="7"/>
      <c r="H101" s="27" t="s">
        <v>101</v>
      </c>
      <c r="I101" s="30">
        <v>0</v>
      </c>
      <c r="J101" s="20">
        <f t="shared" si="5"/>
        <v>0</v>
      </c>
    </row>
    <row r="102" spans="1:10" ht="15.75" thickBot="1" x14ac:dyDescent="0.3">
      <c r="A102" s="8" t="s">
        <v>44</v>
      </c>
      <c r="B102" s="9"/>
      <c r="C102">
        <v>0</v>
      </c>
      <c r="D102" s="11"/>
      <c r="E102" s="11"/>
      <c r="F102" s="24"/>
      <c r="G102" s="7"/>
      <c r="H102" s="27" t="s">
        <v>102</v>
      </c>
      <c r="I102" s="30">
        <v>1</v>
      </c>
      <c r="J102" s="20">
        <f t="shared" si="5"/>
        <v>5.8823529411764705E-2</v>
      </c>
    </row>
    <row r="103" spans="1:10" x14ac:dyDescent="0.25">
      <c r="A103" s="8"/>
      <c r="B103" s="9"/>
      <c r="D103" s="11"/>
      <c r="E103" s="12" t="s">
        <v>103</v>
      </c>
      <c r="F103" s="13"/>
      <c r="G103" s="7"/>
      <c r="H103" s="27" t="s">
        <v>104</v>
      </c>
      <c r="I103" s="30">
        <v>4</v>
      </c>
      <c r="J103" s="20">
        <f t="shared" si="5"/>
        <v>0.23529411764705882</v>
      </c>
    </row>
    <row r="104" spans="1:10" x14ac:dyDescent="0.25">
      <c r="A104" s="8" t="s">
        <v>105</v>
      </c>
      <c r="B104" s="9"/>
      <c r="D104" s="11"/>
      <c r="E104" s="17" t="s">
        <v>106</v>
      </c>
      <c r="F104" s="20">
        <f>C105/C$54</f>
        <v>0.6428571428571429</v>
      </c>
      <c r="G104" s="7"/>
      <c r="H104" s="41" t="s">
        <v>107</v>
      </c>
      <c r="I104" s="30">
        <v>1</v>
      </c>
      <c r="J104" s="20">
        <f t="shared" si="5"/>
        <v>5.8823529411764705E-2</v>
      </c>
    </row>
    <row r="105" spans="1:10" x14ac:dyDescent="0.25">
      <c r="A105" s="8" t="s">
        <v>106</v>
      </c>
      <c r="B105" s="9"/>
      <c r="C105">
        <v>27</v>
      </c>
      <c r="D105" s="11"/>
      <c r="E105" s="17" t="s">
        <v>108</v>
      </c>
      <c r="F105" s="20">
        <f>C106/C$54</f>
        <v>0.21428571428571427</v>
      </c>
      <c r="G105" s="7"/>
      <c r="H105" s="41" t="s">
        <v>109</v>
      </c>
      <c r="I105" s="30">
        <v>1</v>
      </c>
      <c r="J105" s="20">
        <f t="shared" si="5"/>
        <v>5.8823529411764705E-2</v>
      </c>
    </row>
    <row r="106" spans="1:10" x14ac:dyDescent="0.25">
      <c r="A106" s="8" t="s">
        <v>108</v>
      </c>
      <c r="B106" s="9"/>
      <c r="C106">
        <v>9</v>
      </c>
      <c r="D106" s="11"/>
      <c r="E106" s="17" t="s">
        <v>110</v>
      </c>
      <c r="F106" s="20">
        <f>C107/C$54</f>
        <v>4.7619047619047616E-2</v>
      </c>
      <c r="G106" s="7"/>
      <c r="H106" s="41" t="s">
        <v>111</v>
      </c>
      <c r="I106" s="30">
        <v>7</v>
      </c>
      <c r="J106" s="20">
        <f t="shared" si="5"/>
        <v>0.41176470588235292</v>
      </c>
    </row>
    <row r="107" spans="1:10" x14ac:dyDescent="0.25">
      <c r="A107" s="8" t="s">
        <v>110</v>
      </c>
      <c r="B107" s="9"/>
      <c r="C107">
        <v>2</v>
      </c>
      <c r="D107" s="11"/>
      <c r="E107" s="17" t="s">
        <v>112</v>
      </c>
      <c r="F107" s="20">
        <f>C108/C$54</f>
        <v>4.7619047619047616E-2</v>
      </c>
      <c r="G107" s="7"/>
      <c r="H107" s="41" t="s">
        <v>113</v>
      </c>
      <c r="I107" s="30">
        <v>1</v>
      </c>
      <c r="J107" s="20">
        <f t="shared" si="5"/>
        <v>5.8823529411764705E-2</v>
      </c>
    </row>
    <row r="108" spans="1:10" ht="15.75" thickBot="1" x14ac:dyDescent="0.3">
      <c r="A108" s="8" t="s">
        <v>112</v>
      </c>
      <c r="B108" s="9"/>
      <c r="C108">
        <v>2</v>
      </c>
      <c r="E108" s="22" t="s">
        <v>114</v>
      </c>
      <c r="F108" s="26">
        <f>C109/C$54</f>
        <v>4.7619047619047616E-2</v>
      </c>
      <c r="H108" s="42" t="s">
        <v>115</v>
      </c>
      <c r="I108" s="25">
        <v>0</v>
      </c>
      <c r="J108" s="26">
        <f t="shared" si="5"/>
        <v>0</v>
      </c>
    </row>
    <row r="109" spans="1:10" x14ac:dyDescent="0.25">
      <c r="A109" s="8" t="s">
        <v>114</v>
      </c>
      <c r="B109" s="9"/>
      <c r="C109">
        <v>2</v>
      </c>
      <c r="E109" s="11"/>
      <c r="F109" s="24"/>
    </row>
    <row r="110" spans="1:10" x14ac:dyDescent="0.25">
      <c r="A110" s="8" t="s">
        <v>116</v>
      </c>
      <c r="B110" s="9"/>
      <c r="C110">
        <v>0</v>
      </c>
      <c r="E110" s="11"/>
      <c r="F110" s="24"/>
    </row>
    <row r="111" spans="1:10" x14ac:dyDescent="0.25">
      <c r="A111" s="8"/>
      <c r="B111" s="9"/>
      <c r="E111" s="11"/>
      <c r="F111" s="24"/>
    </row>
    <row r="112" spans="1:10" ht="15.75" thickBot="1" x14ac:dyDescent="0.3"/>
    <row r="113" spans="1:2" x14ac:dyDescent="0.25">
      <c r="A113" s="43" t="s">
        <v>117</v>
      </c>
      <c r="B113" s="82">
        <f>SUM(B114:B117)</f>
        <v>134537.77000000002</v>
      </c>
    </row>
    <row r="114" spans="1:2" x14ac:dyDescent="0.25">
      <c r="A114" s="44" t="s">
        <v>94</v>
      </c>
      <c r="B114" s="45">
        <f>SUM(F2:F5,F7:F9,F13:F14,F19,F21:F22,F25,F28,F35:F36,F41,,)</f>
        <v>44031.570000000007</v>
      </c>
    </row>
    <row r="115" spans="1:2" x14ac:dyDescent="0.25">
      <c r="A115" s="44" t="s">
        <v>118</v>
      </c>
      <c r="B115" s="45">
        <f>SUM(F6,F10:F12,F15:F18,F20,F23:F24,F26:F27,F29:F34,F37:F38,F42,F43,)</f>
        <v>81437.58</v>
      </c>
    </row>
    <row r="116" spans="1:2" x14ac:dyDescent="0.25">
      <c r="A116" s="44" t="s">
        <v>119</v>
      </c>
      <c r="B116" s="45">
        <f>SUM(F39:F40,)</f>
        <v>9068.6200000000008</v>
      </c>
    </row>
    <row r="117" spans="1:2" x14ac:dyDescent="0.25">
      <c r="A117" s="44" t="s">
        <v>44</v>
      </c>
      <c r="B117" s="46">
        <v>0</v>
      </c>
    </row>
    <row r="118" spans="1:2" ht="15.75" thickBot="1" x14ac:dyDescent="0.3">
      <c r="A118" s="47"/>
      <c r="B118" s="48"/>
    </row>
  </sheetData>
  <mergeCells count="1">
    <mergeCell ref="A50:F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topLeftCell="A60" workbookViewId="0">
      <selection activeCell="B119" sqref="B119"/>
    </sheetView>
  </sheetViews>
  <sheetFormatPr baseColWidth="10" defaultRowHeight="15" x14ac:dyDescent="0.25"/>
  <cols>
    <col min="1" max="1" width="10.42578125" customWidth="1"/>
    <col min="2" max="2" width="30.28515625" customWidth="1"/>
    <col min="3" max="3" width="13" customWidth="1"/>
    <col min="4" max="4" width="5.7109375" customWidth="1"/>
    <col min="5" max="5" width="7.85546875" customWidth="1"/>
    <col min="7" max="7" width="39.2851562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45870</v>
      </c>
      <c r="B2" t="s">
        <v>1385</v>
      </c>
      <c r="C2" t="s">
        <v>639</v>
      </c>
      <c r="D2" t="s">
        <v>22</v>
      </c>
      <c r="E2" t="s">
        <v>118</v>
      </c>
      <c r="F2" s="59">
        <v>2226</v>
      </c>
      <c r="G2" t="s">
        <v>1322</v>
      </c>
      <c r="H2" t="s">
        <v>1388</v>
      </c>
    </row>
    <row r="3" spans="1:8" x14ac:dyDescent="0.25">
      <c r="A3" s="9">
        <v>45870</v>
      </c>
      <c r="B3" t="s">
        <v>1390</v>
      </c>
      <c r="C3" t="s">
        <v>638</v>
      </c>
      <c r="D3" t="s">
        <v>24</v>
      </c>
      <c r="E3" t="s">
        <v>190</v>
      </c>
      <c r="F3" s="59">
        <v>1301.52</v>
      </c>
      <c r="G3" t="s">
        <v>375</v>
      </c>
      <c r="H3" t="s">
        <v>1405</v>
      </c>
    </row>
    <row r="4" spans="1:8" x14ac:dyDescent="0.25">
      <c r="A4" s="9">
        <v>45871</v>
      </c>
      <c r="B4" t="s">
        <v>1394</v>
      </c>
      <c r="C4" t="s">
        <v>106</v>
      </c>
      <c r="D4" t="s">
        <v>22</v>
      </c>
      <c r="E4" t="s">
        <v>118</v>
      </c>
      <c r="F4" s="59">
        <v>1019</v>
      </c>
      <c r="G4" t="s">
        <v>197</v>
      </c>
      <c r="H4" t="s">
        <v>223</v>
      </c>
    </row>
    <row r="5" spans="1:8" x14ac:dyDescent="0.25">
      <c r="A5" s="9">
        <v>45871</v>
      </c>
      <c r="B5" t="s">
        <v>1176</v>
      </c>
      <c r="C5" t="s">
        <v>106</v>
      </c>
      <c r="D5" t="s">
        <v>24</v>
      </c>
      <c r="E5" t="s">
        <v>118</v>
      </c>
      <c r="F5" s="59">
        <v>1914</v>
      </c>
      <c r="G5" t="s">
        <v>203</v>
      </c>
      <c r="H5" t="s">
        <v>1406</v>
      </c>
    </row>
    <row r="6" spans="1:8" x14ac:dyDescent="0.25">
      <c r="A6" s="9">
        <v>45873</v>
      </c>
      <c r="B6" t="s">
        <v>1400</v>
      </c>
      <c r="C6" t="s">
        <v>106</v>
      </c>
      <c r="D6" t="s">
        <v>22</v>
      </c>
      <c r="E6" t="s">
        <v>118</v>
      </c>
      <c r="F6" s="59">
        <v>1216</v>
      </c>
      <c r="G6" t="s">
        <v>1403</v>
      </c>
      <c r="H6" t="s">
        <v>815</v>
      </c>
    </row>
    <row r="7" spans="1:8" x14ac:dyDescent="0.25">
      <c r="A7" s="9">
        <v>45873</v>
      </c>
      <c r="B7" t="s">
        <v>482</v>
      </c>
      <c r="C7" t="s">
        <v>106</v>
      </c>
      <c r="D7" t="s">
        <v>22</v>
      </c>
      <c r="E7" t="s">
        <v>118</v>
      </c>
      <c r="F7" s="59">
        <v>1650</v>
      </c>
      <c r="G7" t="s">
        <v>578</v>
      </c>
      <c r="H7" t="s">
        <v>525</v>
      </c>
    </row>
    <row r="8" spans="1:8" x14ac:dyDescent="0.25">
      <c r="A8" s="9">
        <v>45874</v>
      </c>
      <c r="B8" t="s">
        <v>1409</v>
      </c>
      <c r="C8" t="s">
        <v>106</v>
      </c>
      <c r="D8" t="s">
        <v>22</v>
      </c>
      <c r="E8" t="s">
        <v>119</v>
      </c>
      <c r="F8" s="59">
        <v>1403</v>
      </c>
      <c r="G8" t="s">
        <v>1412</v>
      </c>
      <c r="H8" t="s">
        <v>229</v>
      </c>
    </row>
    <row r="9" spans="1:8" x14ac:dyDescent="0.25">
      <c r="A9" s="9">
        <v>45874</v>
      </c>
      <c r="B9" t="s">
        <v>1367</v>
      </c>
      <c r="C9" t="s">
        <v>106</v>
      </c>
      <c r="D9" t="s">
        <v>22</v>
      </c>
      <c r="E9" t="s">
        <v>118</v>
      </c>
      <c r="F9" s="59">
        <v>960</v>
      </c>
      <c r="G9" t="s">
        <v>1415</v>
      </c>
      <c r="H9" t="s">
        <v>279</v>
      </c>
    </row>
    <row r="10" spans="1:8" x14ac:dyDescent="0.25">
      <c r="A10" s="9">
        <v>45874</v>
      </c>
      <c r="B10" t="s">
        <v>659</v>
      </c>
      <c r="C10" t="s">
        <v>106</v>
      </c>
      <c r="D10" t="s">
        <v>22</v>
      </c>
      <c r="E10" t="s">
        <v>118</v>
      </c>
      <c r="F10" s="59">
        <v>1703</v>
      </c>
      <c r="G10" t="s">
        <v>1417</v>
      </c>
      <c r="H10" t="s">
        <v>1420</v>
      </c>
    </row>
    <row r="11" spans="1:8" x14ac:dyDescent="0.25">
      <c r="A11" s="9">
        <v>45873</v>
      </c>
      <c r="B11" t="s">
        <v>1422</v>
      </c>
      <c r="C11" t="s">
        <v>106</v>
      </c>
      <c r="D11" t="s">
        <v>22</v>
      </c>
      <c r="E11" t="s">
        <v>118</v>
      </c>
      <c r="F11" s="59">
        <v>1890.8</v>
      </c>
      <c r="G11" t="s">
        <v>1425</v>
      </c>
      <c r="H11" t="s">
        <v>223</v>
      </c>
    </row>
    <row r="12" spans="1:8" x14ac:dyDescent="0.25">
      <c r="A12" s="9">
        <v>45876</v>
      </c>
      <c r="B12" t="s">
        <v>383</v>
      </c>
      <c r="C12" t="s">
        <v>106</v>
      </c>
      <c r="D12" t="s">
        <v>24</v>
      </c>
      <c r="E12" t="s">
        <v>118</v>
      </c>
      <c r="F12" s="59">
        <v>1575</v>
      </c>
      <c r="G12" t="s">
        <v>386</v>
      </c>
      <c r="H12" t="s">
        <v>223</v>
      </c>
    </row>
    <row r="13" spans="1:8" x14ac:dyDescent="0.25">
      <c r="A13" s="9">
        <v>45877</v>
      </c>
      <c r="B13" t="s">
        <v>1428</v>
      </c>
      <c r="C13" t="s">
        <v>638</v>
      </c>
      <c r="D13" t="s">
        <v>22</v>
      </c>
      <c r="E13" t="s">
        <v>190</v>
      </c>
      <c r="F13" s="59">
        <v>1845</v>
      </c>
      <c r="G13" t="s">
        <v>1431</v>
      </c>
      <c r="H13" t="s">
        <v>1451</v>
      </c>
    </row>
    <row r="14" spans="1:8" x14ac:dyDescent="0.25">
      <c r="A14" s="9">
        <v>45877</v>
      </c>
      <c r="B14" t="s">
        <v>1433</v>
      </c>
      <c r="C14" t="s">
        <v>106</v>
      </c>
      <c r="D14" t="s">
        <v>22</v>
      </c>
      <c r="E14" t="s">
        <v>213</v>
      </c>
      <c r="F14" s="59">
        <v>1172.3</v>
      </c>
      <c r="G14" t="s">
        <v>1436</v>
      </c>
      <c r="H14" t="s">
        <v>1437</v>
      </c>
    </row>
    <row r="15" spans="1:8" x14ac:dyDescent="0.25">
      <c r="A15" s="9">
        <v>45878</v>
      </c>
      <c r="B15" t="s">
        <v>585</v>
      </c>
      <c r="C15" t="s">
        <v>106</v>
      </c>
      <c r="D15" t="s">
        <v>24</v>
      </c>
      <c r="E15" t="s">
        <v>118</v>
      </c>
      <c r="F15" s="59">
        <v>2221</v>
      </c>
      <c r="G15" t="s">
        <v>1440</v>
      </c>
      <c r="H15" t="s">
        <v>1452</v>
      </c>
    </row>
    <row r="16" spans="1:8" x14ac:dyDescent="0.25">
      <c r="A16" s="9">
        <v>45878</v>
      </c>
      <c r="B16" t="s">
        <v>1442</v>
      </c>
      <c r="C16" t="s">
        <v>106</v>
      </c>
      <c r="D16" t="s">
        <v>22</v>
      </c>
      <c r="E16" t="s">
        <v>190</v>
      </c>
      <c r="F16" s="59">
        <v>1176</v>
      </c>
      <c r="G16" t="s">
        <v>1445</v>
      </c>
      <c r="H16" t="s">
        <v>1453</v>
      </c>
    </row>
    <row r="17" spans="1:8" x14ac:dyDescent="0.25">
      <c r="A17" s="9">
        <v>45880</v>
      </c>
      <c r="B17" t="s">
        <v>1460</v>
      </c>
      <c r="C17" t="s">
        <v>106</v>
      </c>
      <c r="D17" t="s">
        <v>22</v>
      </c>
      <c r="E17" t="s">
        <v>118</v>
      </c>
      <c r="F17" s="59">
        <v>3398.15</v>
      </c>
      <c r="G17" t="s">
        <v>1463</v>
      </c>
      <c r="H17" t="s">
        <v>1464</v>
      </c>
    </row>
    <row r="18" spans="1:8" x14ac:dyDescent="0.25">
      <c r="A18" s="9">
        <v>45881</v>
      </c>
      <c r="B18" t="s">
        <v>1466</v>
      </c>
      <c r="C18" t="s">
        <v>638</v>
      </c>
      <c r="D18" t="s">
        <v>24</v>
      </c>
      <c r="E18" t="s">
        <v>190</v>
      </c>
      <c r="F18" s="59">
        <v>2062.48</v>
      </c>
      <c r="G18" t="s">
        <v>1469</v>
      </c>
      <c r="H18" t="s">
        <v>316</v>
      </c>
    </row>
    <row r="19" spans="1:8" x14ac:dyDescent="0.25">
      <c r="A19" s="9">
        <v>45881</v>
      </c>
      <c r="B19" t="s">
        <v>1471</v>
      </c>
      <c r="C19" t="s">
        <v>106</v>
      </c>
      <c r="D19" t="s">
        <v>22</v>
      </c>
      <c r="E19" t="s">
        <v>118</v>
      </c>
      <c r="F19" s="59">
        <v>3115.05</v>
      </c>
      <c r="G19" t="s">
        <v>1474</v>
      </c>
      <c r="H19" t="s">
        <v>322</v>
      </c>
    </row>
    <row r="20" spans="1:8" x14ac:dyDescent="0.25">
      <c r="A20" s="9">
        <v>45881</v>
      </c>
      <c r="B20" t="s">
        <v>329</v>
      </c>
      <c r="C20" t="s">
        <v>638</v>
      </c>
      <c r="D20" t="s">
        <v>24</v>
      </c>
      <c r="E20" t="s">
        <v>118</v>
      </c>
      <c r="F20" s="59">
        <v>5021.2</v>
      </c>
      <c r="G20" t="s">
        <v>1477</v>
      </c>
      <c r="H20" t="s">
        <v>215</v>
      </c>
    </row>
    <row r="21" spans="1:8" x14ac:dyDescent="0.25">
      <c r="A21" s="9">
        <v>45882</v>
      </c>
      <c r="B21" t="s">
        <v>1479</v>
      </c>
      <c r="C21" t="s">
        <v>639</v>
      </c>
      <c r="D21" t="s">
        <v>22</v>
      </c>
      <c r="E21" t="s">
        <v>190</v>
      </c>
      <c r="F21" s="59">
        <v>1430</v>
      </c>
      <c r="G21" t="s">
        <v>1482</v>
      </c>
      <c r="H21" t="s">
        <v>1483</v>
      </c>
    </row>
    <row r="22" spans="1:8" x14ac:dyDescent="0.25">
      <c r="A22" s="9">
        <v>45883</v>
      </c>
      <c r="B22" t="s">
        <v>1489</v>
      </c>
      <c r="C22" t="s">
        <v>639</v>
      </c>
      <c r="D22" t="s">
        <v>22</v>
      </c>
      <c r="E22" t="s">
        <v>119</v>
      </c>
      <c r="F22" s="59">
        <v>2163</v>
      </c>
      <c r="G22" t="s">
        <v>1492</v>
      </c>
      <c r="H22" t="s">
        <v>223</v>
      </c>
    </row>
    <row r="23" spans="1:8" x14ac:dyDescent="0.25">
      <c r="A23" s="9">
        <v>45876</v>
      </c>
      <c r="B23" t="s">
        <v>1494</v>
      </c>
      <c r="C23" t="s">
        <v>106</v>
      </c>
      <c r="D23" t="s">
        <v>22</v>
      </c>
      <c r="E23" t="s">
        <v>118</v>
      </c>
      <c r="F23" s="59">
        <v>1282.5</v>
      </c>
      <c r="G23" t="s">
        <v>1497</v>
      </c>
      <c r="H23" t="s">
        <v>223</v>
      </c>
    </row>
    <row r="24" spans="1:8" x14ac:dyDescent="0.25">
      <c r="A24" s="9">
        <v>45887</v>
      </c>
      <c r="B24" t="s">
        <v>1500</v>
      </c>
      <c r="C24" t="s">
        <v>638</v>
      </c>
      <c r="D24" t="s">
        <v>22</v>
      </c>
      <c r="E24" t="s">
        <v>190</v>
      </c>
      <c r="F24" s="59">
        <v>1019</v>
      </c>
      <c r="G24" t="s">
        <v>197</v>
      </c>
      <c r="H24" t="s">
        <v>1508</v>
      </c>
    </row>
    <row r="25" spans="1:8" x14ac:dyDescent="0.25">
      <c r="A25" s="9">
        <v>45870</v>
      </c>
      <c r="B25" t="s">
        <v>1510</v>
      </c>
      <c r="C25" t="s">
        <v>106</v>
      </c>
      <c r="D25" t="s">
        <v>22</v>
      </c>
      <c r="E25" t="s">
        <v>190</v>
      </c>
      <c r="F25" s="59">
        <v>997.92</v>
      </c>
      <c r="G25" t="s">
        <v>1513</v>
      </c>
      <c r="H25" t="s">
        <v>295</v>
      </c>
    </row>
    <row r="26" spans="1:8" x14ac:dyDescent="0.25">
      <c r="A26" s="9">
        <v>45882</v>
      </c>
      <c r="B26" t="s">
        <v>281</v>
      </c>
      <c r="C26" t="s">
        <v>638</v>
      </c>
      <c r="D26" t="s">
        <v>24</v>
      </c>
      <c r="E26" t="s">
        <v>118</v>
      </c>
      <c r="F26" s="59">
        <v>2229.98</v>
      </c>
      <c r="G26" t="s">
        <v>1515</v>
      </c>
      <c r="H26" t="s">
        <v>1561</v>
      </c>
    </row>
    <row r="27" spans="1:8" x14ac:dyDescent="0.25">
      <c r="A27" s="9">
        <v>45884</v>
      </c>
      <c r="B27" t="s">
        <v>1517</v>
      </c>
      <c r="C27" t="s">
        <v>106</v>
      </c>
      <c r="D27" t="s">
        <v>24</v>
      </c>
      <c r="E27" t="s">
        <v>118</v>
      </c>
      <c r="F27" s="59">
        <v>32536.26</v>
      </c>
      <c r="G27" t="s">
        <v>1519</v>
      </c>
      <c r="H27" t="s">
        <v>1520</v>
      </c>
    </row>
    <row r="28" spans="1:8" x14ac:dyDescent="0.25">
      <c r="A28" s="9">
        <v>45873</v>
      </c>
      <c r="B28" t="s">
        <v>1523</v>
      </c>
      <c r="C28" t="s">
        <v>106</v>
      </c>
      <c r="D28" t="s">
        <v>22</v>
      </c>
      <c r="E28" t="s">
        <v>190</v>
      </c>
      <c r="F28" s="59">
        <v>2944.24</v>
      </c>
      <c r="G28" t="s">
        <v>567</v>
      </c>
      <c r="H28" t="s">
        <v>1527</v>
      </c>
    </row>
    <row r="29" spans="1:8" x14ac:dyDescent="0.25">
      <c r="A29" s="9">
        <v>45874</v>
      </c>
      <c r="B29" t="s">
        <v>1530</v>
      </c>
      <c r="C29" t="s">
        <v>638</v>
      </c>
      <c r="D29" t="s">
        <v>22</v>
      </c>
      <c r="E29" t="s">
        <v>190</v>
      </c>
      <c r="F29" s="59">
        <v>2106.6999999999998</v>
      </c>
      <c r="G29" t="s">
        <v>1361</v>
      </c>
      <c r="H29" t="s">
        <v>1562</v>
      </c>
    </row>
    <row r="30" spans="1:8" x14ac:dyDescent="0.25">
      <c r="A30" s="9">
        <v>45889</v>
      </c>
      <c r="B30" t="s">
        <v>1534</v>
      </c>
      <c r="C30" t="s">
        <v>639</v>
      </c>
      <c r="D30" t="s">
        <v>22</v>
      </c>
      <c r="E30" t="s">
        <v>190</v>
      </c>
      <c r="F30" s="59">
        <v>1438</v>
      </c>
      <c r="G30" t="s">
        <v>543</v>
      </c>
      <c r="H30" t="s">
        <v>1537</v>
      </c>
    </row>
    <row r="31" spans="1:8" x14ac:dyDescent="0.25">
      <c r="A31" s="9">
        <v>45889</v>
      </c>
      <c r="B31" t="s">
        <v>1539</v>
      </c>
      <c r="C31" t="s">
        <v>639</v>
      </c>
      <c r="D31" t="s">
        <v>22</v>
      </c>
      <c r="E31" t="s">
        <v>190</v>
      </c>
      <c r="F31" s="59">
        <v>1176</v>
      </c>
      <c r="G31" t="s">
        <v>1445</v>
      </c>
      <c r="H31" t="s">
        <v>316</v>
      </c>
    </row>
    <row r="32" spans="1:8" x14ac:dyDescent="0.25">
      <c r="A32" s="9">
        <v>45890</v>
      </c>
      <c r="B32" t="s">
        <v>1543</v>
      </c>
      <c r="C32" t="s">
        <v>106</v>
      </c>
      <c r="D32" t="s">
        <v>22</v>
      </c>
      <c r="E32" t="s">
        <v>119</v>
      </c>
      <c r="F32" s="59">
        <v>1845</v>
      </c>
      <c r="G32" t="s">
        <v>1431</v>
      </c>
      <c r="H32" t="s">
        <v>339</v>
      </c>
    </row>
    <row r="33" spans="1:8" x14ac:dyDescent="0.25">
      <c r="A33" s="9">
        <v>45890</v>
      </c>
      <c r="B33" t="s">
        <v>1547</v>
      </c>
      <c r="C33" t="s">
        <v>106</v>
      </c>
      <c r="D33" t="s">
        <v>22</v>
      </c>
      <c r="E33" t="s">
        <v>190</v>
      </c>
      <c r="F33" s="59">
        <v>2826</v>
      </c>
      <c r="G33" t="s">
        <v>1550</v>
      </c>
      <c r="H33" t="s">
        <v>734</v>
      </c>
    </row>
    <row r="34" spans="1:8" x14ac:dyDescent="0.25">
      <c r="A34" s="9">
        <v>45891</v>
      </c>
      <c r="B34" t="s">
        <v>1552</v>
      </c>
      <c r="C34" t="s">
        <v>638</v>
      </c>
      <c r="D34" t="s">
        <v>22</v>
      </c>
      <c r="E34" t="s">
        <v>190</v>
      </c>
      <c r="F34" s="59">
        <v>2111</v>
      </c>
      <c r="G34" t="s">
        <v>1555</v>
      </c>
      <c r="H34" t="s">
        <v>223</v>
      </c>
    </row>
    <row r="35" spans="1:8" x14ac:dyDescent="0.25">
      <c r="A35" s="9">
        <v>45891</v>
      </c>
      <c r="B35" t="s">
        <v>1557</v>
      </c>
      <c r="C35" t="s">
        <v>638</v>
      </c>
      <c r="D35" t="s">
        <v>24</v>
      </c>
      <c r="E35" t="s">
        <v>190</v>
      </c>
      <c r="F35" s="59">
        <v>8404.2000000000007</v>
      </c>
      <c r="G35" t="s">
        <v>1560</v>
      </c>
      <c r="H35" t="s">
        <v>1565</v>
      </c>
    </row>
    <row r="36" spans="1:8" x14ac:dyDescent="0.25">
      <c r="A36" s="9">
        <v>45880</v>
      </c>
      <c r="B36" t="s">
        <v>750</v>
      </c>
      <c r="C36" t="s">
        <v>106</v>
      </c>
      <c r="D36" t="s">
        <v>22</v>
      </c>
      <c r="E36" t="s">
        <v>118</v>
      </c>
      <c r="F36" s="59">
        <v>2127.6</v>
      </c>
      <c r="G36" t="s">
        <v>1564</v>
      </c>
      <c r="H36" t="s">
        <v>215</v>
      </c>
    </row>
    <row r="37" spans="1:8" x14ac:dyDescent="0.25">
      <c r="A37" s="9">
        <v>45894</v>
      </c>
      <c r="B37" t="s">
        <v>1567</v>
      </c>
      <c r="C37" t="s">
        <v>638</v>
      </c>
      <c r="D37" t="s">
        <v>22</v>
      </c>
      <c r="E37" t="s">
        <v>190</v>
      </c>
      <c r="F37" s="59">
        <v>1596</v>
      </c>
      <c r="G37" t="s">
        <v>618</v>
      </c>
      <c r="H37" t="s">
        <v>1570</v>
      </c>
    </row>
    <row r="38" spans="1:8" x14ac:dyDescent="0.25">
      <c r="A38" s="9">
        <v>45894</v>
      </c>
      <c r="B38" t="s">
        <v>1604</v>
      </c>
      <c r="C38" t="s">
        <v>106</v>
      </c>
      <c r="D38" t="s">
        <v>22</v>
      </c>
      <c r="E38" t="s">
        <v>190</v>
      </c>
      <c r="F38" s="59">
        <v>1120</v>
      </c>
      <c r="G38" t="s">
        <v>1574</v>
      </c>
      <c r="H38" t="s">
        <v>734</v>
      </c>
    </row>
    <row r="39" spans="1:8" x14ac:dyDescent="0.25">
      <c r="A39" s="9">
        <v>45895</v>
      </c>
      <c r="B39" t="s">
        <v>1594</v>
      </c>
      <c r="C39" t="s">
        <v>106</v>
      </c>
      <c r="D39" t="s">
        <v>22</v>
      </c>
      <c r="E39" t="s">
        <v>213</v>
      </c>
      <c r="F39" s="59">
        <v>1738</v>
      </c>
      <c r="G39" t="s">
        <v>1597</v>
      </c>
      <c r="H39" t="s">
        <v>1605</v>
      </c>
    </row>
    <row r="40" spans="1:8" x14ac:dyDescent="0.25">
      <c r="A40" s="9">
        <v>45887</v>
      </c>
      <c r="B40" t="s">
        <v>1600</v>
      </c>
      <c r="C40" t="s">
        <v>106</v>
      </c>
      <c r="D40" t="s">
        <v>22</v>
      </c>
      <c r="E40" t="s">
        <v>118</v>
      </c>
      <c r="F40" s="59">
        <v>1667.4</v>
      </c>
      <c r="G40" t="s">
        <v>1603</v>
      </c>
      <c r="H40" t="s">
        <v>316</v>
      </c>
    </row>
    <row r="41" spans="1:8" x14ac:dyDescent="0.25">
      <c r="A41" s="9">
        <v>45891</v>
      </c>
      <c r="B41" t="s">
        <v>1607</v>
      </c>
      <c r="C41" t="s">
        <v>638</v>
      </c>
      <c r="D41" t="s">
        <v>22</v>
      </c>
      <c r="E41" t="s">
        <v>190</v>
      </c>
      <c r="F41" s="59">
        <v>1871</v>
      </c>
      <c r="G41" t="s">
        <v>1609</v>
      </c>
      <c r="H41" t="s">
        <v>223</v>
      </c>
    </row>
    <row r="42" spans="1:8" x14ac:dyDescent="0.25">
      <c r="A42" s="9">
        <v>45891</v>
      </c>
      <c r="B42" t="s">
        <v>1611</v>
      </c>
      <c r="C42" t="s">
        <v>106</v>
      </c>
      <c r="D42" t="s">
        <v>22</v>
      </c>
      <c r="E42" t="s">
        <v>118</v>
      </c>
      <c r="F42" s="59">
        <v>1173.4000000000001</v>
      </c>
      <c r="G42" t="s">
        <v>1614</v>
      </c>
      <c r="H42" t="s">
        <v>1625</v>
      </c>
    </row>
    <row r="43" spans="1:8" x14ac:dyDescent="0.25">
      <c r="A43" s="9">
        <v>45896</v>
      </c>
      <c r="B43" t="s">
        <v>1616</v>
      </c>
      <c r="C43" t="s">
        <v>638</v>
      </c>
      <c r="D43" t="s">
        <v>22</v>
      </c>
      <c r="E43" t="s">
        <v>190</v>
      </c>
      <c r="F43" s="59">
        <v>902</v>
      </c>
      <c r="G43" t="s">
        <v>1619</v>
      </c>
      <c r="H43" t="s">
        <v>734</v>
      </c>
    </row>
    <row r="44" spans="1:8" x14ac:dyDescent="0.25">
      <c r="A44" s="9">
        <v>45882</v>
      </c>
      <c r="B44" t="s">
        <v>1621</v>
      </c>
      <c r="C44" t="s">
        <v>106</v>
      </c>
      <c r="D44" t="s">
        <v>24</v>
      </c>
      <c r="E44" t="s">
        <v>118</v>
      </c>
      <c r="F44" s="59">
        <v>3101.08</v>
      </c>
      <c r="G44" t="s">
        <v>1624</v>
      </c>
      <c r="H44" t="s">
        <v>215</v>
      </c>
    </row>
    <row r="45" spans="1:8" x14ac:dyDescent="0.25">
      <c r="A45" s="9">
        <v>45897</v>
      </c>
      <c r="B45" t="s">
        <v>1627</v>
      </c>
      <c r="C45" t="s">
        <v>106</v>
      </c>
      <c r="D45" t="s">
        <v>22</v>
      </c>
      <c r="E45" t="s">
        <v>190</v>
      </c>
      <c r="F45" s="59">
        <v>1196</v>
      </c>
      <c r="G45" t="s">
        <v>804</v>
      </c>
      <c r="H45" t="s">
        <v>1634</v>
      </c>
    </row>
    <row r="46" spans="1:8" x14ac:dyDescent="0.25">
      <c r="A46" s="9">
        <v>45891</v>
      </c>
      <c r="B46" t="s">
        <v>1631</v>
      </c>
      <c r="C46" t="s">
        <v>106</v>
      </c>
      <c r="D46" t="s">
        <v>22</v>
      </c>
      <c r="E46" t="s">
        <v>213</v>
      </c>
      <c r="F46" s="59">
        <v>1118.72</v>
      </c>
      <c r="G46" t="s">
        <v>1269</v>
      </c>
      <c r="H46" t="s">
        <v>734</v>
      </c>
    </row>
    <row r="47" spans="1:8" x14ac:dyDescent="0.25">
      <c r="A47" s="9">
        <v>45898</v>
      </c>
      <c r="B47" t="s">
        <v>1636</v>
      </c>
      <c r="C47" t="s">
        <v>638</v>
      </c>
      <c r="D47" t="s">
        <v>22</v>
      </c>
      <c r="E47" t="s">
        <v>190</v>
      </c>
      <c r="F47" s="59">
        <v>1100</v>
      </c>
      <c r="G47" t="s">
        <v>1639</v>
      </c>
      <c r="H47" t="s">
        <v>223</v>
      </c>
    </row>
    <row r="48" spans="1:8" x14ac:dyDescent="0.25">
      <c r="A48" s="9">
        <v>45898</v>
      </c>
      <c r="B48" t="s">
        <v>1641</v>
      </c>
      <c r="C48" t="s">
        <v>639</v>
      </c>
      <c r="D48" t="s">
        <v>22</v>
      </c>
      <c r="E48" t="s">
        <v>119</v>
      </c>
      <c r="F48" s="59">
        <v>1696</v>
      </c>
      <c r="G48" t="s">
        <v>1644</v>
      </c>
      <c r="H48" t="s">
        <v>316</v>
      </c>
    </row>
    <row r="49" spans="1:10" x14ac:dyDescent="0.25">
      <c r="A49" s="9">
        <v>45899</v>
      </c>
      <c r="B49" t="s">
        <v>1646</v>
      </c>
      <c r="C49" t="s">
        <v>106</v>
      </c>
      <c r="D49" t="s">
        <v>24</v>
      </c>
      <c r="E49" t="s">
        <v>190</v>
      </c>
      <c r="F49" s="59">
        <v>8247.6</v>
      </c>
      <c r="G49" t="s">
        <v>1649</v>
      </c>
      <c r="H49" t="s">
        <v>1655</v>
      </c>
    </row>
    <row r="50" spans="1:10" x14ac:dyDescent="0.25">
      <c r="A50" s="9">
        <v>45895</v>
      </c>
      <c r="B50" t="s">
        <v>1672</v>
      </c>
      <c r="C50" t="s">
        <v>106</v>
      </c>
      <c r="D50" t="s">
        <v>24</v>
      </c>
      <c r="E50" t="s">
        <v>118</v>
      </c>
      <c r="F50" s="59">
        <v>3378.29</v>
      </c>
      <c r="G50" t="s">
        <v>1675</v>
      </c>
      <c r="H50" t="s">
        <v>734</v>
      </c>
    </row>
    <row r="51" spans="1:10" x14ac:dyDescent="0.25">
      <c r="A51" s="9">
        <v>45898</v>
      </c>
      <c r="B51" t="s">
        <v>564</v>
      </c>
      <c r="C51" t="s">
        <v>106</v>
      </c>
      <c r="D51" t="s">
        <v>22</v>
      </c>
      <c r="E51" t="s">
        <v>118</v>
      </c>
      <c r="F51" s="59">
        <v>1223.8</v>
      </c>
      <c r="G51" t="s">
        <v>742</v>
      </c>
      <c r="H51" t="s">
        <v>1605</v>
      </c>
    </row>
    <row r="55" spans="1:10" ht="15.75" thickBot="1" x14ac:dyDescent="0.3">
      <c r="A55" s="99" t="s">
        <v>8</v>
      </c>
      <c r="B55" s="99"/>
      <c r="C55" s="99"/>
      <c r="D55" s="99"/>
      <c r="E55" s="99"/>
      <c r="F55" s="99"/>
      <c r="G55" s="7"/>
    </row>
    <row r="56" spans="1:10" x14ac:dyDescent="0.25">
      <c r="A56" s="8" t="s">
        <v>9</v>
      </c>
      <c r="B56" s="9"/>
      <c r="C56" s="10">
        <f>SUM(F2:F53)</f>
        <v>134636.19</v>
      </c>
      <c r="D56" s="11"/>
      <c r="E56" s="12" t="s">
        <v>10</v>
      </c>
      <c r="F56" s="13"/>
      <c r="G56" s="7"/>
      <c r="H56" s="14" t="s">
        <v>11</v>
      </c>
      <c r="I56" s="15">
        <v>17</v>
      </c>
      <c r="J56" s="16"/>
    </row>
    <row r="57" spans="1:10" x14ac:dyDescent="0.25">
      <c r="A57" s="8"/>
      <c r="B57" s="9"/>
      <c r="C57" s="10"/>
      <c r="D57" s="11"/>
      <c r="E57" s="17" t="s">
        <v>12</v>
      </c>
      <c r="F57" s="18">
        <v>82358.100000000006</v>
      </c>
      <c r="G57" s="7"/>
      <c r="H57" s="17" t="s">
        <v>13</v>
      </c>
      <c r="I57" s="19">
        <v>8</v>
      </c>
      <c r="J57" s="20">
        <f>I57/I$56</f>
        <v>0.47058823529411764</v>
      </c>
    </row>
    <row r="58" spans="1:10" ht="15.75" thickBot="1" x14ac:dyDescent="0.3">
      <c r="A58" s="8" t="s">
        <v>14</v>
      </c>
      <c r="B58" s="9"/>
      <c r="C58" s="21">
        <v>26</v>
      </c>
      <c r="D58" s="11"/>
      <c r="E58" s="22" t="s">
        <v>15</v>
      </c>
      <c r="F58" s="23">
        <f>C56/C58</f>
        <v>5178.3150000000005</v>
      </c>
      <c r="G58" s="7"/>
      <c r="H58" s="17" t="s">
        <v>16</v>
      </c>
      <c r="I58" s="19">
        <v>9</v>
      </c>
      <c r="J58" s="20">
        <f>I58/I$56</f>
        <v>0.52941176470588236</v>
      </c>
    </row>
    <row r="59" spans="1:10" ht="15.75" thickBot="1" x14ac:dyDescent="0.3">
      <c r="A59" s="8" t="s">
        <v>17</v>
      </c>
      <c r="B59" s="9"/>
      <c r="C59">
        <v>50</v>
      </c>
      <c r="D59" s="11"/>
      <c r="E59" s="11"/>
      <c r="F59" s="24"/>
      <c r="G59" s="7"/>
      <c r="H59" s="22" t="s">
        <v>18</v>
      </c>
      <c r="I59" s="25">
        <v>0</v>
      </c>
      <c r="J59" s="26">
        <f>I59/I$56</f>
        <v>0</v>
      </c>
    </row>
    <row r="60" spans="1:10" x14ac:dyDescent="0.25">
      <c r="A60" s="8"/>
      <c r="B60" s="9"/>
      <c r="D60" s="11" t="s">
        <v>19</v>
      </c>
      <c r="E60" s="12" t="s">
        <v>20</v>
      </c>
      <c r="F60" s="13"/>
      <c r="G60" s="7"/>
    </row>
    <row r="61" spans="1:10" ht="15.75" thickBot="1" x14ac:dyDescent="0.3">
      <c r="A61" s="8" t="s">
        <v>21</v>
      </c>
      <c r="B61" s="9"/>
      <c r="C61">
        <v>38</v>
      </c>
      <c r="D61" s="11" t="s">
        <v>19</v>
      </c>
      <c r="E61" s="17" t="s">
        <v>22</v>
      </c>
      <c r="F61" s="20">
        <f>C61/C$59</f>
        <v>0.76</v>
      </c>
      <c r="G61" s="7"/>
    </row>
    <row r="62" spans="1:10" ht="15.75" thickBot="1" x14ac:dyDescent="0.3">
      <c r="A62" s="8" t="s">
        <v>23</v>
      </c>
      <c r="B62" s="9"/>
      <c r="C62">
        <v>12</v>
      </c>
      <c r="D62" s="11"/>
      <c r="E62" s="22" t="s">
        <v>24</v>
      </c>
      <c r="F62" s="26">
        <f>C62/C$59</f>
        <v>0.24</v>
      </c>
      <c r="G62" s="7"/>
      <c r="H62" s="14" t="s">
        <v>25</v>
      </c>
      <c r="I62" s="15">
        <v>34</v>
      </c>
      <c r="J62" s="16"/>
    </row>
    <row r="63" spans="1:10" ht="15.75" thickBot="1" x14ac:dyDescent="0.3">
      <c r="A63" s="8"/>
      <c r="B63" s="9"/>
      <c r="D63" s="11"/>
      <c r="E63" s="11"/>
      <c r="F63" s="24"/>
      <c r="G63" s="7"/>
      <c r="H63" s="27" t="s">
        <v>26</v>
      </c>
      <c r="I63" s="30">
        <v>22</v>
      </c>
      <c r="J63" s="20">
        <f>I63/I$62</f>
        <v>0.6470588235294118</v>
      </c>
    </row>
    <row r="64" spans="1:10" x14ac:dyDescent="0.25">
      <c r="A64" s="8" t="s">
        <v>27</v>
      </c>
      <c r="B64" s="9"/>
      <c r="D64" s="11"/>
      <c r="E64" s="12" t="s">
        <v>28</v>
      </c>
      <c r="F64" s="13"/>
      <c r="G64" s="7"/>
      <c r="H64" s="27" t="s">
        <v>29</v>
      </c>
      <c r="I64" s="30">
        <v>6</v>
      </c>
      <c r="J64" s="20">
        <f>I64/I$62</f>
        <v>0.17647058823529413</v>
      </c>
    </row>
    <row r="65" spans="1:10" ht="15.75" thickBot="1" x14ac:dyDescent="0.3">
      <c r="A65" s="8" t="s">
        <v>30</v>
      </c>
      <c r="B65" s="9"/>
      <c r="C65">
        <v>2</v>
      </c>
      <c r="D65" s="11"/>
      <c r="E65" s="28" t="s">
        <v>30</v>
      </c>
      <c r="F65" s="20">
        <f>C65/C$74</f>
        <v>2.2727272727272728E-2</v>
      </c>
      <c r="G65" s="7"/>
      <c r="H65" s="29" t="s">
        <v>31</v>
      </c>
      <c r="I65" s="25">
        <v>6</v>
      </c>
      <c r="J65" s="26">
        <f>I65/I$62</f>
        <v>0.17647058823529413</v>
      </c>
    </row>
    <row r="66" spans="1:10" ht="15.75" thickBot="1" x14ac:dyDescent="0.3">
      <c r="A66" s="8" t="s">
        <v>11</v>
      </c>
      <c r="B66" s="9"/>
      <c r="C66">
        <v>17</v>
      </c>
      <c r="D66" s="11"/>
      <c r="E66" s="28" t="s">
        <v>11</v>
      </c>
      <c r="F66" s="20">
        <f t="shared" ref="F66:F73" si="0">C66/C$74</f>
        <v>0.19318181818181818</v>
      </c>
      <c r="G66" s="7"/>
    </row>
    <row r="67" spans="1:10" x14ac:dyDescent="0.25">
      <c r="A67" s="8" t="s">
        <v>32</v>
      </c>
      <c r="B67" s="9"/>
      <c r="C67">
        <v>34</v>
      </c>
      <c r="D67" s="11"/>
      <c r="E67" s="28" t="s">
        <v>32</v>
      </c>
      <c r="F67" s="20">
        <f t="shared" si="0"/>
        <v>0.38636363636363635</v>
      </c>
      <c r="G67" s="11" t="s">
        <v>19</v>
      </c>
      <c r="H67" s="14" t="s">
        <v>33</v>
      </c>
      <c r="I67" s="15">
        <v>6</v>
      </c>
      <c r="J67" s="13">
        <f t="shared" ref="J67:J78" si="1">I67/I$62</f>
        <v>0.17647058823529413</v>
      </c>
    </row>
    <row r="68" spans="1:10" x14ac:dyDescent="0.25">
      <c r="A68" s="8" t="s">
        <v>34</v>
      </c>
      <c r="B68" s="9"/>
      <c r="C68">
        <v>2</v>
      </c>
      <c r="D68" s="11"/>
      <c r="E68" s="28" t="s">
        <v>34</v>
      </c>
      <c r="F68" s="20">
        <f t="shared" si="0"/>
        <v>2.2727272727272728E-2</v>
      </c>
      <c r="G68" s="7"/>
      <c r="H68" s="27" t="s">
        <v>35</v>
      </c>
      <c r="I68" s="30">
        <v>6</v>
      </c>
      <c r="J68" s="20">
        <f t="shared" si="1"/>
        <v>0.17647058823529413</v>
      </c>
    </row>
    <row r="69" spans="1:10" x14ac:dyDescent="0.25">
      <c r="A69" s="8" t="s">
        <v>36</v>
      </c>
      <c r="B69" s="9"/>
      <c r="C69">
        <v>9</v>
      </c>
      <c r="D69" s="11"/>
      <c r="E69" s="28" t="s">
        <v>36</v>
      </c>
      <c r="F69" s="20">
        <f t="shared" si="0"/>
        <v>0.10227272727272728</v>
      </c>
      <c r="G69" s="7"/>
      <c r="H69" s="27" t="s">
        <v>37</v>
      </c>
      <c r="I69" s="30">
        <v>2</v>
      </c>
      <c r="J69" s="20">
        <f t="shared" si="1"/>
        <v>5.8823529411764705E-2</v>
      </c>
    </row>
    <row r="70" spans="1:10" x14ac:dyDescent="0.25">
      <c r="A70" s="8" t="s">
        <v>38</v>
      </c>
      <c r="B70" s="9"/>
      <c r="C70">
        <v>1</v>
      </c>
      <c r="D70" s="11"/>
      <c r="E70" s="28" t="s">
        <v>38</v>
      </c>
      <c r="F70" s="20">
        <f t="shared" si="0"/>
        <v>1.1363636363636364E-2</v>
      </c>
      <c r="G70" s="7"/>
      <c r="H70" s="27" t="s">
        <v>39</v>
      </c>
      <c r="I70" s="30">
        <v>5</v>
      </c>
      <c r="J70" s="20">
        <f t="shared" si="1"/>
        <v>0.14705882352941177</v>
      </c>
    </row>
    <row r="71" spans="1:10" x14ac:dyDescent="0.25">
      <c r="A71" s="8" t="s">
        <v>40</v>
      </c>
      <c r="B71" s="9"/>
      <c r="C71">
        <v>7</v>
      </c>
      <c r="D71" s="11"/>
      <c r="E71" s="28" t="s">
        <v>40</v>
      </c>
      <c r="F71" s="20">
        <f t="shared" si="0"/>
        <v>7.9545454545454544E-2</v>
      </c>
      <c r="G71" s="7"/>
      <c r="H71" s="27" t="s">
        <v>41</v>
      </c>
      <c r="I71" s="30">
        <v>8</v>
      </c>
      <c r="J71" s="20">
        <f t="shared" si="1"/>
        <v>0.23529411764705882</v>
      </c>
    </row>
    <row r="72" spans="1:10" x14ac:dyDescent="0.25">
      <c r="A72" s="8" t="s">
        <v>42</v>
      </c>
      <c r="B72" s="9"/>
      <c r="C72">
        <v>0</v>
      </c>
      <c r="D72" s="11"/>
      <c r="E72" s="28" t="s">
        <v>42</v>
      </c>
      <c r="F72" s="20">
        <f t="shared" si="0"/>
        <v>0</v>
      </c>
      <c r="G72" s="7"/>
      <c r="H72" s="27" t="s">
        <v>43</v>
      </c>
      <c r="I72" s="30">
        <v>5</v>
      </c>
      <c r="J72" s="20">
        <f t="shared" si="1"/>
        <v>0.14705882352941177</v>
      </c>
    </row>
    <row r="73" spans="1:10" ht="15.75" thickBot="1" x14ac:dyDescent="0.3">
      <c r="A73" s="8" t="s">
        <v>44</v>
      </c>
      <c r="B73" s="9"/>
      <c r="C73">
        <v>16</v>
      </c>
      <c r="D73" s="11"/>
      <c r="E73" s="31" t="s">
        <v>44</v>
      </c>
      <c r="F73" s="26">
        <f t="shared" si="0"/>
        <v>0.18181818181818182</v>
      </c>
      <c r="G73" s="11" t="s">
        <v>19</v>
      </c>
      <c r="H73" s="32" t="s">
        <v>45</v>
      </c>
      <c r="I73" s="30">
        <v>0</v>
      </c>
      <c r="J73" s="20">
        <f t="shared" si="1"/>
        <v>0</v>
      </c>
    </row>
    <row r="74" spans="1:10" ht="15.75" thickBot="1" x14ac:dyDescent="0.3">
      <c r="A74" s="8" t="s">
        <v>46</v>
      </c>
      <c r="B74" s="9"/>
      <c r="C74">
        <f>SUM(C65:C73)</f>
        <v>88</v>
      </c>
      <c r="D74" s="11"/>
      <c r="E74" s="8"/>
      <c r="F74" s="24"/>
      <c r="G74" s="7"/>
      <c r="H74" s="32" t="s">
        <v>47</v>
      </c>
      <c r="I74" s="30">
        <v>1</v>
      </c>
      <c r="J74" s="20">
        <f t="shared" si="1"/>
        <v>2.9411764705882353E-2</v>
      </c>
    </row>
    <row r="75" spans="1:10" x14ac:dyDescent="0.25">
      <c r="A75" s="8"/>
      <c r="B75" s="9"/>
      <c r="D75" s="11"/>
      <c r="E75" s="33" t="s">
        <v>48</v>
      </c>
      <c r="F75" s="13"/>
      <c r="G75" s="7"/>
      <c r="H75" s="32" t="s">
        <v>49</v>
      </c>
      <c r="I75" s="30">
        <v>0</v>
      </c>
      <c r="J75" s="20">
        <f t="shared" si="1"/>
        <v>0</v>
      </c>
    </row>
    <row r="76" spans="1:10" x14ac:dyDescent="0.25">
      <c r="A76" s="8" t="s">
        <v>50</v>
      </c>
      <c r="B76" s="9"/>
      <c r="D76" s="11"/>
      <c r="E76" s="28" t="s">
        <v>51</v>
      </c>
      <c r="F76" s="20">
        <f>C77/C$87</f>
        <v>0.34653465346534651</v>
      </c>
      <c r="G76" s="7"/>
      <c r="H76" s="27" t="s">
        <v>52</v>
      </c>
      <c r="I76" s="30">
        <v>1</v>
      </c>
      <c r="J76" s="20">
        <f t="shared" si="1"/>
        <v>2.9411764705882353E-2</v>
      </c>
    </row>
    <row r="77" spans="1:10" x14ac:dyDescent="0.25">
      <c r="A77" s="8" t="s">
        <v>51</v>
      </c>
      <c r="B77" s="9"/>
      <c r="C77">
        <v>35</v>
      </c>
      <c r="D77" s="11"/>
      <c r="E77" s="28" t="s">
        <v>53</v>
      </c>
      <c r="F77" s="20">
        <f t="shared" ref="F77:F85" si="2">C78/C$87</f>
        <v>0.31683168316831684</v>
      </c>
      <c r="G77" s="7"/>
      <c r="H77" s="32" t="s">
        <v>54</v>
      </c>
      <c r="I77" s="30">
        <v>0</v>
      </c>
      <c r="J77" s="20">
        <f t="shared" si="1"/>
        <v>0</v>
      </c>
    </row>
    <row r="78" spans="1:10" ht="15.75" thickBot="1" x14ac:dyDescent="0.3">
      <c r="A78" s="8" t="s">
        <v>53</v>
      </c>
      <c r="B78" s="9"/>
      <c r="C78">
        <v>32</v>
      </c>
      <c r="D78" s="11"/>
      <c r="E78" s="28" t="s">
        <v>55</v>
      </c>
      <c r="F78" s="20">
        <f t="shared" si="2"/>
        <v>9.9009900990099015E-2</v>
      </c>
      <c r="G78" s="7"/>
      <c r="H78" s="34" t="s">
        <v>56</v>
      </c>
      <c r="I78" s="25">
        <v>0</v>
      </c>
      <c r="J78" s="26">
        <f t="shared" si="1"/>
        <v>0</v>
      </c>
    </row>
    <row r="79" spans="1:10" x14ac:dyDescent="0.25">
      <c r="A79" s="8" t="s">
        <v>55</v>
      </c>
      <c r="B79" s="9"/>
      <c r="C79">
        <v>10</v>
      </c>
      <c r="D79" s="11"/>
      <c r="E79" s="28" t="s">
        <v>57</v>
      </c>
      <c r="F79" s="20">
        <f t="shared" si="2"/>
        <v>6.9306930693069313E-2</v>
      </c>
      <c r="G79" s="7"/>
    </row>
    <row r="80" spans="1:10" ht="15.75" thickBot="1" x14ac:dyDescent="0.3">
      <c r="A80" s="8" t="s">
        <v>57</v>
      </c>
      <c r="B80" s="9"/>
      <c r="C80">
        <v>7</v>
      </c>
      <c r="D80" s="11"/>
      <c r="E80" s="28" t="s">
        <v>58</v>
      </c>
      <c r="F80" s="20">
        <f t="shared" si="2"/>
        <v>1.9801980198019802E-2</v>
      </c>
      <c r="G80" s="11" t="s">
        <v>19</v>
      </c>
    </row>
    <row r="81" spans="1:10" x14ac:dyDescent="0.25">
      <c r="A81" s="8" t="s">
        <v>58</v>
      </c>
      <c r="B81" s="9"/>
      <c r="C81">
        <v>2</v>
      </c>
      <c r="D81" s="11"/>
      <c r="E81" s="28" t="s">
        <v>59</v>
      </c>
      <c r="F81" s="20">
        <f t="shared" si="2"/>
        <v>0</v>
      </c>
      <c r="G81" s="7"/>
      <c r="H81" s="14" t="s">
        <v>36</v>
      </c>
      <c r="I81" s="15">
        <v>9</v>
      </c>
      <c r="J81" s="16"/>
    </row>
    <row r="82" spans="1:10" x14ac:dyDescent="0.25">
      <c r="A82" s="8" t="s">
        <v>59</v>
      </c>
      <c r="B82" s="9"/>
      <c r="C82">
        <v>0</v>
      </c>
      <c r="D82" s="11"/>
      <c r="E82" s="28" t="s">
        <v>60</v>
      </c>
      <c r="F82" s="20">
        <f t="shared" si="2"/>
        <v>0</v>
      </c>
      <c r="G82" s="7"/>
      <c r="H82" s="27" t="s">
        <v>61</v>
      </c>
      <c r="I82" s="30">
        <v>1</v>
      </c>
      <c r="J82" s="20">
        <f>I82/I$81</f>
        <v>0.1111111111111111</v>
      </c>
    </row>
    <row r="83" spans="1:10" ht="15.75" thickBot="1" x14ac:dyDescent="0.3">
      <c r="A83" s="8" t="s">
        <v>60</v>
      </c>
      <c r="B83" s="9"/>
      <c r="C83">
        <v>0</v>
      </c>
      <c r="D83" s="11"/>
      <c r="E83" s="28" t="s">
        <v>62</v>
      </c>
      <c r="F83" s="20">
        <f t="shared" si="2"/>
        <v>0</v>
      </c>
      <c r="G83" s="7"/>
      <c r="H83" s="29" t="s">
        <v>63</v>
      </c>
      <c r="I83" s="25">
        <v>8</v>
      </c>
      <c r="J83" s="26">
        <f>I83/I$81</f>
        <v>0.88888888888888884</v>
      </c>
    </row>
    <row r="84" spans="1:10" x14ac:dyDescent="0.25">
      <c r="A84" s="8" t="s">
        <v>62</v>
      </c>
      <c r="B84" s="9"/>
      <c r="C84">
        <v>0</v>
      </c>
      <c r="D84" s="11"/>
      <c r="E84" s="28" t="s">
        <v>64</v>
      </c>
      <c r="F84" s="20">
        <f t="shared" si="2"/>
        <v>1.9801980198019802E-2</v>
      </c>
      <c r="G84" s="7"/>
    </row>
    <row r="85" spans="1:10" ht="15.75" thickBot="1" x14ac:dyDescent="0.3">
      <c r="A85" s="8" t="s">
        <v>64</v>
      </c>
      <c r="B85" s="9"/>
      <c r="C85">
        <v>2</v>
      </c>
      <c r="D85" s="11"/>
      <c r="E85" s="31" t="s">
        <v>65</v>
      </c>
      <c r="F85" s="26">
        <f t="shared" si="2"/>
        <v>0.12871287128712872</v>
      </c>
      <c r="G85" s="7"/>
    </row>
    <row r="86" spans="1:10" ht="15.75" thickBot="1" x14ac:dyDescent="0.3">
      <c r="A86" s="8" t="s">
        <v>65</v>
      </c>
      <c r="B86" s="9"/>
      <c r="C86">
        <v>13</v>
      </c>
      <c r="D86" s="11"/>
      <c r="E86" s="8"/>
      <c r="F86" s="24"/>
      <c r="G86" s="7"/>
      <c r="H86" s="14" t="s">
        <v>66</v>
      </c>
      <c r="I86" s="15">
        <v>1</v>
      </c>
      <c r="J86" s="16"/>
    </row>
    <row r="87" spans="1:10" x14ac:dyDescent="0.25">
      <c r="A87" s="8" t="s">
        <v>67</v>
      </c>
      <c r="B87" s="9"/>
      <c r="C87">
        <f>SUM(C77:C86)</f>
        <v>101</v>
      </c>
      <c r="D87" s="11"/>
      <c r="E87" s="33" t="s">
        <v>68</v>
      </c>
      <c r="F87" s="13"/>
      <c r="G87" s="7"/>
      <c r="H87" s="27" t="s">
        <v>69</v>
      </c>
      <c r="I87" s="30">
        <v>0</v>
      </c>
      <c r="J87" s="20">
        <f t="shared" ref="J87:J92" si="3">I87/I$86</f>
        <v>0</v>
      </c>
    </row>
    <row r="88" spans="1:10" x14ac:dyDescent="0.25">
      <c r="A88" s="8"/>
      <c r="B88" s="9"/>
      <c r="D88" s="11"/>
      <c r="E88" s="35" t="s">
        <v>70</v>
      </c>
      <c r="F88" s="20">
        <f>C89/C$59</f>
        <v>0.62</v>
      </c>
      <c r="G88" s="7"/>
      <c r="H88" s="27" t="s">
        <v>71</v>
      </c>
      <c r="I88" s="30">
        <v>1</v>
      </c>
      <c r="J88" s="20">
        <f t="shared" si="3"/>
        <v>1</v>
      </c>
    </row>
    <row r="89" spans="1:10" x14ac:dyDescent="0.25">
      <c r="A89" s="8" t="s">
        <v>72</v>
      </c>
      <c r="B89" s="9"/>
      <c r="C89">
        <v>31</v>
      </c>
      <c r="D89" s="11"/>
      <c r="E89" s="35" t="s">
        <v>73</v>
      </c>
      <c r="F89" s="20">
        <f>C90/C$59</f>
        <v>0.04</v>
      </c>
      <c r="G89" s="7"/>
      <c r="H89" s="27" t="s">
        <v>74</v>
      </c>
      <c r="I89" s="30">
        <v>0</v>
      </c>
      <c r="J89" s="20">
        <f t="shared" si="3"/>
        <v>0</v>
      </c>
    </row>
    <row r="90" spans="1:10" ht="15.75" thickBot="1" x14ac:dyDescent="0.3">
      <c r="A90" s="8" t="s">
        <v>75</v>
      </c>
      <c r="B90" s="9"/>
      <c r="C90">
        <v>2</v>
      </c>
      <c r="D90" s="11"/>
      <c r="E90" s="36" t="s">
        <v>76</v>
      </c>
      <c r="F90" s="26">
        <f>C91/C$59</f>
        <v>0.34</v>
      </c>
      <c r="G90" s="7"/>
      <c r="H90" s="27" t="s">
        <v>77</v>
      </c>
      <c r="I90" s="30">
        <v>0</v>
      </c>
      <c r="J90" s="20">
        <f t="shared" si="3"/>
        <v>0</v>
      </c>
    </row>
    <row r="91" spans="1:10" ht="15.75" thickBot="1" x14ac:dyDescent="0.3">
      <c r="A91" s="8" t="s">
        <v>78</v>
      </c>
      <c r="B91" s="9"/>
      <c r="C91">
        <v>17</v>
      </c>
      <c r="D91" s="11"/>
      <c r="E91" s="37"/>
      <c r="F91" s="24"/>
      <c r="G91" s="11" t="s">
        <v>19</v>
      </c>
      <c r="H91" s="27" t="s">
        <v>79</v>
      </c>
      <c r="I91" s="30">
        <v>0</v>
      </c>
      <c r="J91" s="20">
        <f t="shared" si="3"/>
        <v>0</v>
      </c>
    </row>
    <row r="92" spans="1:10" ht="15.75" thickBot="1" x14ac:dyDescent="0.3">
      <c r="A92" s="8"/>
      <c r="B92" s="9"/>
      <c r="D92" s="11"/>
      <c r="E92" s="38" t="s">
        <v>20</v>
      </c>
      <c r="F92" s="13"/>
      <c r="G92" s="7"/>
      <c r="H92" s="29" t="s">
        <v>80</v>
      </c>
      <c r="I92" s="25">
        <v>0</v>
      </c>
      <c r="J92" s="26">
        <f t="shared" si="3"/>
        <v>0</v>
      </c>
    </row>
    <row r="93" spans="1:10" x14ac:dyDescent="0.25">
      <c r="A93" s="8" t="s">
        <v>20</v>
      </c>
      <c r="B93" s="9"/>
      <c r="D93" s="11"/>
      <c r="E93" s="28" t="s">
        <v>81</v>
      </c>
      <c r="F93" s="20">
        <f>C94/C$59</f>
        <v>0.56000000000000005</v>
      </c>
      <c r="G93" s="7"/>
    </row>
    <row r="94" spans="1:10" ht="15.75" thickBot="1" x14ac:dyDescent="0.3">
      <c r="A94" s="8" t="s">
        <v>82</v>
      </c>
      <c r="B94" s="9"/>
      <c r="C94">
        <v>28</v>
      </c>
      <c r="D94" s="11"/>
      <c r="E94" s="31" t="s">
        <v>83</v>
      </c>
      <c r="F94" s="26">
        <f>C95/C$59</f>
        <v>0.44</v>
      </c>
      <c r="G94" s="7"/>
    </row>
    <row r="95" spans="1:10" ht="15.75" thickBot="1" x14ac:dyDescent="0.3">
      <c r="A95" s="8" t="s">
        <v>83</v>
      </c>
      <c r="B95" s="9"/>
      <c r="C95">
        <v>22</v>
      </c>
      <c r="D95" s="11"/>
      <c r="E95" s="39"/>
      <c r="F95" s="40"/>
      <c r="G95" s="7"/>
      <c r="H95" s="14" t="s">
        <v>40</v>
      </c>
      <c r="I95" s="15">
        <v>7</v>
      </c>
      <c r="J95" s="16"/>
    </row>
    <row r="96" spans="1:10" x14ac:dyDescent="0.25">
      <c r="A96" s="8"/>
      <c r="B96" s="9"/>
      <c r="D96" s="11"/>
      <c r="E96" s="14" t="s">
        <v>84</v>
      </c>
      <c r="F96" s="13"/>
      <c r="G96" s="7"/>
      <c r="H96" s="27" t="s">
        <v>85</v>
      </c>
      <c r="I96" s="30">
        <v>0</v>
      </c>
      <c r="J96" s="20">
        <f>I96/I$95</f>
        <v>0</v>
      </c>
    </row>
    <row r="97" spans="1:10" x14ac:dyDescent="0.25">
      <c r="A97" t="s">
        <v>84</v>
      </c>
      <c r="D97" s="11"/>
      <c r="E97" s="27" t="s">
        <v>86</v>
      </c>
      <c r="F97" s="20">
        <f>C98/C$95</f>
        <v>0.86363636363636365</v>
      </c>
      <c r="G97" s="7"/>
      <c r="H97" s="27" t="s">
        <v>87</v>
      </c>
      <c r="I97" s="19">
        <v>1</v>
      </c>
      <c r="J97" s="20">
        <f>I97/I$95</f>
        <v>0.14285714285714285</v>
      </c>
    </row>
    <row r="98" spans="1:10" ht="15.75" thickBot="1" x14ac:dyDescent="0.3">
      <c r="A98" t="s">
        <v>86</v>
      </c>
      <c r="C98">
        <v>19</v>
      </c>
      <c r="D98" s="11"/>
      <c r="E98" s="29" t="s">
        <v>88</v>
      </c>
      <c r="F98" s="26">
        <f>C99/C$95</f>
        <v>0.13636363636363635</v>
      </c>
      <c r="G98" s="7"/>
      <c r="H98" s="27" t="s">
        <v>89</v>
      </c>
      <c r="I98" s="30">
        <v>1</v>
      </c>
      <c r="J98" s="20">
        <f>I98/I$95</f>
        <v>0.14285714285714285</v>
      </c>
    </row>
    <row r="99" spans="1:10" ht="15.75" thickBot="1" x14ac:dyDescent="0.3">
      <c r="A99" t="s">
        <v>88</v>
      </c>
      <c r="C99">
        <v>3</v>
      </c>
      <c r="D99" s="11"/>
      <c r="E99" s="39"/>
      <c r="F99" s="40"/>
      <c r="G99" s="7"/>
      <c r="H99" s="27" t="s">
        <v>90</v>
      </c>
      <c r="I99" s="30">
        <v>3</v>
      </c>
      <c r="J99" s="20">
        <f>I99/I$95</f>
        <v>0.42857142857142855</v>
      </c>
    </row>
    <row r="100" spans="1:10" ht="15.75" thickBot="1" x14ac:dyDescent="0.3">
      <c r="A100" s="8"/>
      <c r="B100" s="9"/>
      <c r="D100" s="11"/>
      <c r="E100" s="33" t="s">
        <v>91</v>
      </c>
      <c r="F100" s="13"/>
      <c r="G100" s="7"/>
      <c r="H100" s="29" t="s">
        <v>92</v>
      </c>
      <c r="I100" s="25">
        <v>2</v>
      </c>
      <c r="J100" s="26">
        <f>I100/I$95</f>
        <v>0.2857142857142857</v>
      </c>
    </row>
    <row r="101" spans="1:10" x14ac:dyDescent="0.25">
      <c r="A101" s="8" t="s">
        <v>93</v>
      </c>
      <c r="B101" s="9"/>
      <c r="D101" s="11"/>
      <c r="E101" s="28" t="s">
        <v>94</v>
      </c>
      <c r="F101" s="20">
        <f t="shared" ref="F101:F106" si="4">C102/C$59</f>
        <v>0.42</v>
      </c>
      <c r="G101" s="7"/>
    </row>
    <row r="102" spans="1:10" ht="15.75" thickBot="1" x14ac:dyDescent="0.3">
      <c r="A102" s="8" t="s">
        <v>94</v>
      </c>
      <c r="B102" s="9"/>
      <c r="C102">
        <v>21</v>
      </c>
      <c r="D102" s="11"/>
      <c r="E102" s="17" t="s">
        <v>95</v>
      </c>
      <c r="F102" s="20">
        <f t="shared" si="4"/>
        <v>0.08</v>
      </c>
      <c r="G102" s="7"/>
    </row>
    <row r="103" spans="1:10" x14ac:dyDescent="0.25">
      <c r="A103" s="8" t="s">
        <v>95</v>
      </c>
      <c r="B103" s="9"/>
      <c r="C103">
        <v>4</v>
      </c>
      <c r="D103" s="11"/>
      <c r="E103" s="17" t="s">
        <v>96</v>
      </c>
      <c r="F103" s="20">
        <f t="shared" si="4"/>
        <v>0</v>
      </c>
      <c r="G103" s="7"/>
      <c r="H103" s="14" t="s">
        <v>44</v>
      </c>
      <c r="I103" s="15">
        <v>16</v>
      </c>
      <c r="J103" s="16"/>
    </row>
    <row r="104" spans="1:10" x14ac:dyDescent="0.25">
      <c r="A104" s="8" t="s">
        <v>96</v>
      </c>
      <c r="B104" s="9"/>
      <c r="C104">
        <v>0</v>
      </c>
      <c r="D104" s="11"/>
      <c r="E104" s="17" t="s">
        <v>97</v>
      </c>
      <c r="F104" s="20">
        <f t="shared" si="4"/>
        <v>0</v>
      </c>
      <c r="G104" s="7"/>
      <c r="H104" s="27" t="s">
        <v>98</v>
      </c>
      <c r="I104" s="30">
        <v>0</v>
      </c>
      <c r="J104" s="20">
        <f>I104/I$103</f>
        <v>0</v>
      </c>
    </row>
    <row r="105" spans="1:10" x14ac:dyDescent="0.25">
      <c r="A105" s="8" t="s">
        <v>97</v>
      </c>
      <c r="B105" s="9"/>
      <c r="C105">
        <v>0</v>
      </c>
      <c r="D105" s="11"/>
      <c r="E105" s="17" t="s">
        <v>99</v>
      </c>
      <c r="F105" s="20">
        <f t="shared" si="4"/>
        <v>0.44</v>
      </c>
      <c r="G105" s="7"/>
      <c r="H105" s="27" t="s">
        <v>100</v>
      </c>
      <c r="I105" s="30">
        <v>0</v>
      </c>
      <c r="J105" s="20">
        <f t="shared" ref="J105:J113" si="5">I105/I$103</f>
        <v>0</v>
      </c>
    </row>
    <row r="106" spans="1:10" ht="15.75" thickBot="1" x14ac:dyDescent="0.3">
      <c r="A106" s="8" t="s">
        <v>99</v>
      </c>
      <c r="B106" s="9"/>
      <c r="C106">
        <v>22</v>
      </c>
      <c r="D106" s="11"/>
      <c r="E106" s="22" t="s">
        <v>44</v>
      </c>
      <c r="F106" s="26">
        <f t="shared" si="4"/>
        <v>0.06</v>
      </c>
      <c r="G106" s="7"/>
      <c r="H106" s="27" t="s">
        <v>101</v>
      </c>
      <c r="I106" s="30">
        <v>0</v>
      </c>
      <c r="J106" s="20">
        <f t="shared" si="5"/>
        <v>0</v>
      </c>
    </row>
    <row r="107" spans="1:10" ht="15.75" thickBot="1" x14ac:dyDescent="0.3">
      <c r="A107" s="8" t="s">
        <v>44</v>
      </c>
      <c r="B107" s="9"/>
      <c r="C107">
        <v>3</v>
      </c>
      <c r="D107" s="11"/>
      <c r="E107" s="11"/>
      <c r="F107" s="24"/>
      <c r="G107" s="7"/>
      <c r="H107" s="27" t="s">
        <v>102</v>
      </c>
      <c r="I107" s="30">
        <v>2</v>
      </c>
      <c r="J107" s="20">
        <f t="shared" si="5"/>
        <v>0.125</v>
      </c>
    </row>
    <row r="108" spans="1:10" x14ac:dyDescent="0.25">
      <c r="A108" s="8"/>
      <c r="B108" s="9"/>
      <c r="D108" s="11"/>
      <c r="E108" s="12" t="s">
        <v>103</v>
      </c>
      <c r="F108" s="13"/>
      <c r="G108" s="7"/>
      <c r="H108" s="27" t="s">
        <v>104</v>
      </c>
      <c r="I108" s="19">
        <v>7</v>
      </c>
      <c r="J108" s="20">
        <f t="shared" si="5"/>
        <v>0.4375</v>
      </c>
    </row>
    <row r="109" spans="1:10" x14ac:dyDescent="0.25">
      <c r="A109" s="8" t="s">
        <v>105</v>
      </c>
      <c r="B109" s="9"/>
      <c r="D109" s="11"/>
      <c r="E109" s="17" t="s">
        <v>106</v>
      </c>
      <c r="F109" s="20">
        <f>C110/C$59</f>
        <v>0.62</v>
      </c>
      <c r="G109" s="7"/>
      <c r="H109" s="41" t="s">
        <v>107</v>
      </c>
      <c r="I109" s="30">
        <v>1</v>
      </c>
      <c r="J109" s="20">
        <f t="shared" si="5"/>
        <v>6.25E-2</v>
      </c>
    </row>
    <row r="110" spans="1:10" x14ac:dyDescent="0.25">
      <c r="A110" s="8" t="s">
        <v>106</v>
      </c>
      <c r="B110" s="9"/>
      <c r="C110">
        <v>31</v>
      </c>
      <c r="D110" s="11"/>
      <c r="E110" s="17" t="s">
        <v>108</v>
      </c>
      <c r="F110" s="20">
        <f>C111/C$59</f>
        <v>0.12</v>
      </c>
      <c r="G110" s="7"/>
      <c r="H110" s="41" t="s">
        <v>109</v>
      </c>
      <c r="I110" s="30">
        <v>0</v>
      </c>
      <c r="J110" s="20">
        <f t="shared" si="5"/>
        <v>0</v>
      </c>
    </row>
    <row r="111" spans="1:10" x14ac:dyDescent="0.25">
      <c r="A111" s="8" t="s">
        <v>108</v>
      </c>
      <c r="B111" s="9"/>
      <c r="C111">
        <v>6</v>
      </c>
      <c r="D111" s="11"/>
      <c r="E111" s="17" t="s">
        <v>110</v>
      </c>
      <c r="F111" s="20">
        <f>C112/C$59</f>
        <v>0.26</v>
      </c>
      <c r="G111" s="7"/>
      <c r="H111" s="41" t="s">
        <v>111</v>
      </c>
      <c r="I111" s="30">
        <v>0</v>
      </c>
      <c r="J111" s="20">
        <f t="shared" si="5"/>
        <v>0</v>
      </c>
    </row>
    <row r="112" spans="1:10" x14ac:dyDescent="0.25">
      <c r="A112" s="8" t="s">
        <v>110</v>
      </c>
      <c r="B112" s="9"/>
      <c r="C112">
        <v>13</v>
      </c>
      <c r="D112" s="11"/>
      <c r="E112" s="17" t="s">
        <v>112</v>
      </c>
      <c r="F112" s="20">
        <f>C113/C$59</f>
        <v>0</v>
      </c>
      <c r="G112" s="7"/>
      <c r="H112" s="41" t="s">
        <v>113</v>
      </c>
      <c r="I112" s="30">
        <v>0</v>
      </c>
      <c r="J112" s="20">
        <f t="shared" si="5"/>
        <v>0</v>
      </c>
    </row>
    <row r="113" spans="1:10" ht="15.75" thickBot="1" x14ac:dyDescent="0.3">
      <c r="A113" s="8" t="s">
        <v>112</v>
      </c>
      <c r="B113" s="9"/>
      <c r="C113">
        <v>0</v>
      </c>
      <c r="E113" s="22" t="s">
        <v>114</v>
      </c>
      <c r="F113" s="26">
        <f>C114/C$59</f>
        <v>0</v>
      </c>
      <c r="H113" s="42" t="s">
        <v>115</v>
      </c>
      <c r="I113" s="25">
        <v>6</v>
      </c>
      <c r="J113" s="26">
        <f t="shared" si="5"/>
        <v>0.375</v>
      </c>
    </row>
    <row r="114" spans="1:10" x14ac:dyDescent="0.25">
      <c r="A114" s="8" t="s">
        <v>114</v>
      </c>
      <c r="B114" s="9"/>
      <c r="C114">
        <v>0</v>
      </c>
      <c r="E114" s="11"/>
      <c r="F114" s="24"/>
    </row>
    <row r="115" spans="1:10" x14ac:dyDescent="0.25">
      <c r="A115" s="8" t="s">
        <v>116</v>
      </c>
      <c r="B115" s="9"/>
      <c r="C115">
        <v>0</v>
      </c>
      <c r="E115" s="11"/>
      <c r="F115" s="24"/>
    </row>
    <row r="116" spans="1:10" x14ac:dyDescent="0.25">
      <c r="A116" s="8"/>
      <c r="B116" s="9"/>
      <c r="E116" s="11"/>
      <c r="F116" s="24"/>
    </row>
    <row r="117" spans="1:10" ht="15.75" thickBot="1" x14ac:dyDescent="0.3"/>
    <row r="118" spans="1:10" x14ac:dyDescent="0.25">
      <c r="A118" s="43" t="s">
        <v>117</v>
      </c>
      <c r="B118" s="82">
        <f>SUM(B119:B122)</f>
        <v>134636.18999999997</v>
      </c>
    </row>
    <row r="119" spans="1:10" x14ac:dyDescent="0.25">
      <c r="A119" s="44" t="s">
        <v>94</v>
      </c>
      <c r="B119" s="45">
        <f>SUM(F3,F13,F16,F18,F21,F24:F25,F28:F31,F33:F35,F37:F38,F41,F43,F45,F47,F49,)</f>
        <v>46870.659999999996</v>
      </c>
    </row>
    <row r="120" spans="1:10" x14ac:dyDescent="0.25">
      <c r="A120" s="44" t="s">
        <v>118</v>
      </c>
      <c r="B120" s="45">
        <f>SUM(F2,F4:F7,F9:F12,F15,F17,F19:F20,F23,F26:F27,F36,F40,F42,F44,F50:F51,)</f>
        <v>76629.509999999995</v>
      </c>
    </row>
    <row r="121" spans="1:10" x14ac:dyDescent="0.25">
      <c r="A121" s="44" t="s">
        <v>119</v>
      </c>
      <c r="B121" s="45">
        <f>SUM(F8,F22,F32,F48,)</f>
        <v>7107</v>
      </c>
    </row>
    <row r="122" spans="1:10" x14ac:dyDescent="0.25">
      <c r="A122" s="44" t="s">
        <v>44</v>
      </c>
      <c r="B122" s="46">
        <f>SUM(F14,F39,F46,)</f>
        <v>4029.0200000000004</v>
      </c>
    </row>
    <row r="123" spans="1:10" ht="15.75" thickBot="1" x14ac:dyDescent="0.3">
      <c r="A123" s="47"/>
      <c r="B123" s="48"/>
    </row>
  </sheetData>
  <mergeCells count="1">
    <mergeCell ref="A55:F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topLeftCell="A77" workbookViewId="0">
      <selection activeCell="C43" sqref="C43"/>
    </sheetView>
  </sheetViews>
  <sheetFormatPr baseColWidth="10" defaultRowHeight="15" x14ac:dyDescent="0.25"/>
  <cols>
    <col min="1" max="1" width="10.7109375" customWidth="1"/>
    <col min="2" max="2" width="32.28515625" customWidth="1"/>
    <col min="3" max="3" width="13.140625" customWidth="1"/>
    <col min="4" max="4" width="4.7109375" customWidth="1"/>
    <col min="5" max="5" width="6.85546875" customWidth="1"/>
    <col min="6" max="6" width="13.7109375" customWidth="1"/>
    <col min="7" max="7" width="41.8554687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45901</v>
      </c>
      <c r="B2" t="s">
        <v>1651</v>
      </c>
      <c r="C2" t="s">
        <v>106</v>
      </c>
      <c r="D2" t="s">
        <v>22</v>
      </c>
      <c r="E2" t="s">
        <v>118</v>
      </c>
      <c r="F2" s="59">
        <v>1113</v>
      </c>
      <c r="G2" t="s">
        <v>1654</v>
      </c>
      <c r="H2" t="s">
        <v>221</v>
      </c>
    </row>
    <row r="3" spans="1:8" x14ac:dyDescent="0.25">
      <c r="A3" s="9">
        <v>45901</v>
      </c>
      <c r="B3" t="s">
        <v>922</v>
      </c>
      <c r="C3" t="s">
        <v>638</v>
      </c>
      <c r="D3" t="s">
        <v>24</v>
      </c>
      <c r="E3" t="s">
        <v>118</v>
      </c>
      <c r="F3" s="59">
        <v>1561.36</v>
      </c>
      <c r="G3" t="s">
        <v>804</v>
      </c>
      <c r="H3" t="s">
        <v>1664</v>
      </c>
    </row>
    <row r="4" spans="1:8" x14ac:dyDescent="0.25">
      <c r="A4" s="9">
        <v>45902</v>
      </c>
      <c r="B4" t="s">
        <v>1659</v>
      </c>
      <c r="C4" t="s">
        <v>106</v>
      </c>
      <c r="D4" t="s">
        <v>22</v>
      </c>
      <c r="E4" t="s">
        <v>118</v>
      </c>
      <c r="F4" s="59">
        <v>4249</v>
      </c>
      <c r="G4" t="s">
        <v>1663</v>
      </c>
      <c r="H4" t="s">
        <v>322</v>
      </c>
    </row>
    <row r="5" spans="1:8" x14ac:dyDescent="0.25">
      <c r="A5" s="9">
        <v>45903</v>
      </c>
      <c r="B5" t="s">
        <v>1409</v>
      </c>
      <c r="C5" t="s">
        <v>106</v>
      </c>
      <c r="D5" t="s">
        <v>22</v>
      </c>
      <c r="E5" t="s">
        <v>118</v>
      </c>
      <c r="F5" s="59">
        <v>1120</v>
      </c>
      <c r="G5" t="s">
        <v>1670</v>
      </c>
      <c r="H5" t="s">
        <v>1153</v>
      </c>
    </row>
    <row r="6" spans="1:8" x14ac:dyDescent="0.25">
      <c r="A6" s="9">
        <v>45904</v>
      </c>
      <c r="B6" t="s">
        <v>1677</v>
      </c>
      <c r="C6" t="s">
        <v>106</v>
      </c>
      <c r="D6" t="s">
        <v>22</v>
      </c>
      <c r="E6" t="s">
        <v>118</v>
      </c>
      <c r="F6" s="59">
        <v>1855</v>
      </c>
      <c r="G6" t="s">
        <v>1680</v>
      </c>
      <c r="H6" t="s">
        <v>316</v>
      </c>
    </row>
    <row r="7" spans="1:8" x14ac:dyDescent="0.25">
      <c r="A7" s="9">
        <v>45905</v>
      </c>
      <c r="B7" t="s">
        <v>1683</v>
      </c>
      <c r="C7" t="s">
        <v>106</v>
      </c>
      <c r="D7" t="s">
        <v>22</v>
      </c>
      <c r="E7" t="s">
        <v>190</v>
      </c>
      <c r="F7" s="59">
        <v>1711</v>
      </c>
      <c r="G7" t="s">
        <v>1686</v>
      </c>
      <c r="H7" t="s">
        <v>1687</v>
      </c>
    </row>
    <row r="8" spans="1:8" x14ac:dyDescent="0.25">
      <c r="A8" s="9">
        <v>45906</v>
      </c>
      <c r="B8" t="s">
        <v>1690</v>
      </c>
      <c r="C8" t="s">
        <v>116</v>
      </c>
      <c r="D8" t="s">
        <v>24</v>
      </c>
      <c r="E8" t="s">
        <v>190</v>
      </c>
      <c r="F8" s="59">
        <v>5808.35</v>
      </c>
      <c r="G8" t="s">
        <v>1693</v>
      </c>
      <c r="H8" t="s">
        <v>215</v>
      </c>
    </row>
    <row r="9" spans="1:8" x14ac:dyDescent="0.25">
      <c r="A9" s="9">
        <v>45908</v>
      </c>
      <c r="B9" t="s">
        <v>1695</v>
      </c>
      <c r="C9" t="s">
        <v>106</v>
      </c>
      <c r="D9" t="s">
        <v>22</v>
      </c>
      <c r="E9" t="s">
        <v>190</v>
      </c>
      <c r="F9" s="59">
        <v>1423</v>
      </c>
      <c r="G9" t="s">
        <v>1698</v>
      </c>
      <c r="H9" t="s">
        <v>1699</v>
      </c>
    </row>
    <row r="10" spans="1:8" x14ac:dyDescent="0.25">
      <c r="A10" s="9">
        <v>45908</v>
      </c>
      <c r="B10" t="s">
        <v>1701</v>
      </c>
      <c r="C10" t="s">
        <v>106</v>
      </c>
      <c r="D10" t="s">
        <v>22</v>
      </c>
      <c r="E10" t="s">
        <v>190</v>
      </c>
      <c r="F10" s="59">
        <v>1238</v>
      </c>
      <c r="G10" t="s">
        <v>1704</v>
      </c>
      <c r="H10" t="s">
        <v>1705</v>
      </c>
    </row>
    <row r="11" spans="1:8" x14ac:dyDescent="0.25">
      <c r="A11" s="9">
        <v>45909</v>
      </c>
      <c r="B11" t="s">
        <v>1707</v>
      </c>
      <c r="C11" t="s">
        <v>638</v>
      </c>
      <c r="D11" t="s">
        <v>22</v>
      </c>
      <c r="E11" t="s">
        <v>118</v>
      </c>
      <c r="F11" s="59">
        <v>1122</v>
      </c>
      <c r="G11" t="s">
        <v>375</v>
      </c>
      <c r="H11" t="s">
        <v>192</v>
      </c>
    </row>
    <row r="12" spans="1:8" x14ac:dyDescent="0.25">
      <c r="A12" s="9">
        <v>45909</v>
      </c>
      <c r="B12" t="s">
        <v>1711</v>
      </c>
      <c r="C12" t="s">
        <v>639</v>
      </c>
      <c r="D12" t="s">
        <v>24</v>
      </c>
      <c r="E12" t="s">
        <v>190</v>
      </c>
      <c r="F12" s="59">
        <v>2412.8000000000002</v>
      </c>
      <c r="G12" t="s">
        <v>1714</v>
      </c>
      <c r="H12" t="s">
        <v>920</v>
      </c>
    </row>
    <row r="13" spans="1:8" x14ac:dyDescent="0.25">
      <c r="A13" s="9">
        <v>45903</v>
      </c>
      <c r="B13" t="s">
        <v>1716</v>
      </c>
      <c r="C13" t="s">
        <v>106</v>
      </c>
      <c r="D13" t="s">
        <v>22</v>
      </c>
      <c r="E13" t="s">
        <v>118</v>
      </c>
      <c r="F13" s="59">
        <v>1023.45</v>
      </c>
      <c r="G13" t="s">
        <v>1497</v>
      </c>
      <c r="H13" t="s">
        <v>316</v>
      </c>
    </row>
    <row r="14" spans="1:8" x14ac:dyDescent="0.25">
      <c r="A14" s="9">
        <v>45911</v>
      </c>
      <c r="B14" t="s">
        <v>620</v>
      </c>
      <c r="C14" t="s">
        <v>106</v>
      </c>
      <c r="D14" t="s">
        <v>22</v>
      </c>
      <c r="E14" t="s">
        <v>118</v>
      </c>
      <c r="F14" s="59">
        <v>1221</v>
      </c>
      <c r="G14" t="s">
        <v>1720</v>
      </c>
      <c r="H14" t="s">
        <v>1737</v>
      </c>
    </row>
    <row r="15" spans="1:8" x14ac:dyDescent="0.25">
      <c r="A15" s="9">
        <v>45912</v>
      </c>
      <c r="B15" t="s">
        <v>1722</v>
      </c>
      <c r="C15" t="s">
        <v>106</v>
      </c>
      <c r="D15" t="s">
        <v>22</v>
      </c>
      <c r="E15" t="s">
        <v>118</v>
      </c>
      <c r="F15" s="59">
        <v>1795.5</v>
      </c>
      <c r="G15" t="s">
        <v>1497</v>
      </c>
      <c r="H15" t="s">
        <v>192</v>
      </c>
    </row>
    <row r="16" spans="1:8" x14ac:dyDescent="0.25">
      <c r="A16" s="9">
        <v>45912</v>
      </c>
      <c r="B16" t="s">
        <v>1726</v>
      </c>
      <c r="C16" t="s">
        <v>106</v>
      </c>
      <c r="D16" t="s">
        <v>22</v>
      </c>
      <c r="E16" t="s">
        <v>190</v>
      </c>
      <c r="F16" s="59">
        <v>1232</v>
      </c>
      <c r="G16" t="s">
        <v>1729</v>
      </c>
      <c r="H16" t="s">
        <v>1738</v>
      </c>
    </row>
    <row r="17" spans="1:8" x14ac:dyDescent="0.25">
      <c r="A17" s="9">
        <v>45913</v>
      </c>
      <c r="B17" t="s">
        <v>329</v>
      </c>
      <c r="C17" t="s">
        <v>106</v>
      </c>
      <c r="D17" t="s">
        <v>24</v>
      </c>
      <c r="E17" t="s">
        <v>118</v>
      </c>
      <c r="F17" s="59">
        <v>5021.2</v>
      </c>
      <c r="G17" t="s">
        <v>1731</v>
      </c>
      <c r="H17" t="s">
        <v>192</v>
      </c>
    </row>
    <row r="18" spans="1:8" x14ac:dyDescent="0.25">
      <c r="A18" s="9">
        <v>45918</v>
      </c>
      <c r="B18" t="s">
        <v>1733</v>
      </c>
      <c r="C18" t="s">
        <v>106</v>
      </c>
      <c r="D18" t="s">
        <v>22</v>
      </c>
      <c r="E18" t="s">
        <v>118</v>
      </c>
      <c r="F18" s="59">
        <v>2056.75</v>
      </c>
      <c r="G18" t="s">
        <v>1736</v>
      </c>
      <c r="H18" t="s">
        <v>1766</v>
      </c>
    </row>
    <row r="19" spans="1:8" x14ac:dyDescent="0.25">
      <c r="A19" s="9">
        <v>45918</v>
      </c>
      <c r="B19" t="s">
        <v>1740</v>
      </c>
      <c r="C19" t="s">
        <v>106</v>
      </c>
      <c r="D19" t="s">
        <v>22</v>
      </c>
      <c r="E19" t="s">
        <v>190</v>
      </c>
      <c r="F19" s="59">
        <v>3894.05</v>
      </c>
      <c r="G19" t="s">
        <v>1925</v>
      </c>
      <c r="H19" t="s">
        <v>1744</v>
      </c>
    </row>
    <row r="20" spans="1:8" x14ac:dyDescent="0.25">
      <c r="A20" s="9">
        <v>45910</v>
      </c>
      <c r="B20" t="s">
        <v>1748</v>
      </c>
      <c r="C20" t="s">
        <v>106</v>
      </c>
      <c r="D20" t="s">
        <v>22</v>
      </c>
      <c r="E20" t="s">
        <v>190</v>
      </c>
      <c r="F20" s="59">
        <v>2229.15</v>
      </c>
      <c r="G20" t="s">
        <v>1751</v>
      </c>
      <c r="H20" t="s">
        <v>295</v>
      </c>
    </row>
    <row r="21" spans="1:8" x14ac:dyDescent="0.25">
      <c r="A21" s="9">
        <v>45915</v>
      </c>
      <c r="B21" t="s">
        <v>1753</v>
      </c>
      <c r="C21" t="s">
        <v>106</v>
      </c>
      <c r="D21" t="s">
        <v>22</v>
      </c>
      <c r="E21" t="s">
        <v>190</v>
      </c>
      <c r="F21" s="59">
        <v>1245</v>
      </c>
      <c r="G21" t="s">
        <v>1756</v>
      </c>
      <c r="H21" t="s">
        <v>223</v>
      </c>
    </row>
    <row r="22" spans="1:8" x14ac:dyDescent="0.25">
      <c r="A22" s="9">
        <v>45919</v>
      </c>
      <c r="B22" t="s">
        <v>1447</v>
      </c>
      <c r="C22" t="s">
        <v>640</v>
      </c>
      <c r="D22" t="s">
        <v>22</v>
      </c>
      <c r="E22" t="s">
        <v>118</v>
      </c>
      <c r="F22" s="59">
        <v>1897</v>
      </c>
      <c r="G22" t="s">
        <v>1758</v>
      </c>
      <c r="H22" t="s">
        <v>1767</v>
      </c>
    </row>
    <row r="23" spans="1:8" x14ac:dyDescent="0.25">
      <c r="A23" s="9">
        <v>45919</v>
      </c>
      <c r="B23" t="s">
        <v>1760</v>
      </c>
      <c r="C23" t="s">
        <v>638</v>
      </c>
      <c r="D23" t="s">
        <v>22</v>
      </c>
      <c r="E23" t="s">
        <v>190</v>
      </c>
      <c r="F23" s="59">
        <v>2410</v>
      </c>
      <c r="G23" t="s">
        <v>1763</v>
      </c>
      <c r="H23" t="s">
        <v>1768</v>
      </c>
    </row>
    <row r="24" spans="1:8" x14ac:dyDescent="0.25">
      <c r="A24" s="9">
        <v>45923</v>
      </c>
      <c r="B24" t="s">
        <v>620</v>
      </c>
      <c r="C24" t="s">
        <v>106</v>
      </c>
      <c r="D24" t="s">
        <v>22</v>
      </c>
      <c r="E24" t="s">
        <v>118</v>
      </c>
      <c r="F24" s="59">
        <v>1628</v>
      </c>
      <c r="G24" t="s">
        <v>1765</v>
      </c>
      <c r="H24" t="s">
        <v>734</v>
      </c>
    </row>
    <row r="25" spans="1:8" x14ac:dyDescent="0.25">
      <c r="A25" s="9">
        <v>45924</v>
      </c>
      <c r="B25" t="s">
        <v>1770</v>
      </c>
      <c r="C25" t="s">
        <v>106</v>
      </c>
      <c r="D25" t="s">
        <v>22</v>
      </c>
      <c r="E25" t="s">
        <v>190</v>
      </c>
      <c r="F25" s="59">
        <v>1936</v>
      </c>
      <c r="G25" t="s">
        <v>1773</v>
      </c>
      <c r="H25" t="s">
        <v>1776</v>
      </c>
    </row>
    <row r="26" spans="1:8" x14ac:dyDescent="0.25">
      <c r="A26" s="9">
        <v>45905</v>
      </c>
      <c r="B26" t="s">
        <v>904</v>
      </c>
      <c r="C26" t="s">
        <v>106</v>
      </c>
      <c r="D26" t="s">
        <v>22</v>
      </c>
      <c r="E26" t="s">
        <v>118</v>
      </c>
      <c r="F26" s="59">
        <v>1984.15</v>
      </c>
      <c r="G26" t="s">
        <v>1775</v>
      </c>
      <c r="H26" t="s">
        <v>1817</v>
      </c>
    </row>
    <row r="27" spans="1:8" x14ac:dyDescent="0.25">
      <c r="A27" s="9">
        <v>45908</v>
      </c>
      <c r="B27" t="s">
        <v>1659</v>
      </c>
      <c r="C27" t="s">
        <v>106</v>
      </c>
      <c r="D27" t="s">
        <v>22</v>
      </c>
      <c r="E27" t="s">
        <v>118</v>
      </c>
      <c r="F27" s="59">
        <v>492</v>
      </c>
      <c r="G27" t="s">
        <v>1780</v>
      </c>
      <c r="H27" t="s">
        <v>962</v>
      </c>
    </row>
    <row r="28" spans="1:8" x14ac:dyDescent="0.25">
      <c r="A28" s="9">
        <v>45926</v>
      </c>
      <c r="B28" t="s">
        <v>1782</v>
      </c>
      <c r="C28" t="s">
        <v>106</v>
      </c>
      <c r="D28" t="s">
        <v>24</v>
      </c>
      <c r="E28" t="s">
        <v>118</v>
      </c>
      <c r="F28" s="59">
        <v>9060</v>
      </c>
      <c r="G28" t="s">
        <v>464</v>
      </c>
      <c r="H28" t="s">
        <v>215</v>
      </c>
    </row>
    <row r="29" spans="1:8" x14ac:dyDescent="0.25">
      <c r="A29" s="9">
        <v>45927</v>
      </c>
      <c r="B29" t="s">
        <v>1786</v>
      </c>
      <c r="C29" t="s">
        <v>639</v>
      </c>
      <c r="D29" t="s">
        <v>22</v>
      </c>
      <c r="E29" t="s">
        <v>190</v>
      </c>
      <c r="F29" s="59">
        <v>1143</v>
      </c>
      <c r="G29" t="s">
        <v>1789</v>
      </c>
      <c r="H29" t="s">
        <v>215</v>
      </c>
    </row>
    <row r="30" spans="1:8" x14ac:dyDescent="0.25">
      <c r="A30" s="9">
        <v>45929</v>
      </c>
      <c r="B30" t="s">
        <v>1791</v>
      </c>
      <c r="C30" t="s">
        <v>106</v>
      </c>
      <c r="D30" t="s">
        <v>22</v>
      </c>
      <c r="E30" t="s">
        <v>190</v>
      </c>
      <c r="F30" s="59">
        <v>3330</v>
      </c>
      <c r="G30" t="s">
        <v>1794</v>
      </c>
      <c r="H30" t="s">
        <v>1795</v>
      </c>
    </row>
    <row r="31" spans="1:8" x14ac:dyDescent="0.25">
      <c r="A31" s="9">
        <v>45930</v>
      </c>
      <c r="B31" t="s">
        <v>1102</v>
      </c>
      <c r="C31" t="s">
        <v>106</v>
      </c>
      <c r="D31" t="s">
        <v>22</v>
      </c>
      <c r="E31" t="s">
        <v>118</v>
      </c>
      <c r="F31" s="59">
        <v>2495.65</v>
      </c>
      <c r="G31" t="s">
        <v>1797</v>
      </c>
      <c r="H31" t="s">
        <v>1803</v>
      </c>
    </row>
    <row r="32" spans="1:8" x14ac:dyDescent="0.25">
      <c r="A32" s="9">
        <v>45909</v>
      </c>
      <c r="B32" t="s">
        <v>1799</v>
      </c>
      <c r="C32" t="s">
        <v>106</v>
      </c>
      <c r="D32" t="s">
        <v>24</v>
      </c>
      <c r="E32" t="s">
        <v>190</v>
      </c>
      <c r="F32" s="59">
        <v>1800.69</v>
      </c>
      <c r="G32" t="s">
        <v>1802</v>
      </c>
      <c r="H32" t="s">
        <v>1818</v>
      </c>
    </row>
    <row r="33" spans="1:10" x14ac:dyDescent="0.25">
      <c r="A33" s="9">
        <v>45917</v>
      </c>
      <c r="B33" t="s">
        <v>750</v>
      </c>
      <c r="C33" t="s">
        <v>106</v>
      </c>
      <c r="D33" t="s">
        <v>22</v>
      </c>
      <c r="E33" t="s">
        <v>118</v>
      </c>
      <c r="F33" s="59">
        <v>1304.3</v>
      </c>
      <c r="G33" t="s">
        <v>1806</v>
      </c>
      <c r="H33" t="s">
        <v>296</v>
      </c>
    </row>
    <row r="34" spans="1:10" x14ac:dyDescent="0.25">
      <c r="A34" s="9">
        <v>45923</v>
      </c>
      <c r="B34" t="s">
        <v>1835</v>
      </c>
      <c r="C34" s="11" t="s">
        <v>106</v>
      </c>
      <c r="D34" t="s">
        <v>22</v>
      </c>
      <c r="E34" s="11" t="s">
        <v>213</v>
      </c>
      <c r="F34" s="59">
        <v>8689.4</v>
      </c>
      <c r="G34" s="11" t="s">
        <v>1838</v>
      </c>
      <c r="H34" s="11" t="s">
        <v>223</v>
      </c>
    </row>
    <row r="35" spans="1:10" x14ac:dyDescent="0.25">
      <c r="A35" s="9">
        <v>45924</v>
      </c>
      <c r="B35" t="s">
        <v>1840</v>
      </c>
      <c r="C35" s="11" t="s">
        <v>106</v>
      </c>
      <c r="D35" t="s">
        <v>24</v>
      </c>
      <c r="E35" s="11" t="s">
        <v>213</v>
      </c>
      <c r="F35" s="59">
        <v>1452.4</v>
      </c>
      <c r="G35" s="11" t="s">
        <v>1843</v>
      </c>
      <c r="H35" s="11" t="s">
        <v>1849</v>
      </c>
    </row>
    <row r="36" spans="1:10" x14ac:dyDescent="0.25">
      <c r="A36" s="9">
        <v>45930</v>
      </c>
      <c r="B36" t="s">
        <v>1866</v>
      </c>
      <c r="C36" s="11" t="s">
        <v>639</v>
      </c>
      <c r="D36" t="s">
        <v>22</v>
      </c>
      <c r="E36" s="11" t="s">
        <v>190</v>
      </c>
      <c r="F36" s="59">
        <v>2396.5</v>
      </c>
      <c r="G36" s="11" t="s">
        <v>1869</v>
      </c>
      <c r="H36" s="11" t="s">
        <v>1926</v>
      </c>
    </row>
    <row r="37" spans="1:10" x14ac:dyDescent="0.25">
      <c r="A37" s="9">
        <v>45904</v>
      </c>
      <c r="B37" t="s">
        <v>1880</v>
      </c>
      <c r="C37" s="11" t="s">
        <v>638</v>
      </c>
      <c r="D37" t="s">
        <v>22</v>
      </c>
      <c r="E37" s="11" t="s">
        <v>118</v>
      </c>
      <c r="F37" s="59">
        <v>1970</v>
      </c>
      <c r="G37" s="11" t="s">
        <v>1883</v>
      </c>
      <c r="H37" s="11" t="s">
        <v>1884</v>
      </c>
    </row>
    <row r="38" spans="1:10" x14ac:dyDescent="0.25">
      <c r="A38" s="9">
        <v>45919</v>
      </c>
      <c r="B38" t="s">
        <v>1880</v>
      </c>
      <c r="C38" s="11" t="s">
        <v>638</v>
      </c>
      <c r="D38" t="s">
        <v>22</v>
      </c>
      <c r="E38" s="11" t="s">
        <v>118</v>
      </c>
      <c r="F38" s="59">
        <v>1037.45</v>
      </c>
      <c r="G38" s="11" t="s">
        <v>603</v>
      </c>
      <c r="H38" s="11" t="s">
        <v>1884</v>
      </c>
    </row>
    <row r="39" spans="1:10" x14ac:dyDescent="0.25">
      <c r="A39" s="9">
        <v>45926</v>
      </c>
      <c r="B39" t="s">
        <v>1933</v>
      </c>
      <c r="C39" s="11" t="s">
        <v>106</v>
      </c>
      <c r="D39" t="s">
        <v>22</v>
      </c>
      <c r="E39" s="11" t="s">
        <v>190</v>
      </c>
      <c r="F39" s="59">
        <v>2337</v>
      </c>
      <c r="G39" s="11" t="s">
        <v>603</v>
      </c>
      <c r="H39" s="11" t="s">
        <v>568</v>
      </c>
    </row>
    <row r="42" spans="1:10" ht="15.75" thickBot="1" x14ac:dyDescent="0.3">
      <c r="A42" s="99" t="s">
        <v>8</v>
      </c>
      <c r="B42" s="99"/>
      <c r="C42" s="99"/>
      <c r="D42" s="99"/>
      <c r="E42" s="99"/>
      <c r="F42" s="99"/>
      <c r="G42" s="7"/>
    </row>
    <row r="43" spans="1:10" x14ac:dyDescent="0.25">
      <c r="A43" s="8" t="s">
        <v>9</v>
      </c>
      <c r="B43" s="9"/>
      <c r="C43" s="10">
        <f>SUM(F2:F41)</f>
        <v>90695.15</v>
      </c>
      <c r="D43" s="11"/>
      <c r="E43" s="12" t="s">
        <v>10</v>
      </c>
      <c r="F43" s="13"/>
      <c r="G43" s="7"/>
      <c r="H43" s="14" t="s">
        <v>11</v>
      </c>
      <c r="I43" s="15">
        <v>20</v>
      </c>
      <c r="J43" s="16"/>
    </row>
    <row r="44" spans="1:10" x14ac:dyDescent="0.25">
      <c r="A44" s="8"/>
      <c r="B44" s="9"/>
      <c r="C44" s="10"/>
      <c r="D44" s="11"/>
      <c r="E44" s="17" t="s">
        <v>12</v>
      </c>
      <c r="F44" s="18">
        <v>88358.15</v>
      </c>
      <c r="G44" s="7"/>
      <c r="H44" s="17" t="s">
        <v>13</v>
      </c>
      <c r="I44" s="19">
        <v>4</v>
      </c>
      <c r="J44" s="20">
        <f>I44/I$43</f>
        <v>0.2</v>
      </c>
    </row>
    <row r="45" spans="1:10" ht="15.75" thickBot="1" x14ac:dyDescent="0.3">
      <c r="A45" s="8" t="s">
        <v>14</v>
      </c>
      <c r="B45" s="9"/>
      <c r="C45" s="21">
        <v>25</v>
      </c>
      <c r="D45" s="11"/>
      <c r="E45" s="22" t="s">
        <v>15</v>
      </c>
      <c r="F45" s="23">
        <f>C43/C45</f>
        <v>3627.8059999999996</v>
      </c>
      <c r="G45" s="7"/>
      <c r="H45" s="17" t="s">
        <v>16</v>
      </c>
      <c r="I45" s="19">
        <v>16</v>
      </c>
      <c r="J45" s="20">
        <f>I45/I$43</f>
        <v>0.8</v>
      </c>
    </row>
    <row r="46" spans="1:10" ht="15.75" thickBot="1" x14ac:dyDescent="0.3">
      <c r="A46" s="8" t="s">
        <v>17</v>
      </c>
      <c r="B46" s="9"/>
      <c r="C46">
        <v>38</v>
      </c>
      <c r="D46" s="11"/>
      <c r="E46" s="11"/>
      <c r="F46" s="24"/>
      <c r="G46" s="7"/>
      <c r="H46" s="22" t="s">
        <v>18</v>
      </c>
      <c r="I46" s="25">
        <v>0</v>
      </c>
      <c r="J46" s="26">
        <f>I46/I$43</f>
        <v>0</v>
      </c>
    </row>
    <row r="47" spans="1:10" x14ac:dyDescent="0.25">
      <c r="A47" s="8"/>
      <c r="B47" s="9"/>
      <c r="D47" s="11" t="s">
        <v>19</v>
      </c>
      <c r="E47" s="12" t="s">
        <v>20</v>
      </c>
      <c r="F47" s="13"/>
      <c r="G47" s="7"/>
    </row>
    <row r="48" spans="1:10" ht="15.75" thickBot="1" x14ac:dyDescent="0.3">
      <c r="A48" s="8" t="s">
        <v>21</v>
      </c>
      <c r="B48" s="9"/>
      <c r="C48">
        <v>31</v>
      </c>
      <c r="D48" s="11" t="s">
        <v>19</v>
      </c>
      <c r="E48" s="17" t="s">
        <v>22</v>
      </c>
      <c r="F48" s="20">
        <f>C48/C$46</f>
        <v>0.81578947368421051</v>
      </c>
      <c r="G48" s="7"/>
    </row>
    <row r="49" spans="1:10" ht="15.75" thickBot="1" x14ac:dyDescent="0.3">
      <c r="A49" s="8" t="s">
        <v>23</v>
      </c>
      <c r="B49" s="9"/>
      <c r="C49">
        <v>7</v>
      </c>
      <c r="D49" s="11"/>
      <c r="E49" s="22" t="s">
        <v>24</v>
      </c>
      <c r="F49" s="26">
        <f>C49/C$46</f>
        <v>0.18421052631578946</v>
      </c>
      <c r="G49" s="7"/>
      <c r="H49" s="14" t="s">
        <v>25</v>
      </c>
      <c r="I49" s="15">
        <v>19</v>
      </c>
      <c r="J49" s="16"/>
    </row>
    <row r="50" spans="1:10" ht="15.75" thickBot="1" x14ac:dyDescent="0.3">
      <c r="A50" s="8"/>
      <c r="B50" s="9"/>
      <c r="D50" s="11"/>
      <c r="E50" s="11"/>
      <c r="F50" s="24"/>
      <c r="G50" s="7"/>
      <c r="H50" s="27" t="s">
        <v>26</v>
      </c>
      <c r="I50" s="30">
        <v>11</v>
      </c>
      <c r="J50" s="20">
        <f>I50/I$49</f>
        <v>0.57894736842105265</v>
      </c>
    </row>
    <row r="51" spans="1:10" x14ac:dyDescent="0.25">
      <c r="A51" s="8" t="s">
        <v>27</v>
      </c>
      <c r="B51" s="9"/>
      <c r="D51" s="11"/>
      <c r="E51" s="12" t="s">
        <v>28</v>
      </c>
      <c r="F51" s="13"/>
      <c r="G51" s="7"/>
      <c r="H51" s="27" t="s">
        <v>29</v>
      </c>
      <c r="I51" s="30">
        <v>5</v>
      </c>
      <c r="J51" s="20">
        <f>I51/I$49</f>
        <v>0.26315789473684209</v>
      </c>
    </row>
    <row r="52" spans="1:10" ht="15.75" thickBot="1" x14ac:dyDescent="0.3">
      <c r="A52" s="8" t="s">
        <v>30</v>
      </c>
      <c r="B52" s="9"/>
      <c r="C52">
        <v>2</v>
      </c>
      <c r="D52" s="11"/>
      <c r="E52" s="28" t="s">
        <v>30</v>
      </c>
      <c r="F52" s="20">
        <f>C52/C$61</f>
        <v>2.8571428571428571E-2</v>
      </c>
      <c r="G52" s="7"/>
      <c r="H52" s="29" t="s">
        <v>31</v>
      </c>
      <c r="I52" s="25">
        <v>3</v>
      </c>
      <c r="J52" s="26">
        <f>I52/I$49</f>
        <v>0.15789473684210525</v>
      </c>
    </row>
    <row r="53" spans="1:10" ht="15.75" thickBot="1" x14ac:dyDescent="0.3">
      <c r="A53" s="8" t="s">
        <v>11</v>
      </c>
      <c r="B53" s="9"/>
      <c r="C53">
        <v>20</v>
      </c>
      <c r="D53" s="11"/>
      <c r="E53" s="28" t="s">
        <v>11</v>
      </c>
      <c r="F53" s="20">
        <f t="shared" ref="F53:F60" si="0">C53/C$61</f>
        <v>0.2857142857142857</v>
      </c>
      <c r="G53" s="7"/>
    </row>
    <row r="54" spans="1:10" x14ac:dyDescent="0.25">
      <c r="A54" s="8" t="s">
        <v>32</v>
      </c>
      <c r="B54" s="9"/>
      <c r="C54">
        <v>19</v>
      </c>
      <c r="D54" s="11"/>
      <c r="E54" s="28" t="s">
        <v>32</v>
      </c>
      <c r="F54" s="20">
        <f t="shared" si="0"/>
        <v>0.27142857142857141</v>
      </c>
      <c r="G54" s="11" t="s">
        <v>19</v>
      </c>
      <c r="H54" s="14" t="s">
        <v>33</v>
      </c>
      <c r="I54" s="15">
        <v>1</v>
      </c>
      <c r="J54" s="13">
        <f t="shared" ref="J54:J65" si="1">I54/I$49</f>
        <v>5.2631578947368418E-2</v>
      </c>
    </row>
    <row r="55" spans="1:10" x14ac:dyDescent="0.25">
      <c r="A55" s="8" t="s">
        <v>34</v>
      </c>
      <c r="B55" s="9"/>
      <c r="C55">
        <v>0</v>
      </c>
      <c r="D55" s="11"/>
      <c r="E55" s="28" t="s">
        <v>34</v>
      </c>
      <c r="F55" s="20">
        <f t="shared" si="0"/>
        <v>0</v>
      </c>
      <c r="G55" s="7"/>
      <c r="H55" s="27" t="s">
        <v>35</v>
      </c>
      <c r="I55" s="30">
        <v>3</v>
      </c>
      <c r="J55" s="20">
        <f t="shared" si="1"/>
        <v>0.15789473684210525</v>
      </c>
    </row>
    <row r="56" spans="1:10" x14ac:dyDescent="0.25">
      <c r="A56" s="8" t="s">
        <v>36</v>
      </c>
      <c r="B56" s="9"/>
      <c r="C56">
        <v>6</v>
      </c>
      <c r="D56" s="11"/>
      <c r="E56" s="28" t="s">
        <v>36</v>
      </c>
      <c r="F56" s="20">
        <f t="shared" si="0"/>
        <v>8.5714285714285715E-2</v>
      </c>
      <c r="G56" s="7"/>
      <c r="H56" s="27" t="s">
        <v>37</v>
      </c>
      <c r="I56" s="30">
        <v>2</v>
      </c>
      <c r="J56" s="20">
        <f t="shared" si="1"/>
        <v>0.10526315789473684</v>
      </c>
    </row>
    <row r="57" spans="1:10" x14ac:dyDescent="0.25">
      <c r="A57" s="8" t="s">
        <v>38</v>
      </c>
      <c r="B57" s="9"/>
      <c r="C57">
        <v>0</v>
      </c>
      <c r="D57" s="11"/>
      <c r="E57" s="28" t="s">
        <v>38</v>
      </c>
      <c r="F57" s="20">
        <f t="shared" si="0"/>
        <v>0</v>
      </c>
      <c r="G57" s="7"/>
      <c r="H57" s="27" t="s">
        <v>39</v>
      </c>
      <c r="I57" s="30">
        <v>3</v>
      </c>
      <c r="J57" s="20">
        <f t="shared" si="1"/>
        <v>0.15789473684210525</v>
      </c>
    </row>
    <row r="58" spans="1:10" x14ac:dyDescent="0.25">
      <c r="A58" s="8" t="s">
        <v>40</v>
      </c>
      <c r="B58" s="9"/>
      <c r="C58">
        <v>9</v>
      </c>
      <c r="D58" s="11"/>
      <c r="E58" s="28" t="s">
        <v>40</v>
      </c>
      <c r="F58" s="20">
        <f t="shared" si="0"/>
        <v>0.12857142857142856</v>
      </c>
      <c r="G58" s="7"/>
      <c r="H58" s="27" t="s">
        <v>41</v>
      </c>
      <c r="I58" s="30">
        <v>4</v>
      </c>
      <c r="J58" s="20">
        <f t="shared" si="1"/>
        <v>0.21052631578947367</v>
      </c>
    </row>
    <row r="59" spans="1:10" x14ac:dyDescent="0.25">
      <c r="A59" s="8" t="s">
        <v>42</v>
      </c>
      <c r="B59" s="9"/>
      <c r="C59">
        <v>1</v>
      </c>
      <c r="D59" s="11"/>
      <c r="E59" s="28" t="s">
        <v>42</v>
      </c>
      <c r="F59" s="20">
        <f t="shared" si="0"/>
        <v>1.4285714285714285E-2</v>
      </c>
      <c r="G59" s="7"/>
      <c r="H59" s="27" t="s">
        <v>43</v>
      </c>
      <c r="I59" s="30">
        <v>6</v>
      </c>
      <c r="J59" s="20">
        <f t="shared" si="1"/>
        <v>0.31578947368421051</v>
      </c>
    </row>
    <row r="60" spans="1:10" ht="15.75" thickBot="1" x14ac:dyDescent="0.3">
      <c r="A60" s="8" t="s">
        <v>44</v>
      </c>
      <c r="B60" s="9"/>
      <c r="C60">
        <v>13</v>
      </c>
      <c r="D60" s="11"/>
      <c r="E60" s="31" t="s">
        <v>44</v>
      </c>
      <c r="F60" s="26">
        <f t="shared" si="0"/>
        <v>0.18571428571428572</v>
      </c>
      <c r="G60" s="11" t="s">
        <v>19</v>
      </c>
      <c r="H60" s="32" t="s">
        <v>45</v>
      </c>
      <c r="I60" s="30">
        <v>0</v>
      </c>
      <c r="J60" s="20">
        <f t="shared" si="1"/>
        <v>0</v>
      </c>
    </row>
    <row r="61" spans="1:10" ht="15.75" thickBot="1" x14ac:dyDescent="0.3">
      <c r="A61" s="8" t="s">
        <v>46</v>
      </c>
      <c r="B61" s="9"/>
      <c r="C61">
        <f>SUM(C52:C60)</f>
        <v>70</v>
      </c>
      <c r="D61" s="11"/>
      <c r="E61" s="8"/>
      <c r="F61" s="24"/>
      <c r="G61" s="7"/>
      <c r="H61" s="32" t="s">
        <v>47</v>
      </c>
      <c r="I61" s="30">
        <v>0</v>
      </c>
      <c r="J61" s="20">
        <f t="shared" si="1"/>
        <v>0</v>
      </c>
    </row>
    <row r="62" spans="1:10" x14ac:dyDescent="0.25">
      <c r="A62" s="8"/>
      <c r="B62" s="9"/>
      <c r="D62" s="11"/>
      <c r="E62" s="33" t="s">
        <v>48</v>
      </c>
      <c r="F62" s="13"/>
      <c r="G62" s="7"/>
      <c r="H62" s="32" t="s">
        <v>49</v>
      </c>
      <c r="I62" s="30">
        <v>0</v>
      </c>
      <c r="J62" s="20">
        <f t="shared" si="1"/>
        <v>0</v>
      </c>
    </row>
    <row r="63" spans="1:10" x14ac:dyDescent="0.25">
      <c r="A63" s="8" t="s">
        <v>50</v>
      </c>
      <c r="B63" s="9"/>
      <c r="D63" s="11"/>
      <c r="E63" s="28" t="s">
        <v>51</v>
      </c>
      <c r="F63" s="20">
        <f>C64/C$74</f>
        <v>0.28749999999999998</v>
      </c>
      <c r="G63" s="7"/>
      <c r="H63" s="27" t="s">
        <v>52</v>
      </c>
      <c r="I63" s="30">
        <v>0</v>
      </c>
      <c r="J63" s="20">
        <f t="shared" si="1"/>
        <v>0</v>
      </c>
    </row>
    <row r="64" spans="1:10" x14ac:dyDescent="0.25">
      <c r="A64" s="8" t="s">
        <v>51</v>
      </c>
      <c r="B64" s="9"/>
      <c r="C64">
        <v>23</v>
      </c>
      <c r="D64" s="11"/>
      <c r="E64" s="28" t="s">
        <v>53</v>
      </c>
      <c r="F64" s="20">
        <f t="shared" ref="F64:F72" si="2">C65/C$74</f>
        <v>0.33750000000000002</v>
      </c>
      <c r="G64" s="7"/>
      <c r="H64" s="32" t="s">
        <v>54</v>
      </c>
      <c r="I64" s="30">
        <v>0</v>
      </c>
      <c r="J64" s="20">
        <f t="shared" si="1"/>
        <v>0</v>
      </c>
    </row>
    <row r="65" spans="1:10" ht="15.75" thickBot="1" x14ac:dyDescent="0.3">
      <c r="A65" s="8" t="s">
        <v>53</v>
      </c>
      <c r="B65" s="9"/>
      <c r="C65">
        <v>27</v>
      </c>
      <c r="D65" s="11"/>
      <c r="E65" s="28" t="s">
        <v>55</v>
      </c>
      <c r="F65" s="20">
        <f t="shared" si="2"/>
        <v>0.16250000000000001</v>
      </c>
      <c r="G65" s="7"/>
      <c r="H65" s="34" t="s">
        <v>56</v>
      </c>
      <c r="I65" s="25">
        <v>0</v>
      </c>
      <c r="J65" s="26">
        <f t="shared" si="1"/>
        <v>0</v>
      </c>
    </row>
    <row r="66" spans="1:10" x14ac:dyDescent="0.25">
      <c r="A66" s="8" t="s">
        <v>55</v>
      </c>
      <c r="B66" s="9"/>
      <c r="C66">
        <v>13</v>
      </c>
      <c r="D66" s="11"/>
      <c r="E66" s="28" t="s">
        <v>57</v>
      </c>
      <c r="F66" s="20">
        <f t="shared" si="2"/>
        <v>1.2500000000000001E-2</v>
      </c>
      <c r="G66" s="7"/>
    </row>
    <row r="67" spans="1:10" ht="15.75" thickBot="1" x14ac:dyDescent="0.3">
      <c r="A67" s="8" t="s">
        <v>57</v>
      </c>
      <c r="B67" s="9"/>
      <c r="C67">
        <v>1</v>
      </c>
      <c r="D67" s="11"/>
      <c r="E67" s="28" t="s">
        <v>58</v>
      </c>
      <c r="F67" s="20">
        <f t="shared" si="2"/>
        <v>0.05</v>
      </c>
      <c r="G67" s="11" t="s">
        <v>19</v>
      </c>
    </row>
    <row r="68" spans="1:10" x14ac:dyDescent="0.25">
      <c r="A68" s="8" t="s">
        <v>58</v>
      </c>
      <c r="B68" s="9"/>
      <c r="C68">
        <v>4</v>
      </c>
      <c r="D68" s="11"/>
      <c r="E68" s="28" t="s">
        <v>59</v>
      </c>
      <c r="F68" s="20">
        <f t="shared" si="2"/>
        <v>0</v>
      </c>
      <c r="G68" s="7"/>
      <c r="H68" s="14" t="s">
        <v>36</v>
      </c>
      <c r="I68" s="15">
        <v>6</v>
      </c>
      <c r="J68" s="16"/>
    </row>
    <row r="69" spans="1:10" x14ac:dyDescent="0.25">
      <c r="A69" s="8" t="s">
        <v>59</v>
      </c>
      <c r="B69" s="9"/>
      <c r="C69">
        <v>0</v>
      </c>
      <c r="D69" s="11"/>
      <c r="E69" s="28" t="s">
        <v>60</v>
      </c>
      <c r="F69" s="20">
        <f t="shared" si="2"/>
        <v>0</v>
      </c>
      <c r="G69" s="7"/>
      <c r="H69" s="27" t="s">
        <v>61</v>
      </c>
      <c r="I69" s="30">
        <v>2</v>
      </c>
      <c r="J69" s="20">
        <f>I69/I$68</f>
        <v>0.33333333333333331</v>
      </c>
    </row>
    <row r="70" spans="1:10" ht="15.75" thickBot="1" x14ac:dyDescent="0.3">
      <c r="A70" s="8" t="s">
        <v>60</v>
      </c>
      <c r="B70" s="9"/>
      <c r="C70">
        <v>0</v>
      </c>
      <c r="D70" s="11"/>
      <c r="E70" s="28" t="s">
        <v>62</v>
      </c>
      <c r="F70" s="20">
        <f t="shared" si="2"/>
        <v>0</v>
      </c>
      <c r="G70" s="7"/>
      <c r="H70" s="29" t="s">
        <v>63</v>
      </c>
      <c r="I70" s="25">
        <v>4</v>
      </c>
      <c r="J70" s="26">
        <f>I70/I$68</f>
        <v>0.66666666666666663</v>
      </c>
    </row>
    <row r="71" spans="1:10" x14ac:dyDescent="0.25">
      <c r="A71" s="8" t="s">
        <v>62</v>
      </c>
      <c r="B71" s="9"/>
      <c r="C71">
        <v>0</v>
      </c>
      <c r="D71" s="11"/>
      <c r="E71" s="28" t="s">
        <v>64</v>
      </c>
      <c r="F71" s="20">
        <f t="shared" si="2"/>
        <v>0</v>
      </c>
      <c r="G71" s="7"/>
    </row>
    <row r="72" spans="1:10" ht="15.75" thickBot="1" x14ac:dyDescent="0.3">
      <c r="A72" s="8" t="s">
        <v>64</v>
      </c>
      <c r="B72" s="9"/>
      <c r="C72">
        <v>0</v>
      </c>
      <c r="D72" s="11"/>
      <c r="E72" s="31" t="s">
        <v>65</v>
      </c>
      <c r="F72" s="26">
        <f t="shared" si="2"/>
        <v>0.15</v>
      </c>
      <c r="G72" s="7"/>
    </row>
    <row r="73" spans="1:10" ht="15.75" thickBot="1" x14ac:dyDescent="0.3">
      <c r="A73" s="8" t="s">
        <v>65</v>
      </c>
      <c r="B73" s="9"/>
      <c r="C73">
        <v>12</v>
      </c>
      <c r="D73" s="11"/>
      <c r="E73" s="8"/>
      <c r="F73" s="24"/>
      <c r="G73" s="7"/>
      <c r="H73" s="14" t="s">
        <v>66</v>
      </c>
      <c r="I73" s="15">
        <v>0</v>
      </c>
      <c r="J73" s="16"/>
    </row>
    <row r="74" spans="1:10" x14ac:dyDescent="0.25">
      <c r="A74" s="8" t="s">
        <v>67</v>
      </c>
      <c r="B74" s="9"/>
      <c r="C74">
        <f>SUM(C64:C73)</f>
        <v>80</v>
      </c>
      <c r="D74" s="11"/>
      <c r="E74" s="33" t="s">
        <v>68</v>
      </c>
      <c r="F74" s="13"/>
      <c r="G74" s="7"/>
      <c r="H74" s="27" t="s">
        <v>69</v>
      </c>
      <c r="I74" s="30">
        <v>0</v>
      </c>
      <c r="J74" s="20" t="e">
        <f t="shared" ref="J74:J79" si="3">I74/I$73</f>
        <v>#DIV/0!</v>
      </c>
    </row>
    <row r="75" spans="1:10" x14ac:dyDescent="0.25">
      <c r="A75" s="8"/>
      <c r="B75" s="9"/>
      <c r="D75" s="11"/>
      <c r="E75" s="35" t="s">
        <v>70</v>
      </c>
      <c r="F75" s="20">
        <f>C76/C$46</f>
        <v>0.68421052631578949</v>
      </c>
      <c r="G75" s="7"/>
      <c r="H75" s="27" t="s">
        <v>71</v>
      </c>
      <c r="I75" s="30">
        <v>0</v>
      </c>
      <c r="J75" s="20" t="e">
        <f t="shared" si="3"/>
        <v>#DIV/0!</v>
      </c>
    </row>
    <row r="76" spans="1:10" x14ac:dyDescent="0.25">
      <c r="A76" s="8" t="s">
        <v>72</v>
      </c>
      <c r="B76" s="9"/>
      <c r="C76">
        <v>26</v>
      </c>
      <c r="D76" s="11"/>
      <c r="E76" s="35" t="s">
        <v>73</v>
      </c>
      <c r="F76" s="20">
        <f>C77/C$46</f>
        <v>0.18421052631578946</v>
      </c>
      <c r="G76" s="7"/>
      <c r="H76" s="27" t="s">
        <v>74</v>
      </c>
      <c r="I76" s="30">
        <v>0</v>
      </c>
      <c r="J76" s="20" t="e">
        <f t="shared" si="3"/>
        <v>#DIV/0!</v>
      </c>
    </row>
    <row r="77" spans="1:10" ht="15.75" thickBot="1" x14ac:dyDescent="0.3">
      <c r="A77" s="8" t="s">
        <v>75</v>
      </c>
      <c r="B77" s="9"/>
      <c r="C77">
        <v>7</v>
      </c>
      <c r="D77" s="11"/>
      <c r="E77" s="36" t="s">
        <v>76</v>
      </c>
      <c r="F77" s="26">
        <f>C78/C$46</f>
        <v>0.13157894736842105</v>
      </c>
      <c r="G77" s="7"/>
      <c r="H77" s="27" t="s">
        <v>77</v>
      </c>
      <c r="I77" s="30">
        <v>0</v>
      </c>
      <c r="J77" s="20" t="e">
        <f t="shared" si="3"/>
        <v>#DIV/0!</v>
      </c>
    </row>
    <row r="78" spans="1:10" ht="15.75" thickBot="1" x14ac:dyDescent="0.3">
      <c r="A78" s="8" t="s">
        <v>78</v>
      </c>
      <c r="B78" s="9"/>
      <c r="C78">
        <v>5</v>
      </c>
      <c r="D78" s="11"/>
      <c r="E78" s="37"/>
      <c r="F78" s="24"/>
      <c r="G78" s="11" t="s">
        <v>19</v>
      </c>
      <c r="H78" s="27" t="s">
        <v>79</v>
      </c>
      <c r="I78" s="30">
        <v>0</v>
      </c>
      <c r="J78" s="20" t="e">
        <f t="shared" si="3"/>
        <v>#DIV/0!</v>
      </c>
    </row>
    <row r="79" spans="1:10" ht="15.75" thickBot="1" x14ac:dyDescent="0.3">
      <c r="A79" s="8"/>
      <c r="B79" s="9"/>
      <c r="D79" s="11"/>
      <c r="E79" s="38" t="s">
        <v>20</v>
      </c>
      <c r="F79" s="13"/>
      <c r="G79" s="7"/>
      <c r="H79" s="29" t="s">
        <v>80</v>
      </c>
      <c r="I79" s="25">
        <v>0</v>
      </c>
      <c r="J79" s="26" t="e">
        <f t="shared" si="3"/>
        <v>#DIV/0!</v>
      </c>
    </row>
    <row r="80" spans="1:10" x14ac:dyDescent="0.25">
      <c r="A80" s="8" t="s">
        <v>20</v>
      </c>
      <c r="B80" s="9"/>
      <c r="D80" s="11"/>
      <c r="E80" s="28" t="s">
        <v>81</v>
      </c>
      <c r="F80" s="20">
        <f>C81/C$46</f>
        <v>0.47368421052631576</v>
      </c>
      <c r="G80" s="7"/>
    </row>
    <row r="81" spans="1:10" ht="15.75" thickBot="1" x14ac:dyDescent="0.3">
      <c r="A81" s="8" t="s">
        <v>82</v>
      </c>
      <c r="B81" s="9"/>
      <c r="C81">
        <v>18</v>
      </c>
      <c r="D81" s="11"/>
      <c r="E81" s="31" t="s">
        <v>83</v>
      </c>
      <c r="F81" s="26">
        <f>C82/C$46</f>
        <v>0.52631578947368418</v>
      </c>
      <c r="G81" s="7"/>
    </row>
    <row r="82" spans="1:10" ht="15.75" thickBot="1" x14ac:dyDescent="0.3">
      <c r="A82" s="8" t="s">
        <v>83</v>
      </c>
      <c r="B82" s="9"/>
      <c r="C82">
        <v>20</v>
      </c>
      <c r="D82" s="11"/>
      <c r="E82" s="39"/>
      <c r="F82" s="40"/>
      <c r="G82" s="7"/>
      <c r="H82" s="14" t="s">
        <v>40</v>
      </c>
      <c r="I82" s="15">
        <v>9</v>
      </c>
      <c r="J82" s="16"/>
    </row>
    <row r="83" spans="1:10" x14ac:dyDescent="0.25">
      <c r="A83" s="8"/>
      <c r="B83" s="9"/>
      <c r="C83" t="s">
        <v>19</v>
      </c>
      <c r="D83" s="11"/>
      <c r="E83" s="14" t="s">
        <v>84</v>
      </c>
      <c r="F83" s="13"/>
      <c r="G83" s="7"/>
      <c r="H83" s="27" t="s">
        <v>85</v>
      </c>
      <c r="I83" s="30">
        <v>0</v>
      </c>
      <c r="J83" s="20">
        <f>I83/I$82</f>
        <v>0</v>
      </c>
    </row>
    <row r="84" spans="1:10" x14ac:dyDescent="0.25">
      <c r="A84" t="s">
        <v>84</v>
      </c>
      <c r="D84" s="11"/>
      <c r="E84" s="27" t="s">
        <v>86</v>
      </c>
      <c r="F84" s="20">
        <f>C85/C$82</f>
        <v>0.7</v>
      </c>
      <c r="G84" s="7"/>
      <c r="H84" s="27" t="s">
        <v>87</v>
      </c>
      <c r="I84" s="30">
        <v>2</v>
      </c>
      <c r="J84" s="20">
        <f>I84/I$82</f>
        <v>0.22222222222222221</v>
      </c>
    </row>
    <row r="85" spans="1:10" ht="15.75" thickBot="1" x14ac:dyDescent="0.3">
      <c r="A85" t="s">
        <v>86</v>
      </c>
      <c r="C85">
        <v>14</v>
      </c>
      <c r="D85" s="11"/>
      <c r="E85" s="29" t="s">
        <v>88</v>
      </c>
      <c r="F85" s="26">
        <f>C86/C$82</f>
        <v>0.3</v>
      </c>
      <c r="G85" s="7"/>
      <c r="H85" s="27" t="s">
        <v>89</v>
      </c>
      <c r="I85" s="19">
        <v>5</v>
      </c>
      <c r="J85" s="20">
        <f>I85/I$82</f>
        <v>0.55555555555555558</v>
      </c>
    </row>
    <row r="86" spans="1:10" ht="15.75" thickBot="1" x14ac:dyDescent="0.3">
      <c r="A86" t="s">
        <v>88</v>
      </c>
      <c r="C86">
        <v>6</v>
      </c>
      <c r="D86" s="11"/>
      <c r="E86" s="39"/>
      <c r="F86" s="40"/>
      <c r="G86" s="7"/>
      <c r="H86" s="27" t="s">
        <v>90</v>
      </c>
      <c r="I86" s="30">
        <v>1</v>
      </c>
      <c r="J86" s="20">
        <f>I86/I$82</f>
        <v>0.1111111111111111</v>
      </c>
    </row>
    <row r="87" spans="1:10" ht="15.75" thickBot="1" x14ac:dyDescent="0.3">
      <c r="A87" s="8"/>
      <c r="B87" s="9"/>
      <c r="D87" s="11"/>
      <c r="E87" s="33" t="s">
        <v>91</v>
      </c>
      <c r="F87" s="13"/>
      <c r="G87" s="7"/>
      <c r="H87" s="29" t="s">
        <v>92</v>
      </c>
      <c r="I87" s="25">
        <v>1</v>
      </c>
      <c r="J87" s="26">
        <f>I87/I$82</f>
        <v>0.1111111111111111</v>
      </c>
    </row>
    <row r="88" spans="1:10" x14ac:dyDescent="0.25">
      <c r="A88" s="8" t="s">
        <v>93</v>
      </c>
      <c r="B88" s="9"/>
      <c r="D88" s="11"/>
      <c r="E88" s="28" t="s">
        <v>94</v>
      </c>
      <c r="F88" s="20">
        <f t="shared" ref="F88:F93" si="4">C89/C$46</f>
        <v>0.42105263157894735</v>
      </c>
      <c r="G88" s="7"/>
    </row>
    <row r="89" spans="1:10" ht="15.75" thickBot="1" x14ac:dyDescent="0.3">
      <c r="A89" s="8" t="s">
        <v>94</v>
      </c>
      <c r="B89" s="9"/>
      <c r="C89">
        <v>16</v>
      </c>
      <c r="D89" s="11"/>
      <c r="E89" s="17" t="s">
        <v>95</v>
      </c>
      <c r="F89" s="20">
        <f t="shared" si="4"/>
        <v>5.2631578947368418E-2</v>
      </c>
      <c r="G89" s="7"/>
    </row>
    <row r="90" spans="1:10" x14ac:dyDescent="0.25">
      <c r="A90" s="8" t="s">
        <v>95</v>
      </c>
      <c r="B90" s="9"/>
      <c r="C90">
        <v>2</v>
      </c>
      <c r="D90" s="11"/>
      <c r="E90" s="17" t="s">
        <v>96</v>
      </c>
      <c r="F90" s="20">
        <f t="shared" si="4"/>
        <v>0</v>
      </c>
      <c r="G90" s="7"/>
      <c r="H90" s="14" t="s">
        <v>44</v>
      </c>
      <c r="I90" s="15">
        <v>13</v>
      </c>
      <c r="J90" s="16"/>
    </row>
    <row r="91" spans="1:10" x14ac:dyDescent="0.25">
      <c r="A91" s="8" t="s">
        <v>96</v>
      </c>
      <c r="B91" s="9"/>
      <c r="C91">
        <v>0</v>
      </c>
      <c r="D91" s="11"/>
      <c r="E91" s="17" t="s">
        <v>97</v>
      </c>
      <c r="F91" s="20">
        <f t="shared" si="4"/>
        <v>0</v>
      </c>
      <c r="G91" s="7"/>
      <c r="H91" s="27" t="s">
        <v>98</v>
      </c>
      <c r="I91" s="19">
        <v>0</v>
      </c>
      <c r="J91" s="20">
        <f>I91/I$90</f>
        <v>0</v>
      </c>
    </row>
    <row r="92" spans="1:10" x14ac:dyDescent="0.25">
      <c r="A92" s="8" t="s">
        <v>97</v>
      </c>
      <c r="B92" s="9"/>
      <c r="C92">
        <v>0</v>
      </c>
      <c r="D92" s="11"/>
      <c r="E92" s="17" t="s">
        <v>99</v>
      </c>
      <c r="F92" s="20">
        <f t="shared" si="4"/>
        <v>0.52631578947368418</v>
      </c>
      <c r="G92" s="7"/>
      <c r="H92" s="27" t="s">
        <v>100</v>
      </c>
      <c r="I92" s="30">
        <v>2</v>
      </c>
      <c r="J92" s="20">
        <f t="shared" ref="J92:J100" si="5">I92/I$90</f>
        <v>0.15384615384615385</v>
      </c>
    </row>
    <row r="93" spans="1:10" ht="15.75" thickBot="1" x14ac:dyDescent="0.3">
      <c r="A93" s="8" t="s">
        <v>99</v>
      </c>
      <c r="B93" s="9"/>
      <c r="C93">
        <v>20</v>
      </c>
      <c r="D93" s="11"/>
      <c r="E93" s="22" t="s">
        <v>44</v>
      </c>
      <c r="F93" s="26">
        <f t="shared" si="4"/>
        <v>0</v>
      </c>
      <c r="G93" s="7"/>
      <c r="H93" s="27" t="s">
        <v>101</v>
      </c>
      <c r="I93" s="30">
        <v>0</v>
      </c>
      <c r="J93" s="20">
        <f t="shared" si="5"/>
        <v>0</v>
      </c>
    </row>
    <row r="94" spans="1:10" ht="15.75" thickBot="1" x14ac:dyDescent="0.3">
      <c r="A94" s="8" t="s">
        <v>44</v>
      </c>
      <c r="B94" s="9"/>
      <c r="C94">
        <v>0</v>
      </c>
      <c r="D94" s="11"/>
      <c r="E94" s="11"/>
      <c r="F94" s="24"/>
      <c r="G94" s="7"/>
      <c r="H94" s="27" t="s">
        <v>102</v>
      </c>
      <c r="I94" s="30">
        <v>1</v>
      </c>
      <c r="J94" s="20">
        <f t="shared" si="5"/>
        <v>7.6923076923076927E-2</v>
      </c>
    </row>
    <row r="95" spans="1:10" x14ac:dyDescent="0.25">
      <c r="A95" s="8"/>
      <c r="B95" s="9"/>
      <c r="D95" s="11"/>
      <c r="E95" s="12" t="s">
        <v>103</v>
      </c>
      <c r="F95" s="13"/>
      <c r="G95" s="7"/>
      <c r="H95" s="27" t="s">
        <v>104</v>
      </c>
      <c r="I95" s="30">
        <v>4</v>
      </c>
      <c r="J95" s="20">
        <f t="shared" si="5"/>
        <v>0.30769230769230771</v>
      </c>
    </row>
    <row r="96" spans="1:10" x14ac:dyDescent="0.25">
      <c r="A96" s="8" t="s">
        <v>105</v>
      </c>
      <c r="B96" s="9"/>
      <c r="D96" s="11"/>
      <c r="E96" s="17" t="s">
        <v>106</v>
      </c>
      <c r="F96" s="20">
        <f>C97/C$46</f>
        <v>0.73684210526315785</v>
      </c>
      <c r="G96" s="7"/>
      <c r="H96" s="41" t="s">
        <v>107</v>
      </c>
      <c r="I96" s="30">
        <v>1</v>
      </c>
      <c r="J96" s="20">
        <f t="shared" si="5"/>
        <v>7.6923076923076927E-2</v>
      </c>
    </row>
    <row r="97" spans="1:10" x14ac:dyDescent="0.25">
      <c r="A97" s="8" t="s">
        <v>106</v>
      </c>
      <c r="B97" s="9"/>
      <c r="C97">
        <v>28</v>
      </c>
      <c r="D97" s="11"/>
      <c r="E97" s="17" t="s">
        <v>108</v>
      </c>
      <c r="F97" s="20">
        <f>C98/C$46</f>
        <v>0.13157894736842105</v>
      </c>
      <c r="G97" s="7"/>
      <c r="H97" s="41" t="s">
        <v>109</v>
      </c>
      <c r="I97" s="30">
        <v>0</v>
      </c>
      <c r="J97" s="20">
        <f t="shared" si="5"/>
        <v>0</v>
      </c>
    </row>
    <row r="98" spans="1:10" x14ac:dyDescent="0.25">
      <c r="A98" s="8" t="s">
        <v>108</v>
      </c>
      <c r="B98" s="9"/>
      <c r="C98">
        <v>5</v>
      </c>
      <c r="D98" s="11"/>
      <c r="E98" s="17" t="s">
        <v>110</v>
      </c>
      <c r="F98" s="20">
        <f>C99/C$46</f>
        <v>7.8947368421052627E-2</v>
      </c>
      <c r="G98" s="7"/>
      <c r="H98" s="41" t="s">
        <v>111</v>
      </c>
      <c r="I98" s="30">
        <v>1</v>
      </c>
      <c r="J98" s="20">
        <f t="shared" si="5"/>
        <v>7.6923076923076927E-2</v>
      </c>
    </row>
    <row r="99" spans="1:10" x14ac:dyDescent="0.25">
      <c r="A99" s="8" t="s">
        <v>110</v>
      </c>
      <c r="B99" s="9"/>
      <c r="C99">
        <v>3</v>
      </c>
      <c r="D99" s="11"/>
      <c r="E99" s="17" t="s">
        <v>112</v>
      </c>
      <c r="F99" s="20">
        <f>C100/C$46</f>
        <v>2.6315789473684209E-2</v>
      </c>
      <c r="G99" s="7"/>
      <c r="H99" s="41" t="s">
        <v>113</v>
      </c>
      <c r="I99" s="30">
        <v>1</v>
      </c>
      <c r="J99" s="20">
        <f t="shared" si="5"/>
        <v>7.6923076923076927E-2</v>
      </c>
    </row>
    <row r="100" spans="1:10" ht="15.75" thickBot="1" x14ac:dyDescent="0.3">
      <c r="A100" s="8" t="s">
        <v>112</v>
      </c>
      <c r="B100" s="9"/>
      <c r="C100">
        <v>1</v>
      </c>
      <c r="E100" s="22" t="s">
        <v>114</v>
      </c>
      <c r="F100" s="26">
        <f>C101/C$46</f>
        <v>0</v>
      </c>
      <c r="H100" s="42" t="s">
        <v>115</v>
      </c>
      <c r="I100" s="25">
        <v>1</v>
      </c>
      <c r="J100" s="26">
        <f t="shared" si="5"/>
        <v>7.6923076923076927E-2</v>
      </c>
    </row>
    <row r="101" spans="1:10" x14ac:dyDescent="0.25">
      <c r="A101" s="8" t="s">
        <v>114</v>
      </c>
      <c r="B101" s="9"/>
      <c r="C101">
        <v>0</v>
      </c>
      <c r="E101" s="11"/>
      <c r="F101" s="24"/>
    </row>
    <row r="102" spans="1:10" x14ac:dyDescent="0.25">
      <c r="A102" s="8" t="s">
        <v>116</v>
      </c>
      <c r="B102" s="9"/>
      <c r="C102">
        <v>1</v>
      </c>
      <c r="E102" s="11"/>
      <c r="F102" s="24"/>
    </row>
    <row r="103" spans="1:10" x14ac:dyDescent="0.25">
      <c r="A103" s="8"/>
      <c r="B103" s="9"/>
      <c r="E103" s="11"/>
      <c r="F103" s="24"/>
    </row>
    <row r="104" spans="1:10" ht="15.75" thickBot="1" x14ac:dyDescent="0.3"/>
    <row r="105" spans="1:10" x14ac:dyDescent="0.25">
      <c r="A105" s="43" t="s">
        <v>117</v>
      </c>
      <c r="B105" s="82">
        <f>SUM(B106:B109)</f>
        <v>90695.150000000009</v>
      </c>
    </row>
    <row r="106" spans="1:10" x14ac:dyDescent="0.25">
      <c r="A106" s="44" t="s">
        <v>94</v>
      </c>
      <c r="B106" s="45">
        <f>SUM(F7:F10,F12,F16,F19:F21,F23,F25,F29:F30,F32,F36,F39,,)</f>
        <v>36546.54</v>
      </c>
    </row>
    <row r="107" spans="1:10" x14ac:dyDescent="0.25">
      <c r="A107" s="44" t="s">
        <v>118</v>
      </c>
      <c r="B107" s="45">
        <f>SUM(F2:F6,F11,F13:F15,F17:F18,F22,F24,F26:F28,F31,F33,F37:F38,)</f>
        <v>44006.810000000005</v>
      </c>
    </row>
    <row r="108" spans="1:10" x14ac:dyDescent="0.25">
      <c r="A108" s="44" t="s">
        <v>119</v>
      </c>
      <c r="B108" s="45">
        <f>SUM(0)</f>
        <v>0</v>
      </c>
    </row>
    <row r="109" spans="1:10" x14ac:dyDescent="0.25">
      <c r="A109" s="44" t="s">
        <v>44</v>
      </c>
      <c r="B109" s="46">
        <f>SUM(F34:F35,)</f>
        <v>10141.799999999999</v>
      </c>
    </row>
    <row r="110" spans="1:10" ht="15.75" thickBot="1" x14ac:dyDescent="0.3">
      <c r="A110" s="47"/>
      <c r="B110" s="48"/>
    </row>
  </sheetData>
  <mergeCells count="1">
    <mergeCell ref="A42:F4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opLeftCell="A13" workbookViewId="0">
      <selection activeCell="C42" sqref="C42"/>
    </sheetView>
  </sheetViews>
  <sheetFormatPr baseColWidth="10" defaultRowHeight="15" x14ac:dyDescent="0.25"/>
  <cols>
    <col min="1" max="1" width="10.5703125" customWidth="1"/>
    <col min="2" max="2" width="32.85546875" customWidth="1"/>
    <col min="3" max="3" width="12.7109375" customWidth="1"/>
    <col min="4" max="4" width="5.140625" customWidth="1"/>
    <col min="5" max="5" width="6.85546875" customWidth="1"/>
    <col min="6" max="6" width="12.42578125" customWidth="1"/>
    <col min="7" max="7" width="45.4257812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45931</v>
      </c>
      <c r="B2" t="s">
        <v>1808</v>
      </c>
      <c r="C2" t="s">
        <v>106</v>
      </c>
      <c r="D2" t="s">
        <v>22</v>
      </c>
      <c r="E2" t="s">
        <v>190</v>
      </c>
      <c r="F2" s="59">
        <v>968</v>
      </c>
      <c r="G2" t="s">
        <v>1811</v>
      </c>
      <c r="H2" t="s">
        <v>295</v>
      </c>
    </row>
    <row r="3" spans="1:8" x14ac:dyDescent="0.25">
      <c r="A3" s="9">
        <v>45932</v>
      </c>
      <c r="B3" t="s">
        <v>1813</v>
      </c>
      <c r="C3" t="s">
        <v>638</v>
      </c>
      <c r="D3" t="s">
        <v>22</v>
      </c>
      <c r="E3" t="s">
        <v>119</v>
      </c>
      <c r="F3" s="59">
        <v>2279</v>
      </c>
      <c r="G3" t="s">
        <v>1816</v>
      </c>
      <c r="H3" t="s">
        <v>1819</v>
      </c>
    </row>
    <row r="4" spans="1:8" x14ac:dyDescent="0.25">
      <c r="A4" s="9">
        <v>45933</v>
      </c>
      <c r="B4" t="s">
        <v>1821</v>
      </c>
      <c r="C4" t="s">
        <v>106</v>
      </c>
      <c r="D4" t="s">
        <v>24</v>
      </c>
      <c r="E4" t="s">
        <v>118</v>
      </c>
      <c r="F4" s="59">
        <v>5331.72</v>
      </c>
      <c r="G4" t="s">
        <v>203</v>
      </c>
      <c r="H4" t="s">
        <v>1832</v>
      </c>
    </row>
    <row r="5" spans="1:8" x14ac:dyDescent="0.25">
      <c r="A5" s="9">
        <v>45934</v>
      </c>
      <c r="B5" t="s">
        <v>757</v>
      </c>
      <c r="C5" t="s">
        <v>106</v>
      </c>
      <c r="D5" t="s">
        <v>22</v>
      </c>
      <c r="E5" t="s">
        <v>118</v>
      </c>
      <c r="F5" s="59">
        <v>1122</v>
      </c>
      <c r="G5" t="s">
        <v>375</v>
      </c>
      <c r="H5" t="s">
        <v>1833</v>
      </c>
    </row>
    <row r="6" spans="1:8" x14ac:dyDescent="0.25">
      <c r="A6" s="9">
        <v>45936</v>
      </c>
      <c r="B6" t="s">
        <v>1827</v>
      </c>
      <c r="C6" s="11" t="s">
        <v>114</v>
      </c>
      <c r="D6" t="s">
        <v>22</v>
      </c>
      <c r="E6" s="11" t="s">
        <v>118</v>
      </c>
      <c r="F6" s="59">
        <v>950</v>
      </c>
      <c r="G6" s="11" t="s">
        <v>1830</v>
      </c>
      <c r="H6" s="11" t="s">
        <v>1831</v>
      </c>
    </row>
    <row r="7" spans="1:8" x14ac:dyDescent="0.25">
      <c r="A7" s="9">
        <v>45938</v>
      </c>
      <c r="B7" t="s">
        <v>1845</v>
      </c>
      <c r="C7" s="11" t="s">
        <v>638</v>
      </c>
      <c r="D7" t="s">
        <v>22</v>
      </c>
      <c r="E7" s="11" t="s">
        <v>190</v>
      </c>
      <c r="F7" s="59">
        <v>3336</v>
      </c>
      <c r="G7" s="11" t="s">
        <v>1848</v>
      </c>
      <c r="H7" s="11" t="s">
        <v>1850</v>
      </c>
    </row>
    <row r="8" spans="1:8" x14ac:dyDescent="0.25">
      <c r="A8" s="9">
        <v>45939</v>
      </c>
      <c r="B8" t="s">
        <v>1852</v>
      </c>
      <c r="C8" s="11" t="s">
        <v>106</v>
      </c>
      <c r="D8" t="s">
        <v>22</v>
      </c>
      <c r="E8" s="11" t="s">
        <v>118</v>
      </c>
      <c r="F8" s="59">
        <v>1362</v>
      </c>
      <c r="G8" s="11" t="s">
        <v>344</v>
      </c>
      <c r="H8" s="11" t="s">
        <v>296</v>
      </c>
    </row>
    <row r="9" spans="1:8" x14ac:dyDescent="0.25">
      <c r="A9" s="9">
        <v>45940</v>
      </c>
      <c r="B9" t="s">
        <v>1856</v>
      </c>
      <c r="C9" s="11" t="s">
        <v>106</v>
      </c>
      <c r="D9" t="s">
        <v>22</v>
      </c>
      <c r="E9" s="11" t="s">
        <v>119</v>
      </c>
      <c r="F9" s="59">
        <v>2146</v>
      </c>
      <c r="G9" s="11" t="s">
        <v>1859</v>
      </c>
      <c r="H9" s="11" t="s">
        <v>1870</v>
      </c>
    </row>
    <row r="10" spans="1:8" x14ac:dyDescent="0.25">
      <c r="A10" s="9">
        <v>45941</v>
      </c>
      <c r="B10" t="s">
        <v>1861</v>
      </c>
      <c r="C10" s="11" t="s">
        <v>106</v>
      </c>
      <c r="D10" t="s">
        <v>22</v>
      </c>
      <c r="E10" s="11" t="s">
        <v>190</v>
      </c>
      <c r="F10" s="59">
        <v>3370</v>
      </c>
      <c r="G10" s="11" t="s">
        <v>1864</v>
      </c>
      <c r="H10" s="11" t="s">
        <v>223</v>
      </c>
    </row>
    <row r="11" spans="1:8" x14ac:dyDescent="0.25">
      <c r="A11" s="9">
        <v>45943</v>
      </c>
      <c r="B11" t="s">
        <v>1872</v>
      </c>
      <c r="C11" s="11" t="s">
        <v>106</v>
      </c>
      <c r="D11" t="s">
        <v>22</v>
      </c>
      <c r="E11" s="11" t="s">
        <v>190</v>
      </c>
      <c r="F11" s="59">
        <v>1120</v>
      </c>
      <c r="G11" s="11" t="s">
        <v>1875</v>
      </c>
      <c r="H11" s="11" t="s">
        <v>1008</v>
      </c>
    </row>
    <row r="12" spans="1:8" x14ac:dyDescent="0.25">
      <c r="A12" s="9">
        <v>45943</v>
      </c>
      <c r="B12" t="s">
        <v>1866</v>
      </c>
      <c r="C12" s="11" t="s">
        <v>640</v>
      </c>
      <c r="D12" t="s">
        <v>22</v>
      </c>
      <c r="E12" s="11" t="s">
        <v>118</v>
      </c>
      <c r="F12" s="59">
        <v>1111</v>
      </c>
      <c r="G12" s="11" t="s">
        <v>1878</v>
      </c>
      <c r="H12" s="11" t="s">
        <v>734</v>
      </c>
    </row>
    <row r="13" spans="1:8" x14ac:dyDescent="0.25">
      <c r="A13" s="9">
        <v>45934</v>
      </c>
      <c r="B13" t="s">
        <v>1887</v>
      </c>
      <c r="C13" s="11" t="s">
        <v>638</v>
      </c>
      <c r="D13" t="s">
        <v>22</v>
      </c>
      <c r="E13" s="11" t="s">
        <v>213</v>
      </c>
      <c r="F13" s="59">
        <v>1606.55</v>
      </c>
      <c r="G13" s="11" t="s">
        <v>1890</v>
      </c>
      <c r="H13" s="11" t="s">
        <v>229</v>
      </c>
    </row>
    <row r="14" spans="1:8" x14ac:dyDescent="0.25">
      <c r="A14" s="9">
        <v>45944</v>
      </c>
      <c r="B14" t="s">
        <v>620</v>
      </c>
      <c r="C14" s="11" t="s">
        <v>106</v>
      </c>
      <c r="D14" t="s">
        <v>22</v>
      </c>
      <c r="E14" s="11" t="s">
        <v>118</v>
      </c>
      <c r="F14" s="59">
        <v>1257</v>
      </c>
      <c r="G14" s="11" t="s">
        <v>1892</v>
      </c>
      <c r="H14" s="11" t="s">
        <v>223</v>
      </c>
    </row>
    <row r="15" spans="1:8" x14ac:dyDescent="0.25">
      <c r="A15" s="9">
        <v>45945</v>
      </c>
      <c r="B15" t="s">
        <v>1013</v>
      </c>
      <c r="C15" s="11" t="s">
        <v>106</v>
      </c>
      <c r="D15" t="s">
        <v>22</v>
      </c>
      <c r="E15" s="11" t="s">
        <v>118</v>
      </c>
      <c r="F15" s="59">
        <v>4569</v>
      </c>
      <c r="G15" s="11" t="s">
        <v>1895</v>
      </c>
      <c r="H15" s="11" t="s">
        <v>388</v>
      </c>
    </row>
    <row r="16" spans="1:8" x14ac:dyDescent="0.25">
      <c r="A16" s="9">
        <v>45945</v>
      </c>
      <c r="B16" t="s">
        <v>615</v>
      </c>
      <c r="C16" s="11" t="s">
        <v>639</v>
      </c>
      <c r="D16" t="s">
        <v>22</v>
      </c>
      <c r="E16" s="11" t="s">
        <v>118</v>
      </c>
      <c r="F16" s="59">
        <v>3032.4</v>
      </c>
      <c r="G16" s="11" t="s">
        <v>1898</v>
      </c>
      <c r="H16" s="11" t="s">
        <v>192</v>
      </c>
    </row>
    <row r="17" spans="1:8" x14ac:dyDescent="0.25">
      <c r="A17" s="9">
        <v>45946</v>
      </c>
      <c r="B17" t="s">
        <v>231</v>
      </c>
      <c r="C17" s="11" t="s">
        <v>106</v>
      </c>
      <c r="D17" t="s">
        <v>24</v>
      </c>
      <c r="E17" s="11" t="s">
        <v>118</v>
      </c>
      <c r="F17" s="59">
        <v>20361.73</v>
      </c>
      <c r="G17" s="11" t="s">
        <v>1901</v>
      </c>
      <c r="H17" s="11" t="s">
        <v>223</v>
      </c>
    </row>
    <row r="18" spans="1:8" x14ac:dyDescent="0.25">
      <c r="A18" s="9">
        <v>45947</v>
      </c>
      <c r="B18" t="s">
        <v>1552</v>
      </c>
      <c r="C18" s="11" t="s">
        <v>638</v>
      </c>
      <c r="D18" t="s">
        <v>22</v>
      </c>
      <c r="E18" s="11" t="s">
        <v>118</v>
      </c>
      <c r="F18" s="59">
        <v>2111</v>
      </c>
      <c r="G18" s="11" t="s">
        <v>991</v>
      </c>
      <c r="H18" s="11" t="s">
        <v>223</v>
      </c>
    </row>
    <row r="19" spans="1:8" x14ac:dyDescent="0.25">
      <c r="A19" s="9">
        <v>45947</v>
      </c>
      <c r="B19" t="s">
        <v>1906</v>
      </c>
      <c r="C19" s="11" t="s">
        <v>106</v>
      </c>
      <c r="D19" t="s">
        <v>24</v>
      </c>
      <c r="E19" s="11" t="s">
        <v>190</v>
      </c>
      <c r="F19" s="59">
        <v>2473.12</v>
      </c>
      <c r="G19" s="11" t="s">
        <v>917</v>
      </c>
      <c r="H19" s="11" t="s">
        <v>815</v>
      </c>
    </row>
    <row r="20" spans="1:8" x14ac:dyDescent="0.25">
      <c r="A20" s="9">
        <v>45951</v>
      </c>
      <c r="B20" t="s">
        <v>1909</v>
      </c>
      <c r="C20" s="11" t="s">
        <v>106</v>
      </c>
      <c r="D20" t="s">
        <v>22</v>
      </c>
      <c r="E20" s="11" t="s">
        <v>190</v>
      </c>
      <c r="F20" s="59">
        <v>1875</v>
      </c>
      <c r="G20" s="11" t="s">
        <v>1912</v>
      </c>
      <c r="H20" s="11" t="s">
        <v>1737</v>
      </c>
    </row>
    <row r="21" spans="1:8" x14ac:dyDescent="0.25">
      <c r="A21" s="9">
        <v>45938</v>
      </c>
      <c r="B21" t="s">
        <v>1845</v>
      </c>
      <c r="C21" t="s">
        <v>638</v>
      </c>
      <c r="D21" t="s">
        <v>22</v>
      </c>
      <c r="E21" s="11" t="s">
        <v>118</v>
      </c>
      <c r="F21" s="59">
        <v>1552.96</v>
      </c>
      <c r="G21" s="11" t="s">
        <v>742</v>
      </c>
      <c r="H21" s="11" t="s">
        <v>215</v>
      </c>
    </row>
    <row r="22" spans="1:8" x14ac:dyDescent="0.25">
      <c r="A22" s="9">
        <v>45952</v>
      </c>
      <c r="B22" t="s">
        <v>1916</v>
      </c>
      <c r="C22" s="11" t="s">
        <v>106</v>
      </c>
      <c r="D22" t="s">
        <v>22</v>
      </c>
      <c r="E22" s="11" t="s">
        <v>118</v>
      </c>
      <c r="F22" s="59">
        <v>1263</v>
      </c>
      <c r="G22" s="11" t="s">
        <v>1654</v>
      </c>
      <c r="H22" s="11" t="s">
        <v>1919</v>
      </c>
    </row>
    <row r="23" spans="1:8" x14ac:dyDescent="0.25">
      <c r="A23" s="9">
        <v>45952</v>
      </c>
      <c r="B23" t="s">
        <v>1921</v>
      </c>
      <c r="C23" s="11" t="s">
        <v>106</v>
      </c>
      <c r="D23" t="s">
        <v>22</v>
      </c>
      <c r="E23" s="11" t="s">
        <v>118</v>
      </c>
      <c r="F23" s="59">
        <v>1454</v>
      </c>
      <c r="G23" s="11" t="s">
        <v>1924</v>
      </c>
      <c r="H23" s="11" t="s">
        <v>223</v>
      </c>
    </row>
    <row r="24" spans="1:8" x14ac:dyDescent="0.25">
      <c r="A24" s="9">
        <v>45953</v>
      </c>
      <c r="B24" t="s">
        <v>1928</v>
      </c>
      <c r="C24" s="11" t="s">
        <v>106</v>
      </c>
      <c r="D24" t="s">
        <v>24</v>
      </c>
      <c r="E24" s="11" t="s">
        <v>119</v>
      </c>
      <c r="F24" s="59">
        <v>3028</v>
      </c>
      <c r="G24" s="11" t="s">
        <v>1931</v>
      </c>
      <c r="H24" s="11" t="s">
        <v>215</v>
      </c>
    </row>
    <row r="25" spans="1:8" x14ac:dyDescent="0.25">
      <c r="A25" s="9">
        <v>45932</v>
      </c>
      <c r="B25" t="s">
        <v>466</v>
      </c>
      <c r="C25" s="11" t="s">
        <v>106</v>
      </c>
      <c r="D25" t="s">
        <v>22</v>
      </c>
      <c r="E25" s="11" t="s">
        <v>118</v>
      </c>
      <c r="F25" s="59">
        <v>1211.8</v>
      </c>
      <c r="G25" s="11" t="s">
        <v>946</v>
      </c>
      <c r="H25" s="11" t="s">
        <v>1947</v>
      </c>
    </row>
    <row r="26" spans="1:8" x14ac:dyDescent="0.25">
      <c r="A26" s="9">
        <v>45954</v>
      </c>
      <c r="B26" t="s">
        <v>1938</v>
      </c>
      <c r="C26" s="11" t="s">
        <v>106</v>
      </c>
      <c r="D26" t="s">
        <v>22</v>
      </c>
      <c r="E26" s="11" t="s">
        <v>119</v>
      </c>
      <c r="F26" s="59">
        <v>3886</v>
      </c>
      <c r="G26" s="11" t="s">
        <v>1941</v>
      </c>
      <c r="H26" s="11" t="s">
        <v>70</v>
      </c>
    </row>
    <row r="27" spans="1:8" x14ac:dyDescent="0.25">
      <c r="A27" s="9">
        <v>45955</v>
      </c>
      <c r="B27" t="s">
        <v>329</v>
      </c>
      <c r="C27" s="11" t="s">
        <v>638</v>
      </c>
      <c r="D27" t="s">
        <v>24</v>
      </c>
      <c r="E27" s="11" t="s">
        <v>118</v>
      </c>
      <c r="F27" s="59">
        <v>5021.2</v>
      </c>
      <c r="G27" s="11" t="s">
        <v>1146</v>
      </c>
      <c r="H27" s="11" t="s">
        <v>223</v>
      </c>
    </row>
    <row r="28" spans="1:8" x14ac:dyDescent="0.25">
      <c r="A28" s="9">
        <v>45951</v>
      </c>
      <c r="B28" t="s">
        <v>281</v>
      </c>
      <c r="C28" s="11" t="s">
        <v>638</v>
      </c>
      <c r="D28" t="s">
        <v>24</v>
      </c>
      <c r="E28" s="11" t="s">
        <v>118</v>
      </c>
      <c r="F28" s="59">
        <v>2174.02</v>
      </c>
      <c r="G28" s="11" t="s">
        <v>1946</v>
      </c>
      <c r="H28" s="11" t="s">
        <v>1953</v>
      </c>
    </row>
    <row r="29" spans="1:8" x14ac:dyDescent="0.25">
      <c r="A29" s="9">
        <v>45958</v>
      </c>
      <c r="B29" t="s">
        <v>1949</v>
      </c>
      <c r="C29" s="11" t="s">
        <v>106</v>
      </c>
      <c r="D29" t="s">
        <v>22</v>
      </c>
      <c r="E29" s="11" t="s">
        <v>190</v>
      </c>
      <c r="F29" s="59">
        <v>1140</v>
      </c>
      <c r="G29" s="11" t="s">
        <v>1952</v>
      </c>
      <c r="H29" s="11" t="s">
        <v>295</v>
      </c>
    </row>
    <row r="30" spans="1:8" x14ac:dyDescent="0.25">
      <c r="A30" s="9">
        <v>45958</v>
      </c>
      <c r="B30" t="s">
        <v>1955</v>
      </c>
      <c r="C30" s="11" t="s">
        <v>106</v>
      </c>
      <c r="D30" t="s">
        <v>22</v>
      </c>
      <c r="E30" s="11" t="s">
        <v>119</v>
      </c>
      <c r="F30" s="59">
        <v>2412</v>
      </c>
      <c r="G30" s="11" t="s">
        <v>1958</v>
      </c>
      <c r="H30" s="11" t="s">
        <v>1964</v>
      </c>
    </row>
    <row r="31" spans="1:8" x14ac:dyDescent="0.25">
      <c r="A31" s="9">
        <v>45960</v>
      </c>
      <c r="B31" t="s">
        <v>1960</v>
      </c>
      <c r="C31" s="11" t="s">
        <v>106</v>
      </c>
      <c r="D31" t="s">
        <v>22</v>
      </c>
      <c r="E31" s="11" t="s">
        <v>190</v>
      </c>
      <c r="F31" s="59">
        <v>1601</v>
      </c>
      <c r="G31" s="11" t="s">
        <v>1963</v>
      </c>
      <c r="H31" s="11" t="s">
        <v>223</v>
      </c>
    </row>
    <row r="32" spans="1:8" x14ac:dyDescent="0.25">
      <c r="A32" s="9">
        <v>45960</v>
      </c>
      <c r="B32" t="s">
        <v>1966</v>
      </c>
      <c r="C32" s="11" t="s">
        <v>106</v>
      </c>
      <c r="D32" t="s">
        <v>22</v>
      </c>
      <c r="E32" s="11" t="s">
        <v>118</v>
      </c>
      <c r="F32" s="59">
        <v>1122</v>
      </c>
      <c r="G32" s="11" t="s">
        <v>375</v>
      </c>
      <c r="H32" s="11" t="s">
        <v>388</v>
      </c>
    </row>
    <row r="33" spans="1:10" x14ac:dyDescent="0.25">
      <c r="A33" s="9">
        <v>45961</v>
      </c>
      <c r="B33" t="s">
        <v>1971</v>
      </c>
      <c r="C33" s="11" t="s">
        <v>639</v>
      </c>
      <c r="D33" t="s">
        <v>22</v>
      </c>
      <c r="E33" s="11" t="s">
        <v>190</v>
      </c>
      <c r="F33" s="59">
        <v>2095</v>
      </c>
      <c r="G33" s="11" t="s">
        <v>1974</v>
      </c>
      <c r="H33" s="11" t="s">
        <v>1975</v>
      </c>
    </row>
    <row r="34" spans="1:10" x14ac:dyDescent="0.25">
      <c r="A34" s="9">
        <v>45961</v>
      </c>
      <c r="B34" t="s">
        <v>1977</v>
      </c>
      <c r="C34" s="11" t="s">
        <v>638</v>
      </c>
      <c r="D34" t="s">
        <v>22</v>
      </c>
      <c r="E34" s="11" t="s">
        <v>118</v>
      </c>
      <c r="F34" s="59">
        <v>3877</v>
      </c>
      <c r="G34" s="11" t="s">
        <v>1980</v>
      </c>
      <c r="H34" s="11" t="s">
        <v>223</v>
      </c>
    </row>
    <row r="35" spans="1:10" x14ac:dyDescent="0.25">
      <c r="A35" s="9">
        <v>45961</v>
      </c>
      <c r="B35" t="s">
        <v>1690</v>
      </c>
      <c r="C35" s="11" t="s">
        <v>116</v>
      </c>
      <c r="D35" t="s">
        <v>24</v>
      </c>
      <c r="E35" s="11" t="s">
        <v>118</v>
      </c>
      <c r="F35" s="59">
        <v>8581.68</v>
      </c>
      <c r="G35" s="11" t="s">
        <v>1993</v>
      </c>
      <c r="H35" s="11" t="s">
        <v>1994</v>
      </c>
    </row>
    <row r="36" spans="1:10" x14ac:dyDescent="0.25">
      <c r="A36" s="9">
        <v>45952</v>
      </c>
      <c r="B36" t="s">
        <v>1887</v>
      </c>
      <c r="C36" s="11" t="s">
        <v>638</v>
      </c>
      <c r="D36" t="s">
        <v>22</v>
      </c>
      <c r="E36" s="11" t="s">
        <v>118</v>
      </c>
      <c r="F36" s="59">
        <v>922.5</v>
      </c>
      <c r="G36" s="11" t="s">
        <v>742</v>
      </c>
      <c r="H36" s="11" t="s">
        <v>192</v>
      </c>
    </row>
    <row r="37" spans="1:10" x14ac:dyDescent="0.25">
      <c r="A37" s="9">
        <v>45959</v>
      </c>
      <c r="B37" t="s">
        <v>547</v>
      </c>
      <c r="C37" s="11" t="s">
        <v>2054</v>
      </c>
      <c r="D37" t="s">
        <v>24</v>
      </c>
      <c r="E37" s="11" t="s">
        <v>118</v>
      </c>
      <c r="F37" s="59">
        <v>7384.79</v>
      </c>
      <c r="G37" s="11" t="s">
        <v>2017</v>
      </c>
      <c r="H37" s="11" t="s">
        <v>223</v>
      </c>
    </row>
    <row r="38" spans="1:10" x14ac:dyDescent="0.25">
      <c r="A38" s="9"/>
      <c r="C38" s="11"/>
      <c r="E38" s="11"/>
      <c r="F38" s="59"/>
      <c r="G38" s="11"/>
      <c r="H38" s="11"/>
    </row>
    <row r="39" spans="1:10" x14ac:dyDescent="0.25">
      <c r="A39" s="9"/>
      <c r="C39" s="11"/>
      <c r="E39" s="11"/>
      <c r="F39" s="59"/>
      <c r="G39" s="11"/>
      <c r="H39" s="11"/>
    </row>
    <row r="41" spans="1:10" ht="15.75" thickBot="1" x14ac:dyDescent="0.3">
      <c r="A41" s="99" t="s">
        <v>8</v>
      </c>
      <c r="B41" s="99"/>
      <c r="C41" s="99"/>
      <c r="D41" s="99"/>
      <c r="E41" s="99"/>
      <c r="F41" s="99"/>
      <c r="G41" s="7"/>
    </row>
    <row r="42" spans="1:10" x14ac:dyDescent="0.25">
      <c r="A42" s="8" t="s">
        <v>9</v>
      </c>
      <c r="B42" s="9"/>
      <c r="C42" s="10">
        <f>SUM(F2:F39)</f>
        <v>109108.46999999999</v>
      </c>
      <c r="D42" s="11"/>
      <c r="E42" s="12" t="s">
        <v>10</v>
      </c>
      <c r="F42" s="13"/>
      <c r="G42" s="7"/>
      <c r="H42" s="14" t="s">
        <v>11</v>
      </c>
      <c r="I42" s="15">
        <v>18</v>
      </c>
      <c r="J42" s="16"/>
    </row>
    <row r="43" spans="1:10" x14ac:dyDescent="0.25">
      <c r="A43" s="8"/>
      <c r="B43" s="9"/>
      <c r="C43" s="10"/>
      <c r="D43" s="11"/>
      <c r="E43" s="17" t="s">
        <v>12</v>
      </c>
      <c r="F43" s="18">
        <v>109108.46999999999</v>
      </c>
      <c r="G43" s="7"/>
      <c r="H43" s="17" t="s">
        <v>13</v>
      </c>
      <c r="I43" s="19">
        <v>1</v>
      </c>
      <c r="J43" s="20">
        <f>I43/I$42</f>
        <v>5.5555555555555552E-2</v>
      </c>
    </row>
    <row r="44" spans="1:10" ht="15.75" thickBot="1" x14ac:dyDescent="0.3">
      <c r="A44" s="8" t="s">
        <v>14</v>
      </c>
      <c r="B44" s="9"/>
      <c r="C44" s="21">
        <v>27</v>
      </c>
      <c r="D44" s="11"/>
      <c r="E44" s="22" t="s">
        <v>15</v>
      </c>
      <c r="F44" s="23">
        <f>C42/C44</f>
        <v>4041.054444444444</v>
      </c>
      <c r="G44" s="7"/>
      <c r="H44" s="17" t="s">
        <v>16</v>
      </c>
      <c r="I44" s="19">
        <v>17</v>
      </c>
      <c r="J44" s="20">
        <f>I44/I$42</f>
        <v>0.94444444444444442</v>
      </c>
    </row>
    <row r="45" spans="1:10" ht="15.75" thickBot="1" x14ac:dyDescent="0.3">
      <c r="A45" s="8" t="s">
        <v>17</v>
      </c>
      <c r="B45" s="9"/>
      <c r="C45">
        <v>36</v>
      </c>
      <c r="D45" s="11"/>
      <c r="E45" s="11"/>
      <c r="F45" s="24"/>
      <c r="G45" s="7"/>
      <c r="H45" s="22" t="s">
        <v>18</v>
      </c>
      <c r="I45" s="25">
        <v>0</v>
      </c>
      <c r="J45" s="26">
        <f>I45/I$42</f>
        <v>0</v>
      </c>
    </row>
    <row r="46" spans="1:10" x14ac:dyDescent="0.25">
      <c r="A46" s="8"/>
      <c r="B46" s="9"/>
      <c r="D46" s="11" t="s">
        <v>19</v>
      </c>
      <c r="E46" s="12" t="s">
        <v>20</v>
      </c>
      <c r="F46" s="13"/>
      <c r="G46" s="7"/>
    </row>
    <row r="47" spans="1:10" ht="15.75" thickBot="1" x14ac:dyDescent="0.3">
      <c r="A47" s="8" t="s">
        <v>21</v>
      </c>
      <c r="B47" s="9"/>
      <c r="C47">
        <v>28</v>
      </c>
      <c r="D47" s="11" t="s">
        <v>19</v>
      </c>
      <c r="E47" s="17" t="s">
        <v>22</v>
      </c>
      <c r="F47" s="20">
        <f>C47/C$45</f>
        <v>0.77777777777777779</v>
      </c>
      <c r="G47" s="7"/>
    </row>
    <row r="48" spans="1:10" ht="15.75" thickBot="1" x14ac:dyDescent="0.3">
      <c r="A48" s="8" t="s">
        <v>23</v>
      </c>
      <c r="B48" s="9"/>
      <c r="C48">
        <v>8</v>
      </c>
      <c r="D48" s="11"/>
      <c r="E48" s="22" t="s">
        <v>24</v>
      </c>
      <c r="F48" s="26">
        <f>C48/C$45</f>
        <v>0.22222222222222221</v>
      </c>
      <c r="G48" s="7"/>
      <c r="H48" s="14" t="s">
        <v>25</v>
      </c>
      <c r="I48" s="15">
        <v>25</v>
      </c>
      <c r="J48" s="16"/>
    </row>
    <row r="49" spans="1:10" ht="15.75" thickBot="1" x14ac:dyDescent="0.3">
      <c r="A49" s="8"/>
      <c r="B49" s="9"/>
      <c r="D49" s="11"/>
      <c r="E49" s="11"/>
      <c r="F49" s="24"/>
      <c r="G49" s="7"/>
      <c r="H49" s="27" t="s">
        <v>26</v>
      </c>
      <c r="I49" s="30">
        <v>16</v>
      </c>
      <c r="J49" s="20">
        <f>I49/I$48</f>
        <v>0.64</v>
      </c>
    </row>
    <row r="50" spans="1:10" x14ac:dyDescent="0.25">
      <c r="A50" s="8" t="s">
        <v>27</v>
      </c>
      <c r="B50" s="9"/>
      <c r="D50" s="11"/>
      <c r="E50" s="12" t="s">
        <v>28</v>
      </c>
      <c r="F50" s="13"/>
      <c r="G50" s="7"/>
      <c r="H50" s="27" t="s">
        <v>29</v>
      </c>
      <c r="I50" s="30">
        <v>5</v>
      </c>
      <c r="J50" s="20">
        <f>I50/I$48</f>
        <v>0.2</v>
      </c>
    </row>
    <row r="51" spans="1:10" ht="15.75" thickBot="1" x14ac:dyDescent="0.3">
      <c r="A51" s="8" t="s">
        <v>30</v>
      </c>
      <c r="B51" s="9"/>
      <c r="C51">
        <v>2</v>
      </c>
      <c r="D51" s="11"/>
      <c r="E51" s="28" t="s">
        <v>30</v>
      </c>
      <c r="F51" s="20">
        <f>C51/C$60</f>
        <v>2.4691358024691357E-2</v>
      </c>
      <c r="G51" s="7"/>
      <c r="H51" s="29" t="s">
        <v>31</v>
      </c>
      <c r="I51" s="25">
        <v>4</v>
      </c>
      <c r="J51" s="26">
        <f>I51/I$48</f>
        <v>0.16</v>
      </c>
    </row>
    <row r="52" spans="1:10" ht="15.75" thickBot="1" x14ac:dyDescent="0.3">
      <c r="A52" s="8" t="s">
        <v>11</v>
      </c>
      <c r="B52" s="9"/>
      <c r="C52">
        <v>18</v>
      </c>
      <c r="D52" s="11"/>
      <c r="E52" s="28" t="s">
        <v>11</v>
      </c>
      <c r="F52" s="20">
        <f t="shared" ref="F52:F59" si="0">C52/C$60</f>
        <v>0.22222222222222221</v>
      </c>
      <c r="G52" s="7"/>
    </row>
    <row r="53" spans="1:10" x14ac:dyDescent="0.25">
      <c r="A53" s="8" t="s">
        <v>32</v>
      </c>
      <c r="B53" s="9"/>
      <c r="C53">
        <v>25</v>
      </c>
      <c r="D53" s="11"/>
      <c r="E53" s="28" t="s">
        <v>32</v>
      </c>
      <c r="F53" s="20">
        <f t="shared" si="0"/>
        <v>0.30864197530864196</v>
      </c>
      <c r="G53" s="11" t="s">
        <v>19</v>
      </c>
      <c r="H53" s="14" t="s">
        <v>33</v>
      </c>
      <c r="I53" s="15">
        <v>3</v>
      </c>
      <c r="J53" s="13">
        <f t="shared" ref="J53:J64" si="1">I53/I$48</f>
        <v>0.12</v>
      </c>
    </row>
    <row r="54" spans="1:10" x14ac:dyDescent="0.25">
      <c r="A54" s="8" t="s">
        <v>34</v>
      </c>
      <c r="B54" s="9"/>
      <c r="C54">
        <v>2</v>
      </c>
      <c r="D54" s="11"/>
      <c r="E54" s="28" t="s">
        <v>34</v>
      </c>
      <c r="F54" s="20">
        <f t="shared" si="0"/>
        <v>2.4691358024691357E-2</v>
      </c>
      <c r="G54" s="7"/>
      <c r="H54" s="27" t="s">
        <v>35</v>
      </c>
      <c r="I54" s="30">
        <v>4</v>
      </c>
      <c r="J54" s="20">
        <f t="shared" si="1"/>
        <v>0.16</v>
      </c>
    </row>
    <row r="55" spans="1:10" x14ac:dyDescent="0.25">
      <c r="A55" s="8" t="s">
        <v>36</v>
      </c>
      <c r="B55" s="9"/>
      <c r="C55">
        <v>8</v>
      </c>
      <c r="D55" s="11"/>
      <c r="E55" s="28" t="s">
        <v>36</v>
      </c>
      <c r="F55" s="20">
        <f t="shared" si="0"/>
        <v>9.8765432098765427E-2</v>
      </c>
      <c r="G55" s="7"/>
      <c r="H55" s="27" t="s">
        <v>37</v>
      </c>
      <c r="I55" s="30">
        <v>2</v>
      </c>
      <c r="J55" s="20">
        <f t="shared" si="1"/>
        <v>0.08</v>
      </c>
    </row>
    <row r="56" spans="1:10" x14ac:dyDescent="0.25">
      <c r="A56" s="8" t="s">
        <v>38</v>
      </c>
      <c r="B56" s="9"/>
      <c r="C56">
        <v>0</v>
      </c>
      <c r="D56" s="11"/>
      <c r="E56" s="28" t="s">
        <v>38</v>
      </c>
      <c r="F56" s="20">
        <f t="shared" si="0"/>
        <v>0</v>
      </c>
      <c r="G56" s="7"/>
      <c r="H56" s="27" t="s">
        <v>39</v>
      </c>
      <c r="I56" s="30">
        <v>0</v>
      </c>
      <c r="J56" s="20">
        <f t="shared" si="1"/>
        <v>0</v>
      </c>
    </row>
    <row r="57" spans="1:10" x14ac:dyDescent="0.25">
      <c r="A57" s="8" t="s">
        <v>40</v>
      </c>
      <c r="B57" s="9"/>
      <c r="C57">
        <v>11</v>
      </c>
      <c r="D57" s="11"/>
      <c r="E57" s="28" t="s">
        <v>40</v>
      </c>
      <c r="F57" s="20">
        <f t="shared" si="0"/>
        <v>0.13580246913580246</v>
      </c>
      <c r="G57" s="7"/>
      <c r="H57" s="27" t="s">
        <v>41</v>
      </c>
      <c r="I57" s="30">
        <v>3</v>
      </c>
      <c r="J57" s="20">
        <f t="shared" si="1"/>
        <v>0.12</v>
      </c>
    </row>
    <row r="58" spans="1:10" x14ac:dyDescent="0.25">
      <c r="A58" s="8" t="s">
        <v>42</v>
      </c>
      <c r="B58" s="9"/>
      <c r="C58">
        <v>0</v>
      </c>
      <c r="D58" s="11"/>
      <c r="E58" s="28" t="s">
        <v>42</v>
      </c>
      <c r="F58" s="20">
        <f t="shared" si="0"/>
        <v>0</v>
      </c>
      <c r="G58" s="7"/>
      <c r="H58" s="27" t="s">
        <v>43</v>
      </c>
      <c r="I58" s="30">
        <v>7</v>
      </c>
      <c r="J58" s="20">
        <f t="shared" si="1"/>
        <v>0.28000000000000003</v>
      </c>
    </row>
    <row r="59" spans="1:10" ht="15.75" thickBot="1" x14ac:dyDescent="0.3">
      <c r="A59" s="8" t="s">
        <v>44</v>
      </c>
      <c r="B59" s="9"/>
      <c r="C59">
        <v>15</v>
      </c>
      <c r="D59" s="11"/>
      <c r="E59" s="31" t="s">
        <v>44</v>
      </c>
      <c r="F59" s="26">
        <f t="shared" si="0"/>
        <v>0.18518518518518517</v>
      </c>
      <c r="G59" s="11" t="s">
        <v>19</v>
      </c>
      <c r="H59" s="32" t="s">
        <v>45</v>
      </c>
      <c r="I59" s="30">
        <v>1</v>
      </c>
      <c r="J59" s="20">
        <f t="shared" si="1"/>
        <v>0.04</v>
      </c>
    </row>
    <row r="60" spans="1:10" ht="15.75" thickBot="1" x14ac:dyDescent="0.3">
      <c r="A60" s="8" t="s">
        <v>46</v>
      </c>
      <c r="B60" s="9"/>
      <c r="C60">
        <f>SUM(C51:C59)</f>
        <v>81</v>
      </c>
      <c r="D60" s="11"/>
      <c r="E60" s="8"/>
      <c r="F60" s="24"/>
      <c r="G60" s="7"/>
      <c r="H60" s="32" t="s">
        <v>47</v>
      </c>
      <c r="I60" s="30">
        <v>2</v>
      </c>
      <c r="J60" s="20">
        <f t="shared" si="1"/>
        <v>0.08</v>
      </c>
    </row>
    <row r="61" spans="1:10" x14ac:dyDescent="0.25">
      <c r="A61" s="8"/>
      <c r="B61" s="9"/>
      <c r="D61" s="11"/>
      <c r="E61" s="33" t="s">
        <v>48</v>
      </c>
      <c r="F61" s="13"/>
      <c r="G61" s="7"/>
      <c r="H61" s="32" t="s">
        <v>49</v>
      </c>
      <c r="I61" s="30">
        <v>1</v>
      </c>
      <c r="J61" s="20">
        <f t="shared" si="1"/>
        <v>0.04</v>
      </c>
    </row>
    <row r="62" spans="1:10" x14ac:dyDescent="0.25">
      <c r="A62" s="8" t="s">
        <v>50</v>
      </c>
      <c r="B62" s="9"/>
      <c r="D62" s="11"/>
      <c r="E62" s="28" t="s">
        <v>51</v>
      </c>
      <c r="F62" s="20">
        <f>C63/C$73</f>
        <v>0.2988505747126437</v>
      </c>
      <c r="G62" s="7"/>
      <c r="H62" s="27" t="s">
        <v>52</v>
      </c>
      <c r="I62" s="30">
        <v>1</v>
      </c>
      <c r="J62" s="20">
        <f t="shared" si="1"/>
        <v>0.04</v>
      </c>
    </row>
    <row r="63" spans="1:10" x14ac:dyDescent="0.25">
      <c r="A63" s="8" t="s">
        <v>51</v>
      </c>
      <c r="B63" s="9"/>
      <c r="C63">
        <v>26</v>
      </c>
      <c r="D63" s="11"/>
      <c r="E63" s="28" t="s">
        <v>53</v>
      </c>
      <c r="F63" s="20">
        <f t="shared" ref="F63:F71" si="2">C64/C$73</f>
        <v>0.28735632183908044</v>
      </c>
      <c r="G63" s="7"/>
      <c r="H63" s="32" t="s">
        <v>54</v>
      </c>
      <c r="I63" s="30">
        <v>0</v>
      </c>
      <c r="J63" s="20">
        <f t="shared" si="1"/>
        <v>0</v>
      </c>
    </row>
    <row r="64" spans="1:10" ht="15.75" thickBot="1" x14ac:dyDescent="0.3">
      <c r="A64" s="8" t="s">
        <v>53</v>
      </c>
      <c r="B64" s="9"/>
      <c r="C64">
        <v>25</v>
      </c>
      <c r="D64" s="11"/>
      <c r="E64" s="28" t="s">
        <v>55</v>
      </c>
      <c r="F64" s="20">
        <f t="shared" si="2"/>
        <v>0.10344827586206896</v>
      </c>
      <c r="G64" s="7"/>
      <c r="H64" s="34" t="s">
        <v>56</v>
      </c>
      <c r="I64" s="25">
        <v>1</v>
      </c>
      <c r="J64" s="26">
        <f t="shared" si="1"/>
        <v>0.04</v>
      </c>
    </row>
    <row r="65" spans="1:10" x14ac:dyDescent="0.25">
      <c r="A65" s="8" t="s">
        <v>55</v>
      </c>
      <c r="B65" s="9"/>
      <c r="C65">
        <v>9</v>
      </c>
      <c r="D65" s="11"/>
      <c r="E65" s="28" t="s">
        <v>57</v>
      </c>
      <c r="F65" s="20">
        <f t="shared" si="2"/>
        <v>5.7471264367816091E-2</v>
      </c>
      <c r="G65" s="7"/>
    </row>
    <row r="66" spans="1:10" ht="15.75" thickBot="1" x14ac:dyDescent="0.3">
      <c r="A66" s="8" t="s">
        <v>57</v>
      </c>
      <c r="B66" s="9"/>
      <c r="C66">
        <v>5</v>
      </c>
      <c r="D66" s="11"/>
      <c r="E66" s="28" t="s">
        <v>58</v>
      </c>
      <c r="F66" s="20">
        <f t="shared" si="2"/>
        <v>0.16091954022988506</v>
      </c>
      <c r="G66" s="11" t="s">
        <v>19</v>
      </c>
    </row>
    <row r="67" spans="1:10" x14ac:dyDescent="0.25">
      <c r="A67" s="8" t="s">
        <v>58</v>
      </c>
      <c r="B67" s="9"/>
      <c r="C67">
        <v>14</v>
      </c>
      <c r="D67" s="11"/>
      <c r="E67" s="28" t="s">
        <v>59</v>
      </c>
      <c r="F67" s="20">
        <f t="shared" si="2"/>
        <v>0</v>
      </c>
      <c r="G67" s="7"/>
      <c r="H67" s="14" t="s">
        <v>36</v>
      </c>
      <c r="I67" s="15">
        <v>8</v>
      </c>
      <c r="J67" s="16"/>
    </row>
    <row r="68" spans="1:10" x14ac:dyDescent="0.25">
      <c r="A68" s="8" t="s">
        <v>59</v>
      </c>
      <c r="B68" s="9"/>
      <c r="C68">
        <v>0</v>
      </c>
      <c r="D68" s="11"/>
      <c r="E68" s="28" t="s">
        <v>60</v>
      </c>
      <c r="F68" s="20">
        <f t="shared" si="2"/>
        <v>0</v>
      </c>
      <c r="G68" s="7"/>
      <c r="H68" s="27" t="s">
        <v>61</v>
      </c>
      <c r="I68" s="30">
        <v>0</v>
      </c>
      <c r="J68" s="20">
        <f>I68/I$67</f>
        <v>0</v>
      </c>
    </row>
    <row r="69" spans="1:10" ht="15.75" thickBot="1" x14ac:dyDescent="0.3">
      <c r="A69" s="8" t="s">
        <v>60</v>
      </c>
      <c r="B69" s="9"/>
      <c r="C69">
        <v>0</v>
      </c>
      <c r="D69" s="11"/>
      <c r="E69" s="28" t="s">
        <v>62</v>
      </c>
      <c r="F69" s="20">
        <f t="shared" si="2"/>
        <v>0</v>
      </c>
      <c r="G69" s="7"/>
      <c r="H69" s="29" t="s">
        <v>63</v>
      </c>
      <c r="I69" s="25">
        <v>8</v>
      </c>
      <c r="J69" s="26">
        <f>I69/I$67</f>
        <v>1</v>
      </c>
    </row>
    <row r="70" spans="1:10" x14ac:dyDescent="0.25">
      <c r="A70" s="8" t="s">
        <v>62</v>
      </c>
      <c r="B70" s="9"/>
      <c r="C70">
        <v>0</v>
      </c>
      <c r="D70" s="11"/>
      <c r="E70" s="28" t="s">
        <v>64</v>
      </c>
      <c r="F70" s="20">
        <f t="shared" si="2"/>
        <v>2.2988505747126436E-2</v>
      </c>
      <c r="G70" s="7"/>
    </row>
    <row r="71" spans="1:10" ht="15.75" thickBot="1" x14ac:dyDescent="0.3">
      <c r="A71" s="8" t="s">
        <v>64</v>
      </c>
      <c r="B71" s="9"/>
      <c r="C71">
        <v>2</v>
      </c>
      <c r="D71" s="11"/>
      <c r="E71" s="31" t="s">
        <v>65</v>
      </c>
      <c r="F71" s="26">
        <f t="shared" si="2"/>
        <v>6.8965517241379309E-2</v>
      </c>
      <c r="G71" s="7"/>
    </row>
    <row r="72" spans="1:10" ht="15.75" thickBot="1" x14ac:dyDescent="0.3">
      <c r="A72" s="8" t="s">
        <v>65</v>
      </c>
      <c r="B72" s="9"/>
      <c r="C72">
        <v>6</v>
      </c>
      <c r="D72" s="11"/>
      <c r="E72" s="8"/>
      <c r="F72" s="24"/>
      <c r="G72" s="7"/>
      <c r="H72" s="14" t="s">
        <v>66</v>
      </c>
      <c r="I72" s="15">
        <v>0</v>
      </c>
      <c r="J72" s="16"/>
    </row>
    <row r="73" spans="1:10" x14ac:dyDescent="0.25">
      <c r="A73" s="8" t="s">
        <v>67</v>
      </c>
      <c r="B73" s="9"/>
      <c r="C73">
        <f>SUM(C63:C72)</f>
        <v>87</v>
      </c>
      <c r="D73" s="11"/>
      <c r="E73" s="33" t="s">
        <v>68</v>
      </c>
      <c r="F73" s="13"/>
      <c r="G73" s="7"/>
      <c r="H73" s="27" t="s">
        <v>69</v>
      </c>
      <c r="I73" s="30">
        <v>0</v>
      </c>
      <c r="J73" s="20" t="e">
        <f t="shared" ref="J73:J78" si="3">I73/I$72</f>
        <v>#DIV/0!</v>
      </c>
    </row>
    <row r="74" spans="1:10" x14ac:dyDescent="0.25">
      <c r="A74" s="8"/>
      <c r="B74" s="9"/>
      <c r="D74" s="11"/>
      <c r="E74" s="35" t="s">
        <v>70</v>
      </c>
      <c r="F74" s="20">
        <f>C75/C$45</f>
        <v>0.63888888888888884</v>
      </c>
      <c r="G74" s="7"/>
      <c r="H74" s="27" t="s">
        <v>71</v>
      </c>
      <c r="I74" s="19">
        <v>0</v>
      </c>
      <c r="J74" s="20" t="e">
        <f t="shared" si="3"/>
        <v>#DIV/0!</v>
      </c>
    </row>
    <row r="75" spans="1:10" x14ac:dyDescent="0.25">
      <c r="A75" s="8" t="s">
        <v>72</v>
      </c>
      <c r="B75" s="9"/>
      <c r="C75">
        <v>23</v>
      </c>
      <c r="D75" s="11"/>
      <c r="E75" s="35" t="s">
        <v>73</v>
      </c>
      <c r="F75" s="20">
        <f>C76/C$45</f>
        <v>2.7777777777777776E-2</v>
      </c>
      <c r="G75" s="7"/>
      <c r="H75" s="27" t="s">
        <v>74</v>
      </c>
      <c r="I75" s="19">
        <v>0</v>
      </c>
      <c r="J75" s="20" t="e">
        <f t="shared" si="3"/>
        <v>#DIV/0!</v>
      </c>
    </row>
    <row r="76" spans="1:10" ht="15.75" thickBot="1" x14ac:dyDescent="0.3">
      <c r="A76" s="8" t="s">
        <v>75</v>
      </c>
      <c r="B76" s="9"/>
      <c r="C76">
        <v>1</v>
      </c>
      <c r="D76" s="11"/>
      <c r="E76" s="36" t="s">
        <v>76</v>
      </c>
      <c r="F76" s="26">
        <f>C77/C$45</f>
        <v>0.33333333333333331</v>
      </c>
      <c r="G76" s="7"/>
      <c r="H76" s="27" t="s">
        <v>77</v>
      </c>
      <c r="I76" s="30">
        <v>0</v>
      </c>
      <c r="J76" s="20" t="e">
        <f t="shared" si="3"/>
        <v>#DIV/0!</v>
      </c>
    </row>
    <row r="77" spans="1:10" ht="15.75" thickBot="1" x14ac:dyDescent="0.3">
      <c r="A77" s="8" t="s">
        <v>78</v>
      </c>
      <c r="B77" s="9"/>
      <c r="C77">
        <v>12</v>
      </c>
      <c r="D77" s="11"/>
      <c r="E77" s="37"/>
      <c r="F77" s="24"/>
      <c r="G77" s="11" t="s">
        <v>19</v>
      </c>
      <c r="H77" s="27" t="s">
        <v>79</v>
      </c>
      <c r="I77" s="30">
        <v>0</v>
      </c>
      <c r="J77" s="20" t="e">
        <f t="shared" si="3"/>
        <v>#DIV/0!</v>
      </c>
    </row>
    <row r="78" spans="1:10" ht="15.75" thickBot="1" x14ac:dyDescent="0.3">
      <c r="A78" s="8"/>
      <c r="B78" s="9"/>
      <c r="D78" s="11"/>
      <c r="E78" s="38" t="s">
        <v>20</v>
      </c>
      <c r="F78" s="13"/>
      <c r="G78" s="7"/>
      <c r="H78" s="29" t="s">
        <v>80</v>
      </c>
      <c r="I78" s="25">
        <v>0</v>
      </c>
      <c r="J78" s="26" t="e">
        <f t="shared" si="3"/>
        <v>#DIV/0!</v>
      </c>
    </row>
    <row r="79" spans="1:10" x14ac:dyDescent="0.25">
      <c r="A79" s="8" t="s">
        <v>20</v>
      </c>
      <c r="B79" s="9"/>
      <c r="D79" s="11"/>
      <c r="E79" s="28" t="s">
        <v>81</v>
      </c>
      <c r="F79" s="20">
        <f>C80/C$45</f>
        <v>0.41666666666666669</v>
      </c>
      <c r="G79" s="11" t="s">
        <v>19</v>
      </c>
    </row>
    <row r="80" spans="1:10" ht="15.75" thickBot="1" x14ac:dyDescent="0.3">
      <c r="A80" s="8" t="s">
        <v>82</v>
      </c>
      <c r="B80" s="9"/>
      <c r="C80">
        <v>15</v>
      </c>
      <c r="D80" s="11"/>
      <c r="E80" s="31" t="s">
        <v>83</v>
      </c>
      <c r="F80" s="26">
        <f>C81/C$45</f>
        <v>0.58333333333333337</v>
      </c>
      <c r="G80" s="7"/>
    </row>
    <row r="81" spans="1:10" ht="15.75" thickBot="1" x14ac:dyDescent="0.3">
      <c r="A81" s="8" t="s">
        <v>83</v>
      </c>
      <c r="B81" s="9"/>
      <c r="C81">
        <v>21</v>
      </c>
      <c r="D81" s="11"/>
      <c r="E81" s="39"/>
      <c r="F81" s="40"/>
      <c r="G81" s="7"/>
      <c r="H81" s="14" t="s">
        <v>40</v>
      </c>
      <c r="I81" s="15">
        <v>11</v>
      </c>
      <c r="J81" s="16"/>
    </row>
    <row r="82" spans="1:10" x14ac:dyDescent="0.25">
      <c r="A82" s="8"/>
      <c r="B82" s="9"/>
      <c r="D82" s="11"/>
      <c r="E82" s="14" t="s">
        <v>84</v>
      </c>
      <c r="F82" s="13"/>
      <c r="G82" s="7"/>
      <c r="H82" s="27" t="s">
        <v>85</v>
      </c>
      <c r="I82" s="30">
        <v>0</v>
      </c>
      <c r="J82" s="20">
        <f>I82/I$81</f>
        <v>0</v>
      </c>
    </row>
    <row r="83" spans="1:10" x14ac:dyDescent="0.25">
      <c r="A83" t="s">
        <v>84</v>
      </c>
      <c r="D83" s="11"/>
      <c r="E83" s="27" t="s">
        <v>86</v>
      </c>
      <c r="F83" s="20">
        <f>C84/C$81</f>
        <v>0.66666666666666663</v>
      </c>
      <c r="G83" s="7"/>
      <c r="H83" s="27" t="s">
        <v>87</v>
      </c>
      <c r="I83" s="19">
        <v>3</v>
      </c>
      <c r="J83" s="20">
        <f>I83/I$81</f>
        <v>0.27272727272727271</v>
      </c>
    </row>
    <row r="84" spans="1:10" ht="15.75" thickBot="1" x14ac:dyDescent="0.3">
      <c r="A84" t="s">
        <v>86</v>
      </c>
      <c r="C84">
        <v>14</v>
      </c>
      <c r="D84" s="11"/>
      <c r="E84" s="29" t="s">
        <v>88</v>
      </c>
      <c r="F84" s="26">
        <f>C85/C$81</f>
        <v>0.2857142857142857</v>
      </c>
      <c r="G84" s="7"/>
      <c r="H84" s="27" t="s">
        <v>89</v>
      </c>
      <c r="I84" s="30">
        <v>2</v>
      </c>
      <c r="J84" s="20">
        <f>I84/I$81</f>
        <v>0.18181818181818182</v>
      </c>
    </row>
    <row r="85" spans="1:10" ht="15.75" thickBot="1" x14ac:dyDescent="0.3">
      <c r="A85" t="s">
        <v>88</v>
      </c>
      <c r="C85">
        <v>6</v>
      </c>
      <c r="D85" s="11"/>
      <c r="E85" s="39"/>
      <c r="F85" s="40"/>
      <c r="G85" s="7"/>
      <c r="H85" s="27" t="s">
        <v>90</v>
      </c>
      <c r="I85" s="30">
        <v>0</v>
      </c>
      <c r="J85" s="20">
        <f>I85/I$81</f>
        <v>0</v>
      </c>
    </row>
    <row r="86" spans="1:10" ht="15.75" thickBot="1" x14ac:dyDescent="0.3">
      <c r="A86" s="8"/>
      <c r="B86" s="9"/>
      <c r="D86" s="11"/>
      <c r="E86" s="33" t="s">
        <v>91</v>
      </c>
      <c r="F86" s="13"/>
      <c r="G86" s="7"/>
      <c r="H86" s="29" t="s">
        <v>92</v>
      </c>
      <c r="I86" s="25">
        <v>6</v>
      </c>
      <c r="J86" s="26">
        <f>I86/I$81</f>
        <v>0.54545454545454541</v>
      </c>
    </row>
    <row r="87" spans="1:10" x14ac:dyDescent="0.25">
      <c r="A87" s="8" t="s">
        <v>93</v>
      </c>
      <c r="B87" s="9"/>
      <c r="D87" s="11"/>
      <c r="E87" s="28" t="s">
        <v>94</v>
      </c>
      <c r="F87" s="20">
        <f t="shared" ref="F87:F92" si="4">C88/C$45</f>
        <v>0.25</v>
      </c>
      <c r="G87" s="7"/>
    </row>
    <row r="88" spans="1:10" ht="15.75" thickBot="1" x14ac:dyDescent="0.3">
      <c r="A88" s="8" t="s">
        <v>94</v>
      </c>
      <c r="B88" s="9"/>
      <c r="C88">
        <v>9</v>
      </c>
      <c r="D88" s="11"/>
      <c r="E88" s="17" t="s">
        <v>95</v>
      </c>
      <c r="F88" s="20">
        <f t="shared" si="4"/>
        <v>0.1388888888888889</v>
      </c>
      <c r="G88" s="7"/>
    </row>
    <row r="89" spans="1:10" x14ac:dyDescent="0.25">
      <c r="A89" s="8" t="s">
        <v>95</v>
      </c>
      <c r="B89" s="9"/>
      <c r="C89">
        <v>5</v>
      </c>
      <c r="D89" s="11"/>
      <c r="E89" s="17" t="s">
        <v>96</v>
      </c>
      <c r="F89" s="20">
        <f t="shared" si="4"/>
        <v>0</v>
      </c>
      <c r="G89" s="7"/>
      <c r="H89" s="14" t="s">
        <v>44</v>
      </c>
      <c r="I89" s="15">
        <v>15</v>
      </c>
      <c r="J89" s="16"/>
    </row>
    <row r="90" spans="1:10" x14ac:dyDescent="0.25">
      <c r="A90" s="8" t="s">
        <v>96</v>
      </c>
      <c r="B90" s="9"/>
      <c r="C90">
        <v>0</v>
      </c>
      <c r="D90" s="11"/>
      <c r="E90" s="17" t="s">
        <v>97</v>
      </c>
      <c r="F90" s="20">
        <f t="shared" si="4"/>
        <v>5.5555555555555552E-2</v>
      </c>
      <c r="G90" s="7"/>
      <c r="H90" s="27" t="s">
        <v>98</v>
      </c>
      <c r="I90" s="19">
        <v>1</v>
      </c>
      <c r="J90" s="20">
        <f>I90/I$89</f>
        <v>6.6666666666666666E-2</v>
      </c>
    </row>
    <row r="91" spans="1:10" x14ac:dyDescent="0.25">
      <c r="A91" s="8" t="s">
        <v>97</v>
      </c>
      <c r="B91" s="9"/>
      <c r="C91">
        <v>2</v>
      </c>
      <c r="D91" s="11"/>
      <c r="E91" s="17" t="s">
        <v>99</v>
      </c>
      <c r="F91" s="20">
        <f t="shared" si="4"/>
        <v>0.58333333333333337</v>
      </c>
      <c r="G91" s="7"/>
      <c r="H91" s="27" t="s">
        <v>100</v>
      </c>
      <c r="I91" s="30">
        <v>2</v>
      </c>
      <c r="J91" s="20">
        <f t="shared" ref="J91:J99" si="5">I91/I$89</f>
        <v>0.13333333333333333</v>
      </c>
    </row>
    <row r="92" spans="1:10" ht="15.75" thickBot="1" x14ac:dyDescent="0.3">
      <c r="A92" s="8" t="s">
        <v>99</v>
      </c>
      <c r="B92" s="9"/>
      <c r="C92">
        <v>21</v>
      </c>
      <c r="D92" s="11"/>
      <c r="E92" s="22" t="s">
        <v>44</v>
      </c>
      <c r="F92" s="26">
        <f t="shared" si="4"/>
        <v>2.7777777777777776E-2</v>
      </c>
      <c r="G92" s="7"/>
      <c r="H92" s="27" t="s">
        <v>101</v>
      </c>
      <c r="I92" s="30">
        <v>0</v>
      </c>
      <c r="J92" s="20">
        <f t="shared" si="5"/>
        <v>0</v>
      </c>
    </row>
    <row r="93" spans="1:10" ht="15.75" thickBot="1" x14ac:dyDescent="0.3">
      <c r="A93" s="8" t="s">
        <v>44</v>
      </c>
      <c r="B93" s="9"/>
      <c r="C93">
        <v>1</v>
      </c>
      <c r="D93" s="11"/>
      <c r="E93" s="11"/>
      <c r="F93" s="24"/>
      <c r="G93" s="7"/>
      <c r="H93" s="27" t="s">
        <v>102</v>
      </c>
      <c r="I93" s="30">
        <v>1</v>
      </c>
      <c r="J93" s="20">
        <f t="shared" si="5"/>
        <v>6.6666666666666666E-2</v>
      </c>
    </row>
    <row r="94" spans="1:10" x14ac:dyDescent="0.25">
      <c r="A94" s="8"/>
      <c r="B94" s="9"/>
      <c r="D94" s="11"/>
      <c r="E94" s="12" t="s">
        <v>103</v>
      </c>
      <c r="F94" s="13"/>
      <c r="G94" s="7"/>
      <c r="H94" s="27" t="s">
        <v>104</v>
      </c>
      <c r="I94" s="30">
        <v>6</v>
      </c>
      <c r="J94" s="20">
        <f t="shared" si="5"/>
        <v>0.4</v>
      </c>
    </row>
    <row r="95" spans="1:10" x14ac:dyDescent="0.25">
      <c r="A95" s="8" t="s">
        <v>105</v>
      </c>
      <c r="B95" s="9"/>
      <c r="D95" s="11"/>
      <c r="E95" s="17" t="s">
        <v>106</v>
      </c>
      <c r="F95" s="20">
        <f>C96/C$45</f>
        <v>0.58333333333333337</v>
      </c>
      <c r="G95" s="7"/>
      <c r="H95" s="41" t="s">
        <v>107</v>
      </c>
      <c r="I95" s="30">
        <v>2</v>
      </c>
      <c r="J95" s="20">
        <f t="shared" si="5"/>
        <v>0.13333333333333333</v>
      </c>
    </row>
    <row r="96" spans="1:10" x14ac:dyDescent="0.25">
      <c r="A96" s="8" t="s">
        <v>106</v>
      </c>
      <c r="B96" s="9"/>
      <c r="C96">
        <v>21</v>
      </c>
      <c r="D96" s="11"/>
      <c r="E96" s="17" t="s">
        <v>108</v>
      </c>
      <c r="F96" s="20">
        <f>C97/C$45</f>
        <v>0.25</v>
      </c>
      <c r="G96" s="7"/>
      <c r="H96" s="41" t="s">
        <v>109</v>
      </c>
      <c r="I96" s="30">
        <v>0</v>
      </c>
      <c r="J96" s="20">
        <f t="shared" si="5"/>
        <v>0</v>
      </c>
    </row>
    <row r="97" spans="1:10" x14ac:dyDescent="0.25">
      <c r="A97" s="8" t="s">
        <v>108</v>
      </c>
      <c r="B97" s="9"/>
      <c r="C97">
        <v>9</v>
      </c>
      <c r="D97" s="11"/>
      <c r="E97" s="17" t="s">
        <v>110</v>
      </c>
      <c r="F97" s="20">
        <f>C98/C$45</f>
        <v>5.5555555555555552E-2</v>
      </c>
      <c r="G97" s="7"/>
      <c r="H97" s="41" t="s">
        <v>111</v>
      </c>
      <c r="I97" s="30">
        <v>1</v>
      </c>
      <c r="J97" s="20">
        <f t="shared" si="5"/>
        <v>6.6666666666666666E-2</v>
      </c>
    </row>
    <row r="98" spans="1:10" x14ac:dyDescent="0.25">
      <c r="A98" s="8" t="s">
        <v>110</v>
      </c>
      <c r="B98" s="9"/>
      <c r="C98">
        <v>2</v>
      </c>
      <c r="D98" s="11"/>
      <c r="E98" s="17" t="s">
        <v>112</v>
      </c>
      <c r="F98" s="20">
        <f>C99/C$45</f>
        <v>2.7777777777777776E-2</v>
      </c>
      <c r="G98" s="7"/>
      <c r="H98" s="41" t="s">
        <v>113</v>
      </c>
      <c r="I98" s="30">
        <v>0</v>
      </c>
      <c r="J98" s="20">
        <f t="shared" si="5"/>
        <v>0</v>
      </c>
    </row>
    <row r="99" spans="1:10" ht="15.75" thickBot="1" x14ac:dyDescent="0.3">
      <c r="A99" s="8" t="s">
        <v>112</v>
      </c>
      <c r="B99" s="9"/>
      <c r="C99">
        <v>1</v>
      </c>
      <c r="E99" s="22" t="s">
        <v>114</v>
      </c>
      <c r="F99" s="26">
        <f>C100/C$45</f>
        <v>2.7777777777777776E-2</v>
      </c>
      <c r="H99" s="42" t="s">
        <v>115</v>
      </c>
      <c r="I99" s="25">
        <v>0</v>
      </c>
      <c r="J99" s="26">
        <f t="shared" si="5"/>
        <v>0</v>
      </c>
    </row>
    <row r="100" spans="1:10" x14ac:dyDescent="0.25">
      <c r="A100" s="8" t="s">
        <v>114</v>
      </c>
      <c r="B100" s="9"/>
      <c r="C100">
        <v>1</v>
      </c>
      <c r="E100" s="11"/>
      <c r="F100" s="24"/>
    </row>
    <row r="101" spans="1:10" x14ac:dyDescent="0.25">
      <c r="A101" s="8" t="s">
        <v>116</v>
      </c>
      <c r="B101" s="9"/>
      <c r="C101">
        <v>1</v>
      </c>
      <c r="E101" s="11"/>
      <c r="F101" s="24"/>
    </row>
    <row r="102" spans="1:10" x14ac:dyDescent="0.25">
      <c r="A102" s="8"/>
      <c r="B102" s="9"/>
      <c r="E102" s="11"/>
      <c r="F102" s="24"/>
    </row>
    <row r="103" spans="1:10" ht="15.75" thickBot="1" x14ac:dyDescent="0.3"/>
    <row r="104" spans="1:10" x14ac:dyDescent="0.25">
      <c r="A104" s="43" t="s">
        <v>117</v>
      </c>
      <c r="B104" s="82">
        <f>SUM(B105:B108)</f>
        <v>109108.47</v>
      </c>
    </row>
    <row r="105" spans="1:10" x14ac:dyDescent="0.25">
      <c r="A105" s="44" t="s">
        <v>94</v>
      </c>
      <c r="B105" s="45">
        <f>SUM(F2,F7,F10:F11,F19:F20,F29,F31,F33,)</f>
        <v>17978.12</v>
      </c>
    </row>
    <row r="106" spans="1:10" x14ac:dyDescent="0.25">
      <c r="A106" s="44" t="s">
        <v>118</v>
      </c>
      <c r="B106" s="45">
        <f>SUM(F4:F6,F8,F12,F14:F18,F21:F23,F25,F27:F28,F32,F34:F37,)</f>
        <v>75772.800000000003</v>
      </c>
    </row>
    <row r="107" spans="1:10" x14ac:dyDescent="0.25">
      <c r="A107" s="44" t="s">
        <v>119</v>
      </c>
      <c r="B107" s="46">
        <f>SUM(F3,F9,F24,F26,F30,)</f>
        <v>13751</v>
      </c>
    </row>
    <row r="108" spans="1:10" x14ac:dyDescent="0.25">
      <c r="A108" s="44" t="s">
        <v>44</v>
      </c>
      <c r="B108" s="59">
        <v>1606.55</v>
      </c>
    </row>
    <row r="109" spans="1:10" ht="15.75" thickBot="1" x14ac:dyDescent="0.3">
      <c r="A109" s="47"/>
      <c r="B109" s="48"/>
    </row>
  </sheetData>
  <mergeCells count="1">
    <mergeCell ref="A41:F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opLeftCell="A96" workbookViewId="0">
      <selection activeCell="B107" sqref="B107"/>
    </sheetView>
  </sheetViews>
  <sheetFormatPr baseColWidth="10" defaultRowHeight="15" x14ac:dyDescent="0.25"/>
  <cols>
    <col min="1" max="1" width="11" customWidth="1"/>
    <col min="2" max="2" width="34.28515625" customWidth="1"/>
    <col min="3" max="3" width="12.85546875" customWidth="1"/>
    <col min="4" max="4" width="5" customWidth="1"/>
    <col min="5" max="5" width="7.42578125" customWidth="1"/>
    <col min="6" max="6" width="12.28515625" customWidth="1"/>
    <col min="7" max="7" width="46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45964</v>
      </c>
      <c r="B2" t="s">
        <v>1982</v>
      </c>
      <c r="C2" s="11" t="s">
        <v>106</v>
      </c>
      <c r="D2" t="s">
        <v>24</v>
      </c>
      <c r="E2" s="11" t="s">
        <v>213</v>
      </c>
      <c r="F2" s="59">
        <v>6922.76</v>
      </c>
      <c r="G2" s="11" t="s">
        <v>1985</v>
      </c>
      <c r="H2" s="11" t="s">
        <v>470</v>
      </c>
    </row>
    <row r="3" spans="1:8" x14ac:dyDescent="0.25">
      <c r="A3" s="9">
        <v>45966</v>
      </c>
      <c r="B3" t="s">
        <v>1987</v>
      </c>
      <c r="C3" s="11" t="s">
        <v>106</v>
      </c>
      <c r="D3" t="s">
        <v>22</v>
      </c>
      <c r="E3" s="11" t="s">
        <v>118</v>
      </c>
      <c r="F3" s="59">
        <v>1627</v>
      </c>
      <c r="G3" s="11" t="s">
        <v>1990</v>
      </c>
      <c r="H3" s="11" t="s">
        <v>223</v>
      </c>
    </row>
    <row r="4" spans="1:8" x14ac:dyDescent="0.25">
      <c r="A4" s="9">
        <v>45969</v>
      </c>
      <c r="B4" t="s">
        <v>1690</v>
      </c>
      <c r="C4" s="11" t="s">
        <v>116</v>
      </c>
      <c r="D4" t="s">
        <v>24</v>
      </c>
      <c r="E4" s="11" t="s">
        <v>118</v>
      </c>
      <c r="F4" s="59">
        <v>5498.39</v>
      </c>
      <c r="G4" s="11" t="s">
        <v>1996</v>
      </c>
      <c r="H4" s="11" t="s">
        <v>1994</v>
      </c>
    </row>
    <row r="5" spans="1:8" x14ac:dyDescent="0.25">
      <c r="A5" s="9">
        <v>45965</v>
      </c>
      <c r="B5" t="s">
        <v>1998</v>
      </c>
      <c r="C5" s="11" t="s">
        <v>638</v>
      </c>
      <c r="D5" t="s">
        <v>22</v>
      </c>
      <c r="E5" s="11" t="s">
        <v>190</v>
      </c>
      <c r="F5" s="59">
        <v>1712</v>
      </c>
      <c r="G5" s="11" t="s">
        <v>2001</v>
      </c>
      <c r="H5" s="11" t="s">
        <v>2002</v>
      </c>
    </row>
    <row r="6" spans="1:8" x14ac:dyDescent="0.25">
      <c r="A6" s="9">
        <v>45971</v>
      </c>
      <c r="B6" t="s">
        <v>1982</v>
      </c>
      <c r="C6" s="11" t="s">
        <v>106</v>
      </c>
      <c r="D6" t="s">
        <v>22</v>
      </c>
      <c r="E6" s="11" t="s">
        <v>118</v>
      </c>
      <c r="F6" s="59">
        <v>2018.7</v>
      </c>
      <c r="G6" s="11" t="s">
        <v>2005</v>
      </c>
      <c r="H6" s="11" t="s">
        <v>629</v>
      </c>
    </row>
    <row r="7" spans="1:8" x14ac:dyDescent="0.25">
      <c r="A7" s="9">
        <v>45971</v>
      </c>
      <c r="B7" t="s">
        <v>2007</v>
      </c>
      <c r="C7" s="11" t="s">
        <v>638</v>
      </c>
      <c r="D7" t="s">
        <v>22</v>
      </c>
      <c r="E7" s="11" t="s">
        <v>190</v>
      </c>
      <c r="F7" s="59">
        <v>1740</v>
      </c>
      <c r="G7" s="11" t="s">
        <v>814</v>
      </c>
      <c r="H7" s="11" t="s">
        <v>2012</v>
      </c>
    </row>
    <row r="8" spans="1:8" x14ac:dyDescent="0.25">
      <c r="A8" s="9">
        <v>45972</v>
      </c>
      <c r="B8" t="s">
        <v>1887</v>
      </c>
      <c r="C8" s="11" t="s">
        <v>638</v>
      </c>
      <c r="D8" t="s">
        <v>22</v>
      </c>
      <c r="E8" s="11" t="s">
        <v>118</v>
      </c>
      <c r="F8" s="59">
        <v>2251.8000000000002</v>
      </c>
      <c r="G8" s="11" t="s">
        <v>2014</v>
      </c>
      <c r="H8" s="11" t="s">
        <v>2018</v>
      </c>
    </row>
    <row r="9" spans="1:8" x14ac:dyDescent="0.25">
      <c r="A9" s="9">
        <v>45965</v>
      </c>
      <c r="B9" t="s">
        <v>2020</v>
      </c>
      <c r="C9" s="11" t="s">
        <v>106</v>
      </c>
      <c r="D9" t="s">
        <v>22</v>
      </c>
      <c r="E9" s="11" t="s">
        <v>190</v>
      </c>
      <c r="F9" s="59">
        <v>1094</v>
      </c>
      <c r="G9" s="11" t="s">
        <v>1226</v>
      </c>
      <c r="H9" s="11" t="s">
        <v>223</v>
      </c>
    </row>
    <row r="10" spans="1:8" x14ac:dyDescent="0.25">
      <c r="A10" s="9">
        <v>45967</v>
      </c>
      <c r="B10" t="s">
        <v>2024</v>
      </c>
      <c r="C10" s="11" t="s">
        <v>106</v>
      </c>
      <c r="D10" t="s">
        <v>22</v>
      </c>
      <c r="E10" s="11" t="s">
        <v>190</v>
      </c>
      <c r="F10" s="59">
        <v>3119</v>
      </c>
      <c r="G10" s="11" t="s">
        <v>2027</v>
      </c>
      <c r="H10" s="11" t="s">
        <v>229</v>
      </c>
    </row>
    <row r="11" spans="1:8" x14ac:dyDescent="0.25">
      <c r="A11" s="9">
        <v>45975</v>
      </c>
      <c r="B11" t="s">
        <v>2029</v>
      </c>
      <c r="C11" s="11" t="s">
        <v>639</v>
      </c>
      <c r="D11" t="s">
        <v>22</v>
      </c>
      <c r="E11" s="11" t="s">
        <v>119</v>
      </c>
      <c r="F11" s="59">
        <v>1814</v>
      </c>
      <c r="G11" s="11" t="s">
        <v>2032</v>
      </c>
      <c r="H11" s="11" t="s">
        <v>215</v>
      </c>
    </row>
    <row r="12" spans="1:8" x14ac:dyDescent="0.25">
      <c r="A12" s="9">
        <v>45967</v>
      </c>
      <c r="B12" t="s">
        <v>2034</v>
      </c>
      <c r="C12" s="11" t="s">
        <v>114</v>
      </c>
      <c r="D12" t="s">
        <v>22</v>
      </c>
      <c r="E12" s="11" t="s">
        <v>190</v>
      </c>
      <c r="F12" s="59">
        <v>1749</v>
      </c>
      <c r="G12" s="11" t="s">
        <v>2037</v>
      </c>
      <c r="H12" s="11" t="s">
        <v>316</v>
      </c>
    </row>
    <row r="13" spans="1:8" x14ac:dyDescent="0.25">
      <c r="A13" s="9">
        <v>45979</v>
      </c>
      <c r="B13" t="s">
        <v>2040</v>
      </c>
      <c r="C13" s="11" t="s">
        <v>106</v>
      </c>
      <c r="D13" t="s">
        <v>22</v>
      </c>
      <c r="E13" s="11" t="s">
        <v>118</v>
      </c>
      <c r="F13" s="59">
        <v>2257</v>
      </c>
      <c r="G13" s="11" t="s">
        <v>2043</v>
      </c>
      <c r="H13" s="11" t="s">
        <v>2094</v>
      </c>
    </row>
    <row r="14" spans="1:8" x14ac:dyDescent="0.25">
      <c r="A14" s="9">
        <v>45979</v>
      </c>
      <c r="B14" t="s">
        <v>2045</v>
      </c>
      <c r="C14" s="11" t="s">
        <v>638</v>
      </c>
      <c r="D14" t="s">
        <v>22</v>
      </c>
      <c r="E14" s="11" t="s">
        <v>118</v>
      </c>
      <c r="F14" s="59">
        <v>1122</v>
      </c>
      <c r="G14" s="11" t="s">
        <v>375</v>
      </c>
      <c r="H14" s="11" t="s">
        <v>192</v>
      </c>
    </row>
    <row r="15" spans="1:8" x14ac:dyDescent="0.25">
      <c r="A15" s="9">
        <v>45979</v>
      </c>
      <c r="B15" t="s">
        <v>2049</v>
      </c>
      <c r="C15" s="11" t="s">
        <v>106</v>
      </c>
      <c r="D15" t="s">
        <v>24</v>
      </c>
      <c r="E15" s="11" t="s">
        <v>190</v>
      </c>
      <c r="F15" s="59">
        <v>1382.72</v>
      </c>
      <c r="G15" s="11" t="s">
        <v>2052</v>
      </c>
      <c r="H15" s="11" t="s">
        <v>2053</v>
      </c>
    </row>
    <row r="16" spans="1:8" x14ac:dyDescent="0.25">
      <c r="A16" s="9">
        <v>45980</v>
      </c>
      <c r="B16" t="s">
        <v>2056</v>
      </c>
      <c r="C16" s="11" t="s">
        <v>638</v>
      </c>
      <c r="D16" t="s">
        <v>24</v>
      </c>
      <c r="E16" s="11" t="s">
        <v>118</v>
      </c>
      <c r="F16" s="59">
        <v>3806.3</v>
      </c>
      <c r="G16" s="11" t="s">
        <v>2059</v>
      </c>
      <c r="H16" s="11" t="s">
        <v>2060</v>
      </c>
    </row>
    <row r="17" spans="1:8" x14ac:dyDescent="0.25">
      <c r="A17" s="9">
        <v>45980</v>
      </c>
      <c r="B17" t="s">
        <v>2062</v>
      </c>
      <c r="C17" s="11" t="s">
        <v>106</v>
      </c>
      <c r="D17" t="s">
        <v>22</v>
      </c>
      <c r="E17" s="11" t="s">
        <v>190</v>
      </c>
      <c r="F17" s="59">
        <v>1122</v>
      </c>
      <c r="G17" s="11" t="s">
        <v>375</v>
      </c>
      <c r="H17" s="11" t="s">
        <v>2065</v>
      </c>
    </row>
    <row r="18" spans="1:8" x14ac:dyDescent="0.25">
      <c r="A18" s="9">
        <v>45968</v>
      </c>
      <c r="B18" t="s">
        <v>2067</v>
      </c>
      <c r="C18" s="11" t="s">
        <v>106</v>
      </c>
      <c r="D18" t="s">
        <v>22</v>
      </c>
      <c r="E18" s="11" t="s">
        <v>118</v>
      </c>
      <c r="F18" s="59">
        <v>5286.56</v>
      </c>
      <c r="G18" s="11" t="s">
        <v>2070</v>
      </c>
      <c r="H18" s="11" t="s">
        <v>192</v>
      </c>
    </row>
    <row r="19" spans="1:8" x14ac:dyDescent="0.25">
      <c r="A19" s="9">
        <v>45971</v>
      </c>
      <c r="B19" t="s">
        <v>2072</v>
      </c>
      <c r="C19" s="11" t="s">
        <v>639</v>
      </c>
      <c r="D19" t="s">
        <v>22</v>
      </c>
      <c r="E19" s="11" t="s">
        <v>190</v>
      </c>
      <c r="F19" s="59">
        <v>1667.08</v>
      </c>
      <c r="G19" s="11" t="s">
        <v>2075</v>
      </c>
      <c r="H19" s="11" t="s">
        <v>2076</v>
      </c>
    </row>
    <row r="20" spans="1:8" x14ac:dyDescent="0.25">
      <c r="A20" s="9">
        <v>45973</v>
      </c>
      <c r="B20" t="s">
        <v>2078</v>
      </c>
      <c r="C20" s="11" t="s">
        <v>106</v>
      </c>
      <c r="D20" t="s">
        <v>22</v>
      </c>
      <c r="E20" s="11" t="s">
        <v>190</v>
      </c>
      <c r="F20" s="59">
        <v>1951</v>
      </c>
      <c r="G20" s="11" t="s">
        <v>2081</v>
      </c>
      <c r="H20" s="11" t="s">
        <v>2082</v>
      </c>
    </row>
    <row r="21" spans="1:8" x14ac:dyDescent="0.25">
      <c r="A21" s="9">
        <v>45981</v>
      </c>
      <c r="B21" t="s">
        <v>2084</v>
      </c>
      <c r="C21" s="11" t="s">
        <v>106</v>
      </c>
      <c r="D21" t="s">
        <v>22</v>
      </c>
      <c r="E21" s="11" t="s">
        <v>118</v>
      </c>
      <c r="F21" s="59">
        <v>1550</v>
      </c>
      <c r="G21" s="11" t="s">
        <v>2087</v>
      </c>
      <c r="H21" s="11" t="s">
        <v>2088</v>
      </c>
    </row>
    <row r="22" spans="1:8" x14ac:dyDescent="0.25">
      <c r="A22" s="9">
        <v>45968</v>
      </c>
      <c r="B22" t="s">
        <v>2090</v>
      </c>
      <c r="C22" s="11" t="s">
        <v>106</v>
      </c>
      <c r="D22" t="s">
        <v>22</v>
      </c>
      <c r="E22" s="11" t="s">
        <v>118</v>
      </c>
      <c r="F22" s="59">
        <v>1498</v>
      </c>
      <c r="G22" s="11" t="s">
        <v>2093</v>
      </c>
      <c r="H22" s="11" t="s">
        <v>223</v>
      </c>
    </row>
    <row r="23" spans="1:8" x14ac:dyDescent="0.25">
      <c r="A23" s="9" t="s">
        <v>2096</v>
      </c>
      <c r="B23" t="s">
        <v>2097</v>
      </c>
      <c r="C23" s="11" t="s">
        <v>106</v>
      </c>
      <c r="D23" t="s">
        <v>24</v>
      </c>
      <c r="E23" s="11" t="s">
        <v>118</v>
      </c>
      <c r="F23" s="59">
        <v>33775.370000000003</v>
      </c>
      <c r="G23" s="11" t="s">
        <v>2099</v>
      </c>
      <c r="H23" s="11" t="s">
        <v>2111</v>
      </c>
    </row>
    <row r="24" spans="1:8" x14ac:dyDescent="0.25">
      <c r="A24" s="9">
        <v>45982</v>
      </c>
      <c r="B24" t="s">
        <v>2101</v>
      </c>
      <c r="C24" s="11" t="s">
        <v>640</v>
      </c>
      <c r="D24" t="s">
        <v>22</v>
      </c>
      <c r="E24" s="11" t="s">
        <v>190</v>
      </c>
      <c r="F24" s="59">
        <v>1263</v>
      </c>
      <c r="G24" s="11" t="s">
        <v>2104</v>
      </c>
      <c r="H24" s="11" t="s">
        <v>2105</v>
      </c>
    </row>
    <row r="25" spans="1:8" x14ac:dyDescent="0.25">
      <c r="A25" s="9">
        <v>45966</v>
      </c>
      <c r="B25" t="s">
        <v>2107</v>
      </c>
      <c r="C25" s="11" t="s">
        <v>106</v>
      </c>
      <c r="D25" t="s">
        <v>22</v>
      </c>
      <c r="E25" s="11" t="s">
        <v>190</v>
      </c>
      <c r="F25" s="59">
        <v>1426</v>
      </c>
      <c r="G25" s="11" t="s">
        <v>2110</v>
      </c>
      <c r="H25" s="11" t="s">
        <v>316</v>
      </c>
    </row>
    <row r="26" spans="1:8" x14ac:dyDescent="0.25">
      <c r="A26" s="9">
        <v>45985</v>
      </c>
      <c r="B26" t="s">
        <v>2113</v>
      </c>
      <c r="C26" s="11" t="s">
        <v>106</v>
      </c>
      <c r="D26" t="s">
        <v>22</v>
      </c>
      <c r="E26" s="11" t="s">
        <v>190</v>
      </c>
      <c r="F26" s="59">
        <v>985</v>
      </c>
      <c r="G26" s="11" t="s">
        <v>936</v>
      </c>
      <c r="H26" s="11" t="s">
        <v>215</v>
      </c>
    </row>
    <row r="27" spans="1:8" x14ac:dyDescent="0.25">
      <c r="A27" s="9">
        <v>45986</v>
      </c>
      <c r="B27" t="s">
        <v>2117</v>
      </c>
      <c r="C27" s="11" t="s">
        <v>106</v>
      </c>
      <c r="D27" t="s">
        <v>22</v>
      </c>
      <c r="E27" s="11" t="s">
        <v>190</v>
      </c>
      <c r="F27" s="59">
        <v>1135</v>
      </c>
      <c r="G27" s="11" t="s">
        <v>2120</v>
      </c>
      <c r="H27" s="11" t="s">
        <v>2121</v>
      </c>
    </row>
    <row r="28" spans="1:8" x14ac:dyDescent="0.25">
      <c r="A28" s="9">
        <v>45986</v>
      </c>
      <c r="B28" t="s">
        <v>2123</v>
      </c>
      <c r="C28" s="11" t="s">
        <v>106</v>
      </c>
      <c r="D28" t="s">
        <v>24</v>
      </c>
      <c r="E28" s="11" t="s">
        <v>190</v>
      </c>
      <c r="F28" s="59">
        <v>2422.08</v>
      </c>
      <c r="G28" s="11" t="s">
        <v>2126</v>
      </c>
      <c r="H28" s="11" t="s">
        <v>2127</v>
      </c>
    </row>
    <row r="29" spans="1:8" x14ac:dyDescent="0.25">
      <c r="A29" s="9">
        <v>45988</v>
      </c>
      <c r="B29" t="s">
        <v>410</v>
      </c>
      <c r="C29" s="11" t="s">
        <v>639</v>
      </c>
      <c r="D29" t="s">
        <v>22</v>
      </c>
      <c r="E29" s="11" t="s">
        <v>118</v>
      </c>
      <c r="F29" s="59">
        <v>1646</v>
      </c>
      <c r="G29" s="11" t="s">
        <v>2130</v>
      </c>
      <c r="H29" s="11" t="s">
        <v>223</v>
      </c>
    </row>
    <row r="30" spans="1:8" x14ac:dyDescent="0.25">
      <c r="A30" s="9">
        <v>45989</v>
      </c>
      <c r="B30" t="s">
        <v>2132</v>
      </c>
      <c r="C30" s="11" t="s">
        <v>106</v>
      </c>
      <c r="D30" t="s">
        <v>22</v>
      </c>
      <c r="E30" s="11" t="s">
        <v>190</v>
      </c>
      <c r="F30" s="59">
        <v>1222</v>
      </c>
      <c r="G30" s="11" t="s">
        <v>2135</v>
      </c>
      <c r="H30" s="11" t="s">
        <v>215</v>
      </c>
    </row>
    <row r="31" spans="1:8" x14ac:dyDescent="0.25">
      <c r="A31" s="9">
        <v>45990</v>
      </c>
      <c r="B31" t="s">
        <v>2137</v>
      </c>
      <c r="C31" s="11" t="s">
        <v>106</v>
      </c>
      <c r="D31" t="s">
        <v>24</v>
      </c>
      <c r="E31" s="11" t="s">
        <v>118</v>
      </c>
      <c r="F31" s="59">
        <v>3776.64</v>
      </c>
      <c r="G31" s="11" t="s">
        <v>2140</v>
      </c>
      <c r="H31" s="11" t="s">
        <v>296</v>
      </c>
    </row>
    <row r="32" spans="1:8" x14ac:dyDescent="0.25">
      <c r="A32" s="9">
        <v>45982</v>
      </c>
      <c r="B32" t="s">
        <v>904</v>
      </c>
      <c r="C32" s="11" t="s">
        <v>106</v>
      </c>
      <c r="D32" t="s">
        <v>22</v>
      </c>
      <c r="E32" s="11" t="s">
        <v>118</v>
      </c>
      <c r="F32" s="59">
        <v>1504.52</v>
      </c>
      <c r="G32" s="11" t="s">
        <v>2153</v>
      </c>
      <c r="H32" s="11" t="s">
        <v>2154</v>
      </c>
    </row>
    <row r="33" spans="1:10" x14ac:dyDescent="0.25">
      <c r="A33" s="9">
        <v>45985</v>
      </c>
      <c r="B33" t="s">
        <v>2157</v>
      </c>
      <c r="C33" s="11" t="s">
        <v>106</v>
      </c>
      <c r="D33" t="s">
        <v>22</v>
      </c>
      <c r="E33" s="11" t="s">
        <v>118</v>
      </c>
      <c r="F33" s="59">
        <v>4347.7</v>
      </c>
      <c r="G33" s="11" t="s">
        <v>2160</v>
      </c>
      <c r="H33" s="11" t="s">
        <v>192</v>
      </c>
    </row>
    <row r="34" spans="1:10" x14ac:dyDescent="0.25">
      <c r="A34" s="9">
        <v>45962</v>
      </c>
      <c r="B34" t="s">
        <v>750</v>
      </c>
      <c r="C34" s="11" t="s">
        <v>106</v>
      </c>
      <c r="D34" t="s">
        <v>22</v>
      </c>
      <c r="E34" s="11" t="s">
        <v>118</v>
      </c>
      <c r="F34" s="59">
        <v>1304.3</v>
      </c>
      <c r="G34" s="11" t="s">
        <v>1806</v>
      </c>
      <c r="H34" s="11" t="s">
        <v>2227</v>
      </c>
    </row>
    <row r="35" spans="1:10" x14ac:dyDescent="0.25">
      <c r="A35" s="9">
        <v>45987</v>
      </c>
      <c r="B35" t="s">
        <v>275</v>
      </c>
      <c r="C35" s="11" t="s">
        <v>106</v>
      </c>
      <c r="D35" t="s">
        <v>22</v>
      </c>
      <c r="E35" s="11" t="s">
        <v>118</v>
      </c>
      <c r="F35" s="59">
        <v>1102.5999999999999</v>
      </c>
      <c r="G35" s="11" t="s">
        <v>2185</v>
      </c>
      <c r="H35" s="11" t="s">
        <v>192</v>
      </c>
    </row>
    <row r="36" spans="1:10" x14ac:dyDescent="0.25">
      <c r="A36" s="9">
        <v>45990</v>
      </c>
      <c r="B36" t="s">
        <v>2187</v>
      </c>
      <c r="C36" s="11" t="s">
        <v>106</v>
      </c>
      <c r="D36" t="s">
        <v>22</v>
      </c>
      <c r="E36" s="11" t="s">
        <v>118</v>
      </c>
      <c r="F36" s="59">
        <v>4413.7</v>
      </c>
      <c r="G36" s="11" t="s">
        <v>2190</v>
      </c>
      <c r="H36" s="11" t="s">
        <v>229</v>
      </c>
    </row>
    <row r="37" spans="1:10" x14ac:dyDescent="0.25">
      <c r="A37" s="9">
        <v>45982</v>
      </c>
      <c r="B37" t="s">
        <v>2218</v>
      </c>
      <c r="C37" s="11" t="s">
        <v>106</v>
      </c>
      <c r="D37" t="s">
        <v>22</v>
      </c>
      <c r="E37" s="11" t="s">
        <v>118</v>
      </c>
      <c r="F37" s="59">
        <v>1908.2</v>
      </c>
      <c r="G37" s="11" t="s">
        <v>2221</v>
      </c>
      <c r="H37" s="11" t="s">
        <v>2228</v>
      </c>
    </row>
    <row r="38" spans="1:10" x14ac:dyDescent="0.25">
      <c r="A38" s="9"/>
      <c r="C38" s="11"/>
      <c r="E38" s="11"/>
      <c r="F38" s="59"/>
      <c r="G38" s="11"/>
      <c r="H38" s="11"/>
    </row>
    <row r="39" spans="1:10" x14ac:dyDescent="0.25">
      <c r="A39" s="9"/>
      <c r="C39" s="11"/>
      <c r="E39" s="11"/>
      <c r="F39" s="59"/>
      <c r="G39" s="11"/>
      <c r="H39" s="11"/>
    </row>
    <row r="43" spans="1:10" ht="15.75" thickBot="1" x14ac:dyDescent="0.3">
      <c r="A43" s="99" t="s">
        <v>8</v>
      </c>
      <c r="B43" s="99"/>
      <c r="C43" s="99"/>
      <c r="D43" s="99"/>
      <c r="E43" s="99"/>
      <c r="F43" s="99"/>
      <c r="G43" s="7"/>
    </row>
    <row r="44" spans="1:10" x14ac:dyDescent="0.25">
      <c r="A44" s="8" t="s">
        <v>9</v>
      </c>
      <c r="B44" s="9"/>
      <c r="C44" s="10">
        <f>SUM(F2:F41)</f>
        <v>113421.42000000001</v>
      </c>
      <c r="D44" s="11"/>
      <c r="E44" s="12" t="s">
        <v>10</v>
      </c>
      <c r="F44" s="13"/>
      <c r="G44" s="7"/>
      <c r="H44" s="14" t="s">
        <v>11</v>
      </c>
      <c r="I44" s="15">
        <v>28</v>
      </c>
      <c r="J44" s="16"/>
    </row>
    <row r="45" spans="1:10" x14ac:dyDescent="0.25">
      <c r="A45" s="8"/>
      <c r="B45" s="9"/>
      <c r="C45" s="10"/>
      <c r="D45" s="11"/>
      <c r="E45" s="17" t="s">
        <v>12</v>
      </c>
      <c r="F45" s="18">
        <v>101436.3</v>
      </c>
      <c r="G45" s="7"/>
      <c r="H45" s="17" t="s">
        <v>13</v>
      </c>
      <c r="I45" s="19">
        <v>14</v>
      </c>
      <c r="J45" s="20">
        <f>I45/I$44</f>
        <v>0.5</v>
      </c>
    </row>
    <row r="46" spans="1:10" ht="15.75" thickBot="1" x14ac:dyDescent="0.3">
      <c r="A46" s="8" t="s">
        <v>14</v>
      </c>
      <c r="B46" s="9"/>
      <c r="C46" s="21">
        <v>23</v>
      </c>
      <c r="D46" s="11"/>
      <c r="E46" s="22" t="s">
        <v>15</v>
      </c>
      <c r="F46" s="23">
        <f>C44/C46</f>
        <v>4931.3660869565219</v>
      </c>
      <c r="G46" s="7"/>
      <c r="H46" s="17" t="s">
        <v>16</v>
      </c>
      <c r="I46" s="19">
        <v>14</v>
      </c>
      <c r="J46" s="20">
        <f>I46/I$44</f>
        <v>0.5</v>
      </c>
    </row>
    <row r="47" spans="1:10" ht="15.75" thickBot="1" x14ac:dyDescent="0.3">
      <c r="A47" s="8" t="s">
        <v>17</v>
      </c>
      <c r="B47" s="9"/>
      <c r="C47">
        <v>36</v>
      </c>
      <c r="D47" s="11"/>
      <c r="E47" s="11"/>
      <c r="F47" s="24"/>
      <c r="G47" s="7"/>
      <c r="H47" s="22" t="s">
        <v>18</v>
      </c>
      <c r="I47" s="25">
        <v>0</v>
      </c>
      <c r="J47" s="26">
        <f>I47/I$44</f>
        <v>0</v>
      </c>
    </row>
    <row r="48" spans="1:10" x14ac:dyDescent="0.25">
      <c r="A48" s="8"/>
      <c r="B48" s="9"/>
      <c r="D48" s="11" t="s">
        <v>19</v>
      </c>
      <c r="E48" s="12" t="s">
        <v>20</v>
      </c>
      <c r="F48" s="13"/>
      <c r="G48" s="7"/>
    </row>
    <row r="49" spans="1:10" ht="15.75" thickBot="1" x14ac:dyDescent="0.3">
      <c r="A49" s="8" t="s">
        <v>21</v>
      </c>
      <c r="B49" s="9"/>
      <c r="C49">
        <v>29</v>
      </c>
      <c r="D49" s="11" t="s">
        <v>19</v>
      </c>
      <c r="E49" s="17" t="s">
        <v>22</v>
      </c>
      <c r="F49" s="20">
        <f>C49/C$47</f>
        <v>0.80555555555555558</v>
      </c>
      <c r="G49" s="7"/>
    </row>
    <row r="50" spans="1:10" ht="15.75" thickBot="1" x14ac:dyDescent="0.3">
      <c r="A50" s="8" t="s">
        <v>23</v>
      </c>
      <c r="B50" s="9"/>
      <c r="C50">
        <v>7</v>
      </c>
      <c r="D50" s="11"/>
      <c r="E50" s="22" t="s">
        <v>24</v>
      </c>
      <c r="F50" s="26">
        <f>C50/C$47</f>
        <v>0.19444444444444445</v>
      </c>
      <c r="G50" s="7"/>
      <c r="H50" s="14" t="s">
        <v>25</v>
      </c>
      <c r="I50" s="15">
        <v>33</v>
      </c>
      <c r="J50" s="16"/>
    </row>
    <row r="51" spans="1:10" ht="15.75" thickBot="1" x14ac:dyDescent="0.3">
      <c r="A51" s="8"/>
      <c r="B51" s="9"/>
      <c r="D51" s="11"/>
      <c r="E51" s="11"/>
      <c r="F51" s="24"/>
      <c r="G51" s="7"/>
      <c r="H51" s="27" t="s">
        <v>26</v>
      </c>
      <c r="I51" s="30">
        <v>22</v>
      </c>
      <c r="J51" s="20">
        <f>I51/I$50</f>
        <v>0.66666666666666663</v>
      </c>
    </row>
    <row r="52" spans="1:10" x14ac:dyDescent="0.25">
      <c r="A52" s="8" t="s">
        <v>27</v>
      </c>
      <c r="B52" s="9"/>
      <c r="D52" s="11"/>
      <c r="E52" s="12" t="s">
        <v>28</v>
      </c>
      <c r="F52" s="13"/>
      <c r="G52" s="7"/>
      <c r="H52" s="27" t="s">
        <v>29</v>
      </c>
      <c r="I52" s="30">
        <v>8</v>
      </c>
      <c r="J52" s="20">
        <f>I52/I$50</f>
        <v>0.24242424242424243</v>
      </c>
    </row>
    <row r="53" spans="1:10" ht="15.75" thickBot="1" x14ac:dyDescent="0.3">
      <c r="A53" s="8" t="s">
        <v>30</v>
      </c>
      <c r="B53" s="9"/>
      <c r="C53">
        <v>4</v>
      </c>
      <c r="D53" s="11"/>
      <c r="E53" s="28" t="s">
        <v>30</v>
      </c>
      <c r="F53" s="20">
        <f>C53/C$62</f>
        <v>4.0404040404040407E-2</v>
      </c>
      <c r="G53" s="7"/>
      <c r="H53" s="29" t="s">
        <v>31</v>
      </c>
      <c r="I53" s="25">
        <v>3</v>
      </c>
      <c r="J53" s="26">
        <f>I53/I$50</f>
        <v>9.0909090909090912E-2</v>
      </c>
    </row>
    <row r="54" spans="1:10" ht="15.75" thickBot="1" x14ac:dyDescent="0.3">
      <c r="A54" s="8" t="s">
        <v>11</v>
      </c>
      <c r="B54" s="9"/>
      <c r="C54">
        <v>28</v>
      </c>
      <c r="D54" s="11"/>
      <c r="E54" s="28" t="s">
        <v>11</v>
      </c>
      <c r="F54" s="20">
        <f t="shared" ref="F54:F61" si="0">C54/C$62</f>
        <v>0.28282828282828282</v>
      </c>
      <c r="G54" s="7"/>
    </row>
    <row r="55" spans="1:10" x14ac:dyDescent="0.25">
      <c r="A55" s="8" t="s">
        <v>32</v>
      </c>
      <c r="B55" s="9"/>
      <c r="C55">
        <v>33</v>
      </c>
      <c r="D55" s="11"/>
      <c r="E55" s="28" t="s">
        <v>32</v>
      </c>
      <c r="F55" s="20">
        <f t="shared" si="0"/>
        <v>0.33333333333333331</v>
      </c>
      <c r="G55" s="11" t="s">
        <v>19</v>
      </c>
      <c r="H55" s="14" t="s">
        <v>33</v>
      </c>
      <c r="I55" s="15">
        <v>11</v>
      </c>
      <c r="J55" s="13">
        <f t="shared" ref="J55:J66" si="1">I55/I$50</f>
        <v>0.33333333333333331</v>
      </c>
    </row>
    <row r="56" spans="1:10" x14ac:dyDescent="0.25">
      <c r="A56" s="8" t="s">
        <v>34</v>
      </c>
      <c r="B56" s="9"/>
      <c r="C56">
        <v>4</v>
      </c>
      <c r="D56" s="11"/>
      <c r="E56" s="28" t="s">
        <v>34</v>
      </c>
      <c r="F56" s="20">
        <f t="shared" si="0"/>
        <v>4.0404040404040407E-2</v>
      </c>
      <c r="G56" s="7"/>
      <c r="H56" s="27" t="s">
        <v>35</v>
      </c>
      <c r="I56" s="30">
        <v>1</v>
      </c>
      <c r="J56" s="20">
        <f t="shared" si="1"/>
        <v>3.0303030303030304E-2</v>
      </c>
    </row>
    <row r="57" spans="1:10" x14ac:dyDescent="0.25">
      <c r="A57" s="8" t="s">
        <v>36</v>
      </c>
      <c r="B57" s="9"/>
      <c r="C57">
        <v>12</v>
      </c>
      <c r="D57" s="11"/>
      <c r="E57" s="28" t="s">
        <v>36</v>
      </c>
      <c r="F57" s="20">
        <f t="shared" si="0"/>
        <v>0.12121212121212122</v>
      </c>
      <c r="G57" s="7"/>
      <c r="H57" s="27" t="s">
        <v>37</v>
      </c>
      <c r="I57" s="30">
        <v>2</v>
      </c>
      <c r="J57" s="20">
        <f t="shared" si="1"/>
        <v>6.0606060606060608E-2</v>
      </c>
    </row>
    <row r="58" spans="1:10" x14ac:dyDescent="0.25">
      <c r="A58" s="8" t="s">
        <v>38</v>
      </c>
      <c r="B58" s="9"/>
      <c r="C58">
        <v>0</v>
      </c>
      <c r="D58" s="11"/>
      <c r="E58" s="28" t="s">
        <v>38</v>
      </c>
      <c r="F58" s="20">
        <f t="shared" si="0"/>
        <v>0</v>
      </c>
      <c r="G58" s="7"/>
      <c r="H58" s="27" t="s">
        <v>39</v>
      </c>
      <c r="I58" s="30">
        <v>2</v>
      </c>
      <c r="J58" s="20">
        <f t="shared" si="1"/>
        <v>6.0606060606060608E-2</v>
      </c>
    </row>
    <row r="59" spans="1:10" x14ac:dyDescent="0.25">
      <c r="A59" s="8" t="s">
        <v>40</v>
      </c>
      <c r="B59" s="9"/>
      <c r="C59">
        <v>6</v>
      </c>
      <c r="D59" s="11"/>
      <c r="E59" s="28" t="s">
        <v>40</v>
      </c>
      <c r="F59" s="20">
        <f t="shared" si="0"/>
        <v>6.0606060606060608E-2</v>
      </c>
      <c r="G59" s="7"/>
      <c r="H59" s="27" t="s">
        <v>41</v>
      </c>
      <c r="I59" s="30">
        <v>6</v>
      </c>
      <c r="J59" s="20">
        <f t="shared" si="1"/>
        <v>0.18181818181818182</v>
      </c>
    </row>
    <row r="60" spans="1:10" x14ac:dyDescent="0.25">
      <c r="A60" s="8" t="s">
        <v>42</v>
      </c>
      <c r="B60" s="9"/>
      <c r="C60">
        <v>1</v>
      </c>
      <c r="D60" s="11"/>
      <c r="E60" s="28" t="s">
        <v>42</v>
      </c>
      <c r="F60" s="20">
        <f t="shared" si="0"/>
        <v>1.0101010101010102E-2</v>
      </c>
      <c r="G60" s="7"/>
      <c r="H60" s="27" t="s">
        <v>43</v>
      </c>
      <c r="I60" s="30">
        <v>8</v>
      </c>
      <c r="J60" s="20">
        <f t="shared" si="1"/>
        <v>0.24242424242424243</v>
      </c>
    </row>
    <row r="61" spans="1:10" ht="15.75" thickBot="1" x14ac:dyDescent="0.3">
      <c r="A61" s="8" t="s">
        <v>44</v>
      </c>
      <c r="B61" s="9"/>
      <c r="C61">
        <v>11</v>
      </c>
      <c r="D61" s="11"/>
      <c r="E61" s="31" t="s">
        <v>44</v>
      </c>
      <c r="F61" s="26">
        <f t="shared" si="0"/>
        <v>0.1111111111111111</v>
      </c>
      <c r="G61" s="11" t="s">
        <v>19</v>
      </c>
      <c r="H61" s="32" t="s">
        <v>45</v>
      </c>
      <c r="I61" s="30">
        <v>3</v>
      </c>
      <c r="J61" s="20">
        <f t="shared" si="1"/>
        <v>9.0909090909090912E-2</v>
      </c>
    </row>
    <row r="62" spans="1:10" ht="15.75" thickBot="1" x14ac:dyDescent="0.3">
      <c r="A62" s="8" t="s">
        <v>46</v>
      </c>
      <c r="B62" s="9"/>
      <c r="C62">
        <f>SUM(C53:C61)</f>
        <v>99</v>
      </c>
      <c r="D62" s="11"/>
      <c r="E62" s="8"/>
      <c r="F62" s="24"/>
      <c r="G62" s="7"/>
      <c r="H62" s="32" t="s">
        <v>47</v>
      </c>
      <c r="I62" s="30">
        <v>0</v>
      </c>
      <c r="J62" s="20">
        <f t="shared" si="1"/>
        <v>0</v>
      </c>
    </row>
    <row r="63" spans="1:10" x14ac:dyDescent="0.25">
      <c r="A63" s="8"/>
      <c r="B63" s="9"/>
      <c r="D63" s="11"/>
      <c r="E63" s="33" t="s">
        <v>48</v>
      </c>
      <c r="F63" s="13"/>
      <c r="G63" s="7"/>
      <c r="H63" s="32" t="s">
        <v>49</v>
      </c>
      <c r="I63" s="30">
        <v>0</v>
      </c>
      <c r="J63" s="20">
        <f t="shared" si="1"/>
        <v>0</v>
      </c>
    </row>
    <row r="64" spans="1:10" x14ac:dyDescent="0.25">
      <c r="A64" s="8" t="s">
        <v>50</v>
      </c>
      <c r="B64" s="9"/>
      <c r="D64" s="11"/>
      <c r="E64" s="28" t="s">
        <v>51</v>
      </c>
      <c r="F64" s="20">
        <f>C65/C$75</f>
        <v>0.52884615384615385</v>
      </c>
      <c r="G64" s="7"/>
      <c r="H64" s="27" t="s">
        <v>52</v>
      </c>
      <c r="I64" s="30">
        <v>0</v>
      </c>
      <c r="J64" s="20">
        <f t="shared" si="1"/>
        <v>0</v>
      </c>
    </row>
    <row r="65" spans="1:10" x14ac:dyDescent="0.25">
      <c r="A65" s="8" t="s">
        <v>51</v>
      </c>
      <c r="B65" s="9"/>
      <c r="C65">
        <v>55</v>
      </c>
      <c r="D65" s="11"/>
      <c r="E65" s="28" t="s">
        <v>53</v>
      </c>
      <c r="F65" s="20">
        <f t="shared" ref="F65:F73" si="2">C66/C$75</f>
        <v>0.20192307692307693</v>
      </c>
      <c r="G65" s="7"/>
      <c r="H65" s="32" t="s">
        <v>54</v>
      </c>
      <c r="I65" s="30">
        <v>0</v>
      </c>
      <c r="J65" s="20">
        <f t="shared" si="1"/>
        <v>0</v>
      </c>
    </row>
    <row r="66" spans="1:10" ht="15.75" thickBot="1" x14ac:dyDescent="0.3">
      <c r="A66" s="8" t="s">
        <v>53</v>
      </c>
      <c r="B66" s="9"/>
      <c r="C66">
        <v>21</v>
      </c>
      <c r="D66" s="11"/>
      <c r="E66" s="28" t="s">
        <v>55</v>
      </c>
      <c r="F66" s="20">
        <f t="shared" si="2"/>
        <v>6.7307692307692304E-2</v>
      </c>
      <c r="G66" s="7"/>
      <c r="H66" s="34" t="s">
        <v>56</v>
      </c>
      <c r="I66" s="25">
        <v>0</v>
      </c>
      <c r="J66" s="26">
        <f t="shared" si="1"/>
        <v>0</v>
      </c>
    </row>
    <row r="67" spans="1:10" x14ac:dyDescent="0.25">
      <c r="A67" s="8" t="s">
        <v>55</v>
      </c>
      <c r="B67" s="9"/>
      <c r="C67">
        <v>7</v>
      </c>
      <c r="D67" s="11"/>
      <c r="E67" s="28" t="s">
        <v>57</v>
      </c>
      <c r="F67" s="20">
        <f t="shared" si="2"/>
        <v>0.11538461538461539</v>
      </c>
      <c r="G67" s="7"/>
    </row>
    <row r="68" spans="1:10" ht="15.75" thickBot="1" x14ac:dyDescent="0.3">
      <c r="A68" s="8" t="s">
        <v>57</v>
      </c>
      <c r="B68" s="9"/>
      <c r="C68">
        <v>12</v>
      </c>
      <c r="D68" s="11"/>
      <c r="E68" s="28" t="s">
        <v>58</v>
      </c>
      <c r="F68" s="20">
        <f t="shared" si="2"/>
        <v>0</v>
      </c>
      <c r="G68" s="11" t="s">
        <v>19</v>
      </c>
    </row>
    <row r="69" spans="1:10" x14ac:dyDescent="0.25">
      <c r="A69" s="8" t="s">
        <v>58</v>
      </c>
      <c r="B69" s="9"/>
      <c r="C69">
        <v>0</v>
      </c>
      <c r="D69" s="11"/>
      <c r="E69" s="28" t="s">
        <v>59</v>
      </c>
      <c r="F69" s="20">
        <f t="shared" si="2"/>
        <v>0</v>
      </c>
      <c r="G69" s="7"/>
      <c r="H69" s="14" t="s">
        <v>36</v>
      </c>
      <c r="I69" s="15">
        <v>12</v>
      </c>
      <c r="J69" s="16"/>
    </row>
    <row r="70" spans="1:10" x14ac:dyDescent="0.25">
      <c r="A70" s="8" t="s">
        <v>59</v>
      </c>
      <c r="B70" s="9"/>
      <c r="C70">
        <v>0</v>
      </c>
      <c r="D70" s="11"/>
      <c r="E70" s="28" t="s">
        <v>60</v>
      </c>
      <c r="F70" s="20">
        <f t="shared" si="2"/>
        <v>0</v>
      </c>
      <c r="G70" s="7"/>
      <c r="H70" s="27" t="s">
        <v>61</v>
      </c>
      <c r="I70" s="30">
        <v>2</v>
      </c>
      <c r="J70" s="20">
        <f>I70/I$69</f>
        <v>0.16666666666666666</v>
      </c>
    </row>
    <row r="71" spans="1:10" ht="15.75" thickBot="1" x14ac:dyDescent="0.3">
      <c r="A71" s="8" t="s">
        <v>60</v>
      </c>
      <c r="B71" s="9"/>
      <c r="C71">
        <v>0</v>
      </c>
      <c r="D71" s="11"/>
      <c r="E71" s="28" t="s">
        <v>62</v>
      </c>
      <c r="F71" s="20">
        <f t="shared" si="2"/>
        <v>0</v>
      </c>
      <c r="G71" s="7"/>
      <c r="H71" s="29" t="s">
        <v>63</v>
      </c>
      <c r="I71" s="25">
        <v>10</v>
      </c>
      <c r="J71" s="26">
        <f>I71/I$69</f>
        <v>0.83333333333333337</v>
      </c>
    </row>
    <row r="72" spans="1:10" x14ac:dyDescent="0.25">
      <c r="A72" s="8" t="s">
        <v>62</v>
      </c>
      <c r="B72" s="9"/>
      <c r="C72">
        <v>0</v>
      </c>
      <c r="D72" s="11"/>
      <c r="E72" s="28" t="s">
        <v>64</v>
      </c>
      <c r="F72" s="20">
        <f t="shared" si="2"/>
        <v>3.8461538461538464E-2</v>
      </c>
      <c r="G72" s="7"/>
    </row>
    <row r="73" spans="1:10" ht="15.75" thickBot="1" x14ac:dyDescent="0.3">
      <c r="A73" s="8" t="s">
        <v>64</v>
      </c>
      <c r="B73" s="9"/>
      <c r="C73">
        <v>4</v>
      </c>
      <c r="D73" s="11"/>
      <c r="E73" s="31" t="s">
        <v>65</v>
      </c>
      <c r="F73" s="26">
        <f t="shared" si="2"/>
        <v>4.807692307692308E-2</v>
      </c>
      <c r="G73" s="7"/>
    </row>
    <row r="74" spans="1:10" ht="15.75" thickBot="1" x14ac:dyDescent="0.3">
      <c r="A74" s="8" t="s">
        <v>65</v>
      </c>
      <c r="B74" s="9"/>
      <c r="C74">
        <v>5</v>
      </c>
      <c r="D74" s="11"/>
      <c r="E74" s="8"/>
      <c r="F74" s="24"/>
      <c r="G74" s="7"/>
      <c r="H74" s="14" t="s">
        <v>66</v>
      </c>
      <c r="I74" s="15">
        <v>0</v>
      </c>
      <c r="J74" s="16"/>
    </row>
    <row r="75" spans="1:10" x14ac:dyDescent="0.25">
      <c r="A75" s="8" t="s">
        <v>67</v>
      </c>
      <c r="B75" s="9"/>
      <c r="C75">
        <f>SUM(C65:C74)</f>
        <v>104</v>
      </c>
      <c r="D75" s="11"/>
      <c r="E75" s="33" t="s">
        <v>68</v>
      </c>
      <c r="F75" s="13"/>
      <c r="G75" s="7"/>
      <c r="H75" s="27" t="s">
        <v>69</v>
      </c>
      <c r="I75" s="19">
        <v>0</v>
      </c>
      <c r="J75" s="20" t="e">
        <f t="shared" ref="J75:J80" si="3">I75/I$74</f>
        <v>#DIV/0!</v>
      </c>
    </row>
    <row r="76" spans="1:10" x14ac:dyDescent="0.25">
      <c r="A76" s="8"/>
      <c r="B76" s="9"/>
      <c r="D76" s="11"/>
      <c r="E76" s="35" t="s">
        <v>70</v>
      </c>
      <c r="F76" s="20">
        <f>C77/C$47</f>
        <v>0.75</v>
      </c>
      <c r="G76" s="7"/>
      <c r="H76" s="27" t="s">
        <v>71</v>
      </c>
      <c r="I76" s="19">
        <v>0</v>
      </c>
      <c r="J76" s="20" t="e">
        <f t="shared" si="3"/>
        <v>#DIV/0!</v>
      </c>
    </row>
    <row r="77" spans="1:10" x14ac:dyDescent="0.25">
      <c r="A77" s="8" t="s">
        <v>72</v>
      </c>
      <c r="B77" s="9"/>
      <c r="C77">
        <v>27</v>
      </c>
      <c r="D77" s="11"/>
      <c r="E77" s="35" t="s">
        <v>73</v>
      </c>
      <c r="F77" s="20">
        <f>C78/C$47</f>
        <v>2.7777777777777776E-2</v>
      </c>
      <c r="G77" s="7"/>
      <c r="H77" s="27" t="s">
        <v>74</v>
      </c>
      <c r="I77" s="19">
        <v>0</v>
      </c>
      <c r="J77" s="20" t="e">
        <f t="shared" si="3"/>
        <v>#DIV/0!</v>
      </c>
    </row>
    <row r="78" spans="1:10" ht="15.75" thickBot="1" x14ac:dyDescent="0.3">
      <c r="A78" s="8" t="s">
        <v>75</v>
      </c>
      <c r="B78" s="9"/>
      <c r="C78">
        <v>1</v>
      </c>
      <c r="D78" s="11"/>
      <c r="E78" s="36" t="s">
        <v>76</v>
      </c>
      <c r="F78" s="26">
        <f>C79/C$47</f>
        <v>0.22222222222222221</v>
      </c>
      <c r="G78" s="7"/>
      <c r="H78" s="27" t="s">
        <v>77</v>
      </c>
      <c r="I78" s="30">
        <v>0</v>
      </c>
      <c r="J78" s="20" t="e">
        <f t="shared" si="3"/>
        <v>#DIV/0!</v>
      </c>
    </row>
    <row r="79" spans="1:10" ht="15.75" thickBot="1" x14ac:dyDescent="0.3">
      <c r="A79" s="8" t="s">
        <v>78</v>
      </c>
      <c r="B79" s="9"/>
      <c r="C79">
        <v>8</v>
      </c>
      <c r="D79" s="11"/>
      <c r="E79" s="37"/>
      <c r="F79" s="24"/>
      <c r="G79" s="11" t="s">
        <v>19</v>
      </c>
      <c r="H79" s="27" t="s">
        <v>79</v>
      </c>
      <c r="I79" s="30">
        <v>0</v>
      </c>
      <c r="J79" s="20" t="e">
        <f t="shared" si="3"/>
        <v>#DIV/0!</v>
      </c>
    </row>
    <row r="80" spans="1:10" ht="15.75" thickBot="1" x14ac:dyDescent="0.3">
      <c r="A80" s="8"/>
      <c r="B80" s="9"/>
      <c r="D80" s="11"/>
      <c r="E80" s="38" t="s">
        <v>20</v>
      </c>
      <c r="F80" s="13"/>
      <c r="G80" s="7"/>
      <c r="H80" s="29" t="s">
        <v>80</v>
      </c>
      <c r="I80" s="25">
        <v>0</v>
      </c>
      <c r="J80" s="26" t="e">
        <f t="shared" si="3"/>
        <v>#DIV/0!</v>
      </c>
    </row>
    <row r="81" spans="1:10" x14ac:dyDescent="0.25">
      <c r="A81" s="8" t="s">
        <v>20</v>
      </c>
      <c r="B81" s="9"/>
      <c r="D81" s="11"/>
      <c r="E81" s="28" t="s">
        <v>81</v>
      </c>
      <c r="F81" s="20">
        <f>C82/C$47</f>
        <v>0.47222222222222221</v>
      </c>
      <c r="G81" s="7"/>
    </row>
    <row r="82" spans="1:10" ht="15.75" thickBot="1" x14ac:dyDescent="0.3">
      <c r="A82" s="8" t="s">
        <v>82</v>
      </c>
      <c r="B82" s="9"/>
      <c r="C82">
        <v>17</v>
      </c>
      <c r="D82" s="11"/>
      <c r="E82" s="31" t="s">
        <v>83</v>
      </c>
      <c r="F82" s="26">
        <f>C83/C$47</f>
        <v>0.52777777777777779</v>
      </c>
      <c r="G82" s="7"/>
    </row>
    <row r="83" spans="1:10" ht="15.75" thickBot="1" x14ac:dyDescent="0.3">
      <c r="A83" s="8" t="s">
        <v>83</v>
      </c>
      <c r="B83" s="9"/>
      <c r="C83">
        <v>19</v>
      </c>
      <c r="D83" s="11"/>
      <c r="E83" s="39"/>
      <c r="F83" s="40"/>
      <c r="G83" s="7"/>
      <c r="H83" s="14" t="s">
        <v>40</v>
      </c>
      <c r="I83" s="15">
        <v>6</v>
      </c>
      <c r="J83" s="16"/>
    </row>
    <row r="84" spans="1:10" x14ac:dyDescent="0.25">
      <c r="A84" s="8"/>
      <c r="B84" s="9"/>
      <c r="D84" s="11"/>
      <c r="E84" s="14" t="s">
        <v>84</v>
      </c>
      <c r="F84" s="13"/>
      <c r="G84" s="7"/>
      <c r="H84" s="27" t="s">
        <v>85</v>
      </c>
      <c r="I84" s="30">
        <v>0</v>
      </c>
      <c r="J84" s="20">
        <f>I84/I$83</f>
        <v>0</v>
      </c>
    </row>
    <row r="85" spans="1:10" x14ac:dyDescent="0.25">
      <c r="A85" t="s">
        <v>84</v>
      </c>
      <c r="D85" s="11"/>
      <c r="E85" s="27" t="s">
        <v>86</v>
      </c>
      <c r="F85" s="20">
        <f>C86/C$83</f>
        <v>0.63157894736842102</v>
      </c>
      <c r="G85" s="7"/>
      <c r="H85" s="27" t="s">
        <v>87</v>
      </c>
      <c r="I85" s="30">
        <v>2</v>
      </c>
      <c r="J85" s="20">
        <f>I85/I$83</f>
        <v>0.33333333333333331</v>
      </c>
    </row>
    <row r="86" spans="1:10" ht="15.75" thickBot="1" x14ac:dyDescent="0.3">
      <c r="A86" t="s">
        <v>86</v>
      </c>
      <c r="C86">
        <v>12</v>
      </c>
      <c r="D86" s="11"/>
      <c r="E86" s="29" t="s">
        <v>88</v>
      </c>
      <c r="F86" s="26">
        <f>C87/C$83</f>
        <v>0.36842105263157893</v>
      </c>
      <c r="G86" s="7"/>
      <c r="H86" s="27" t="s">
        <v>89</v>
      </c>
      <c r="I86" s="30">
        <v>1</v>
      </c>
      <c r="J86" s="20">
        <f>I86/I$83</f>
        <v>0.16666666666666666</v>
      </c>
    </row>
    <row r="87" spans="1:10" ht="15.75" thickBot="1" x14ac:dyDescent="0.3">
      <c r="A87" t="s">
        <v>88</v>
      </c>
      <c r="C87">
        <v>7</v>
      </c>
      <c r="D87" s="11"/>
      <c r="E87" s="39"/>
      <c r="F87" s="40"/>
      <c r="G87" s="7"/>
      <c r="H87" s="27" t="s">
        <v>90</v>
      </c>
      <c r="I87" s="30">
        <v>1</v>
      </c>
      <c r="J87" s="20">
        <f>I87/I$83</f>
        <v>0.16666666666666666</v>
      </c>
    </row>
    <row r="88" spans="1:10" ht="15.75" thickBot="1" x14ac:dyDescent="0.3">
      <c r="A88" s="8"/>
      <c r="B88" s="9"/>
      <c r="D88" s="11"/>
      <c r="E88" s="33" t="s">
        <v>91</v>
      </c>
      <c r="F88" s="13"/>
      <c r="G88" s="7"/>
      <c r="H88" s="29" t="s">
        <v>92</v>
      </c>
      <c r="I88" s="25">
        <v>2</v>
      </c>
      <c r="J88" s="26">
        <f>I88/I$83</f>
        <v>0.33333333333333331</v>
      </c>
    </row>
    <row r="89" spans="1:10" x14ac:dyDescent="0.25">
      <c r="A89" s="8" t="s">
        <v>93</v>
      </c>
      <c r="B89" s="9"/>
      <c r="D89" s="11"/>
      <c r="E89" s="28" t="s">
        <v>94</v>
      </c>
      <c r="F89" s="20">
        <f t="shared" ref="F89:F94" si="4">C90/C$47</f>
        <v>0.41666666666666669</v>
      </c>
      <c r="G89" s="7"/>
    </row>
    <row r="90" spans="1:10" ht="15.75" thickBot="1" x14ac:dyDescent="0.3">
      <c r="A90" s="8" t="s">
        <v>94</v>
      </c>
      <c r="B90" s="9"/>
      <c r="C90">
        <v>15</v>
      </c>
      <c r="D90" s="11"/>
      <c r="E90" s="17" t="s">
        <v>95</v>
      </c>
      <c r="F90" s="20">
        <f t="shared" si="4"/>
        <v>2.7777777777777776E-2</v>
      </c>
      <c r="G90" s="7"/>
    </row>
    <row r="91" spans="1:10" x14ac:dyDescent="0.25">
      <c r="A91" s="8" t="s">
        <v>95</v>
      </c>
      <c r="B91" s="9"/>
      <c r="C91">
        <v>1</v>
      </c>
      <c r="D91" s="11"/>
      <c r="E91" s="17" t="s">
        <v>96</v>
      </c>
      <c r="F91" s="20">
        <f t="shared" si="4"/>
        <v>0</v>
      </c>
      <c r="G91" s="7"/>
      <c r="H91" s="14" t="s">
        <v>44</v>
      </c>
      <c r="I91" s="15">
        <v>11</v>
      </c>
      <c r="J91" s="16"/>
    </row>
    <row r="92" spans="1:10" x14ac:dyDescent="0.25">
      <c r="A92" s="8" t="s">
        <v>96</v>
      </c>
      <c r="B92" s="9"/>
      <c r="C92">
        <v>0</v>
      </c>
      <c r="D92" s="11"/>
      <c r="E92" s="17" t="s">
        <v>97</v>
      </c>
      <c r="F92" s="20">
        <f t="shared" si="4"/>
        <v>0</v>
      </c>
      <c r="G92" s="7"/>
      <c r="H92" s="27" t="s">
        <v>98</v>
      </c>
      <c r="I92" s="19">
        <v>3</v>
      </c>
      <c r="J92" s="20">
        <f>I92/I$91</f>
        <v>0.27272727272727271</v>
      </c>
    </row>
    <row r="93" spans="1:10" x14ac:dyDescent="0.25">
      <c r="A93" s="8" t="s">
        <v>97</v>
      </c>
      <c r="B93" s="9"/>
      <c r="C93">
        <v>0</v>
      </c>
      <c r="D93" s="11"/>
      <c r="E93" s="17" t="s">
        <v>99</v>
      </c>
      <c r="F93" s="20">
        <f t="shared" si="4"/>
        <v>0.52777777777777779</v>
      </c>
      <c r="G93" s="7"/>
      <c r="H93" s="27" t="s">
        <v>100</v>
      </c>
      <c r="I93" s="19">
        <v>0</v>
      </c>
      <c r="J93" s="20">
        <f t="shared" ref="J93:J101" si="5">I93/I$91</f>
        <v>0</v>
      </c>
    </row>
    <row r="94" spans="1:10" ht="15.75" thickBot="1" x14ac:dyDescent="0.3">
      <c r="A94" s="8" t="s">
        <v>99</v>
      </c>
      <c r="B94" s="9"/>
      <c r="C94">
        <v>19</v>
      </c>
      <c r="D94" s="11"/>
      <c r="E94" s="22" t="s">
        <v>44</v>
      </c>
      <c r="F94" s="26">
        <f t="shared" si="4"/>
        <v>2.7777777777777776E-2</v>
      </c>
      <c r="G94" s="7"/>
      <c r="H94" s="27" t="s">
        <v>101</v>
      </c>
      <c r="I94" s="30">
        <v>0</v>
      </c>
      <c r="J94" s="20">
        <f t="shared" si="5"/>
        <v>0</v>
      </c>
    </row>
    <row r="95" spans="1:10" ht="15.75" thickBot="1" x14ac:dyDescent="0.3">
      <c r="A95" s="8" t="s">
        <v>44</v>
      </c>
      <c r="B95" s="9"/>
      <c r="C95">
        <v>1</v>
      </c>
      <c r="D95" s="11"/>
      <c r="E95" s="11"/>
      <c r="F95" s="24"/>
      <c r="G95" s="7"/>
      <c r="H95" s="27" t="s">
        <v>102</v>
      </c>
      <c r="I95" s="30">
        <v>0</v>
      </c>
      <c r="J95" s="20">
        <f t="shared" si="5"/>
        <v>0</v>
      </c>
    </row>
    <row r="96" spans="1:10" x14ac:dyDescent="0.25">
      <c r="A96" s="8"/>
      <c r="B96" s="9"/>
      <c r="D96" s="11"/>
      <c r="E96" s="12" t="s">
        <v>103</v>
      </c>
      <c r="F96" s="13"/>
      <c r="G96" s="7"/>
      <c r="H96" s="27" t="s">
        <v>104</v>
      </c>
      <c r="I96" s="19">
        <v>2</v>
      </c>
      <c r="J96" s="20">
        <f t="shared" si="5"/>
        <v>0.18181818181818182</v>
      </c>
    </row>
    <row r="97" spans="1:10" x14ac:dyDescent="0.25">
      <c r="A97" s="8" t="s">
        <v>105</v>
      </c>
      <c r="B97" s="9"/>
      <c r="D97" s="11"/>
      <c r="E97" s="17" t="s">
        <v>106</v>
      </c>
      <c r="F97" s="20">
        <f>C98/C$47</f>
        <v>0.66666666666666663</v>
      </c>
      <c r="G97" s="7"/>
      <c r="H97" s="41" t="s">
        <v>107</v>
      </c>
      <c r="I97" s="30">
        <v>2</v>
      </c>
      <c r="J97" s="20">
        <f t="shared" si="5"/>
        <v>0.18181818181818182</v>
      </c>
    </row>
    <row r="98" spans="1:10" x14ac:dyDescent="0.25">
      <c r="A98" s="8" t="s">
        <v>106</v>
      </c>
      <c r="B98" s="9"/>
      <c r="C98">
        <v>24</v>
      </c>
      <c r="D98" s="11"/>
      <c r="E98" s="17" t="s">
        <v>108</v>
      </c>
      <c r="F98" s="20">
        <f>C99/C$47</f>
        <v>0.1388888888888889</v>
      </c>
      <c r="G98" s="7"/>
      <c r="H98" s="41" t="s">
        <v>109</v>
      </c>
      <c r="I98" s="30">
        <v>1</v>
      </c>
      <c r="J98" s="20">
        <f t="shared" si="5"/>
        <v>9.0909090909090912E-2</v>
      </c>
    </row>
    <row r="99" spans="1:10" x14ac:dyDescent="0.25">
      <c r="A99" s="8" t="s">
        <v>108</v>
      </c>
      <c r="B99" s="9"/>
      <c r="C99">
        <v>5</v>
      </c>
      <c r="D99" s="11"/>
      <c r="E99" s="17" t="s">
        <v>110</v>
      </c>
      <c r="F99" s="20">
        <f>C100/C$47</f>
        <v>8.3333333333333329E-2</v>
      </c>
      <c r="G99" s="7"/>
      <c r="H99" s="41" t="s">
        <v>111</v>
      </c>
      <c r="I99" s="30">
        <v>2</v>
      </c>
      <c r="J99" s="20">
        <f t="shared" si="5"/>
        <v>0.18181818181818182</v>
      </c>
    </row>
    <row r="100" spans="1:10" x14ac:dyDescent="0.25">
      <c r="A100" s="8" t="s">
        <v>110</v>
      </c>
      <c r="B100" s="9"/>
      <c r="C100">
        <v>3</v>
      </c>
      <c r="D100" s="11"/>
      <c r="E100" s="17" t="s">
        <v>112</v>
      </c>
      <c r="F100" s="20">
        <f>C101/C$47</f>
        <v>5.5555555555555552E-2</v>
      </c>
      <c r="G100" s="7"/>
      <c r="H100" s="41" t="s">
        <v>113</v>
      </c>
      <c r="I100" s="30">
        <v>1</v>
      </c>
      <c r="J100" s="20">
        <f t="shared" si="5"/>
        <v>9.0909090909090912E-2</v>
      </c>
    </row>
    <row r="101" spans="1:10" ht="15.75" thickBot="1" x14ac:dyDescent="0.3">
      <c r="A101" s="8" t="s">
        <v>112</v>
      </c>
      <c r="B101" s="9"/>
      <c r="C101">
        <v>2</v>
      </c>
      <c r="E101" s="22" t="s">
        <v>114</v>
      </c>
      <c r="F101" s="26">
        <f>C102/C$47</f>
        <v>2.7777777777777776E-2</v>
      </c>
      <c r="H101" s="42" t="s">
        <v>115</v>
      </c>
      <c r="I101" s="25">
        <v>0</v>
      </c>
      <c r="J101" s="26">
        <f t="shared" si="5"/>
        <v>0</v>
      </c>
    </row>
    <row r="102" spans="1:10" x14ac:dyDescent="0.25">
      <c r="A102" s="8" t="s">
        <v>114</v>
      </c>
      <c r="B102" s="9"/>
      <c r="C102">
        <v>1</v>
      </c>
      <c r="E102" s="11"/>
      <c r="F102" s="24"/>
    </row>
    <row r="103" spans="1:10" x14ac:dyDescent="0.25">
      <c r="A103" s="8" t="s">
        <v>116</v>
      </c>
      <c r="B103" s="9"/>
      <c r="C103">
        <v>1</v>
      </c>
      <c r="E103" s="11"/>
      <c r="F103" s="24"/>
    </row>
    <row r="104" spans="1:10" x14ac:dyDescent="0.25">
      <c r="A104" s="8"/>
      <c r="B104" s="9"/>
      <c r="E104" s="11"/>
      <c r="F104" s="24"/>
    </row>
    <row r="105" spans="1:10" ht="15.75" thickBot="1" x14ac:dyDescent="0.3"/>
    <row r="106" spans="1:10" x14ac:dyDescent="0.25">
      <c r="A106" s="43" t="s">
        <v>117</v>
      </c>
      <c r="B106" s="82">
        <f>SUM(B107:B110)</f>
        <v>113421.42</v>
      </c>
    </row>
    <row r="107" spans="1:10" x14ac:dyDescent="0.25">
      <c r="A107" s="44" t="s">
        <v>94</v>
      </c>
      <c r="B107" s="45">
        <f>SUM(F5,F7,F9:F10,F12,F15,F17,F19:F20,F24:F28,F30)</f>
        <v>23989.879999999997</v>
      </c>
    </row>
    <row r="108" spans="1:10" x14ac:dyDescent="0.25">
      <c r="A108" s="44" t="s">
        <v>118</v>
      </c>
      <c r="B108" s="45">
        <f>SUM(F3:F4,F6,F8,F13:F14,F16,F18,F21:F23,F29,F31:F37)</f>
        <v>80694.780000000013</v>
      </c>
    </row>
    <row r="109" spans="1:10" x14ac:dyDescent="0.25">
      <c r="A109" s="44" t="s">
        <v>119</v>
      </c>
      <c r="B109" s="45">
        <f>SUM(F11,)</f>
        <v>1814</v>
      </c>
    </row>
    <row r="110" spans="1:10" x14ac:dyDescent="0.25">
      <c r="A110" s="44" t="s">
        <v>44</v>
      </c>
      <c r="B110" s="46">
        <f>SUM(F2)</f>
        <v>6922.76</v>
      </c>
    </row>
    <row r="111" spans="1:10" ht="15.75" thickBot="1" x14ac:dyDescent="0.3">
      <c r="A111" s="47"/>
      <c r="B111" s="48"/>
    </row>
  </sheetData>
  <mergeCells count="1">
    <mergeCell ref="A43:F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opLeftCell="A74" workbookViewId="0">
      <selection activeCell="B109" sqref="B109"/>
    </sheetView>
  </sheetViews>
  <sheetFormatPr baseColWidth="10" defaultRowHeight="15" x14ac:dyDescent="0.25"/>
  <cols>
    <col min="1" max="1" width="10.7109375" customWidth="1"/>
    <col min="2" max="2" width="27.5703125" customWidth="1"/>
    <col min="3" max="3" width="13" customWidth="1"/>
    <col min="4" max="4" width="6" customWidth="1"/>
    <col min="5" max="5" width="7.42578125" customWidth="1"/>
    <col min="6" max="6" width="13.140625" customWidth="1"/>
    <col min="7" max="7" width="42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>
        <v>45992</v>
      </c>
      <c r="B2" t="s">
        <v>2142</v>
      </c>
      <c r="C2" s="11" t="s">
        <v>106</v>
      </c>
      <c r="D2" t="s">
        <v>22</v>
      </c>
      <c r="E2" s="11" t="s">
        <v>119</v>
      </c>
      <c r="F2" s="59">
        <v>2152</v>
      </c>
      <c r="G2" s="11" t="s">
        <v>2145</v>
      </c>
      <c r="H2" s="11" t="s">
        <v>192</v>
      </c>
    </row>
    <row r="3" spans="1:8" x14ac:dyDescent="0.25">
      <c r="A3" s="9">
        <v>45992</v>
      </c>
      <c r="B3" t="s">
        <v>2147</v>
      </c>
      <c r="C3" s="11" t="s">
        <v>106</v>
      </c>
      <c r="D3" t="s">
        <v>22</v>
      </c>
      <c r="E3" s="11" t="s">
        <v>190</v>
      </c>
      <c r="F3" s="59">
        <v>5113.8</v>
      </c>
      <c r="G3" s="11" t="s">
        <v>2150</v>
      </c>
      <c r="H3" s="11" t="s">
        <v>2155</v>
      </c>
    </row>
    <row r="4" spans="1:8" x14ac:dyDescent="0.25">
      <c r="A4" s="9">
        <v>45993</v>
      </c>
      <c r="B4" t="s">
        <v>2162</v>
      </c>
      <c r="C4" s="11" t="s">
        <v>106</v>
      </c>
      <c r="D4" t="s">
        <v>22</v>
      </c>
      <c r="E4" s="11" t="s">
        <v>118</v>
      </c>
      <c r="F4" s="59">
        <v>2816</v>
      </c>
      <c r="G4" s="11" t="s">
        <v>2165</v>
      </c>
      <c r="H4" s="11" t="s">
        <v>215</v>
      </c>
    </row>
    <row r="5" spans="1:8" x14ac:dyDescent="0.25">
      <c r="A5" s="9">
        <v>45993</v>
      </c>
      <c r="B5" t="s">
        <v>2167</v>
      </c>
      <c r="C5" s="11" t="s">
        <v>106</v>
      </c>
      <c r="D5" t="s">
        <v>22</v>
      </c>
      <c r="E5" s="11" t="s">
        <v>118</v>
      </c>
      <c r="F5" s="59">
        <v>1423</v>
      </c>
      <c r="G5" s="11" t="s">
        <v>1698</v>
      </c>
      <c r="H5" s="11" t="s">
        <v>192</v>
      </c>
    </row>
    <row r="6" spans="1:8" x14ac:dyDescent="0.25">
      <c r="A6" s="9">
        <v>45994</v>
      </c>
      <c r="B6" t="s">
        <v>2171</v>
      </c>
      <c r="C6" s="11" t="s">
        <v>106</v>
      </c>
      <c r="D6" t="s">
        <v>22</v>
      </c>
      <c r="E6" s="11" t="s">
        <v>118</v>
      </c>
      <c r="F6" s="59">
        <v>1835</v>
      </c>
      <c r="G6" s="11" t="s">
        <v>2174</v>
      </c>
      <c r="H6" s="11" t="s">
        <v>229</v>
      </c>
    </row>
    <row r="7" spans="1:8" x14ac:dyDescent="0.25">
      <c r="A7" s="9">
        <v>45994</v>
      </c>
      <c r="B7" t="s">
        <v>2176</v>
      </c>
      <c r="C7" s="11" t="s">
        <v>106</v>
      </c>
      <c r="D7" t="s">
        <v>22</v>
      </c>
      <c r="E7" s="11" t="s">
        <v>118</v>
      </c>
      <c r="F7" s="59">
        <v>4702.5</v>
      </c>
      <c r="G7" s="11" t="s">
        <v>2179</v>
      </c>
      <c r="H7" s="11" t="s">
        <v>2182</v>
      </c>
    </row>
    <row r="8" spans="1:8" x14ac:dyDescent="0.25">
      <c r="A8" s="9">
        <v>45995</v>
      </c>
      <c r="B8" t="s">
        <v>2192</v>
      </c>
      <c r="C8" s="11" t="s">
        <v>638</v>
      </c>
      <c r="D8" t="s">
        <v>22</v>
      </c>
      <c r="E8" s="11" t="s">
        <v>118</v>
      </c>
      <c r="F8" s="59">
        <v>1625</v>
      </c>
      <c r="G8" s="11" t="s">
        <v>2195</v>
      </c>
      <c r="H8" s="11" t="s">
        <v>2201</v>
      </c>
    </row>
    <row r="9" spans="1:8" x14ac:dyDescent="0.25">
      <c r="A9" s="9">
        <v>45996</v>
      </c>
      <c r="B9" t="s">
        <v>2197</v>
      </c>
      <c r="C9" s="11" t="s">
        <v>106</v>
      </c>
      <c r="D9" t="s">
        <v>22</v>
      </c>
      <c r="E9" s="11" t="s">
        <v>118</v>
      </c>
      <c r="F9" s="59">
        <v>1600</v>
      </c>
      <c r="G9" s="11" t="s">
        <v>464</v>
      </c>
      <c r="H9" s="11" t="s">
        <v>223</v>
      </c>
    </row>
    <row r="10" spans="1:8" x14ac:dyDescent="0.25">
      <c r="A10" s="9">
        <v>45999</v>
      </c>
      <c r="B10" t="s">
        <v>2203</v>
      </c>
      <c r="C10" s="11" t="s">
        <v>106</v>
      </c>
      <c r="D10" t="s">
        <v>22</v>
      </c>
      <c r="E10" s="11" t="s">
        <v>118</v>
      </c>
      <c r="F10" s="59">
        <v>1083</v>
      </c>
      <c r="G10" s="11" t="s">
        <v>1217</v>
      </c>
      <c r="H10" s="11" t="s">
        <v>2206</v>
      </c>
    </row>
    <row r="11" spans="1:8" x14ac:dyDescent="0.25">
      <c r="A11" s="9">
        <v>46000</v>
      </c>
      <c r="B11" t="s">
        <v>2208</v>
      </c>
      <c r="C11" s="11" t="s">
        <v>106</v>
      </c>
      <c r="D11" t="s">
        <v>22</v>
      </c>
      <c r="E11" s="11" t="s">
        <v>190</v>
      </c>
      <c r="F11" s="59">
        <v>4977.2</v>
      </c>
      <c r="G11" s="11" t="s">
        <v>2211</v>
      </c>
      <c r="H11" s="11" t="s">
        <v>192</v>
      </c>
    </row>
    <row r="12" spans="1:8" x14ac:dyDescent="0.25">
      <c r="A12" s="9">
        <v>46000</v>
      </c>
      <c r="B12" t="s">
        <v>2213</v>
      </c>
      <c r="C12" s="11" t="s">
        <v>106</v>
      </c>
      <c r="D12" t="s">
        <v>22</v>
      </c>
      <c r="E12" s="11" t="s">
        <v>119</v>
      </c>
      <c r="F12" s="59">
        <v>985</v>
      </c>
      <c r="G12" s="11" t="s">
        <v>936</v>
      </c>
      <c r="H12" s="11" t="s">
        <v>2216</v>
      </c>
    </row>
    <row r="13" spans="1:8" x14ac:dyDescent="0.25">
      <c r="A13" s="9">
        <v>46001</v>
      </c>
      <c r="B13" t="s">
        <v>2223</v>
      </c>
      <c r="C13" s="11" t="s">
        <v>640</v>
      </c>
      <c r="D13" t="s">
        <v>22</v>
      </c>
      <c r="E13" s="11" t="s">
        <v>190</v>
      </c>
      <c r="F13" s="59">
        <v>5692.08</v>
      </c>
      <c r="G13" s="11" t="s">
        <v>2226</v>
      </c>
      <c r="H13" s="11" t="s">
        <v>322</v>
      </c>
    </row>
    <row r="14" spans="1:8" x14ac:dyDescent="0.25">
      <c r="A14" s="9">
        <v>45992</v>
      </c>
      <c r="B14" t="s">
        <v>2142</v>
      </c>
      <c r="C14" s="11" t="s">
        <v>106</v>
      </c>
      <c r="D14" t="s">
        <v>22</v>
      </c>
      <c r="E14" s="11" t="s">
        <v>118</v>
      </c>
      <c r="F14" s="59">
        <v>883.2</v>
      </c>
      <c r="G14" s="11" t="s">
        <v>2230</v>
      </c>
      <c r="H14" s="11" t="s">
        <v>215</v>
      </c>
    </row>
    <row r="15" spans="1:8" x14ac:dyDescent="0.25">
      <c r="A15" s="9">
        <v>45993</v>
      </c>
      <c r="B15" t="s">
        <v>2232</v>
      </c>
      <c r="C15" s="11" t="s">
        <v>106</v>
      </c>
      <c r="D15" t="s">
        <v>22</v>
      </c>
      <c r="E15" s="11" t="s">
        <v>119</v>
      </c>
      <c r="F15" s="59">
        <v>1014.6</v>
      </c>
      <c r="G15" s="11" t="s">
        <v>608</v>
      </c>
      <c r="H15" s="11" t="s">
        <v>192</v>
      </c>
    </row>
    <row r="16" spans="1:8" x14ac:dyDescent="0.25">
      <c r="A16" s="9">
        <v>46003</v>
      </c>
      <c r="B16" t="s">
        <v>377</v>
      </c>
      <c r="C16" s="11" t="s">
        <v>106</v>
      </c>
      <c r="D16" t="s">
        <v>22</v>
      </c>
      <c r="E16" s="11" t="s">
        <v>118</v>
      </c>
      <c r="F16" s="59">
        <v>5872.48</v>
      </c>
      <c r="G16" s="11" t="s">
        <v>2236</v>
      </c>
      <c r="H16" s="11" t="s">
        <v>920</v>
      </c>
    </row>
    <row r="17" spans="1:8" x14ac:dyDescent="0.25">
      <c r="A17" s="9">
        <v>45995</v>
      </c>
      <c r="B17" t="s">
        <v>564</v>
      </c>
      <c r="C17" s="11" t="s">
        <v>106</v>
      </c>
      <c r="D17" t="s">
        <v>22</v>
      </c>
      <c r="E17" s="11" t="s">
        <v>118</v>
      </c>
      <c r="F17" s="59">
        <v>2804.96</v>
      </c>
      <c r="G17" s="11" t="s">
        <v>2239</v>
      </c>
      <c r="H17" s="11" t="s">
        <v>223</v>
      </c>
    </row>
    <row r="18" spans="1:8" x14ac:dyDescent="0.25">
      <c r="A18" s="9">
        <v>46007</v>
      </c>
      <c r="B18" t="s">
        <v>2241</v>
      </c>
      <c r="C18" s="11" t="s">
        <v>106</v>
      </c>
      <c r="D18" t="s">
        <v>22</v>
      </c>
      <c r="E18" s="11" t="s">
        <v>190</v>
      </c>
      <c r="F18" s="59">
        <v>1122</v>
      </c>
      <c r="G18" s="11" t="s">
        <v>375</v>
      </c>
      <c r="H18" s="11" t="s">
        <v>223</v>
      </c>
    </row>
    <row r="19" spans="1:8" x14ac:dyDescent="0.25">
      <c r="A19" s="9">
        <v>46007</v>
      </c>
      <c r="B19" t="s">
        <v>1722</v>
      </c>
      <c r="C19" s="11" t="s">
        <v>106</v>
      </c>
      <c r="D19" t="s">
        <v>22</v>
      </c>
      <c r="E19" s="11" t="s">
        <v>118</v>
      </c>
      <c r="F19" s="59">
        <v>2021.6</v>
      </c>
      <c r="G19" s="11" t="s">
        <v>1269</v>
      </c>
      <c r="H19" s="11" t="s">
        <v>192</v>
      </c>
    </row>
    <row r="20" spans="1:8" x14ac:dyDescent="0.25">
      <c r="A20" s="9">
        <v>46008</v>
      </c>
      <c r="B20" t="s">
        <v>2246</v>
      </c>
      <c r="C20" s="11" t="s">
        <v>639</v>
      </c>
      <c r="D20" t="s">
        <v>22</v>
      </c>
      <c r="E20" s="11" t="s">
        <v>190</v>
      </c>
      <c r="F20" s="59">
        <v>1120</v>
      </c>
      <c r="G20" s="11" t="s">
        <v>2249</v>
      </c>
      <c r="H20" s="11" t="s">
        <v>2076</v>
      </c>
    </row>
    <row r="21" spans="1:8" x14ac:dyDescent="0.25">
      <c r="A21" s="9">
        <v>46008</v>
      </c>
      <c r="B21" t="s">
        <v>2251</v>
      </c>
      <c r="C21" s="11" t="s">
        <v>638</v>
      </c>
      <c r="D21" t="s">
        <v>22</v>
      </c>
      <c r="E21" s="11" t="s">
        <v>118</v>
      </c>
      <c r="F21" s="59">
        <v>1064</v>
      </c>
      <c r="G21" s="11" t="s">
        <v>2254</v>
      </c>
      <c r="H21" s="11" t="s">
        <v>215</v>
      </c>
    </row>
    <row r="22" spans="1:8" x14ac:dyDescent="0.25">
      <c r="A22" s="9">
        <v>45996</v>
      </c>
      <c r="B22" t="s">
        <v>2256</v>
      </c>
      <c r="C22" s="11" t="s">
        <v>640</v>
      </c>
      <c r="D22" t="s">
        <v>22</v>
      </c>
      <c r="E22" s="11" t="s">
        <v>118</v>
      </c>
      <c r="F22" s="59">
        <v>3599.93</v>
      </c>
      <c r="G22" s="11" t="s">
        <v>2259</v>
      </c>
      <c r="H22" s="11" t="s">
        <v>2260</v>
      </c>
    </row>
    <row r="23" spans="1:8" x14ac:dyDescent="0.25">
      <c r="A23" s="9">
        <v>46009</v>
      </c>
      <c r="B23" t="s">
        <v>2262</v>
      </c>
      <c r="C23" s="11" t="s">
        <v>106</v>
      </c>
      <c r="D23" t="s">
        <v>22</v>
      </c>
      <c r="E23" s="11" t="s">
        <v>118</v>
      </c>
      <c r="F23" s="59">
        <v>1608</v>
      </c>
      <c r="G23" s="11" t="s">
        <v>2265</v>
      </c>
      <c r="H23" s="11" t="s">
        <v>316</v>
      </c>
    </row>
    <row r="24" spans="1:8" x14ac:dyDescent="0.25">
      <c r="A24" s="9">
        <v>46009</v>
      </c>
      <c r="B24" t="s">
        <v>2267</v>
      </c>
      <c r="C24" s="11" t="s">
        <v>106</v>
      </c>
      <c r="D24" t="s">
        <v>22</v>
      </c>
      <c r="E24" s="11" t="s">
        <v>118</v>
      </c>
      <c r="F24" s="59">
        <v>1500</v>
      </c>
      <c r="G24" s="11" t="s">
        <v>2268</v>
      </c>
      <c r="H24" s="11" t="s">
        <v>215</v>
      </c>
    </row>
    <row r="25" spans="1:8" x14ac:dyDescent="0.25">
      <c r="A25" s="9">
        <v>45999</v>
      </c>
      <c r="B25" t="s">
        <v>2270</v>
      </c>
      <c r="C25" t="s">
        <v>106</v>
      </c>
      <c r="D25" t="s">
        <v>24</v>
      </c>
      <c r="E25" s="11" t="s">
        <v>119</v>
      </c>
      <c r="F25" s="59">
        <v>3694.6</v>
      </c>
      <c r="G25" s="11" t="s">
        <v>2273</v>
      </c>
      <c r="H25" s="11" t="s">
        <v>2274</v>
      </c>
    </row>
    <row r="26" spans="1:8" x14ac:dyDescent="0.25">
      <c r="A26" s="9">
        <v>45999</v>
      </c>
      <c r="B26" t="s">
        <v>2276</v>
      </c>
      <c r="C26" t="s">
        <v>106</v>
      </c>
      <c r="D26" t="s">
        <v>22</v>
      </c>
      <c r="E26" s="11" t="s">
        <v>118</v>
      </c>
      <c r="F26" s="59">
        <v>5719.51</v>
      </c>
      <c r="G26" s="11" t="s">
        <v>2279</v>
      </c>
      <c r="H26" s="11" t="s">
        <v>2294</v>
      </c>
    </row>
    <row r="27" spans="1:8" x14ac:dyDescent="0.25">
      <c r="A27" s="9">
        <v>46002</v>
      </c>
      <c r="B27" t="s">
        <v>2281</v>
      </c>
      <c r="C27" t="s">
        <v>638</v>
      </c>
      <c r="D27" t="s">
        <v>22</v>
      </c>
      <c r="E27" s="11" t="s">
        <v>190</v>
      </c>
      <c r="F27" s="59">
        <v>1005</v>
      </c>
      <c r="G27" s="11" t="s">
        <v>742</v>
      </c>
      <c r="H27" s="11" t="s">
        <v>2284</v>
      </c>
    </row>
    <row r="28" spans="1:8" x14ac:dyDescent="0.25">
      <c r="A28" s="9">
        <v>46010</v>
      </c>
      <c r="B28" t="s">
        <v>2287</v>
      </c>
      <c r="C28" t="s">
        <v>106</v>
      </c>
      <c r="D28" t="s">
        <v>22</v>
      </c>
      <c r="E28" s="11" t="s">
        <v>118</v>
      </c>
      <c r="F28" s="59">
        <v>8382.9599999999991</v>
      </c>
      <c r="G28" s="11" t="s">
        <v>2289</v>
      </c>
      <c r="H28" s="11" t="s">
        <v>2303</v>
      </c>
    </row>
    <row r="29" spans="1:8" x14ac:dyDescent="0.25">
      <c r="A29" s="9">
        <v>46011</v>
      </c>
      <c r="B29" t="s">
        <v>2291</v>
      </c>
      <c r="C29" t="s">
        <v>638</v>
      </c>
      <c r="D29" t="s">
        <v>22</v>
      </c>
      <c r="E29" s="11" t="s">
        <v>118</v>
      </c>
      <c r="F29" s="59">
        <v>2826</v>
      </c>
      <c r="G29" s="11" t="s">
        <v>1550</v>
      </c>
      <c r="H29" s="11" t="s">
        <v>223</v>
      </c>
    </row>
    <row r="30" spans="1:8" x14ac:dyDescent="0.25">
      <c r="A30" s="9">
        <v>46013</v>
      </c>
      <c r="B30" t="s">
        <v>1928</v>
      </c>
      <c r="C30" t="s">
        <v>106</v>
      </c>
      <c r="D30" t="s">
        <v>22</v>
      </c>
      <c r="E30" s="11" t="s">
        <v>118</v>
      </c>
      <c r="F30" s="59">
        <v>2912.76</v>
      </c>
      <c r="G30" s="11" t="s">
        <v>2296</v>
      </c>
      <c r="H30" s="11" t="s">
        <v>192</v>
      </c>
    </row>
    <row r="31" spans="1:8" x14ac:dyDescent="0.25">
      <c r="A31" s="9">
        <v>46013</v>
      </c>
      <c r="B31" t="s">
        <v>2298</v>
      </c>
      <c r="C31" t="s">
        <v>106</v>
      </c>
      <c r="D31" t="s">
        <v>22</v>
      </c>
      <c r="E31" s="11" t="s">
        <v>119</v>
      </c>
      <c r="F31" s="59">
        <v>1608</v>
      </c>
      <c r="G31" s="11" t="s">
        <v>2265</v>
      </c>
      <c r="H31" s="11" t="s">
        <v>192</v>
      </c>
    </row>
    <row r="32" spans="1:8" x14ac:dyDescent="0.25">
      <c r="A32" s="9">
        <v>46014</v>
      </c>
      <c r="B32" t="s">
        <v>1966</v>
      </c>
      <c r="C32" t="s">
        <v>106</v>
      </c>
      <c r="D32" t="s">
        <v>22</v>
      </c>
      <c r="E32" s="11" t="s">
        <v>118</v>
      </c>
      <c r="F32" s="59">
        <v>1064</v>
      </c>
      <c r="G32" s="11" t="s">
        <v>2254</v>
      </c>
      <c r="H32" s="11" t="s">
        <v>223</v>
      </c>
    </row>
    <row r="33" spans="1:10" x14ac:dyDescent="0.25">
      <c r="A33" s="9">
        <v>46014</v>
      </c>
      <c r="B33" t="s">
        <v>2305</v>
      </c>
      <c r="C33" t="s">
        <v>640</v>
      </c>
      <c r="D33" t="s">
        <v>22</v>
      </c>
      <c r="E33" s="11" t="s">
        <v>118</v>
      </c>
      <c r="F33" s="59">
        <v>2424.4</v>
      </c>
      <c r="G33" s="11" t="s">
        <v>2308</v>
      </c>
      <c r="H33" s="11" t="s">
        <v>734</v>
      </c>
    </row>
    <row r="34" spans="1:10" x14ac:dyDescent="0.25">
      <c r="A34" s="9">
        <v>46017</v>
      </c>
      <c r="B34" t="s">
        <v>2310</v>
      </c>
      <c r="C34" t="s">
        <v>106</v>
      </c>
      <c r="D34" t="s">
        <v>22</v>
      </c>
      <c r="E34" s="11" t="s">
        <v>190</v>
      </c>
      <c r="F34" s="59">
        <v>1311</v>
      </c>
      <c r="G34" s="11" t="s">
        <v>2313</v>
      </c>
      <c r="H34" s="11" t="s">
        <v>223</v>
      </c>
    </row>
    <row r="35" spans="1:10" x14ac:dyDescent="0.25">
      <c r="A35" s="9">
        <v>46018</v>
      </c>
      <c r="B35" t="s">
        <v>2315</v>
      </c>
      <c r="C35" t="s">
        <v>640</v>
      </c>
      <c r="D35" t="s">
        <v>22</v>
      </c>
      <c r="E35" s="11" t="s">
        <v>190</v>
      </c>
      <c r="F35" s="59">
        <v>1083</v>
      </c>
      <c r="G35" s="11" t="s">
        <v>244</v>
      </c>
      <c r="H35" s="11" t="s">
        <v>316</v>
      </c>
    </row>
    <row r="36" spans="1:10" x14ac:dyDescent="0.25">
      <c r="A36" s="9">
        <v>46020</v>
      </c>
      <c r="B36" t="s">
        <v>225</v>
      </c>
      <c r="C36" t="s">
        <v>638</v>
      </c>
      <c r="D36" t="s">
        <v>22</v>
      </c>
      <c r="E36" s="11" t="s">
        <v>118</v>
      </c>
      <c r="F36" s="59">
        <v>1816</v>
      </c>
      <c r="G36" s="11" t="s">
        <v>228</v>
      </c>
      <c r="H36" s="11" t="s">
        <v>192</v>
      </c>
    </row>
    <row r="37" spans="1:10" x14ac:dyDescent="0.25">
      <c r="A37" s="9">
        <v>46020</v>
      </c>
      <c r="B37" t="s">
        <v>2325</v>
      </c>
      <c r="C37" t="s">
        <v>106</v>
      </c>
      <c r="D37" t="s">
        <v>22</v>
      </c>
      <c r="E37" s="11" t="s">
        <v>118</v>
      </c>
      <c r="F37" s="59">
        <v>1048</v>
      </c>
      <c r="G37" s="11" t="s">
        <v>2328</v>
      </c>
      <c r="H37" s="11" t="s">
        <v>192</v>
      </c>
    </row>
    <row r="38" spans="1:10" x14ac:dyDescent="0.25">
      <c r="A38" s="9">
        <v>46017</v>
      </c>
      <c r="B38" t="s">
        <v>2330</v>
      </c>
      <c r="C38" t="s">
        <v>638</v>
      </c>
      <c r="D38" t="s">
        <v>22</v>
      </c>
      <c r="E38" s="11" t="s">
        <v>118</v>
      </c>
      <c r="F38" s="59">
        <v>4433</v>
      </c>
      <c r="G38" s="11" t="s">
        <v>2332</v>
      </c>
      <c r="H38" s="11" t="s">
        <v>192</v>
      </c>
    </row>
    <row r="39" spans="1:10" x14ac:dyDescent="0.25">
      <c r="A39" s="9">
        <v>46021</v>
      </c>
      <c r="B39" t="s">
        <v>528</v>
      </c>
      <c r="C39" t="s">
        <v>106</v>
      </c>
      <c r="D39" t="s">
        <v>22</v>
      </c>
      <c r="E39" s="11" t="s">
        <v>118</v>
      </c>
      <c r="F39" s="59">
        <v>2263.4</v>
      </c>
      <c r="G39" s="11" t="s">
        <v>2339</v>
      </c>
      <c r="H39" s="11" t="s">
        <v>568</v>
      </c>
    </row>
    <row r="40" spans="1:10" x14ac:dyDescent="0.25">
      <c r="A40" s="9">
        <v>46021</v>
      </c>
      <c r="B40" t="s">
        <v>2334</v>
      </c>
      <c r="C40" t="s">
        <v>106</v>
      </c>
      <c r="D40" t="s">
        <v>22</v>
      </c>
      <c r="E40" t="s">
        <v>190</v>
      </c>
      <c r="F40" s="59">
        <v>1495</v>
      </c>
      <c r="G40" t="s">
        <v>925</v>
      </c>
      <c r="H40" t="s">
        <v>2337</v>
      </c>
    </row>
    <row r="41" spans="1:10" x14ac:dyDescent="0.25">
      <c r="A41" s="9">
        <v>46013</v>
      </c>
      <c r="B41" t="s">
        <v>1866</v>
      </c>
      <c r="C41" t="s">
        <v>640</v>
      </c>
      <c r="D41" t="s">
        <v>22</v>
      </c>
      <c r="E41" t="s">
        <v>118</v>
      </c>
      <c r="F41" s="59">
        <v>3421.5</v>
      </c>
      <c r="G41" t="s">
        <v>2341</v>
      </c>
      <c r="H41" t="s">
        <v>568</v>
      </c>
    </row>
    <row r="45" spans="1:10" ht="15.75" thickBot="1" x14ac:dyDescent="0.3">
      <c r="A45" s="99" t="s">
        <v>8</v>
      </c>
      <c r="B45" s="99"/>
      <c r="C45" s="99"/>
      <c r="D45" s="99"/>
      <c r="E45" s="99"/>
      <c r="F45" s="99"/>
      <c r="G45" s="7"/>
    </row>
    <row r="46" spans="1:10" x14ac:dyDescent="0.25">
      <c r="A46" s="8" t="s">
        <v>9</v>
      </c>
      <c r="B46" s="9"/>
      <c r="C46" s="10">
        <f>SUM(F2:F41)</f>
        <v>103123.47999999997</v>
      </c>
      <c r="D46" s="11"/>
      <c r="E46" s="12" t="s">
        <v>10</v>
      </c>
      <c r="F46" s="13"/>
      <c r="G46" s="7"/>
      <c r="H46" s="14" t="s">
        <v>11</v>
      </c>
      <c r="I46" s="15">
        <v>32</v>
      </c>
      <c r="J46" s="16"/>
    </row>
    <row r="47" spans="1:10" x14ac:dyDescent="0.25">
      <c r="A47" s="8"/>
      <c r="B47" s="9"/>
      <c r="C47" s="10"/>
      <c r="D47" s="11"/>
      <c r="E47" s="17" t="s">
        <v>12</v>
      </c>
      <c r="F47" s="18">
        <v>103123.47999999997</v>
      </c>
      <c r="G47" s="7"/>
      <c r="H47" s="17" t="s">
        <v>13</v>
      </c>
      <c r="I47" s="19">
        <v>11</v>
      </c>
      <c r="J47" s="20">
        <f>I47/I$46</f>
        <v>0.34375</v>
      </c>
    </row>
    <row r="48" spans="1:10" ht="15.75" thickBot="1" x14ac:dyDescent="0.3">
      <c r="A48" s="8" t="s">
        <v>14</v>
      </c>
      <c r="B48" s="9"/>
      <c r="C48" s="21">
        <v>24</v>
      </c>
      <c r="D48" s="11"/>
      <c r="E48" s="22" t="s">
        <v>15</v>
      </c>
      <c r="F48" s="23">
        <f>C46/C48</f>
        <v>4296.8116666666656</v>
      </c>
      <c r="G48" s="7"/>
      <c r="H48" s="17" t="s">
        <v>16</v>
      </c>
      <c r="I48" s="19">
        <v>20</v>
      </c>
      <c r="J48" s="20">
        <f t="shared" ref="J48:J49" si="0">I48/I$46</f>
        <v>0.625</v>
      </c>
    </row>
    <row r="49" spans="1:10" ht="15.75" thickBot="1" x14ac:dyDescent="0.3">
      <c r="A49" s="8" t="s">
        <v>17</v>
      </c>
      <c r="B49" s="9"/>
      <c r="C49">
        <v>40</v>
      </c>
      <c r="D49" s="11"/>
      <c r="E49" s="11"/>
      <c r="F49" s="24"/>
      <c r="G49" s="7"/>
      <c r="H49" s="22" t="s">
        <v>18</v>
      </c>
      <c r="I49" s="25">
        <v>1</v>
      </c>
      <c r="J49" s="26">
        <f t="shared" si="0"/>
        <v>3.125E-2</v>
      </c>
    </row>
    <row r="50" spans="1:10" x14ac:dyDescent="0.25">
      <c r="A50" s="8"/>
      <c r="B50" s="9"/>
      <c r="D50" s="11" t="s">
        <v>19</v>
      </c>
      <c r="E50" s="12" t="s">
        <v>20</v>
      </c>
      <c r="F50" s="13"/>
      <c r="G50" s="7"/>
    </row>
    <row r="51" spans="1:10" ht="15.75" thickBot="1" x14ac:dyDescent="0.3">
      <c r="A51" s="8" t="s">
        <v>21</v>
      </c>
      <c r="B51" s="9"/>
      <c r="C51">
        <v>39</v>
      </c>
      <c r="D51" s="11" t="s">
        <v>19</v>
      </c>
      <c r="E51" s="17" t="s">
        <v>22</v>
      </c>
      <c r="F51" s="20">
        <f>C51/C$49</f>
        <v>0.97499999999999998</v>
      </c>
      <c r="G51" s="7"/>
    </row>
    <row r="52" spans="1:10" ht="15.75" thickBot="1" x14ac:dyDescent="0.3">
      <c r="A52" s="8" t="s">
        <v>23</v>
      </c>
      <c r="B52" s="9"/>
      <c r="C52">
        <v>1</v>
      </c>
      <c r="D52" s="11"/>
      <c r="E52" s="22" t="s">
        <v>24</v>
      </c>
      <c r="F52" s="26">
        <f>C52/C$49</f>
        <v>2.5000000000000001E-2</v>
      </c>
      <c r="G52" s="7"/>
      <c r="H52" s="14" t="s">
        <v>25</v>
      </c>
      <c r="I52" s="15">
        <v>28</v>
      </c>
      <c r="J52" s="16"/>
    </row>
    <row r="53" spans="1:10" ht="15.75" thickBot="1" x14ac:dyDescent="0.3">
      <c r="A53" s="8"/>
      <c r="B53" s="9"/>
      <c r="D53" s="11"/>
      <c r="E53" s="11"/>
      <c r="F53" s="24"/>
      <c r="G53" s="7"/>
      <c r="H53" s="27" t="s">
        <v>26</v>
      </c>
      <c r="I53" s="30">
        <v>8</v>
      </c>
      <c r="J53" s="20">
        <f>I53/I$52</f>
        <v>0.2857142857142857</v>
      </c>
    </row>
    <row r="54" spans="1:10" x14ac:dyDescent="0.25">
      <c r="A54" s="8" t="s">
        <v>27</v>
      </c>
      <c r="B54" s="9"/>
      <c r="D54" s="11"/>
      <c r="E54" s="12" t="s">
        <v>28</v>
      </c>
      <c r="F54" s="13"/>
      <c r="G54" s="7"/>
      <c r="H54" s="27" t="s">
        <v>29</v>
      </c>
      <c r="I54" s="30">
        <v>11</v>
      </c>
      <c r="J54" s="20">
        <f t="shared" ref="J54:J55" si="1">I54/I$52</f>
        <v>0.39285714285714285</v>
      </c>
    </row>
    <row r="55" spans="1:10" ht="15.75" thickBot="1" x14ac:dyDescent="0.3">
      <c r="A55" s="8" t="s">
        <v>30</v>
      </c>
      <c r="B55" s="9"/>
      <c r="C55">
        <v>2</v>
      </c>
      <c r="D55" s="11"/>
      <c r="E55" s="28" t="s">
        <v>30</v>
      </c>
      <c r="F55" s="20">
        <f>C55/C$64</f>
        <v>2.1505376344086023E-2</v>
      </c>
      <c r="G55" s="7"/>
      <c r="H55" s="29" t="s">
        <v>31</v>
      </c>
      <c r="I55" s="25">
        <v>9</v>
      </c>
      <c r="J55" s="26">
        <f t="shared" si="1"/>
        <v>0.32142857142857145</v>
      </c>
    </row>
    <row r="56" spans="1:10" ht="15.75" thickBot="1" x14ac:dyDescent="0.3">
      <c r="A56" s="8" t="s">
        <v>11</v>
      </c>
      <c r="B56" s="9"/>
      <c r="C56">
        <v>32</v>
      </c>
      <c r="D56" s="11"/>
      <c r="E56" s="28" t="s">
        <v>11</v>
      </c>
      <c r="F56" s="20">
        <f t="shared" ref="F56:F63" si="2">C56/C$64</f>
        <v>0.34408602150537637</v>
      </c>
      <c r="G56" s="7"/>
    </row>
    <row r="57" spans="1:10" x14ac:dyDescent="0.25">
      <c r="A57" s="8" t="s">
        <v>32</v>
      </c>
      <c r="B57" s="9"/>
      <c r="C57">
        <v>28</v>
      </c>
      <c r="D57" s="11"/>
      <c r="E57" s="28" t="s">
        <v>32</v>
      </c>
      <c r="F57" s="20">
        <f t="shared" si="2"/>
        <v>0.30107526881720431</v>
      </c>
      <c r="G57" s="11" t="s">
        <v>19</v>
      </c>
      <c r="H57" s="14" t="s">
        <v>33</v>
      </c>
      <c r="I57" s="15">
        <v>3</v>
      </c>
      <c r="J57" s="13">
        <f t="shared" ref="J57:J68" si="3">I57/I$52</f>
        <v>0.10714285714285714</v>
      </c>
    </row>
    <row r="58" spans="1:10" x14ac:dyDescent="0.25">
      <c r="A58" s="8" t="s">
        <v>34</v>
      </c>
      <c r="B58" s="9"/>
      <c r="C58">
        <v>0</v>
      </c>
      <c r="D58" s="11"/>
      <c r="E58" s="28" t="s">
        <v>34</v>
      </c>
      <c r="F58" s="20">
        <f t="shared" si="2"/>
        <v>0</v>
      </c>
      <c r="G58" s="7"/>
      <c r="H58" s="27" t="s">
        <v>35</v>
      </c>
      <c r="I58" s="30">
        <v>1</v>
      </c>
      <c r="J58" s="20">
        <f t="shared" si="3"/>
        <v>3.5714285714285712E-2</v>
      </c>
    </row>
    <row r="59" spans="1:10" x14ac:dyDescent="0.25">
      <c r="A59" s="8" t="s">
        <v>36</v>
      </c>
      <c r="B59" s="9"/>
      <c r="C59">
        <v>7</v>
      </c>
      <c r="D59" s="11"/>
      <c r="E59" s="28" t="s">
        <v>36</v>
      </c>
      <c r="F59" s="20">
        <f t="shared" si="2"/>
        <v>7.5268817204301078E-2</v>
      </c>
      <c r="G59" s="7"/>
      <c r="H59" s="27" t="s">
        <v>37</v>
      </c>
      <c r="I59" s="30">
        <v>3</v>
      </c>
      <c r="J59" s="20">
        <f t="shared" si="3"/>
        <v>0.10714285714285714</v>
      </c>
    </row>
    <row r="60" spans="1:10" x14ac:dyDescent="0.25">
      <c r="A60" s="8" t="s">
        <v>38</v>
      </c>
      <c r="B60" s="9"/>
      <c r="C60">
        <v>1</v>
      </c>
      <c r="D60" s="11"/>
      <c r="E60" s="28" t="s">
        <v>38</v>
      </c>
      <c r="F60" s="20">
        <f t="shared" si="2"/>
        <v>1.0752688172043012E-2</v>
      </c>
      <c r="G60" s="7"/>
      <c r="H60" s="27" t="s">
        <v>39</v>
      </c>
      <c r="I60" s="30">
        <v>4</v>
      </c>
      <c r="J60" s="20">
        <f t="shared" si="3"/>
        <v>0.14285714285714285</v>
      </c>
    </row>
    <row r="61" spans="1:10" x14ac:dyDescent="0.25">
      <c r="A61" s="8" t="s">
        <v>40</v>
      </c>
      <c r="B61" s="9"/>
      <c r="C61">
        <v>12</v>
      </c>
      <c r="D61" s="11"/>
      <c r="E61" s="28" t="s">
        <v>40</v>
      </c>
      <c r="F61" s="20">
        <f t="shared" si="2"/>
        <v>0.12903225806451613</v>
      </c>
      <c r="G61" s="7"/>
      <c r="H61" s="27" t="s">
        <v>41</v>
      </c>
      <c r="I61" s="30">
        <v>5</v>
      </c>
      <c r="J61" s="20">
        <f t="shared" si="3"/>
        <v>0.17857142857142858</v>
      </c>
    </row>
    <row r="62" spans="1:10" x14ac:dyDescent="0.25">
      <c r="A62" s="8" t="s">
        <v>42</v>
      </c>
      <c r="B62" s="9"/>
      <c r="C62">
        <v>1</v>
      </c>
      <c r="D62" s="11"/>
      <c r="E62" s="28" t="s">
        <v>42</v>
      </c>
      <c r="F62" s="20">
        <f t="shared" si="2"/>
        <v>1.0752688172043012E-2</v>
      </c>
      <c r="G62" s="7"/>
      <c r="H62" s="27" t="s">
        <v>43</v>
      </c>
      <c r="I62" s="30">
        <v>8</v>
      </c>
      <c r="J62" s="20">
        <f t="shared" si="3"/>
        <v>0.2857142857142857</v>
      </c>
    </row>
    <row r="63" spans="1:10" ht="15.75" thickBot="1" x14ac:dyDescent="0.3">
      <c r="A63" s="8" t="s">
        <v>44</v>
      </c>
      <c r="B63" s="9"/>
      <c r="C63">
        <v>10</v>
      </c>
      <c r="D63" s="11"/>
      <c r="E63" s="31" t="s">
        <v>44</v>
      </c>
      <c r="F63" s="26">
        <f t="shared" si="2"/>
        <v>0.10752688172043011</v>
      </c>
      <c r="G63" s="11" t="s">
        <v>19</v>
      </c>
      <c r="H63" s="32" t="s">
        <v>45</v>
      </c>
      <c r="I63" s="30">
        <v>1</v>
      </c>
      <c r="J63" s="20">
        <f t="shared" si="3"/>
        <v>3.5714285714285712E-2</v>
      </c>
    </row>
    <row r="64" spans="1:10" ht="15.75" thickBot="1" x14ac:dyDescent="0.3">
      <c r="A64" s="8" t="s">
        <v>46</v>
      </c>
      <c r="B64" s="9"/>
      <c r="C64">
        <f>SUM(C55:C63)</f>
        <v>93</v>
      </c>
      <c r="D64" s="11"/>
      <c r="E64" s="8"/>
      <c r="F64" s="24"/>
      <c r="G64" s="7"/>
      <c r="H64" s="32" t="s">
        <v>47</v>
      </c>
      <c r="I64" s="30">
        <v>2</v>
      </c>
      <c r="J64" s="20">
        <f t="shared" si="3"/>
        <v>7.1428571428571425E-2</v>
      </c>
    </row>
    <row r="65" spans="1:10" x14ac:dyDescent="0.25">
      <c r="A65" s="8"/>
      <c r="B65" s="9"/>
      <c r="D65" s="11"/>
      <c r="E65" s="33" t="s">
        <v>48</v>
      </c>
      <c r="F65" s="13"/>
      <c r="G65" s="7"/>
      <c r="H65" s="32" t="s">
        <v>49</v>
      </c>
      <c r="I65" s="30">
        <v>0</v>
      </c>
      <c r="J65" s="20">
        <f t="shared" si="3"/>
        <v>0</v>
      </c>
    </row>
    <row r="66" spans="1:10" x14ac:dyDescent="0.25">
      <c r="A66" s="8" t="s">
        <v>50</v>
      </c>
      <c r="B66" s="9"/>
      <c r="D66" s="11"/>
      <c r="E66" s="28" t="s">
        <v>51</v>
      </c>
      <c r="F66" s="20">
        <f>C67/C$77</f>
        <v>0.45098039215686275</v>
      </c>
      <c r="G66" s="7"/>
      <c r="H66" s="27" t="s">
        <v>52</v>
      </c>
      <c r="I66" s="30">
        <v>1</v>
      </c>
      <c r="J66" s="20">
        <f t="shared" si="3"/>
        <v>3.5714285714285712E-2</v>
      </c>
    </row>
    <row r="67" spans="1:10" x14ac:dyDescent="0.25">
      <c r="A67" s="8" t="s">
        <v>51</v>
      </c>
      <c r="B67" s="9"/>
      <c r="C67">
        <v>46</v>
      </c>
      <c r="D67" s="11"/>
      <c r="E67" s="28" t="s">
        <v>53</v>
      </c>
      <c r="F67" s="20">
        <f t="shared" ref="F67:F75" si="4">C68/C$77</f>
        <v>0.11764705882352941</v>
      </c>
      <c r="G67" s="7"/>
      <c r="H67" s="32" t="s">
        <v>54</v>
      </c>
      <c r="I67" s="30">
        <v>0</v>
      </c>
      <c r="J67" s="20">
        <f t="shared" si="3"/>
        <v>0</v>
      </c>
    </row>
    <row r="68" spans="1:10" ht="15.75" thickBot="1" x14ac:dyDescent="0.3">
      <c r="A68" s="8" t="s">
        <v>53</v>
      </c>
      <c r="B68" s="9"/>
      <c r="C68">
        <v>12</v>
      </c>
      <c r="D68" s="11"/>
      <c r="E68" s="28" t="s">
        <v>55</v>
      </c>
      <c r="F68" s="20">
        <f t="shared" si="4"/>
        <v>0.16666666666666666</v>
      </c>
      <c r="G68" s="7"/>
      <c r="H68" s="34" t="s">
        <v>56</v>
      </c>
      <c r="I68" s="25">
        <v>0</v>
      </c>
      <c r="J68" s="26">
        <f t="shared" si="3"/>
        <v>0</v>
      </c>
    </row>
    <row r="69" spans="1:10" x14ac:dyDescent="0.25">
      <c r="A69" s="8" t="s">
        <v>55</v>
      </c>
      <c r="B69" s="9"/>
      <c r="C69">
        <v>17</v>
      </c>
      <c r="D69" s="11"/>
      <c r="E69" s="28" t="s">
        <v>57</v>
      </c>
      <c r="F69" s="20">
        <f t="shared" si="4"/>
        <v>6.8627450980392163E-2</v>
      </c>
      <c r="G69" s="7"/>
    </row>
    <row r="70" spans="1:10" ht="15.75" thickBot="1" x14ac:dyDescent="0.3">
      <c r="A70" s="8" t="s">
        <v>57</v>
      </c>
      <c r="B70" s="9"/>
      <c r="C70">
        <v>7</v>
      </c>
      <c r="D70" s="11"/>
      <c r="E70" s="28" t="s">
        <v>58</v>
      </c>
      <c r="F70" s="20">
        <f t="shared" si="4"/>
        <v>0.10784313725490197</v>
      </c>
      <c r="G70" s="11" t="s">
        <v>19</v>
      </c>
    </row>
    <row r="71" spans="1:10" x14ac:dyDescent="0.25">
      <c r="A71" s="8" t="s">
        <v>58</v>
      </c>
      <c r="B71" s="9"/>
      <c r="C71">
        <v>11</v>
      </c>
      <c r="D71" s="11"/>
      <c r="E71" s="28" t="s">
        <v>59</v>
      </c>
      <c r="F71" s="20">
        <f t="shared" si="4"/>
        <v>0</v>
      </c>
      <c r="G71" s="7"/>
      <c r="H71" s="14" t="s">
        <v>36</v>
      </c>
      <c r="I71" s="15">
        <v>7</v>
      </c>
      <c r="J71" s="16"/>
    </row>
    <row r="72" spans="1:10" x14ac:dyDescent="0.25">
      <c r="A72" s="8" t="s">
        <v>59</v>
      </c>
      <c r="B72" s="9"/>
      <c r="C72">
        <v>0</v>
      </c>
      <c r="D72" s="11"/>
      <c r="E72" s="28" t="s">
        <v>60</v>
      </c>
      <c r="F72" s="20">
        <f t="shared" si="4"/>
        <v>0</v>
      </c>
      <c r="G72" s="7"/>
      <c r="H72" s="27" t="s">
        <v>61</v>
      </c>
      <c r="I72" s="30">
        <v>1</v>
      </c>
      <c r="J72" s="20">
        <f>I72/I$71</f>
        <v>0.14285714285714285</v>
      </c>
    </row>
    <row r="73" spans="1:10" ht="15.75" thickBot="1" x14ac:dyDescent="0.3">
      <c r="A73" s="8" t="s">
        <v>60</v>
      </c>
      <c r="B73" s="9"/>
      <c r="C73">
        <v>0</v>
      </c>
      <c r="D73" s="11"/>
      <c r="E73" s="28" t="s">
        <v>62</v>
      </c>
      <c r="F73" s="20">
        <f t="shared" si="4"/>
        <v>0</v>
      </c>
      <c r="G73" s="7"/>
      <c r="H73" s="29" t="s">
        <v>63</v>
      </c>
      <c r="I73" s="25">
        <v>6</v>
      </c>
      <c r="J73" s="26">
        <f>I73/I$71</f>
        <v>0.8571428571428571</v>
      </c>
    </row>
    <row r="74" spans="1:10" x14ac:dyDescent="0.25">
      <c r="A74" s="8" t="s">
        <v>62</v>
      </c>
      <c r="B74" s="9"/>
      <c r="C74">
        <v>0</v>
      </c>
      <c r="D74" s="11"/>
      <c r="E74" s="28" t="s">
        <v>64</v>
      </c>
      <c r="F74" s="20">
        <f t="shared" si="4"/>
        <v>0</v>
      </c>
      <c r="G74" s="7"/>
    </row>
    <row r="75" spans="1:10" ht="15.75" thickBot="1" x14ac:dyDescent="0.3">
      <c r="A75" s="8" t="s">
        <v>64</v>
      </c>
      <c r="B75" s="9"/>
      <c r="C75">
        <v>0</v>
      </c>
      <c r="D75" s="11"/>
      <c r="E75" s="31" t="s">
        <v>65</v>
      </c>
      <c r="F75" s="26">
        <f t="shared" si="4"/>
        <v>8.8235294117647065E-2</v>
      </c>
      <c r="G75" s="7"/>
    </row>
    <row r="76" spans="1:10" ht="15.75" thickBot="1" x14ac:dyDescent="0.3">
      <c r="A76" s="8" t="s">
        <v>65</v>
      </c>
      <c r="B76" s="9"/>
      <c r="C76">
        <v>9</v>
      </c>
      <c r="D76" s="11"/>
      <c r="E76" s="8"/>
      <c r="F76" s="24"/>
      <c r="G76" s="7"/>
      <c r="H76" s="14" t="s">
        <v>66</v>
      </c>
      <c r="I76" s="15">
        <v>1</v>
      </c>
      <c r="J76" s="16"/>
    </row>
    <row r="77" spans="1:10" x14ac:dyDescent="0.25">
      <c r="A77" s="8" t="s">
        <v>67</v>
      </c>
      <c r="B77" s="9"/>
      <c r="C77">
        <f>SUM(C67:C76)</f>
        <v>102</v>
      </c>
      <c r="D77" s="11"/>
      <c r="E77" s="33" t="s">
        <v>68</v>
      </c>
      <c r="F77" s="13"/>
      <c r="G77" s="7"/>
      <c r="H77" s="27" t="s">
        <v>69</v>
      </c>
      <c r="I77" s="30">
        <v>0</v>
      </c>
      <c r="J77" s="20">
        <f>I77/I$76</f>
        <v>0</v>
      </c>
    </row>
    <row r="78" spans="1:10" x14ac:dyDescent="0.25">
      <c r="A78" s="8"/>
      <c r="B78" s="9"/>
      <c r="D78" s="11"/>
      <c r="E78" s="35" t="s">
        <v>70</v>
      </c>
      <c r="F78" s="20">
        <f>C79/C$49</f>
        <v>0.72499999999999998</v>
      </c>
      <c r="G78" s="7"/>
      <c r="H78" s="27" t="s">
        <v>71</v>
      </c>
      <c r="I78" s="30">
        <v>1</v>
      </c>
      <c r="J78" s="20">
        <f t="shared" ref="J78:J82" si="5">I78/I$76</f>
        <v>1</v>
      </c>
    </row>
    <row r="79" spans="1:10" x14ac:dyDescent="0.25">
      <c r="A79" s="8" t="s">
        <v>72</v>
      </c>
      <c r="B79" s="9"/>
      <c r="C79">
        <v>29</v>
      </c>
      <c r="D79" s="11"/>
      <c r="E79" s="35" t="s">
        <v>73</v>
      </c>
      <c r="F79" s="20">
        <f t="shared" ref="F79:F80" si="6">C80/C$49</f>
        <v>0.05</v>
      </c>
      <c r="G79" s="7"/>
      <c r="H79" s="27" t="s">
        <v>74</v>
      </c>
      <c r="I79" s="30">
        <v>0</v>
      </c>
      <c r="J79" s="20">
        <f t="shared" si="5"/>
        <v>0</v>
      </c>
    </row>
    <row r="80" spans="1:10" ht="15.75" thickBot="1" x14ac:dyDescent="0.3">
      <c r="A80" s="8" t="s">
        <v>75</v>
      </c>
      <c r="B80" s="9"/>
      <c r="C80">
        <v>2</v>
      </c>
      <c r="D80" s="11"/>
      <c r="E80" s="36" t="s">
        <v>76</v>
      </c>
      <c r="F80" s="26">
        <f t="shared" si="6"/>
        <v>0.22500000000000001</v>
      </c>
      <c r="G80" s="7"/>
      <c r="H80" s="27" t="s">
        <v>77</v>
      </c>
      <c r="I80" s="30">
        <v>0</v>
      </c>
      <c r="J80" s="20">
        <f t="shared" si="5"/>
        <v>0</v>
      </c>
    </row>
    <row r="81" spans="1:10" ht="15.75" thickBot="1" x14ac:dyDescent="0.3">
      <c r="A81" s="8" t="s">
        <v>78</v>
      </c>
      <c r="B81" s="9"/>
      <c r="C81">
        <v>9</v>
      </c>
      <c r="D81" s="11"/>
      <c r="E81" s="37"/>
      <c r="F81" s="24"/>
      <c r="G81" s="11" t="s">
        <v>19</v>
      </c>
      <c r="H81" s="27" t="s">
        <v>79</v>
      </c>
      <c r="I81" s="30">
        <v>0</v>
      </c>
      <c r="J81" s="20">
        <f t="shared" si="5"/>
        <v>0</v>
      </c>
    </row>
    <row r="82" spans="1:10" ht="15.75" thickBot="1" x14ac:dyDescent="0.3">
      <c r="A82" s="8"/>
      <c r="B82" s="9"/>
      <c r="D82" s="11"/>
      <c r="E82" s="38" t="s">
        <v>20</v>
      </c>
      <c r="F82" s="13"/>
      <c r="G82" s="7"/>
      <c r="H82" s="29" t="s">
        <v>80</v>
      </c>
      <c r="I82" s="25">
        <v>0</v>
      </c>
      <c r="J82" s="26">
        <f t="shared" si="5"/>
        <v>0</v>
      </c>
    </row>
    <row r="83" spans="1:10" x14ac:dyDescent="0.25">
      <c r="A83" s="8" t="s">
        <v>20</v>
      </c>
      <c r="B83" s="9"/>
      <c r="D83" s="11"/>
      <c r="E83" s="28" t="s">
        <v>81</v>
      </c>
      <c r="F83" s="20">
        <f>C84/C$49</f>
        <v>0.32500000000000001</v>
      </c>
      <c r="G83" s="7"/>
    </row>
    <row r="84" spans="1:10" ht="15.75" thickBot="1" x14ac:dyDescent="0.3">
      <c r="A84" s="8" t="s">
        <v>82</v>
      </c>
      <c r="B84" s="9"/>
      <c r="C84">
        <v>13</v>
      </c>
      <c r="D84" s="11"/>
      <c r="E84" s="31" t="s">
        <v>83</v>
      </c>
      <c r="F84" s="26">
        <f>C85/C$49</f>
        <v>0.67500000000000004</v>
      </c>
      <c r="G84" s="7"/>
    </row>
    <row r="85" spans="1:10" ht="15.75" thickBot="1" x14ac:dyDescent="0.3">
      <c r="A85" s="8" t="s">
        <v>83</v>
      </c>
      <c r="B85" s="9"/>
      <c r="C85">
        <v>27</v>
      </c>
      <c r="D85" s="11"/>
      <c r="E85" s="39"/>
      <c r="F85" s="40"/>
      <c r="G85" s="7"/>
      <c r="H85" s="14" t="s">
        <v>40</v>
      </c>
      <c r="I85" s="15">
        <v>12</v>
      </c>
      <c r="J85" s="16"/>
    </row>
    <row r="86" spans="1:10" x14ac:dyDescent="0.25">
      <c r="A86" s="8"/>
      <c r="B86" s="9"/>
      <c r="D86" s="11"/>
      <c r="E86" s="14" t="s">
        <v>84</v>
      </c>
      <c r="F86" s="13"/>
      <c r="G86" s="7"/>
      <c r="H86" s="27" t="s">
        <v>85</v>
      </c>
      <c r="I86" s="30">
        <v>3</v>
      </c>
      <c r="J86" s="20">
        <f>I86/I$85</f>
        <v>0.25</v>
      </c>
    </row>
    <row r="87" spans="1:10" x14ac:dyDescent="0.25">
      <c r="A87" t="s">
        <v>84</v>
      </c>
      <c r="D87" s="11"/>
      <c r="E87" s="27" t="s">
        <v>86</v>
      </c>
      <c r="F87" s="20">
        <f>C88/C$85</f>
        <v>0.77777777777777779</v>
      </c>
      <c r="G87" s="7"/>
      <c r="H87" s="27" t="s">
        <v>87</v>
      </c>
      <c r="I87" s="30">
        <v>0</v>
      </c>
      <c r="J87" s="20">
        <f t="shared" ref="J87:J90" si="7">I87/I$85</f>
        <v>0</v>
      </c>
    </row>
    <row r="88" spans="1:10" ht="15.75" thickBot="1" x14ac:dyDescent="0.3">
      <c r="A88" t="s">
        <v>86</v>
      </c>
      <c r="C88">
        <v>21</v>
      </c>
      <c r="D88" s="11"/>
      <c r="E88" s="29" t="s">
        <v>88</v>
      </c>
      <c r="F88" s="26">
        <f>C89/C$85</f>
        <v>0.22222222222222221</v>
      </c>
      <c r="G88" s="7"/>
      <c r="H88" s="27" t="s">
        <v>89</v>
      </c>
      <c r="I88" s="30">
        <v>5</v>
      </c>
      <c r="J88" s="20">
        <f t="shared" si="7"/>
        <v>0.41666666666666669</v>
      </c>
    </row>
    <row r="89" spans="1:10" ht="15.75" thickBot="1" x14ac:dyDescent="0.3">
      <c r="A89" t="s">
        <v>88</v>
      </c>
      <c r="C89">
        <v>6</v>
      </c>
      <c r="D89" s="11"/>
      <c r="E89" s="39"/>
      <c r="F89" s="40"/>
      <c r="G89" s="7"/>
      <c r="H89" s="27" t="s">
        <v>90</v>
      </c>
      <c r="I89" s="30">
        <v>2</v>
      </c>
      <c r="J89" s="20">
        <f t="shared" si="7"/>
        <v>0.16666666666666666</v>
      </c>
    </row>
    <row r="90" spans="1:10" ht="15.75" thickBot="1" x14ac:dyDescent="0.3">
      <c r="A90" s="8"/>
      <c r="B90" s="9"/>
      <c r="D90" s="11"/>
      <c r="E90" s="33" t="s">
        <v>91</v>
      </c>
      <c r="F90" s="13"/>
      <c r="G90" s="7"/>
      <c r="H90" s="29" t="s">
        <v>92</v>
      </c>
      <c r="I90" s="25">
        <v>2</v>
      </c>
      <c r="J90" s="26">
        <f t="shared" si="7"/>
        <v>0.16666666666666666</v>
      </c>
    </row>
    <row r="91" spans="1:10" x14ac:dyDescent="0.25">
      <c r="A91" s="8" t="s">
        <v>93</v>
      </c>
      <c r="B91" s="9"/>
      <c r="D91" s="11"/>
      <c r="E91" s="28" t="s">
        <v>94</v>
      </c>
      <c r="F91" s="20">
        <f>C92/C$49</f>
        <v>0.2</v>
      </c>
      <c r="G91" s="7"/>
    </row>
    <row r="92" spans="1:10" ht="15.75" thickBot="1" x14ac:dyDescent="0.3">
      <c r="A92" s="8" t="s">
        <v>94</v>
      </c>
      <c r="B92" s="9"/>
      <c r="C92">
        <v>8</v>
      </c>
      <c r="D92" s="11"/>
      <c r="E92" s="17" t="s">
        <v>95</v>
      </c>
      <c r="F92" s="20">
        <f t="shared" ref="F92:F96" si="8">C93/C$49</f>
        <v>0.125</v>
      </c>
      <c r="G92" s="7"/>
    </row>
    <row r="93" spans="1:10" x14ac:dyDescent="0.25">
      <c r="A93" s="8" t="s">
        <v>95</v>
      </c>
      <c r="B93" s="9"/>
      <c r="C93">
        <v>5</v>
      </c>
      <c r="D93" s="11"/>
      <c r="E93" s="17" t="s">
        <v>96</v>
      </c>
      <c r="F93" s="20">
        <f t="shared" si="8"/>
        <v>0</v>
      </c>
      <c r="G93" s="7"/>
      <c r="H93" s="14" t="s">
        <v>44</v>
      </c>
      <c r="I93" s="15">
        <f>SUM(I94:I103)</f>
        <v>10</v>
      </c>
      <c r="J93" s="16"/>
    </row>
    <row r="94" spans="1:10" x14ac:dyDescent="0.25">
      <c r="A94" s="8" t="s">
        <v>96</v>
      </c>
      <c r="B94" s="9"/>
      <c r="C94">
        <v>0</v>
      </c>
      <c r="D94" s="11"/>
      <c r="E94" s="17" t="s">
        <v>97</v>
      </c>
      <c r="F94" s="20">
        <f t="shared" si="8"/>
        <v>0</v>
      </c>
      <c r="G94" s="7"/>
      <c r="H94" s="27" t="s">
        <v>98</v>
      </c>
      <c r="I94" s="19">
        <v>1</v>
      </c>
      <c r="J94" s="20">
        <f>I94/I$93</f>
        <v>0.1</v>
      </c>
    </row>
    <row r="95" spans="1:10" x14ac:dyDescent="0.25">
      <c r="A95" s="8" t="s">
        <v>97</v>
      </c>
      <c r="B95" s="9"/>
      <c r="C95">
        <v>0</v>
      </c>
      <c r="D95" s="11"/>
      <c r="E95" s="17" t="s">
        <v>99</v>
      </c>
      <c r="F95" s="20">
        <f t="shared" si="8"/>
        <v>0.67500000000000004</v>
      </c>
      <c r="G95" s="7"/>
      <c r="H95" s="27" t="s">
        <v>100</v>
      </c>
      <c r="I95" s="19">
        <v>0</v>
      </c>
      <c r="J95" s="20">
        <f t="shared" ref="J95:J103" si="9">I95/I$93</f>
        <v>0</v>
      </c>
    </row>
    <row r="96" spans="1:10" ht="15.75" thickBot="1" x14ac:dyDescent="0.3">
      <c r="A96" s="8" t="s">
        <v>99</v>
      </c>
      <c r="B96" s="9"/>
      <c r="C96">
        <v>27</v>
      </c>
      <c r="D96" s="11"/>
      <c r="E96" s="22" t="s">
        <v>44</v>
      </c>
      <c r="F96" s="26">
        <f t="shared" si="8"/>
        <v>0</v>
      </c>
      <c r="G96" s="7"/>
      <c r="H96" s="27" t="s">
        <v>101</v>
      </c>
      <c r="I96" s="19">
        <v>0</v>
      </c>
      <c r="J96" s="20">
        <f t="shared" si="9"/>
        <v>0</v>
      </c>
    </row>
    <row r="97" spans="1:10" ht="15.75" thickBot="1" x14ac:dyDescent="0.3">
      <c r="A97" s="8" t="s">
        <v>44</v>
      </c>
      <c r="B97" s="9"/>
      <c r="C97">
        <v>0</v>
      </c>
      <c r="D97" s="11"/>
      <c r="E97" s="11"/>
      <c r="F97" s="24"/>
      <c r="G97" s="7"/>
      <c r="H97" s="27" t="s">
        <v>102</v>
      </c>
      <c r="I97" s="30">
        <v>0</v>
      </c>
      <c r="J97" s="20">
        <f t="shared" si="9"/>
        <v>0</v>
      </c>
    </row>
    <row r="98" spans="1:10" x14ac:dyDescent="0.25">
      <c r="A98" s="8"/>
      <c r="B98" s="9"/>
      <c r="D98" s="11"/>
      <c r="E98" s="12" t="s">
        <v>103</v>
      </c>
      <c r="F98" s="13"/>
      <c r="G98" s="7"/>
      <c r="H98" s="27" t="s">
        <v>104</v>
      </c>
      <c r="I98" s="30">
        <v>5</v>
      </c>
      <c r="J98" s="20">
        <f t="shared" si="9"/>
        <v>0.5</v>
      </c>
    </row>
    <row r="99" spans="1:10" x14ac:dyDescent="0.25">
      <c r="A99" s="8" t="s">
        <v>105</v>
      </c>
      <c r="B99" s="9"/>
      <c r="D99" s="11"/>
      <c r="E99" s="17" t="s">
        <v>106</v>
      </c>
      <c r="F99" s="20">
        <f t="shared" ref="F99:F103" si="10">C100/C$49</f>
        <v>0.72499999999999998</v>
      </c>
      <c r="G99" s="7"/>
      <c r="H99" s="41" t="s">
        <v>107</v>
      </c>
      <c r="I99" s="30">
        <v>0</v>
      </c>
      <c r="J99" s="20">
        <f t="shared" si="9"/>
        <v>0</v>
      </c>
    </row>
    <row r="100" spans="1:10" x14ac:dyDescent="0.25">
      <c r="A100" s="8" t="s">
        <v>106</v>
      </c>
      <c r="B100" s="9"/>
      <c r="C100">
        <v>29</v>
      </c>
      <c r="D100" s="11"/>
      <c r="E100" s="17" t="s">
        <v>108</v>
      </c>
      <c r="F100" s="20">
        <f t="shared" si="10"/>
        <v>0.15</v>
      </c>
      <c r="G100" s="7"/>
      <c r="H100" s="41" t="s">
        <v>109</v>
      </c>
      <c r="I100" s="30">
        <v>0</v>
      </c>
      <c r="J100" s="20">
        <f t="shared" si="9"/>
        <v>0</v>
      </c>
    </row>
    <row r="101" spans="1:10" x14ac:dyDescent="0.25">
      <c r="A101" s="8" t="s">
        <v>108</v>
      </c>
      <c r="B101" s="9"/>
      <c r="C101">
        <v>6</v>
      </c>
      <c r="D101" s="11"/>
      <c r="E101" s="17" t="s">
        <v>110</v>
      </c>
      <c r="F101" s="20">
        <f t="shared" si="10"/>
        <v>0</v>
      </c>
      <c r="G101" s="7"/>
      <c r="H101" s="41" t="s">
        <v>111</v>
      </c>
      <c r="I101" s="30">
        <v>3</v>
      </c>
      <c r="J101" s="20">
        <f t="shared" si="9"/>
        <v>0.3</v>
      </c>
    </row>
    <row r="102" spans="1:10" x14ac:dyDescent="0.25">
      <c r="A102" s="8" t="s">
        <v>110</v>
      </c>
      <c r="B102" s="9"/>
      <c r="C102">
        <v>0</v>
      </c>
      <c r="D102" s="11"/>
      <c r="E102" s="17" t="s">
        <v>112</v>
      </c>
      <c r="F102" s="20">
        <f t="shared" si="10"/>
        <v>0.125</v>
      </c>
      <c r="G102" s="7"/>
      <c r="H102" s="41" t="s">
        <v>113</v>
      </c>
      <c r="I102" s="30">
        <v>1</v>
      </c>
      <c r="J102" s="20">
        <f t="shared" si="9"/>
        <v>0.1</v>
      </c>
    </row>
    <row r="103" spans="1:10" ht="15.75" thickBot="1" x14ac:dyDescent="0.3">
      <c r="A103" s="8" t="s">
        <v>112</v>
      </c>
      <c r="B103" s="9"/>
      <c r="C103">
        <v>5</v>
      </c>
      <c r="E103" s="22" t="s">
        <v>114</v>
      </c>
      <c r="F103" s="26">
        <f t="shared" si="10"/>
        <v>0</v>
      </c>
      <c r="H103" s="42" t="s">
        <v>115</v>
      </c>
      <c r="I103" s="25">
        <v>0</v>
      </c>
      <c r="J103" s="26">
        <f t="shared" si="9"/>
        <v>0</v>
      </c>
    </row>
    <row r="104" spans="1:10" x14ac:dyDescent="0.25">
      <c r="A104" s="8" t="s">
        <v>114</v>
      </c>
      <c r="B104" s="9"/>
      <c r="C104">
        <v>0</v>
      </c>
      <c r="E104" s="11"/>
      <c r="F104" s="24"/>
    </row>
    <row r="105" spans="1:10" x14ac:dyDescent="0.25">
      <c r="A105" s="8" t="s">
        <v>116</v>
      </c>
      <c r="B105" s="9"/>
      <c r="C105">
        <v>0</v>
      </c>
      <c r="E105" s="11"/>
      <c r="F105" s="24"/>
    </row>
    <row r="106" spans="1:10" x14ac:dyDescent="0.25">
      <c r="A106" s="8"/>
      <c r="B106" s="9"/>
      <c r="E106" s="11"/>
      <c r="F106" s="24"/>
    </row>
    <row r="107" spans="1:10" ht="15.75" thickBot="1" x14ac:dyDescent="0.3"/>
    <row r="108" spans="1:10" x14ac:dyDescent="0.25">
      <c r="A108" s="43" t="s">
        <v>117</v>
      </c>
      <c r="B108" s="82">
        <f>SUM(B109:B112)</f>
        <v>103123.48</v>
      </c>
    </row>
    <row r="109" spans="1:10" x14ac:dyDescent="0.25">
      <c r="A109" s="44" t="s">
        <v>94</v>
      </c>
      <c r="B109" s="45">
        <f>SUM(F3,F11,F13,F18,F20,F27,F34:F35,F40)</f>
        <v>22919.08</v>
      </c>
    </row>
    <row r="110" spans="1:10" x14ac:dyDescent="0.25">
      <c r="A110" s="44" t="s">
        <v>118</v>
      </c>
      <c r="B110" s="45">
        <f>SUM(F4:F10,F14,F16:F17,F19,F21:F24,F26,F28:F30,F32:F33,F36:F39,F41)</f>
        <v>70750.2</v>
      </c>
    </row>
    <row r="111" spans="1:10" x14ac:dyDescent="0.25">
      <c r="A111" s="44" t="s">
        <v>119</v>
      </c>
      <c r="B111" s="45">
        <f>SUM(F2,F12,F15,F25,F31,)</f>
        <v>9454.2000000000007</v>
      </c>
    </row>
    <row r="112" spans="1:10" x14ac:dyDescent="0.25">
      <c r="A112" s="44" t="s">
        <v>44</v>
      </c>
      <c r="B112" s="46">
        <v>0</v>
      </c>
    </row>
    <row r="113" spans="1:2" ht="15.75" thickBot="1" x14ac:dyDescent="0.3">
      <c r="A113" s="47"/>
      <c r="B113" s="48"/>
    </row>
  </sheetData>
  <mergeCells count="1">
    <mergeCell ref="A45:F4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opLeftCell="A46" workbookViewId="0">
      <selection activeCell="E17" sqref="E17"/>
    </sheetView>
  </sheetViews>
  <sheetFormatPr baseColWidth="10" defaultRowHeight="15" x14ac:dyDescent="0.25"/>
  <cols>
    <col min="2" max="2" width="14.85546875" customWidth="1"/>
    <col min="3" max="3" width="12.28515625" customWidth="1"/>
    <col min="4" max="4" width="12.5703125" customWidth="1"/>
    <col min="5" max="6" width="11.5703125" bestFit="1" customWidth="1"/>
  </cols>
  <sheetData>
    <row r="1" spans="1:14" x14ac:dyDescent="0.25">
      <c r="A1" s="51" t="s">
        <v>126</v>
      </c>
      <c r="B1" s="52" t="s">
        <v>127</v>
      </c>
      <c r="C1" s="53" t="s">
        <v>128</v>
      </c>
      <c r="D1" s="53" t="s">
        <v>129</v>
      </c>
      <c r="E1" s="53" t="s">
        <v>130</v>
      </c>
      <c r="F1" s="53" t="s">
        <v>131</v>
      </c>
      <c r="G1" s="54" t="s">
        <v>132</v>
      </c>
      <c r="H1" s="55" t="s">
        <v>133</v>
      </c>
      <c r="I1" s="55" t="s">
        <v>68</v>
      </c>
      <c r="J1" s="55" t="s">
        <v>134</v>
      </c>
      <c r="K1" s="100" t="s">
        <v>135</v>
      </c>
      <c r="L1" s="100"/>
      <c r="M1" s="100" t="s">
        <v>136</v>
      </c>
      <c r="N1" s="100"/>
    </row>
    <row r="2" spans="1:14" x14ac:dyDescent="0.25">
      <c r="A2" s="51" t="s">
        <v>137</v>
      </c>
      <c r="B2" s="56">
        <v>90051.150000000023</v>
      </c>
      <c r="C2" s="56">
        <v>62104.800000000003</v>
      </c>
      <c r="D2" s="56">
        <f>B2-C2</f>
        <v>27946.35000000002</v>
      </c>
      <c r="E2" s="56">
        <v>3463.5057692307701</v>
      </c>
      <c r="F2" s="56">
        <f>B2/G2</f>
        <v>2196.3695121951223</v>
      </c>
      <c r="G2" s="57">
        <v>41</v>
      </c>
      <c r="H2" s="58">
        <v>0.95</v>
      </c>
      <c r="I2" s="58">
        <v>0.68</v>
      </c>
      <c r="J2" s="58">
        <v>0.41</v>
      </c>
      <c r="K2" s="58" t="s">
        <v>32</v>
      </c>
      <c r="L2" s="58">
        <v>0.3</v>
      </c>
      <c r="M2" s="58" t="s">
        <v>53</v>
      </c>
      <c r="N2" s="58">
        <v>0.23</v>
      </c>
    </row>
    <row r="3" spans="1:14" x14ac:dyDescent="0.25">
      <c r="A3" s="51" t="s">
        <v>138</v>
      </c>
      <c r="B3" s="56">
        <v>87030.41</v>
      </c>
      <c r="C3" s="56">
        <v>66533.759999999995</v>
      </c>
      <c r="D3" s="96">
        <f t="shared" ref="D3:D13" si="0">B3-C3</f>
        <v>20496.650000000009</v>
      </c>
      <c r="E3" s="56">
        <v>3783.9308695652176</v>
      </c>
      <c r="F3" s="56">
        <f t="shared" ref="F3:F13" si="1">B3/G3</f>
        <v>2231.5489743589746</v>
      </c>
      <c r="G3" s="57">
        <v>39</v>
      </c>
      <c r="H3" s="58">
        <v>0.9</v>
      </c>
      <c r="I3" s="58">
        <v>0.74</v>
      </c>
      <c r="J3" s="58">
        <v>0.64</v>
      </c>
      <c r="K3" s="58" t="s">
        <v>11</v>
      </c>
      <c r="L3" s="58">
        <v>0.33</v>
      </c>
      <c r="M3" s="58" t="s">
        <v>51</v>
      </c>
      <c r="N3" s="58">
        <v>0.59</v>
      </c>
    </row>
    <row r="4" spans="1:14" x14ac:dyDescent="0.25">
      <c r="A4" s="51" t="s">
        <v>139</v>
      </c>
      <c r="B4" s="56">
        <v>75085.94</v>
      </c>
      <c r="C4" s="86">
        <v>62807.79</v>
      </c>
      <c r="D4" s="96">
        <f t="shared" si="0"/>
        <v>12278.150000000001</v>
      </c>
      <c r="E4" s="56">
        <v>3264.6060869565217</v>
      </c>
      <c r="F4" s="56">
        <f t="shared" si="1"/>
        <v>3264.6060869565217</v>
      </c>
      <c r="G4" s="57">
        <v>23</v>
      </c>
      <c r="H4" s="58">
        <v>0.96</v>
      </c>
      <c r="I4" s="58">
        <v>0.83</v>
      </c>
      <c r="J4" s="58">
        <v>0.65</v>
      </c>
      <c r="K4" s="58" t="s">
        <v>11</v>
      </c>
      <c r="L4" s="58">
        <v>0.38</v>
      </c>
      <c r="M4" s="58" t="s">
        <v>51</v>
      </c>
      <c r="N4" s="58">
        <v>0.5</v>
      </c>
    </row>
    <row r="5" spans="1:14" x14ac:dyDescent="0.25">
      <c r="A5" s="51" t="s">
        <v>140</v>
      </c>
      <c r="B5" s="56">
        <v>110830.24</v>
      </c>
      <c r="C5" s="56">
        <v>54423.25</v>
      </c>
      <c r="D5" s="56">
        <f t="shared" si="0"/>
        <v>56406.990000000005</v>
      </c>
      <c r="E5" s="56">
        <v>4262.7015384615388</v>
      </c>
      <c r="F5" s="56">
        <f t="shared" si="1"/>
        <v>2995.4118918918921</v>
      </c>
      <c r="G5" s="57">
        <v>37</v>
      </c>
      <c r="H5" s="58">
        <v>0.89</v>
      </c>
      <c r="I5" s="58">
        <v>0.65</v>
      </c>
      <c r="J5" s="58">
        <v>0.65</v>
      </c>
      <c r="K5" s="58" t="s">
        <v>11</v>
      </c>
      <c r="L5" s="58">
        <v>0.32</v>
      </c>
      <c r="M5" s="58" t="s">
        <v>51</v>
      </c>
      <c r="N5" s="58">
        <v>0.28000000000000003</v>
      </c>
    </row>
    <row r="6" spans="1:14" x14ac:dyDescent="0.25">
      <c r="A6" s="51" t="s">
        <v>141</v>
      </c>
      <c r="B6" s="56">
        <v>79101.97</v>
      </c>
      <c r="C6" s="56">
        <v>76803.819999999992</v>
      </c>
      <c r="D6" s="56">
        <f t="shared" si="0"/>
        <v>2298.1500000000087</v>
      </c>
      <c r="E6" s="56">
        <v>3042.3834615384617</v>
      </c>
      <c r="F6" s="56">
        <f t="shared" si="1"/>
        <v>2825.0703571428571</v>
      </c>
      <c r="G6" s="57">
        <v>28</v>
      </c>
      <c r="H6" s="58">
        <v>0.71</v>
      </c>
      <c r="I6" s="58">
        <v>0.71</v>
      </c>
      <c r="J6" s="58">
        <v>0.43</v>
      </c>
      <c r="K6" s="58" t="s">
        <v>32</v>
      </c>
      <c r="L6" s="58">
        <v>0.31</v>
      </c>
      <c r="M6" s="58" t="s">
        <v>53</v>
      </c>
      <c r="N6" s="58">
        <v>0.35</v>
      </c>
    </row>
    <row r="7" spans="1:14" x14ac:dyDescent="0.25">
      <c r="A7" s="51" t="s">
        <v>142</v>
      </c>
      <c r="B7" s="56">
        <v>98826.83</v>
      </c>
      <c r="C7" s="56">
        <v>55106.13</v>
      </c>
      <c r="D7" s="56">
        <f t="shared" si="0"/>
        <v>43720.700000000004</v>
      </c>
      <c r="E7" s="56">
        <v>3953.0732000000003</v>
      </c>
      <c r="F7" s="56">
        <f t="shared" si="1"/>
        <v>2196.1517777777776</v>
      </c>
      <c r="G7" s="57">
        <v>45</v>
      </c>
      <c r="H7" s="58">
        <v>0.89</v>
      </c>
      <c r="I7" s="58">
        <v>0.64</v>
      </c>
      <c r="J7" s="58">
        <v>0.49</v>
      </c>
      <c r="K7" s="58" t="s">
        <v>11</v>
      </c>
      <c r="L7" s="58">
        <v>0.37</v>
      </c>
      <c r="M7" s="58" t="s">
        <v>51</v>
      </c>
      <c r="N7" s="58">
        <v>0.6</v>
      </c>
    </row>
    <row r="8" spans="1:14" x14ac:dyDescent="0.25">
      <c r="A8" s="51" t="s">
        <v>143</v>
      </c>
      <c r="B8" s="56">
        <v>134537.76999999999</v>
      </c>
      <c r="C8" s="56">
        <v>59268.33</v>
      </c>
      <c r="D8" s="56">
        <f t="shared" si="0"/>
        <v>75269.439999999988</v>
      </c>
      <c r="E8" s="56">
        <v>5174.5296153846148</v>
      </c>
      <c r="F8" s="56">
        <f t="shared" si="1"/>
        <v>3203.280238095238</v>
      </c>
      <c r="G8" s="57">
        <v>42</v>
      </c>
      <c r="H8" s="58">
        <v>0.81</v>
      </c>
      <c r="I8" s="58">
        <v>0.55000000000000004</v>
      </c>
      <c r="J8" s="58">
        <v>0.55000000000000004</v>
      </c>
      <c r="K8" s="58" t="s">
        <v>11</v>
      </c>
      <c r="L8" s="58">
        <v>0.34</v>
      </c>
      <c r="M8" s="58" t="s">
        <v>53</v>
      </c>
      <c r="N8" s="58">
        <v>0.31</v>
      </c>
    </row>
    <row r="9" spans="1:14" x14ac:dyDescent="0.25">
      <c r="A9" s="51" t="s">
        <v>144</v>
      </c>
      <c r="B9" s="56">
        <v>134636.19</v>
      </c>
      <c r="C9" s="56">
        <v>66440.72</v>
      </c>
      <c r="D9" s="56">
        <f t="shared" si="0"/>
        <v>68195.47</v>
      </c>
      <c r="E9" s="56">
        <v>5178.3150000000005</v>
      </c>
      <c r="F9" s="56">
        <f t="shared" si="1"/>
        <v>2692.7238000000002</v>
      </c>
      <c r="G9" s="57">
        <v>50</v>
      </c>
      <c r="H9" s="58">
        <v>0.76</v>
      </c>
      <c r="I9" s="58">
        <v>0.62</v>
      </c>
      <c r="J9" s="58">
        <v>0.44</v>
      </c>
      <c r="K9" s="58" t="s">
        <v>32</v>
      </c>
      <c r="L9" s="58">
        <v>0.39</v>
      </c>
      <c r="M9" s="58" t="s">
        <v>51</v>
      </c>
      <c r="N9" s="58">
        <v>0.35</v>
      </c>
    </row>
    <row r="10" spans="1:14" x14ac:dyDescent="0.25">
      <c r="A10" s="51" t="s">
        <v>145</v>
      </c>
      <c r="B10" s="56">
        <v>90695.15</v>
      </c>
      <c r="C10" s="56">
        <v>55026.09</v>
      </c>
      <c r="D10" s="56">
        <f t="shared" si="0"/>
        <v>35669.06</v>
      </c>
      <c r="E10" s="56">
        <v>3627.8059999999996</v>
      </c>
      <c r="F10" s="56">
        <f t="shared" si="1"/>
        <v>2386.7144736842106</v>
      </c>
      <c r="G10" s="57">
        <v>38</v>
      </c>
      <c r="H10" s="58">
        <v>0.82</v>
      </c>
      <c r="I10" s="58">
        <v>0.68</v>
      </c>
      <c r="J10" s="58">
        <v>0.53</v>
      </c>
      <c r="K10" s="58" t="s">
        <v>11</v>
      </c>
      <c r="L10" s="58">
        <v>0.28999999999999998</v>
      </c>
      <c r="M10" s="58" t="s">
        <v>53</v>
      </c>
      <c r="N10" s="58">
        <v>0.34</v>
      </c>
    </row>
    <row r="11" spans="1:14" x14ac:dyDescent="0.25">
      <c r="A11" s="51" t="s">
        <v>146</v>
      </c>
      <c r="B11" s="56">
        <v>109108.46999999999</v>
      </c>
      <c r="C11" s="56">
        <v>54215.03</v>
      </c>
      <c r="D11" s="56">
        <f t="shared" si="0"/>
        <v>54893.439999999988</v>
      </c>
      <c r="E11" s="56">
        <v>4041.054444444444</v>
      </c>
      <c r="F11" s="56">
        <f t="shared" si="1"/>
        <v>3030.790833333333</v>
      </c>
      <c r="G11" s="57">
        <v>36</v>
      </c>
      <c r="H11" s="58">
        <v>0.78</v>
      </c>
      <c r="I11" s="58">
        <v>0.64</v>
      </c>
      <c r="J11" s="58">
        <v>0.57999999999999996</v>
      </c>
      <c r="K11" s="58" t="s">
        <v>32</v>
      </c>
      <c r="L11" s="58">
        <v>0.31</v>
      </c>
      <c r="M11" s="58" t="s">
        <v>51</v>
      </c>
      <c r="N11" s="58">
        <v>0.3</v>
      </c>
    </row>
    <row r="12" spans="1:14" x14ac:dyDescent="0.25">
      <c r="A12" s="51" t="s">
        <v>147</v>
      </c>
      <c r="B12" s="56">
        <v>113421.42000000001</v>
      </c>
      <c r="C12" s="56">
        <v>62796.26</v>
      </c>
      <c r="D12" s="56">
        <f t="shared" si="0"/>
        <v>50625.160000000011</v>
      </c>
      <c r="E12" s="56">
        <v>4931.3660869565219</v>
      </c>
      <c r="F12" s="56">
        <f t="shared" si="1"/>
        <v>3150.5950000000003</v>
      </c>
      <c r="G12" s="57">
        <v>36</v>
      </c>
      <c r="H12" s="58">
        <v>0.81</v>
      </c>
      <c r="I12" s="58">
        <v>0.75</v>
      </c>
      <c r="J12" s="58">
        <v>0.53</v>
      </c>
      <c r="K12" s="58" t="s">
        <v>32</v>
      </c>
      <c r="L12" s="58">
        <v>0.33</v>
      </c>
      <c r="M12" s="58" t="s">
        <v>51</v>
      </c>
      <c r="N12" s="58">
        <v>0.53</v>
      </c>
    </row>
    <row r="13" spans="1:14" x14ac:dyDescent="0.25">
      <c r="A13" s="51" t="s">
        <v>148</v>
      </c>
      <c r="B13" s="56">
        <v>103123.47999999997</v>
      </c>
      <c r="C13" s="56">
        <v>62696.149999999994</v>
      </c>
      <c r="D13" s="56">
        <f t="shared" si="0"/>
        <v>40427.329999999973</v>
      </c>
      <c r="E13" s="56">
        <v>4296.8116666666656</v>
      </c>
      <c r="F13" s="56">
        <f t="shared" si="1"/>
        <v>2578.0869999999991</v>
      </c>
      <c r="G13" s="57">
        <v>40</v>
      </c>
      <c r="H13" s="58">
        <v>0.98</v>
      </c>
      <c r="I13" s="58">
        <v>0.73</v>
      </c>
      <c r="J13" s="58">
        <v>0.68</v>
      </c>
      <c r="K13" s="58" t="s">
        <v>11</v>
      </c>
      <c r="L13" s="58">
        <v>0.34</v>
      </c>
      <c r="M13" s="58" t="s">
        <v>51</v>
      </c>
      <c r="N13" s="58">
        <v>0.45</v>
      </c>
    </row>
    <row r="14" spans="1:14" x14ac:dyDescent="0.25">
      <c r="B14" s="59"/>
      <c r="C14" s="59"/>
      <c r="D14" s="59"/>
      <c r="E14" s="59"/>
      <c r="F14" s="59"/>
    </row>
    <row r="17" spans="1:14" x14ac:dyDescent="0.25">
      <c r="A17" s="51" t="s">
        <v>149</v>
      </c>
      <c r="B17" s="60">
        <f t="shared" ref="B17:G17" si="2">SUM(B2:B13)</f>
        <v>1226449.02</v>
      </c>
      <c r="C17" s="56">
        <f t="shared" si="2"/>
        <v>738222.13</v>
      </c>
      <c r="D17" s="56">
        <f t="shared" si="2"/>
        <v>488226.89</v>
      </c>
      <c r="E17" s="56">
        <f>SUM(E2:E13)/12</f>
        <v>4085.006978267063</v>
      </c>
      <c r="F17" s="56">
        <f t="shared" si="2"/>
        <v>32751.349945435926</v>
      </c>
      <c r="G17" s="57">
        <f t="shared" si="2"/>
        <v>455</v>
      </c>
      <c r="H17" s="61">
        <f>AVERAGE(H2:H13)</f>
        <v>0.85499999999999998</v>
      </c>
      <c r="I17" s="58">
        <f>AVERAGE(I2:I13)</f>
        <v>0.68499999999999994</v>
      </c>
      <c r="J17" s="58">
        <f>AVERAGE(J2:J13)</f>
        <v>0.54833333333333345</v>
      </c>
      <c r="K17" s="57" t="s">
        <v>2342</v>
      </c>
      <c r="L17" s="58">
        <f>AVERAGE(L2:L13)</f>
        <v>0.33416666666666672</v>
      </c>
      <c r="M17" s="57" t="s">
        <v>2343</v>
      </c>
      <c r="N17" s="58">
        <f>AVERAGE(N2:N13)</f>
        <v>0.40250000000000002</v>
      </c>
    </row>
  </sheetData>
  <mergeCells count="2">
    <mergeCell ref="K1:L1"/>
    <mergeCell ref="M1:N1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opLeftCell="A136" workbookViewId="0">
      <selection activeCell="T85" sqref="T85"/>
    </sheetView>
  </sheetViews>
  <sheetFormatPr baseColWidth="10" defaultRowHeight="15" x14ac:dyDescent="0.25"/>
  <sheetData>
    <row r="1" spans="1:15" x14ac:dyDescent="0.25">
      <c r="A1" s="105" t="s">
        <v>28</v>
      </c>
      <c r="B1" s="103" t="s">
        <v>126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/>
      <c r="O1" s="24"/>
    </row>
    <row r="2" spans="1:15" x14ac:dyDescent="0.25">
      <c r="A2" s="106"/>
      <c r="B2" s="51" t="s">
        <v>150</v>
      </c>
      <c r="C2" s="51" t="s">
        <v>151</v>
      </c>
      <c r="D2" s="51" t="s">
        <v>152</v>
      </c>
      <c r="E2" s="51" t="s">
        <v>153</v>
      </c>
      <c r="F2" s="51" t="s">
        <v>154</v>
      </c>
      <c r="G2" s="51" t="s">
        <v>155</v>
      </c>
      <c r="H2" s="51" t="s">
        <v>156</v>
      </c>
      <c r="I2" s="51" t="s">
        <v>157</v>
      </c>
      <c r="J2" s="51" t="s">
        <v>158</v>
      </c>
      <c r="K2" s="51" t="s">
        <v>159</v>
      </c>
      <c r="L2" s="51" t="s">
        <v>160</v>
      </c>
      <c r="M2" s="62" t="s">
        <v>161</v>
      </c>
      <c r="O2" s="24"/>
    </row>
    <row r="3" spans="1:15" x14ac:dyDescent="0.25">
      <c r="A3" s="63" t="s">
        <v>30</v>
      </c>
      <c r="B3" s="58">
        <v>5.4794520547945202E-2</v>
      </c>
      <c r="C3" s="58">
        <v>2.4390243902439025E-2</v>
      </c>
      <c r="D3" s="58">
        <v>0</v>
      </c>
      <c r="E3" s="58">
        <v>1.4705882352941176E-2</v>
      </c>
      <c r="F3" s="58">
        <v>8.4745762711864403E-2</v>
      </c>
      <c r="G3" s="58">
        <v>2.197802197802198E-2</v>
      </c>
      <c r="H3" s="20">
        <v>3.1914893617021274E-2</v>
      </c>
      <c r="I3" s="58">
        <v>2.2727272727272728E-2</v>
      </c>
      <c r="J3" s="58">
        <v>2.8571428571428571E-2</v>
      </c>
      <c r="K3" s="58">
        <v>2.4691358024691357E-2</v>
      </c>
      <c r="L3" s="58">
        <v>4.0404040404040407E-2</v>
      </c>
      <c r="M3" s="64">
        <v>2.1505376344086023E-2</v>
      </c>
      <c r="N3" s="63" t="s">
        <v>30</v>
      </c>
      <c r="O3" s="24">
        <f>AVERAGE(B3:M3)</f>
        <v>3.0869066765146006E-2</v>
      </c>
    </row>
    <row r="4" spans="1:15" x14ac:dyDescent="0.25">
      <c r="A4" s="63" t="s">
        <v>11</v>
      </c>
      <c r="B4" s="58">
        <v>0.28767123287671231</v>
      </c>
      <c r="C4" s="58">
        <v>0.32926829268292684</v>
      </c>
      <c r="D4" s="58">
        <v>0.3783783783783784</v>
      </c>
      <c r="E4" s="58">
        <v>0.3235294117647059</v>
      </c>
      <c r="F4" s="58">
        <v>0.16949152542372881</v>
      </c>
      <c r="G4" s="58">
        <v>0.37362637362637363</v>
      </c>
      <c r="H4" s="20">
        <v>0.34042553191489361</v>
      </c>
      <c r="I4" s="58">
        <v>0.19318181818181818</v>
      </c>
      <c r="J4" s="58">
        <v>0.2857142857142857</v>
      </c>
      <c r="K4" s="58">
        <v>0.22222222222222221</v>
      </c>
      <c r="L4" s="58">
        <v>0.28282828282828282</v>
      </c>
      <c r="M4" s="64">
        <v>0.34408602150537637</v>
      </c>
      <c r="N4" s="63" t="s">
        <v>11</v>
      </c>
      <c r="O4" s="24">
        <f t="shared" ref="O4:O11" si="0">AVERAGE(B4:M4)</f>
        <v>0.29420194809330874</v>
      </c>
    </row>
    <row r="5" spans="1:15" x14ac:dyDescent="0.25">
      <c r="A5" s="63" t="s">
        <v>32</v>
      </c>
      <c r="B5" s="58">
        <v>0.30136986301369861</v>
      </c>
      <c r="C5" s="58">
        <v>0.15853658536585366</v>
      </c>
      <c r="D5" s="58">
        <v>0.21621621621621623</v>
      </c>
      <c r="E5" s="58">
        <v>0.27941176470588236</v>
      </c>
      <c r="F5" s="58">
        <v>0.30508474576271188</v>
      </c>
      <c r="G5" s="58">
        <v>0.2857142857142857</v>
      </c>
      <c r="H5" s="20">
        <v>0.28723404255319152</v>
      </c>
      <c r="I5" s="58">
        <v>0.38636363636363635</v>
      </c>
      <c r="J5" s="58">
        <v>0.27142857142857141</v>
      </c>
      <c r="K5" s="58">
        <v>0.30864197530864196</v>
      </c>
      <c r="L5" s="58">
        <v>0.33333333333333331</v>
      </c>
      <c r="M5" s="64">
        <v>0.30107526881720431</v>
      </c>
      <c r="N5" s="63" t="s">
        <v>32</v>
      </c>
      <c r="O5" s="24">
        <f t="shared" si="0"/>
        <v>0.28620085738193562</v>
      </c>
    </row>
    <row r="6" spans="1:15" x14ac:dyDescent="0.25">
      <c r="A6" s="63" t="s">
        <v>34</v>
      </c>
      <c r="B6" s="58">
        <v>1.3698630136986301E-2</v>
      </c>
      <c r="C6" s="58">
        <v>1.2195121951219513E-2</v>
      </c>
      <c r="D6" s="58">
        <v>0</v>
      </c>
      <c r="E6" s="58">
        <v>0</v>
      </c>
      <c r="F6" s="58">
        <v>0</v>
      </c>
      <c r="G6" s="58">
        <v>1.098901098901099E-2</v>
      </c>
      <c r="H6" s="20">
        <v>0</v>
      </c>
      <c r="I6" s="58">
        <v>2.2727272727272728E-2</v>
      </c>
      <c r="J6" s="58">
        <v>0</v>
      </c>
      <c r="K6" s="58">
        <v>2.4691358024691357E-2</v>
      </c>
      <c r="L6" s="58">
        <v>4.0404040404040407E-2</v>
      </c>
      <c r="M6" s="64">
        <v>0</v>
      </c>
      <c r="N6" s="63" t="s">
        <v>34</v>
      </c>
      <c r="O6" s="24">
        <f t="shared" si="0"/>
        <v>1.039211951943511E-2</v>
      </c>
    </row>
    <row r="7" spans="1:15" x14ac:dyDescent="0.25">
      <c r="A7" s="63" t="s">
        <v>36</v>
      </c>
      <c r="B7" s="58">
        <v>9.5890410958904104E-2</v>
      </c>
      <c r="C7" s="58">
        <v>0.14634146341463414</v>
      </c>
      <c r="D7" s="58">
        <v>0.13513513513513514</v>
      </c>
      <c r="E7" s="58">
        <v>0.19117647058823528</v>
      </c>
      <c r="F7" s="58">
        <v>0.13559322033898305</v>
      </c>
      <c r="G7" s="58">
        <v>7.6923076923076927E-2</v>
      </c>
      <c r="H7" s="20">
        <v>8.5106382978723402E-2</v>
      </c>
      <c r="I7" s="58">
        <v>0.10227272727272728</v>
      </c>
      <c r="J7" s="58">
        <v>8.5714285714285715E-2</v>
      </c>
      <c r="K7" s="58">
        <v>9.8765432098765427E-2</v>
      </c>
      <c r="L7" s="58">
        <v>0.12121212121212122</v>
      </c>
      <c r="M7" s="64">
        <v>7.5268817204301078E-2</v>
      </c>
      <c r="N7" s="63" t="s">
        <v>36</v>
      </c>
      <c r="O7" s="24">
        <f t="shared" si="0"/>
        <v>0.11244996198665773</v>
      </c>
    </row>
    <row r="8" spans="1:15" x14ac:dyDescent="0.25">
      <c r="A8" s="63" t="s">
        <v>38</v>
      </c>
      <c r="B8" s="58">
        <v>4.1095890410958902E-2</v>
      </c>
      <c r="C8" s="58">
        <v>3.6585365853658534E-2</v>
      </c>
      <c r="D8" s="58">
        <v>0</v>
      </c>
      <c r="E8" s="58">
        <v>1.4705882352941176E-2</v>
      </c>
      <c r="F8" s="58">
        <v>0</v>
      </c>
      <c r="G8" s="58">
        <v>1.098901098901099E-2</v>
      </c>
      <c r="H8" s="20">
        <v>0</v>
      </c>
      <c r="I8" s="58">
        <v>1.1363636363636364E-2</v>
      </c>
      <c r="J8" s="58">
        <v>0</v>
      </c>
      <c r="K8" s="58">
        <v>0</v>
      </c>
      <c r="L8" s="58">
        <v>0</v>
      </c>
      <c r="M8" s="64">
        <v>1.0752688172043012E-2</v>
      </c>
      <c r="N8" s="63" t="s">
        <v>38</v>
      </c>
      <c r="O8" s="24">
        <f t="shared" si="0"/>
        <v>1.0457706178520749E-2</v>
      </c>
    </row>
    <row r="9" spans="1:15" x14ac:dyDescent="0.25">
      <c r="A9" s="63" t="s">
        <v>40</v>
      </c>
      <c r="B9" s="58">
        <v>0.15068493150684931</v>
      </c>
      <c r="C9" s="58">
        <v>0.12195121951219512</v>
      </c>
      <c r="D9" s="58">
        <v>0.1891891891891892</v>
      </c>
      <c r="E9" s="58">
        <v>7.3529411764705885E-2</v>
      </c>
      <c r="F9" s="58">
        <v>0.15254237288135594</v>
      </c>
      <c r="G9" s="58">
        <v>7.6923076923076927E-2</v>
      </c>
      <c r="H9" s="20">
        <v>7.4468085106382975E-2</v>
      </c>
      <c r="I9" s="58">
        <v>7.9545454545454544E-2</v>
      </c>
      <c r="J9" s="58">
        <v>0.12857142857142856</v>
      </c>
      <c r="K9" s="58">
        <v>0.13580246913580246</v>
      </c>
      <c r="L9" s="58">
        <v>6.0606060606060608E-2</v>
      </c>
      <c r="M9" s="64">
        <v>0.12903225806451613</v>
      </c>
      <c r="N9" s="63" t="s">
        <v>40</v>
      </c>
      <c r="O9" s="24">
        <f t="shared" si="0"/>
        <v>0.11440382981725146</v>
      </c>
    </row>
    <row r="10" spans="1:15" x14ac:dyDescent="0.25">
      <c r="A10" s="63" t="s">
        <v>42</v>
      </c>
      <c r="B10" s="58">
        <v>0</v>
      </c>
      <c r="C10" s="58">
        <v>2.4390243902439025E-2</v>
      </c>
      <c r="D10" s="58">
        <v>0</v>
      </c>
      <c r="E10" s="58">
        <v>0</v>
      </c>
      <c r="F10" s="58">
        <v>0</v>
      </c>
      <c r="G10" s="58">
        <v>0</v>
      </c>
      <c r="H10" s="20">
        <v>0</v>
      </c>
      <c r="I10" s="58">
        <v>0</v>
      </c>
      <c r="J10" s="58">
        <v>1.4285714285714285E-2</v>
      </c>
      <c r="K10" s="58">
        <v>0</v>
      </c>
      <c r="L10" s="58">
        <v>1.0101010101010102E-2</v>
      </c>
      <c r="M10" s="64">
        <v>1.0752688172043012E-2</v>
      </c>
      <c r="N10" s="63" t="s">
        <v>42</v>
      </c>
      <c r="O10" s="24">
        <f t="shared" si="0"/>
        <v>4.9608047051005353E-3</v>
      </c>
    </row>
    <row r="11" spans="1:15" ht="15.75" thickBot="1" x14ac:dyDescent="0.3">
      <c r="A11" s="65" t="s">
        <v>44</v>
      </c>
      <c r="B11" s="66">
        <v>5.4794520547945202E-2</v>
      </c>
      <c r="C11" s="66">
        <v>0.14634146341463414</v>
      </c>
      <c r="D11" s="66">
        <v>8.1081081081081086E-2</v>
      </c>
      <c r="E11" s="66">
        <v>0.10294117647058823</v>
      </c>
      <c r="F11" s="66">
        <v>0.15254237288135594</v>
      </c>
      <c r="G11" s="66">
        <v>0.14285714285714285</v>
      </c>
      <c r="H11" s="26">
        <v>0.18085106382978725</v>
      </c>
      <c r="I11" s="66">
        <v>0.18181818181818182</v>
      </c>
      <c r="J11" s="66">
        <v>0.18571428571428572</v>
      </c>
      <c r="K11" s="66">
        <v>0.18518518518518517</v>
      </c>
      <c r="L11" s="66">
        <v>0.1111111111111111</v>
      </c>
      <c r="M11" s="67">
        <v>0.10752688172043011</v>
      </c>
      <c r="N11" s="65" t="s">
        <v>44</v>
      </c>
      <c r="O11" s="24">
        <f t="shared" si="0"/>
        <v>0.13606370555264405</v>
      </c>
    </row>
    <row r="12" spans="1:15" x14ac:dyDescent="0.25">
      <c r="O12" s="24"/>
    </row>
    <row r="13" spans="1:15" x14ac:dyDescent="0.25">
      <c r="A13" s="109" t="s">
        <v>48</v>
      </c>
      <c r="B13" s="109" t="s">
        <v>126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O13" s="24"/>
    </row>
    <row r="14" spans="1:15" x14ac:dyDescent="0.25">
      <c r="A14" s="109"/>
      <c r="B14" s="51" t="s">
        <v>150</v>
      </c>
      <c r="C14" s="51" t="s">
        <v>151</v>
      </c>
      <c r="D14" s="51" t="s">
        <v>152</v>
      </c>
      <c r="E14" s="51" t="s">
        <v>153</v>
      </c>
      <c r="F14" s="51" t="s">
        <v>154</v>
      </c>
      <c r="G14" s="51" t="s">
        <v>155</v>
      </c>
      <c r="H14" s="51" t="s">
        <v>156</v>
      </c>
      <c r="I14" s="51" t="s">
        <v>157</v>
      </c>
      <c r="J14" s="51" t="s">
        <v>158</v>
      </c>
      <c r="K14" s="51" t="s">
        <v>159</v>
      </c>
      <c r="L14" s="51" t="s">
        <v>160</v>
      </c>
      <c r="M14" s="51" t="s">
        <v>161</v>
      </c>
      <c r="O14" s="24"/>
    </row>
    <row r="15" spans="1:15" x14ac:dyDescent="0.25">
      <c r="A15" s="51" t="s">
        <v>51</v>
      </c>
      <c r="B15" s="58">
        <v>0.16867469879518071</v>
      </c>
      <c r="C15" s="58">
        <v>0.58888888888888891</v>
      </c>
      <c r="D15" s="58">
        <v>0.5</v>
      </c>
      <c r="E15" s="58">
        <v>0.27631578947368424</v>
      </c>
      <c r="F15" s="58">
        <v>0.19047619047619047</v>
      </c>
      <c r="G15" s="58">
        <v>0.60194174757281549</v>
      </c>
      <c r="H15" s="58">
        <v>0.23584905660377359</v>
      </c>
      <c r="I15" s="58">
        <v>0.34653465346534651</v>
      </c>
      <c r="J15" s="58">
        <v>0.28749999999999998</v>
      </c>
      <c r="K15" s="58">
        <v>0.2988505747126437</v>
      </c>
      <c r="L15" s="58">
        <v>0.52884615384615385</v>
      </c>
      <c r="M15" s="58">
        <v>0.45098039215686275</v>
      </c>
      <c r="N15" s="51" t="s">
        <v>51</v>
      </c>
      <c r="O15" s="24">
        <f t="shared" ref="O15:O24" si="1">AVERAGE(B15:M15)</f>
        <v>0.37290484549929498</v>
      </c>
    </row>
    <row r="16" spans="1:15" x14ac:dyDescent="0.25">
      <c r="A16" s="51" t="s">
        <v>53</v>
      </c>
      <c r="B16" s="58">
        <v>0.2289156626506024</v>
      </c>
      <c r="C16" s="58">
        <v>0.12222222222222222</v>
      </c>
      <c r="D16" s="58">
        <v>0.125</v>
      </c>
      <c r="E16" s="58">
        <v>0.17105263157894737</v>
      </c>
      <c r="F16" s="58">
        <v>0.34920634920634919</v>
      </c>
      <c r="G16" s="58">
        <v>5.8252427184466021E-2</v>
      </c>
      <c r="H16" s="58">
        <v>0.31132075471698112</v>
      </c>
      <c r="I16" s="58">
        <v>0.31683168316831684</v>
      </c>
      <c r="J16" s="58">
        <v>0.33750000000000002</v>
      </c>
      <c r="K16" s="58">
        <v>0.28735632183908044</v>
      </c>
      <c r="L16" s="58">
        <v>0.20192307692307693</v>
      </c>
      <c r="M16" s="58">
        <v>0.11764705882352941</v>
      </c>
      <c r="N16" s="51" t="s">
        <v>53</v>
      </c>
      <c r="O16" s="24">
        <f t="shared" si="1"/>
        <v>0.21893568235946437</v>
      </c>
    </row>
    <row r="17" spans="1:15" x14ac:dyDescent="0.25">
      <c r="A17" s="51" t="s">
        <v>55</v>
      </c>
      <c r="B17" s="58">
        <v>0.20481927710843373</v>
      </c>
      <c r="C17" s="58">
        <v>7.7777777777777779E-2</v>
      </c>
      <c r="D17" s="58">
        <v>0</v>
      </c>
      <c r="E17" s="58">
        <v>0.19736842105263158</v>
      </c>
      <c r="F17" s="58">
        <v>0.34920634920634919</v>
      </c>
      <c r="G17" s="58">
        <v>7.7669902912621352E-2</v>
      </c>
      <c r="H17" s="58">
        <v>0.11320754716981132</v>
      </c>
      <c r="I17" s="58">
        <v>9.9009900990099015E-2</v>
      </c>
      <c r="J17" s="58">
        <v>0.16250000000000001</v>
      </c>
      <c r="K17" s="58">
        <v>0.10344827586206896</v>
      </c>
      <c r="L17" s="58">
        <v>6.7307692307692304E-2</v>
      </c>
      <c r="M17" s="58">
        <v>0.16666666666666666</v>
      </c>
      <c r="N17" s="51" t="s">
        <v>55</v>
      </c>
      <c r="O17" s="24">
        <f t="shared" si="1"/>
        <v>0.13491515092117934</v>
      </c>
    </row>
    <row r="18" spans="1:15" x14ac:dyDescent="0.25">
      <c r="A18" s="51" t="s">
        <v>57</v>
      </c>
      <c r="B18" s="58">
        <v>0.16867469879518071</v>
      </c>
      <c r="C18" s="58">
        <v>3.3333333333333333E-2</v>
      </c>
      <c r="D18" s="58">
        <v>0.15</v>
      </c>
      <c r="E18" s="58">
        <v>0.15789473684210525</v>
      </c>
      <c r="F18" s="58">
        <v>4.7619047619047616E-2</v>
      </c>
      <c r="G18" s="58">
        <v>9.7087378640776698E-2</v>
      </c>
      <c r="H18" s="58">
        <v>8.4905660377358486E-2</v>
      </c>
      <c r="I18" s="58">
        <v>6.9306930693069313E-2</v>
      </c>
      <c r="J18" s="58">
        <v>1.2500000000000001E-2</v>
      </c>
      <c r="K18" s="58">
        <v>5.7471264367816091E-2</v>
      </c>
      <c r="L18" s="58">
        <v>0.11538461538461539</v>
      </c>
      <c r="M18" s="58">
        <v>6.8627450980392163E-2</v>
      </c>
      <c r="N18" s="51" t="s">
        <v>57</v>
      </c>
      <c r="O18" s="24">
        <f t="shared" si="1"/>
        <v>8.8567093086141246E-2</v>
      </c>
    </row>
    <row r="19" spans="1:15" x14ac:dyDescent="0.25">
      <c r="A19" s="51" t="s">
        <v>58</v>
      </c>
      <c r="B19" s="58">
        <v>8.4337349397590355E-2</v>
      </c>
      <c r="C19" s="58">
        <v>3.3333333333333333E-2</v>
      </c>
      <c r="D19" s="58">
        <v>0.15</v>
      </c>
      <c r="E19" s="58">
        <v>7.8947368421052627E-2</v>
      </c>
      <c r="F19" s="58">
        <v>0</v>
      </c>
      <c r="G19" s="58">
        <v>3.8834951456310676E-2</v>
      </c>
      <c r="H19" s="58">
        <v>9.4339622641509441E-2</v>
      </c>
      <c r="I19" s="58">
        <v>1.9801980198019802E-2</v>
      </c>
      <c r="J19" s="58">
        <v>0.05</v>
      </c>
      <c r="K19" s="58">
        <v>0.16091954022988506</v>
      </c>
      <c r="L19" s="58">
        <v>0</v>
      </c>
      <c r="M19" s="58">
        <v>0.10784313725490197</v>
      </c>
      <c r="N19" s="51" t="s">
        <v>58</v>
      </c>
      <c r="O19" s="24">
        <f t="shared" si="1"/>
        <v>6.8196440244383608E-2</v>
      </c>
    </row>
    <row r="20" spans="1:15" x14ac:dyDescent="0.25">
      <c r="A20" s="51" t="s">
        <v>59</v>
      </c>
      <c r="B20" s="58">
        <v>0</v>
      </c>
      <c r="C20" s="58">
        <v>3.3333333333333333E-2</v>
      </c>
      <c r="D20" s="58">
        <v>0</v>
      </c>
      <c r="E20" s="58">
        <v>0</v>
      </c>
      <c r="F20" s="58">
        <v>0</v>
      </c>
      <c r="G20" s="58">
        <v>0</v>
      </c>
      <c r="H20" s="58">
        <v>4.716981132075472E-2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1" t="s">
        <v>59</v>
      </c>
      <c r="O20" s="24">
        <f t="shared" si="1"/>
        <v>6.7085953878406714E-3</v>
      </c>
    </row>
    <row r="21" spans="1:15" x14ac:dyDescent="0.25">
      <c r="A21" s="51" t="s">
        <v>60</v>
      </c>
      <c r="B21" s="58">
        <v>0</v>
      </c>
      <c r="C21" s="58">
        <v>0</v>
      </c>
      <c r="D21" s="58">
        <v>0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1" t="s">
        <v>60</v>
      </c>
      <c r="O21" s="24">
        <f t="shared" si="1"/>
        <v>0</v>
      </c>
    </row>
    <row r="22" spans="1:15" x14ac:dyDescent="0.25">
      <c r="A22" s="51" t="s">
        <v>62</v>
      </c>
      <c r="B22" s="58">
        <v>0</v>
      </c>
      <c r="C22" s="58">
        <v>1.1111111111111112E-2</v>
      </c>
      <c r="D22" s="58">
        <v>0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1" t="s">
        <v>62</v>
      </c>
      <c r="O22" s="24">
        <f t="shared" si="1"/>
        <v>9.2592592592592596E-4</v>
      </c>
    </row>
    <row r="23" spans="1:15" x14ac:dyDescent="0.25">
      <c r="A23" s="51" t="s">
        <v>64</v>
      </c>
      <c r="B23" s="58">
        <v>2.4096385542168676E-2</v>
      </c>
      <c r="C23" s="58">
        <v>1.1111111111111112E-2</v>
      </c>
      <c r="D23" s="58">
        <v>0</v>
      </c>
      <c r="E23" s="58">
        <v>0</v>
      </c>
      <c r="F23" s="58">
        <v>0</v>
      </c>
      <c r="G23" s="58">
        <v>1.9417475728155338E-2</v>
      </c>
      <c r="H23" s="58">
        <v>0</v>
      </c>
      <c r="I23" s="58">
        <v>1.9801980198019802E-2</v>
      </c>
      <c r="J23" s="58">
        <v>0</v>
      </c>
      <c r="K23" s="58">
        <v>2.2988505747126436E-2</v>
      </c>
      <c r="L23" s="58">
        <v>3.8461538461538464E-2</v>
      </c>
      <c r="M23" s="58">
        <v>0</v>
      </c>
      <c r="N23" s="51" t="s">
        <v>64</v>
      </c>
      <c r="O23" s="24">
        <f t="shared" si="1"/>
        <v>1.1323083065676651E-2</v>
      </c>
    </row>
    <row r="24" spans="1:15" x14ac:dyDescent="0.25">
      <c r="A24" s="51" t="s">
        <v>65</v>
      </c>
      <c r="B24" s="58">
        <v>0.12048192771084337</v>
      </c>
      <c r="C24" s="58">
        <v>8.8888888888888892E-2</v>
      </c>
      <c r="D24" s="58">
        <v>7.4999999999999997E-2</v>
      </c>
      <c r="E24" s="58">
        <v>0.11842105263157894</v>
      </c>
      <c r="F24" s="58">
        <v>6.3492063492063489E-2</v>
      </c>
      <c r="G24" s="58">
        <v>0.10679611650485436</v>
      </c>
      <c r="H24" s="58">
        <v>0.11320754716981132</v>
      </c>
      <c r="I24" s="58">
        <v>0.12871287128712872</v>
      </c>
      <c r="J24" s="58">
        <v>0.15</v>
      </c>
      <c r="K24" s="58">
        <v>6.8965517241379309E-2</v>
      </c>
      <c r="L24" s="58">
        <v>4.807692307692308E-2</v>
      </c>
      <c r="M24" s="58">
        <v>8.8235294117647065E-2</v>
      </c>
      <c r="N24" s="51" t="s">
        <v>65</v>
      </c>
      <c r="O24" s="24">
        <f t="shared" si="1"/>
        <v>9.7523183510093203E-2</v>
      </c>
    </row>
    <row r="25" spans="1:15" ht="15.75" thickBot="1" x14ac:dyDescent="0.3">
      <c r="A25" s="29" t="s">
        <v>19</v>
      </c>
      <c r="O25" s="24"/>
    </row>
    <row r="26" spans="1:15" x14ac:dyDescent="0.25">
      <c r="A26" s="105" t="s">
        <v>162</v>
      </c>
      <c r="B26" s="103" t="s">
        <v>126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4"/>
      <c r="O26" s="24"/>
    </row>
    <row r="27" spans="1:15" x14ac:dyDescent="0.25">
      <c r="A27" s="106"/>
      <c r="B27" s="51" t="s">
        <v>150</v>
      </c>
      <c r="C27" s="51" t="s">
        <v>151</v>
      </c>
      <c r="D27" s="51" t="s">
        <v>152</v>
      </c>
      <c r="E27" s="51" t="s">
        <v>153</v>
      </c>
      <c r="F27" s="51" t="s">
        <v>154</v>
      </c>
      <c r="G27" s="51" t="s">
        <v>155</v>
      </c>
      <c r="H27" s="51" t="s">
        <v>156</v>
      </c>
      <c r="I27" s="51" t="s">
        <v>157</v>
      </c>
      <c r="J27" s="51" t="s">
        <v>158</v>
      </c>
      <c r="K27" s="51" t="s">
        <v>159</v>
      </c>
      <c r="L27" s="51" t="s">
        <v>160</v>
      </c>
      <c r="M27" s="62" t="s">
        <v>161</v>
      </c>
      <c r="O27" s="24"/>
    </row>
    <row r="28" spans="1:15" x14ac:dyDescent="0.25">
      <c r="A28" s="63" t="s">
        <v>163</v>
      </c>
      <c r="B28" s="58">
        <v>0.5</v>
      </c>
      <c r="C28" s="58">
        <v>0.53846153846153844</v>
      </c>
      <c r="D28" s="58">
        <v>0.375</v>
      </c>
      <c r="E28" s="58">
        <v>0.57894736842105265</v>
      </c>
      <c r="F28" s="58">
        <v>0.61111111111111116</v>
      </c>
      <c r="G28" s="58">
        <v>0.46153846153846156</v>
      </c>
      <c r="H28" s="58">
        <v>0.66666666666666663</v>
      </c>
      <c r="I28" s="58">
        <v>0.6470588235294118</v>
      </c>
      <c r="J28" s="58">
        <v>0.57894736842105265</v>
      </c>
      <c r="K28" s="58">
        <v>0.64</v>
      </c>
      <c r="L28" s="58">
        <v>0.66666666666666663</v>
      </c>
      <c r="M28" s="64">
        <v>0.2857142857142857</v>
      </c>
      <c r="N28" s="63" t="s">
        <v>163</v>
      </c>
      <c r="O28" s="24">
        <f>AVERAGE(B28:M28)</f>
        <v>0.54584269087752058</v>
      </c>
    </row>
    <row r="29" spans="1:15" x14ac:dyDescent="0.25">
      <c r="A29" s="63" t="s">
        <v>164</v>
      </c>
      <c r="B29" s="58">
        <v>0.22727272727272727</v>
      </c>
      <c r="C29" s="58">
        <v>0.23076923076923078</v>
      </c>
      <c r="D29" s="58">
        <v>0.375</v>
      </c>
      <c r="E29" s="58">
        <v>0.26315789473684209</v>
      </c>
      <c r="F29" s="58">
        <v>0.22222222222222221</v>
      </c>
      <c r="G29" s="58">
        <v>0.34615384615384615</v>
      </c>
      <c r="H29" s="58">
        <v>0.44444444444444442</v>
      </c>
      <c r="I29" s="58">
        <v>0.17647058823529413</v>
      </c>
      <c r="J29" s="58">
        <v>0.26315789473684209</v>
      </c>
      <c r="K29" s="58">
        <v>0.2</v>
      </c>
      <c r="L29" s="58">
        <v>0.24242424242424243</v>
      </c>
      <c r="M29" s="64">
        <v>0.39285714285714285</v>
      </c>
      <c r="N29" s="63" t="s">
        <v>164</v>
      </c>
      <c r="O29" s="24">
        <f>AVERAGE(B29:M29)</f>
        <v>0.2819941861544028</v>
      </c>
    </row>
    <row r="30" spans="1:15" ht="15.75" thickBot="1" x14ac:dyDescent="0.3">
      <c r="A30" s="65" t="s">
        <v>165</v>
      </c>
      <c r="B30" s="66">
        <v>0.22727272727272727</v>
      </c>
      <c r="C30" s="66">
        <v>0.23076923076923078</v>
      </c>
      <c r="D30" s="66">
        <v>0.25</v>
      </c>
      <c r="E30" s="66">
        <v>0.15789473684210525</v>
      </c>
      <c r="F30" s="66">
        <v>0.16666666666666666</v>
      </c>
      <c r="G30" s="66">
        <v>0.19230769230769232</v>
      </c>
      <c r="H30" s="66">
        <v>0.1111111111111111</v>
      </c>
      <c r="I30" s="66">
        <v>0.17647058823529413</v>
      </c>
      <c r="J30" s="66">
        <v>0.15789473684210525</v>
      </c>
      <c r="K30" s="66">
        <v>0.16</v>
      </c>
      <c r="L30" s="66">
        <v>9.0909090909090912E-2</v>
      </c>
      <c r="M30" s="67">
        <v>0.32142857142857145</v>
      </c>
      <c r="N30" s="65" t="s">
        <v>165</v>
      </c>
      <c r="O30" s="24">
        <f>AVERAGE(B30:M30)</f>
        <v>0.18689376269871627</v>
      </c>
    </row>
    <row r="31" spans="1:15" ht="15.75" thickBot="1" x14ac:dyDescent="0.3">
      <c r="O31" s="24"/>
    </row>
    <row r="32" spans="1:15" x14ac:dyDescent="0.25">
      <c r="A32" s="105" t="s">
        <v>166</v>
      </c>
      <c r="B32" s="103" t="s">
        <v>126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4"/>
      <c r="O32" s="24"/>
    </row>
    <row r="33" spans="1:15" x14ac:dyDescent="0.25">
      <c r="A33" s="106"/>
      <c r="B33" s="51" t="s">
        <v>150</v>
      </c>
      <c r="C33" s="51" t="s">
        <v>151</v>
      </c>
      <c r="D33" s="51" t="s">
        <v>152</v>
      </c>
      <c r="E33" s="51" t="s">
        <v>153</v>
      </c>
      <c r="F33" s="51" t="s">
        <v>154</v>
      </c>
      <c r="G33" s="51" t="s">
        <v>155</v>
      </c>
      <c r="H33" s="51" t="s">
        <v>156</v>
      </c>
      <c r="I33" s="51" t="s">
        <v>157</v>
      </c>
      <c r="J33" s="51" t="s">
        <v>158</v>
      </c>
      <c r="K33" s="51" t="s">
        <v>159</v>
      </c>
      <c r="L33" s="51" t="s">
        <v>160</v>
      </c>
      <c r="M33" s="62" t="s">
        <v>161</v>
      </c>
      <c r="O33" s="24"/>
    </row>
    <row r="34" spans="1:15" x14ac:dyDescent="0.25">
      <c r="A34" s="68" t="s">
        <v>167</v>
      </c>
      <c r="B34" s="58">
        <v>9.0909090909090912E-2</v>
      </c>
      <c r="C34" s="58">
        <v>0</v>
      </c>
      <c r="D34" s="58">
        <v>0.125</v>
      </c>
      <c r="E34" s="58">
        <v>0</v>
      </c>
      <c r="F34" s="58">
        <v>0.1111111111111111</v>
      </c>
      <c r="G34" s="58">
        <v>3.8461538461538464E-2</v>
      </c>
      <c r="H34" s="58">
        <v>0.18518518518518517</v>
      </c>
      <c r="I34" s="58">
        <v>0.17647058823529413</v>
      </c>
      <c r="J34" s="58">
        <v>5.2631578947368418E-2</v>
      </c>
      <c r="K34" s="58">
        <v>0.12</v>
      </c>
      <c r="L34" s="58">
        <v>0.33333333333333331</v>
      </c>
      <c r="M34" s="64">
        <v>0.10714285714285714</v>
      </c>
      <c r="N34" s="68" t="s">
        <v>167</v>
      </c>
      <c r="O34" s="24">
        <f t="shared" ref="O34:O45" si="2">AVERAGE(B34:M34)</f>
        <v>0.1116871069438149</v>
      </c>
    </row>
    <row r="35" spans="1:15" x14ac:dyDescent="0.25">
      <c r="A35" s="68" t="s">
        <v>168</v>
      </c>
      <c r="B35" s="58">
        <v>4.5454545454545456E-2</v>
      </c>
      <c r="C35" s="58">
        <v>7.6923076923076927E-2</v>
      </c>
      <c r="D35" s="58">
        <v>0.25</v>
      </c>
      <c r="E35" s="58">
        <v>0.47368421052631576</v>
      </c>
      <c r="F35" s="58">
        <v>0</v>
      </c>
      <c r="G35" s="58">
        <v>0.11538461538461539</v>
      </c>
      <c r="H35" s="58">
        <v>3.7037037037037035E-2</v>
      </c>
      <c r="I35" s="58">
        <v>0.17647058823529413</v>
      </c>
      <c r="J35" s="58">
        <v>0.15789473684210525</v>
      </c>
      <c r="K35" s="58">
        <v>0.16</v>
      </c>
      <c r="L35" s="58">
        <v>3.0303030303030304E-2</v>
      </c>
      <c r="M35" s="64">
        <v>3.5714285714285712E-2</v>
      </c>
      <c r="N35" s="68" t="s">
        <v>168</v>
      </c>
      <c r="O35" s="24">
        <f t="shared" si="2"/>
        <v>0.1299055105350255</v>
      </c>
    </row>
    <row r="36" spans="1:15" x14ac:dyDescent="0.25">
      <c r="A36" s="68" t="s">
        <v>169</v>
      </c>
      <c r="B36" s="58">
        <v>9.0909090909090912E-2</v>
      </c>
      <c r="C36" s="58">
        <v>0.38461538461538464</v>
      </c>
      <c r="D36" s="58">
        <v>0.125</v>
      </c>
      <c r="E36" s="58">
        <v>5.2631578947368418E-2</v>
      </c>
      <c r="F36" s="58">
        <v>0.33333333333333331</v>
      </c>
      <c r="G36" s="58">
        <v>3.8461538461538464E-2</v>
      </c>
      <c r="H36" s="58">
        <v>0.14814814814814814</v>
      </c>
      <c r="I36" s="58">
        <v>5.8823529411764705E-2</v>
      </c>
      <c r="J36" s="58">
        <v>0.10526315789473684</v>
      </c>
      <c r="K36" s="58">
        <v>0.08</v>
      </c>
      <c r="L36" s="58">
        <v>6.0606060606060608E-2</v>
      </c>
      <c r="M36" s="64">
        <v>0.10714285714285714</v>
      </c>
      <c r="N36" s="68" t="s">
        <v>169</v>
      </c>
      <c r="O36" s="24">
        <f t="shared" si="2"/>
        <v>0.13207788995585693</v>
      </c>
    </row>
    <row r="37" spans="1:15" x14ac:dyDescent="0.25">
      <c r="A37" s="68" t="s">
        <v>170</v>
      </c>
      <c r="B37" s="58">
        <v>9.0909090909090912E-2</v>
      </c>
      <c r="C37" s="58">
        <v>7.6923076923076927E-2</v>
      </c>
      <c r="D37" s="58">
        <v>0.125</v>
      </c>
      <c r="E37" s="58">
        <v>0.10526315789473684</v>
      </c>
      <c r="F37" s="58">
        <v>5.5555555555555552E-2</v>
      </c>
      <c r="G37" s="58">
        <v>0.11538461538461539</v>
      </c>
      <c r="H37" s="58">
        <v>7.407407407407407E-2</v>
      </c>
      <c r="I37" s="58">
        <v>0.14705882352941177</v>
      </c>
      <c r="J37" s="58">
        <v>0.15789473684210525</v>
      </c>
      <c r="K37" s="58">
        <v>0</v>
      </c>
      <c r="L37" s="58">
        <v>6.0606060606060608E-2</v>
      </c>
      <c r="M37" s="64">
        <v>0.14285714285714285</v>
      </c>
      <c r="N37" s="68" t="s">
        <v>170</v>
      </c>
      <c r="O37" s="24">
        <f t="shared" si="2"/>
        <v>9.5960527881322519E-2</v>
      </c>
    </row>
    <row r="38" spans="1:15" x14ac:dyDescent="0.25">
      <c r="A38" s="68" t="s">
        <v>171</v>
      </c>
      <c r="B38" s="58">
        <v>0.18181818181818182</v>
      </c>
      <c r="C38" s="58">
        <v>0</v>
      </c>
      <c r="D38" s="58">
        <v>0</v>
      </c>
      <c r="E38" s="58">
        <v>0.10526315789473684</v>
      </c>
      <c r="F38" s="58">
        <v>0.27777777777777779</v>
      </c>
      <c r="G38" s="58">
        <v>0.34615384615384615</v>
      </c>
      <c r="H38" s="58">
        <v>0.18518518518518517</v>
      </c>
      <c r="I38" s="58">
        <v>0.23529411764705882</v>
      </c>
      <c r="J38" s="58">
        <v>0.21052631578947367</v>
      </c>
      <c r="K38" s="58">
        <v>0.12</v>
      </c>
      <c r="L38" s="58">
        <v>0.18181818181818182</v>
      </c>
      <c r="M38" s="64">
        <v>0.17857142857142858</v>
      </c>
      <c r="N38" s="68" t="s">
        <v>171</v>
      </c>
      <c r="O38" s="24">
        <f t="shared" si="2"/>
        <v>0.1685340160546559</v>
      </c>
    </row>
    <row r="39" spans="1:15" x14ac:dyDescent="0.25">
      <c r="A39" s="68" t="s">
        <v>172</v>
      </c>
      <c r="B39" s="58">
        <v>0.40909090909090912</v>
      </c>
      <c r="C39" s="58">
        <v>0.15384615384615385</v>
      </c>
      <c r="D39" s="58">
        <v>0.375</v>
      </c>
      <c r="E39" s="58">
        <v>0.15789473684210525</v>
      </c>
      <c r="F39" s="58">
        <v>0.1111111111111111</v>
      </c>
      <c r="G39" s="58">
        <v>0.26923076923076922</v>
      </c>
      <c r="H39" s="58">
        <v>0.29629629629629628</v>
      </c>
      <c r="I39" s="58">
        <v>0.14705882352941177</v>
      </c>
      <c r="J39" s="58">
        <v>0.31578947368421051</v>
      </c>
      <c r="K39" s="58">
        <v>0.28000000000000003</v>
      </c>
      <c r="L39" s="58">
        <v>0.24242424242424243</v>
      </c>
      <c r="M39" s="64">
        <v>0.2857142857142857</v>
      </c>
      <c r="N39" s="68" t="s">
        <v>172</v>
      </c>
      <c r="O39" s="24">
        <f t="shared" si="2"/>
        <v>0.25362140014745793</v>
      </c>
    </row>
    <row r="40" spans="1:15" x14ac:dyDescent="0.25">
      <c r="A40" s="68" t="s">
        <v>173</v>
      </c>
      <c r="B40" s="58">
        <v>4.5454545454545456E-2</v>
      </c>
      <c r="C40" s="58">
        <v>7.6923076923076927E-2</v>
      </c>
      <c r="D40" s="58">
        <v>0</v>
      </c>
      <c r="E40" s="58">
        <v>0</v>
      </c>
      <c r="F40" s="58">
        <v>0</v>
      </c>
      <c r="G40" s="58">
        <v>7.6923076923076927E-2</v>
      </c>
      <c r="H40" s="58">
        <v>0</v>
      </c>
      <c r="I40" s="69">
        <v>0</v>
      </c>
      <c r="J40" s="58">
        <v>0</v>
      </c>
      <c r="K40" s="58">
        <v>0.04</v>
      </c>
      <c r="L40" s="58">
        <v>9.0909090909090912E-2</v>
      </c>
      <c r="M40" s="64">
        <v>3.5714285714285712E-2</v>
      </c>
      <c r="N40" s="68" t="s">
        <v>173</v>
      </c>
      <c r="O40" s="24">
        <f t="shared" si="2"/>
        <v>3.0493672993672994E-2</v>
      </c>
    </row>
    <row r="41" spans="1:15" x14ac:dyDescent="0.25">
      <c r="A41" s="68" t="s">
        <v>174</v>
      </c>
      <c r="B41" s="58">
        <v>4.5454545454545456E-2</v>
      </c>
      <c r="C41" s="58">
        <v>0.15384615384615385</v>
      </c>
      <c r="D41" s="58">
        <v>0</v>
      </c>
      <c r="E41" s="58">
        <v>5.2631578947368418E-2</v>
      </c>
      <c r="F41" s="58">
        <v>0</v>
      </c>
      <c r="G41" s="58">
        <v>0</v>
      </c>
      <c r="H41" s="58">
        <v>3.7037037037037035E-2</v>
      </c>
      <c r="I41" s="69">
        <v>2.9411764705882353E-2</v>
      </c>
      <c r="J41" s="69">
        <v>0</v>
      </c>
      <c r="K41" s="58">
        <v>0.08</v>
      </c>
      <c r="L41" s="58">
        <v>0</v>
      </c>
      <c r="M41" s="64">
        <v>7.1428571428571425E-2</v>
      </c>
      <c r="N41" s="68" t="s">
        <v>174</v>
      </c>
      <c r="O41" s="24">
        <f t="shared" si="2"/>
        <v>3.915080428496321E-2</v>
      </c>
    </row>
    <row r="42" spans="1:15" x14ac:dyDescent="0.25">
      <c r="A42" s="68" t="s">
        <v>175</v>
      </c>
      <c r="B42" s="58">
        <v>0</v>
      </c>
      <c r="C42" s="58">
        <v>0</v>
      </c>
      <c r="D42" s="58">
        <v>0</v>
      </c>
      <c r="E42" s="58">
        <v>5.2631578947368418E-2</v>
      </c>
      <c r="F42" s="58">
        <v>5.5555555555555552E-2</v>
      </c>
      <c r="G42" s="58">
        <v>0</v>
      </c>
      <c r="H42" s="58">
        <v>3.7037037037037035E-2</v>
      </c>
      <c r="I42" s="58">
        <v>0</v>
      </c>
      <c r="J42" s="58">
        <v>0</v>
      </c>
      <c r="K42" s="58">
        <v>0.04</v>
      </c>
      <c r="L42" s="58">
        <v>0</v>
      </c>
      <c r="M42" s="64">
        <v>0</v>
      </c>
      <c r="N42" s="68" t="s">
        <v>175</v>
      </c>
      <c r="O42" s="24">
        <f t="shared" si="2"/>
        <v>1.5435347628330084E-2</v>
      </c>
    </row>
    <row r="43" spans="1:15" x14ac:dyDescent="0.25">
      <c r="A43" s="68" t="s">
        <v>176</v>
      </c>
      <c r="B43" s="58">
        <v>0</v>
      </c>
      <c r="C43" s="58">
        <v>0</v>
      </c>
      <c r="D43" s="58">
        <v>0</v>
      </c>
      <c r="E43" s="58">
        <v>0</v>
      </c>
      <c r="F43" s="58">
        <v>0</v>
      </c>
      <c r="G43" s="58">
        <v>0</v>
      </c>
      <c r="H43" s="58">
        <v>0</v>
      </c>
      <c r="I43" s="58">
        <v>2.9411764705882353E-2</v>
      </c>
      <c r="J43" s="58">
        <v>0</v>
      </c>
      <c r="K43" s="58">
        <v>0.04</v>
      </c>
      <c r="L43" s="58">
        <v>0</v>
      </c>
      <c r="M43" s="64">
        <v>3.5714285714285712E-2</v>
      </c>
      <c r="N43" s="68" t="s">
        <v>176</v>
      </c>
      <c r="O43" s="24">
        <f t="shared" si="2"/>
        <v>8.7605042016806727E-3</v>
      </c>
    </row>
    <row r="44" spans="1:15" x14ac:dyDescent="0.25">
      <c r="A44" s="68" t="s">
        <v>177</v>
      </c>
      <c r="B44" s="69">
        <v>0</v>
      </c>
      <c r="C44" s="69">
        <v>0</v>
      </c>
      <c r="D44" s="69">
        <v>0</v>
      </c>
      <c r="E44" s="69">
        <v>0</v>
      </c>
      <c r="F44" s="69">
        <v>5.5555555555555552E-2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58">
        <v>0</v>
      </c>
      <c r="M44" s="64">
        <v>0</v>
      </c>
      <c r="N44" s="68" t="s">
        <v>177</v>
      </c>
      <c r="O44" s="24">
        <f t="shared" si="2"/>
        <v>4.6296296296296294E-3</v>
      </c>
    </row>
    <row r="45" spans="1:15" ht="15.75" thickBot="1" x14ac:dyDescent="0.3">
      <c r="A45" s="70" t="s">
        <v>178</v>
      </c>
      <c r="B45" s="71">
        <v>0</v>
      </c>
      <c r="C45" s="71">
        <v>7.6923076923076927E-2</v>
      </c>
      <c r="D45" s="71">
        <v>0</v>
      </c>
      <c r="E45" s="71">
        <v>0</v>
      </c>
      <c r="F45" s="71">
        <v>0</v>
      </c>
      <c r="G45" s="71">
        <v>0</v>
      </c>
      <c r="H45" s="71">
        <v>0</v>
      </c>
      <c r="I45" s="66">
        <v>0</v>
      </c>
      <c r="J45" s="71">
        <v>0</v>
      </c>
      <c r="K45" s="71">
        <v>0.04</v>
      </c>
      <c r="L45" s="66">
        <v>0</v>
      </c>
      <c r="M45" s="67">
        <v>0</v>
      </c>
      <c r="N45" s="70" t="s">
        <v>178</v>
      </c>
      <c r="O45" s="24">
        <f t="shared" si="2"/>
        <v>9.743589743589744E-3</v>
      </c>
    </row>
    <row r="46" spans="1:15" ht="15.75" thickBot="1" x14ac:dyDescent="0.3">
      <c r="O46" s="24"/>
    </row>
    <row r="47" spans="1:15" x14ac:dyDescent="0.25">
      <c r="A47" s="107" t="s">
        <v>11</v>
      </c>
      <c r="B47" s="103" t="s">
        <v>126</v>
      </c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4"/>
      <c r="O47" s="24"/>
    </row>
    <row r="48" spans="1:15" x14ac:dyDescent="0.25">
      <c r="A48" s="108"/>
      <c r="B48" s="51" t="s">
        <v>150</v>
      </c>
      <c r="C48" s="51" t="s">
        <v>151</v>
      </c>
      <c r="D48" s="51" t="s">
        <v>152</v>
      </c>
      <c r="E48" s="51" t="s">
        <v>153</v>
      </c>
      <c r="F48" s="51" t="s">
        <v>154</v>
      </c>
      <c r="G48" s="51" t="s">
        <v>155</v>
      </c>
      <c r="H48" s="51" t="s">
        <v>156</v>
      </c>
      <c r="I48" s="51" t="s">
        <v>157</v>
      </c>
      <c r="J48" s="51" t="s">
        <v>158</v>
      </c>
      <c r="K48" s="51" t="s">
        <v>159</v>
      </c>
      <c r="L48" s="51" t="s">
        <v>160</v>
      </c>
      <c r="M48" s="62" t="s">
        <v>161</v>
      </c>
      <c r="O48" s="24"/>
    </row>
    <row r="49" spans="1:15" x14ac:dyDescent="0.25">
      <c r="A49" s="63" t="s">
        <v>13</v>
      </c>
      <c r="B49" s="58">
        <v>0.23809523809523808</v>
      </c>
      <c r="C49" s="58">
        <v>3.7037037037037035E-2</v>
      </c>
      <c r="D49" s="58">
        <v>0.21428571428571427</v>
      </c>
      <c r="E49" s="58">
        <v>0.18181818181818182</v>
      </c>
      <c r="F49" s="58">
        <v>0.2</v>
      </c>
      <c r="G49" s="58">
        <v>0.17647058823529413</v>
      </c>
      <c r="H49" s="58">
        <v>0.46875</v>
      </c>
      <c r="I49" s="58">
        <v>0.47058823529411764</v>
      </c>
      <c r="J49" s="58">
        <v>0.2</v>
      </c>
      <c r="K49" s="58">
        <v>5.5555555555555552E-2</v>
      </c>
      <c r="L49" s="58">
        <v>0.5</v>
      </c>
      <c r="M49" s="64">
        <v>0.34375</v>
      </c>
      <c r="N49" s="63" t="s">
        <v>13</v>
      </c>
      <c r="O49" s="24">
        <f>AVERAGE(B49:M49)</f>
        <v>0.25719587919342818</v>
      </c>
    </row>
    <row r="50" spans="1:15" x14ac:dyDescent="0.25">
      <c r="A50" s="63" t="s">
        <v>16</v>
      </c>
      <c r="B50" s="58">
        <v>0.76190476190476186</v>
      </c>
      <c r="C50" s="58">
        <v>0.92592592592592593</v>
      </c>
      <c r="D50" s="58">
        <v>0.7857142857142857</v>
      </c>
      <c r="E50" s="58">
        <v>0.81818181818181823</v>
      </c>
      <c r="F50" s="58">
        <v>0.8</v>
      </c>
      <c r="G50" s="58">
        <v>0.41176470588235292</v>
      </c>
      <c r="H50" s="58">
        <v>0.5</v>
      </c>
      <c r="I50" s="58">
        <v>0.52941176470588236</v>
      </c>
      <c r="J50" s="58">
        <v>0.8</v>
      </c>
      <c r="K50" s="58">
        <v>0.94444444444444442</v>
      </c>
      <c r="L50" s="58">
        <v>0.5</v>
      </c>
      <c r="M50" s="64">
        <v>0.625</v>
      </c>
      <c r="N50" s="63" t="s">
        <v>16</v>
      </c>
      <c r="O50" s="24">
        <f>AVERAGE(B50:M50)</f>
        <v>0.70019564222995589</v>
      </c>
    </row>
    <row r="51" spans="1:15" ht="15.75" thickBot="1" x14ac:dyDescent="0.3">
      <c r="A51" s="65" t="s">
        <v>18</v>
      </c>
      <c r="B51" s="66">
        <v>4.7619047619047616E-2</v>
      </c>
      <c r="C51" s="66">
        <v>3.7037037037037035E-2</v>
      </c>
      <c r="D51" s="66">
        <v>0</v>
      </c>
      <c r="E51" s="66">
        <v>0</v>
      </c>
      <c r="F51" s="66">
        <v>0</v>
      </c>
      <c r="G51" s="66">
        <v>0.41176470588235292</v>
      </c>
      <c r="H51" s="66">
        <v>3.125E-2</v>
      </c>
      <c r="I51" s="66">
        <v>0</v>
      </c>
      <c r="J51" s="66">
        <v>0</v>
      </c>
      <c r="K51" s="66">
        <v>0</v>
      </c>
      <c r="L51" s="66">
        <v>0</v>
      </c>
      <c r="M51" s="67">
        <v>3.125E-2</v>
      </c>
      <c r="N51" s="65" t="s">
        <v>18</v>
      </c>
      <c r="O51" s="24">
        <f>AVERAGE(B51:M51)</f>
        <v>4.6576732544869798E-2</v>
      </c>
    </row>
    <row r="52" spans="1:15" ht="15.75" thickBot="1" x14ac:dyDescent="0.3">
      <c r="O52" s="24"/>
    </row>
    <row r="53" spans="1:15" x14ac:dyDescent="0.25">
      <c r="A53" s="105" t="s">
        <v>36</v>
      </c>
      <c r="B53" s="103" t="s">
        <v>126</v>
      </c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4"/>
      <c r="O53" s="24"/>
    </row>
    <row r="54" spans="1:15" x14ac:dyDescent="0.25">
      <c r="A54" s="106"/>
      <c r="B54" s="51" t="s">
        <v>150</v>
      </c>
      <c r="C54" s="51" t="s">
        <v>151</v>
      </c>
      <c r="D54" s="51" t="s">
        <v>152</v>
      </c>
      <c r="E54" s="51" t="s">
        <v>153</v>
      </c>
      <c r="F54" s="51" t="s">
        <v>154</v>
      </c>
      <c r="G54" s="51" t="s">
        <v>155</v>
      </c>
      <c r="H54" s="51" t="s">
        <v>156</v>
      </c>
      <c r="I54" s="51" t="s">
        <v>157</v>
      </c>
      <c r="J54" s="51" t="s">
        <v>158</v>
      </c>
      <c r="K54" s="51" t="s">
        <v>159</v>
      </c>
      <c r="L54" s="51" t="s">
        <v>160</v>
      </c>
      <c r="M54" s="62" t="s">
        <v>161</v>
      </c>
      <c r="O54" s="24"/>
    </row>
    <row r="55" spans="1:15" x14ac:dyDescent="0.25">
      <c r="A55" s="63" t="s">
        <v>179</v>
      </c>
      <c r="B55" s="58">
        <v>0.42857142857142855</v>
      </c>
      <c r="C55" s="58">
        <v>0.25</v>
      </c>
      <c r="D55" s="58">
        <v>0.2</v>
      </c>
      <c r="E55" s="58">
        <v>0.15</v>
      </c>
      <c r="F55" s="58">
        <v>0.13</v>
      </c>
      <c r="G55" s="58">
        <v>0</v>
      </c>
      <c r="H55" s="58">
        <v>0</v>
      </c>
      <c r="I55" s="58">
        <v>0.11</v>
      </c>
      <c r="J55" s="58">
        <v>0.33</v>
      </c>
      <c r="K55" s="58">
        <v>0</v>
      </c>
      <c r="L55" s="58">
        <v>0.17</v>
      </c>
      <c r="M55" s="64">
        <v>0.14000000000000001</v>
      </c>
      <c r="N55" s="63" t="s">
        <v>179</v>
      </c>
      <c r="O55" s="24">
        <f>AVERAGE(B55:M55)</f>
        <v>0.15904761904761902</v>
      </c>
    </row>
    <row r="56" spans="1:15" ht="15.75" thickBot="1" x14ac:dyDescent="0.3">
      <c r="A56" s="65" t="s">
        <v>63</v>
      </c>
      <c r="B56" s="66">
        <v>0.5714285714285714</v>
      </c>
      <c r="C56" s="66">
        <v>0.75</v>
      </c>
      <c r="D56" s="66">
        <v>0.8</v>
      </c>
      <c r="E56" s="66">
        <v>0.85</v>
      </c>
      <c r="F56" s="66">
        <v>0.88</v>
      </c>
      <c r="G56" s="66">
        <v>1</v>
      </c>
      <c r="H56" s="66">
        <v>1</v>
      </c>
      <c r="I56" s="66">
        <v>0.89</v>
      </c>
      <c r="J56" s="66">
        <v>0.67</v>
      </c>
      <c r="K56" s="66">
        <v>1</v>
      </c>
      <c r="L56" s="66">
        <v>0.83</v>
      </c>
      <c r="M56" s="67">
        <v>0.86</v>
      </c>
      <c r="N56" s="65" t="s">
        <v>63</v>
      </c>
      <c r="O56" s="24">
        <f>AVERAGE(B56:M56)</f>
        <v>0.84178571428571425</v>
      </c>
    </row>
    <row r="57" spans="1:15" ht="15.75" thickBot="1" x14ac:dyDescent="0.3">
      <c r="O57" s="24"/>
    </row>
    <row r="58" spans="1:15" x14ac:dyDescent="0.25">
      <c r="A58" s="105" t="s">
        <v>40</v>
      </c>
      <c r="B58" s="103" t="s">
        <v>126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4"/>
      <c r="O58" s="24"/>
    </row>
    <row r="59" spans="1:15" x14ac:dyDescent="0.25">
      <c r="A59" s="106"/>
      <c r="B59" s="51" t="s">
        <v>150</v>
      </c>
      <c r="C59" s="51" t="s">
        <v>151</v>
      </c>
      <c r="D59" s="51" t="s">
        <v>152</v>
      </c>
      <c r="E59" s="51" t="s">
        <v>153</v>
      </c>
      <c r="F59" s="51" t="s">
        <v>154</v>
      </c>
      <c r="G59" s="51" t="s">
        <v>155</v>
      </c>
      <c r="H59" s="51" t="s">
        <v>156</v>
      </c>
      <c r="I59" s="51" t="s">
        <v>157</v>
      </c>
      <c r="J59" s="51" t="s">
        <v>158</v>
      </c>
      <c r="K59" s="51" t="s">
        <v>159</v>
      </c>
      <c r="L59" s="51" t="s">
        <v>160</v>
      </c>
      <c r="M59" s="62" t="s">
        <v>161</v>
      </c>
      <c r="O59" s="24"/>
    </row>
    <row r="60" spans="1:15" x14ac:dyDescent="0.25">
      <c r="A60" s="72" t="s">
        <v>85</v>
      </c>
      <c r="B60" s="73">
        <v>0</v>
      </c>
      <c r="C60" s="73">
        <v>0</v>
      </c>
      <c r="D60" s="73">
        <v>0</v>
      </c>
      <c r="E60" s="73">
        <v>0</v>
      </c>
      <c r="F60" s="73">
        <v>0</v>
      </c>
      <c r="G60" s="73">
        <v>0</v>
      </c>
      <c r="H60" s="73">
        <v>0</v>
      </c>
      <c r="I60" s="73">
        <v>0</v>
      </c>
      <c r="J60" s="73">
        <v>0</v>
      </c>
      <c r="K60" s="73">
        <v>0</v>
      </c>
      <c r="L60" s="73">
        <v>0</v>
      </c>
      <c r="M60" s="74">
        <v>0.25</v>
      </c>
      <c r="N60" s="72" t="s">
        <v>85</v>
      </c>
      <c r="O60" s="24">
        <f>AVERAGE(B60:M60)</f>
        <v>2.0833333333333332E-2</v>
      </c>
    </row>
    <row r="61" spans="1:15" x14ac:dyDescent="0.25">
      <c r="A61" s="63" t="s">
        <v>87</v>
      </c>
      <c r="B61" s="58">
        <v>0.18181818181818182</v>
      </c>
      <c r="C61" s="58">
        <v>0.2</v>
      </c>
      <c r="D61" s="58">
        <v>0.14285714285714285</v>
      </c>
      <c r="E61" s="58">
        <v>0</v>
      </c>
      <c r="F61" s="58">
        <v>0.44444444444444442</v>
      </c>
      <c r="G61" s="58">
        <v>0.2857142857142857</v>
      </c>
      <c r="H61" s="58">
        <v>0</v>
      </c>
      <c r="I61" s="58">
        <v>0.14285714285714285</v>
      </c>
      <c r="J61" s="58">
        <v>0.22222222222222221</v>
      </c>
      <c r="K61" s="58">
        <v>0.27272727272727271</v>
      </c>
      <c r="L61" s="58">
        <v>0.33333333333333331</v>
      </c>
      <c r="M61" s="64">
        <v>0</v>
      </c>
      <c r="N61" s="63" t="s">
        <v>87</v>
      </c>
      <c r="O61" s="24">
        <f>AVERAGE(B61:M61)</f>
        <v>0.18549783549783549</v>
      </c>
    </row>
    <row r="62" spans="1:15" x14ac:dyDescent="0.25">
      <c r="A62" s="63" t="s">
        <v>89</v>
      </c>
      <c r="B62" s="58">
        <v>0.18181818181818182</v>
      </c>
      <c r="C62" s="58">
        <v>0.2</v>
      </c>
      <c r="D62" s="58">
        <v>0.42857142857142855</v>
      </c>
      <c r="E62" s="58">
        <v>0.6</v>
      </c>
      <c r="F62" s="58">
        <v>0</v>
      </c>
      <c r="G62" s="58">
        <v>0.2857142857142857</v>
      </c>
      <c r="H62" s="58">
        <v>0.2857142857142857</v>
      </c>
      <c r="I62" s="58">
        <v>0.14285714285714285</v>
      </c>
      <c r="J62" s="58">
        <v>0.55555555555555558</v>
      </c>
      <c r="K62" s="58">
        <v>0.18181818181818182</v>
      </c>
      <c r="L62" s="58">
        <v>0.16666666666666666</v>
      </c>
      <c r="M62" s="64">
        <v>0.41666666666666669</v>
      </c>
      <c r="N62" s="63" t="s">
        <v>89</v>
      </c>
      <c r="O62" s="24">
        <f>AVERAGE(B62:M62)</f>
        <v>0.28711519961519955</v>
      </c>
    </row>
    <row r="63" spans="1:15" x14ac:dyDescent="0.25">
      <c r="A63" s="63" t="s">
        <v>90</v>
      </c>
      <c r="B63" s="58">
        <v>0.27272727272727271</v>
      </c>
      <c r="C63" s="58">
        <v>0.1</v>
      </c>
      <c r="D63" s="58">
        <v>0.2857142857142857</v>
      </c>
      <c r="E63" s="58">
        <v>0.2</v>
      </c>
      <c r="F63" s="58">
        <v>0.22222222222222221</v>
      </c>
      <c r="G63" s="58">
        <v>0.14285714285714285</v>
      </c>
      <c r="H63" s="58">
        <v>0.14285714285714285</v>
      </c>
      <c r="I63" s="58">
        <v>0.42857142857142855</v>
      </c>
      <c r="J63" s="58">
        <v>0.1111111111111111</v>
      </c>
      <c r="K63" s="58">
        <v>0</v>
      </c>
      <c r="L63" s="58">
        <v>0.16666666666666666</v>
      </c>
      <c r="M63" s="64">
        <v>0.16666666666666666</v>
      </c>
      <c r="N63" s="63" t="s">
        <v>90</v>
      </c>
      <c r="O63" s="24">
        <f>AVERAGE(B63:M63)</f>
        <v>0.1866161616161616</v>
      </c>
    </row>
    <row r="64" spans="1:15" ht="15.75" thickBot="1" x14ac:dyDescent="0.3">
      <c r="A64" s="65" t="s">
        <v>92</v>
      </c>
      <c r="B64" s="66">
        <v>0.36363636363636365</v>
      </c>
      <c r="C64" s="66">
        <v>0.5</v>
      </c>
      <c r="D64" s="66">
        <v>0.14285714285714285</v>
      </c>
      <c r="E64" s="66">
        <v>0.2</v>
      </c>
      <c r="F64" s="66">
        <v>0.33333333333333331</v>
      </c>
      <c r="G64" s="66">
        <v>0.42857142857142855</v>
      </c>
      <c r="H64" s="66">
        <v>0.5714285714285714</v>
      </c>
      <c r="I64" s="66">
        <v>0.2857142857142857</v>
      </c>
      <c r="J64" s="66">
        <v>0.1111111111111111</v>
      </c>
      <c r="K64" s="66">
        <v>0.54545454545454541</v>
      </c>
      <c r="L64" s="66">
        <v>0.33333333333333331</v>
      </c>
      <c r="M64" s="67">
        <v>0.16666666666666666</v>
      </c>
      <c r="N64" s="65" t="s">
        <v>92</v>
      </c>
      <c r="O64" s="24">
        <f>AVERAGE(B64:M64)</f>
        <v>0.33184223184223183</v>
      </c>
    </row>
    <row r="65" spans="1:15" x14ac:dyDescent="0.25">
      <c r="C65" t="s">
        <v>19</v>
      </c>
      <c r="O65" s="24"/>
    </row>
    <row r="66" spans="1:15" x14ac:dyDescent="0.25">
      <c r="A66" s="109" t="s">
        <v>44</v>
      </c>
      <c r="B66" s="109" t="s">
        <v>126</v>
      </c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O66" s="24"/>
    </row>
    <row r="67" spans="1:15" x14ac:dyDescent="0.25">
      <c r="A67" s="109"/>
      <c r="B67" s="51" t="s">
        <v>150</v>
      </c>
      <c r="C67" s="51" t="s">
        <v>151</v>
      </c>
      <c r="D67" s="51" t="s">
        <v>152</v>
      </c>
      <c r="E67" s="51" t="s">
        <v>153</v>
      </c>
      <c r="F67" s="51" t="s">
        <v>154</v>
      </c>
      <c r="G67" s="51" t="s">
        <v>155</v>
      </c>
      <c r="H67" s="51" t="s">
        <v>156</v>
      </c>
      <c r="I67" s="51" t="s">
        <v>157</v>
      </c>
      <c r="J67" s="51" t="s">
        <v>158</v>
      </c>
      <c r="K67" s="51" t="s">
        <v>159</v>
      </c>
      <c r="L67" s="51" t="s">
        <v>160</v>
      </c>
      <c r="M67" s="51" t="s">
        <v>161</v>
      </c>
      <c r="O67" s="24"/>
    </row>
    <row r="68" spans="1:15" x14ac:dyDescent="0.25">
      <c r="A68" s="51" t="s">
        <v>98</v>
      </c>
      <c r="B68" s="58">
        <v>0</v>
      </c>
      <c r="C68" s="75">
        <v>0.33333333333333331</v>
      </c>
      <c r="D68" s="58">
        <v>0.33333333333333331</v>
      </c>
      <c r="E68" s="58">
        <v>0</v>
      </c>
      <c r="F68" s="58">
        <v>0.22222222222222221</v>
      </c>
      <c r="G68" s="58">
        <v>0.15384615384615385</v>
      </c>
      <c r="H68" s="58">
        <v>0.11764705882352941</v>
      </c>
      <c r="I68" s="58">
        <v>0</v>
      </c>
      <c r="J68" s="58">
        <v>0</v>
      </c>
      <c r="K68" s="58">
        <v>6.6666666666666666E-2</v>
      </c>
      <c r="L68" s="58">
        <v>0.27272727272727271</v>
      </c>
      <c r="M68" s="58">
        <v>0.1</v>
      </c>
      <c r="N68" s="51" t="s">
        <v>98</v>
      </c>
      <c r="O68" s="24">
        <f t="shared" ref="O68:O77" si="3">AVERAGE(B68:M68)</f>
        <v>0.13331467007937595</v>
      </c>
    </row>
    <row r="69" spans="1:15" x14ac:dyDescent="0.25">
      <c r="A69" s="51" t="s">
        <v>100</v>
      </c>
      <c r="B69" s="58">
        <v>0.5</v>
      </c>
      <c r="C69" s="58">
        <v>8.3333333333333329E-2</v>
      </c>
      <c r="D69" s="58">
        <v>0.33333333333333331</v>
      </c>
      <c r="E69" s="58">
        <v>0</v>
      </c>
      <c r="F69" s="58">
        <v>0.22222222222222221</v>
      </c>
      <c r="G69" s="58">
        <v>0.15384615384615385</v>
      </c>
      <c r="H69" s="58">
        <v>0</v>
      </c>
      <c r="I69" s="58">
        <v>0</v>
      </c>
      <c r="J69" s="58">
        <v>0.15384615384615385</v>
      </c>
      <c r="K69" s="58">
        <v>0.13333333333333333</v>
      </c>
      <c r="L69" s="58">
        <v>0</v>
      </c>
      <c r="M69" s="58">
        <v>0</v>
      </c>
      <c r="N69" s="51" t="s">
        <v>100</v>
      </c>
      <c r="O69" s="24">
        <f t="shared" si="3"/>
        <v>0.13165954415954415</v>
      </c>
    </row>
    <row r="70" spans="1:15" x14ac:dyDescent="0.25">
      <c r="A70" s="51" t="s">
        <v>101</v>
      </c>
      <c r="B70" s="58">
        <v>0</v>
      </c>
      <c r="C70" s="58">
        <v>0</v>
      </c>
      <c r="D70" s="58">
        <v>0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1" t="s">
        <v>101</v>
      </c>
      <c r="O70" s="24">
        <f t="shared" si="3"/>
        <v>0</v>
      </c>
    </row>
    <row r="71" spans="1:15" x14ac:dyDescent="0.25">
      <c r="A71" s="51" t="s">
        <v>102</v>
      </c>
      <c r="B71" s="58">
        <v>0</v>
      </c>
      <c r="C71" s="58">
        <v>0.16666666666666666</v>
      </c>
      <c r="D71" s="58">
        <v>0</v>
      </c>
      <c r="E71" s="58">
        <v>0.14285714285714285</v>
      </c>
      <c r="F71" s="58">
        <v>0</v>
      </c>
      <c r="G71" s="58">
        <v>0.23076923076923078</v>
      </c>
      <c r="H71" s="58">
        <v>5.8823529411764705E-2</v>
      </c>
      <c r="I71" s="58">
        <v>0.125</v>
      </c>
      <c r="J71" s="58">
        <v>7.6923076923076927E-2</v>
      </c>
      <c r="K71" s="58">
        <v>6.6666666666666666E-2</v>
      </c>
      <c r="L71" s="58">
        <v>0</v>
      </c>
      <c r="M71" s="58">
        <v>0</v>
      </c>
      <c r="N71" s="51" t="s">
        <v>102</v>
      </c>
      <c r="O71" s="24">
        <f t="shared" si="3"/>
        <v>7.2308859441212389E-2</v>
      </c>
    </row>
    <row r="72" spans="1:15" x14ac:dyDescent="0.25">
      <c r="A72" s="51" t="s">
        <v>104</v>
      </c>
      <c r="B72" s="58">
        <v>0.25</v>
      </c>
      <c r="C72" s="58">
        <v>8.3333333333333329E-2</v>
      </c>
      <c r="D72" s="58">
        <v>0</v>
      </c>
      <c r="E72" s="58">
        <v>0.2857142857142857</v>
      </c>
      <c r="F72" s="58">
        <v>0.33333333333333331</v>
      </c>
      <c r="G72" s="58">
        <v>0.23076923076923078</v>
      </c>
      <c r="H72" s="58">
        <v>0.23529411764705882</v>
      </c>
      <c r="I72" s="58">
        <v>0.4375</v>
      </c>
      <c r="J72" s="58">
        <v>0.30769230769230771</v>
      </c>
      <c r="K72" s="58">
        <v>0.4</v>
      </c>
      <c r="L72" s="58">
        <v>0.18181818181818182</v>
      </c>
      <c r="M72" s="58">
        <v>0.5</v>
      </c>
      <c r="N72" s="51" t="s">
        <v>104</v>
      </c>
      <c r="O72" s="24">
        <f t="shared" si="3"/>
        <v>0.27045456585897759</v>
      </c>
    </row>
    <row r="73" spans="1:15" x14ac:dyDescent="0.25">
      <c r="A73" s="51" t="s">
        <v>107</v>
      </c>
      <c r="B73" s="58">
        <v>0.25</v>
      </c>
      <c r="C73" s="58">
        <v>0</v>
      </c>
      <c r="D73" s="58">
        <v>0.33333333333333331</v>
      </c>
      <c r="E73" s="58">
        <v>0</v>
      </c>
      <c r="F73" s="58">
        <v>0</v>
      </c>
      <c r="G73" s="58">
        <v>7.6923076923076927E-2</v>
      </c>
      <c r="H73" s="58">
        <v>5.8823529411764705E-2</v>
      </c>
      <c r="I73" s="58">
        <v>6.25E-2</v>
      </c>
      <c r="J73" s="58">
        <v>7.6923076923076927E-2</v>
      </c>
      <c r="K73" s="58">
        <v>0.13333333333333333</v>
      </c>
      <c r="L73" s="58">
        <v>0.18181818181818182</v>
      </c>
      <c r="M73" s="58">
        <v>0</v>
      </c>
      <c r="N73" s="51" t="s">
        <v>107</v>
      </c>
      <c r="O73" s="24">
        <f t="shared" si="3"/>
        <v>9.7804544311897237E-2</v>
      </c>
    </row>
    <row r="74" spans="1:15" x14ac:dyDescent="0.25">
      <c r="A74" s="51" t="s">
        <v>109</v>
      </c>
      <c r="B74" s="58">
        <v>0</v>
      </c>
      <c r="C74" s="58">
        <v>8.3333333333333329E-2</v>
      </c>
      <c r="D74" s="58">
        <v>0</v>
      </c>
      <c r="E74" s="58">
        <v>0.42857142857142855</v>
      </c>
      <c r="F74" s="58">
        <v>0</v>
      </c>
      <c r="G74" s="58">
        <v>7.6923076923076927E-2</v>
      </c>
      <c r="H74" s="58">
        <v>5.8823529411764705E-2</v>
      </c>
      <c r="I74" s="58">
        <v>0</v>
      </c>
      <c r="J74" s="58">
        <v>0</v>
      </c>
      <c r="K74" s="58">
        <v>0</v>
      </c>
      <c r="L74" s="58">
        <v>9.0909090909090912E-2</v>
      </c>
      <c r="M74" s="58">
        <v>0</v>
      </c>
      <c r="N74" s="51" t="s">
        <v>109</v>
      </c>
      <c r="O74" s="24">
        <f t="shared" si="3"/>
        <v>6.1546704929057866E-2</v>
      </c>
    </row>
    <row r="75" spans="1:15" x14ac:dyDescent="0.25">
      <c r="A75" s="51" t="s">
        <v>111</v>
      </c>
      <c r="B75" s="58">
        <v>0</v>
      </c>
      <c r="C75" s="58">
        <v>0.16666666666666666</v>
      </c>
      <c r="D75" s="58">
        <v>0</v>
      </c>
      <c r="E75" s="58">
        <v>0</v>
      </c>
      <c r="F75" s="58">
        <v>0.1111111111111111</v>
      </c>
      <c r="G75" s="58">
        <v>7.6923076923076927E-2</v>
      </c>
      <c r="H75" s="58">
        <v>0.41176470588235292</v>
      </c>
      <c r="I75" s="58">
        <v>0</v>
      </c>
      <c r="J75" s="58">
        <v>7.6923076923076927E-2</v>
      </c>
      <c r="K75" s="58">
        <v>6.6666666666666666E-2</v>
      </c>
      <c r="L75" s="58">
        <v>0.18181818181818182</v>
      </c>
      <c r="M75" s="58">
        <v>0.3</v>
      </c>
      <c r="N75" s="51" t="s">
        <v>111</v>
      </c>
      <c r="O75" s="24">
        <f t="shared" si="3"/>
        <v>0.11598945716592775</v>
      </c>
    </row>
    <row r="76" spans="1:15" x14ac:dyDescent="0.25">
      <c r="A76" s="51" t="s">
        <v>113</v>
      </c>
      <c r="B76" s="58">
        <v>0</v>
      </c>
      <c r="C76" s="58">
        <v>0</v>
      </c>
      <c r="D76" s="58">
        <v>0</v>
      </c>
      <c r="E76" s="58">
        <v>0</v>
      </c>
      <c r="F76" s="58">
        <v>0</v>
      </c>
      <c r="G76" s="58">
        <v>0.15384615384615385</v>
      </c>
      <c r="H76" s="58">
        <v>5.8823529411764705E-2</v>
      </c>
      <c r="I76" s="58">
        <v>0</v>
      </c>
      <c r="J76" s="58">
        <v>7.6923076923076927E-2</v>
      </c>
      <c r="K76" s="58">
        <v>0</v>
      </c>
      <c r="L76" s="58">
        <v>9.0909090909090912E-2</v>
      </c>
      <c r="M76" s="58">
        <v>0.1</v>
      </c>
      <c r="N76" s="51" t="s">
        <v>113</v>
      </c>
      <c r="O76" s="24">
        <f t="shared" si="3"/>
        <v>4.0041820924173861E-2</v>
      </c>
    </row>
    <row r="77" spans="1:15" x14ac:dyDescent="0.25">
      <c r="A77" s="51" t="s">
        <v>115</v>
      </c>
      <c r="B77" s="58">
        <v>0</v>
      </c>
      <c r="C77" s="58">
        <v>8.3333333333333329E-2</v>
      </c>
      <c r="D77" s="58">
        <v>0</v>
      </c>
      <c r="E77" s="58">
        <v>0.14285714285714285</v>
      </c>
      <c r="F77" s="58">
        <v>0.1111111111111111</v>
      </c>
      <c r="G77" s="58">
        <v>0</v>
      </c>
      <c r="H77" s="58">
        <v>0</v>
      </c>
      <c r="I77" s="58">
        <v>0.375</v>
      </c>
      <c r="J77" s="58">
        <v>7.6923076923076927E-2</v>
      </c>
      <c r="K77" s="58">
        <v>0</v>
      </c>
      <c r="L77" s="58">
        <v>0</v>
      </c>
      <c r="M77" s="58">
        <v>0</v>
      </c>
      <c r="N77" s="51" t="s">
        <v>115</v>
      </c>
      <c r="O77" s="24">
        <f t="shared" si="3"/>
        <v>6.5768722018722012E-2</v>
      </c>
    </row>
    <row r="78" spans="1:15" ht="15.75" thickBot="1" x14ac:dyDescent="0.3">
      <c r="O78" s="24"/>
    </row>
    <row r="79" spans="1:15" x14ac:dyDescent="0.25">
      <c r="A79" s="76"/>
      <c r="B79" s="103" t="s">
        <v>126</v>
      </c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4"/>
      <c r="O79" s="24"/>
    </row>
    <row r="80" spans="1:15" x14ac:dyDescent="0.25">
      <c r="A80" s="63"/>
      <c r="B80" s="51" t="s">
        <v>150</v>
      </c>
      <c r="C80" s="51" t="s">
        <v>151</v>
      </c>
      <c r="D80" s="51" t="s">
        <v>152</v>
      </c>
      <c r="E80" s="51" t="s">
        <v>153</v>
      </c>
      <c r="F80" s="51" t="s">
        <v>154</v>
      </c>
      <c r="G80" s="51" t="s">
        <v>155</v>
      </c>
      <c r="H80" s="51" t="s">
        <v>156</v>
      </c>
      <c r="I80" s="51" t="s">
        <v>157</v>
      </c>
      <c r="J80" s="51" t="s">
        <v>158</v>
      </c>
      <c r="K80" s="51" t="s">
        <v>159</v>
      </c>
      <c r="L80" s="51" t="s">
        <v>160</v>
      </c>
      <c r="M80" s="62" t="s">
        <v>161</v>
      </c>
      <c r="O80" s="24"/>
    </row>
    <row r="81" spans="1:15" ht="15.75" thickBot="1" x14ac:dyDescent="0.3">
      <c r="A81" s="65" t="s">
        <v>65</v>
      </c>
      <c r="B81" s="66">
        <v>0.12</v>
      </c>
      <c r="C81" s="66">
        <v>0.09</v>
      </c>
      <c r="D81" s="66">
        <v>0.08</v>
      </c>
      <c r="E81" s="66">
        <v>0.12</v>
      </c>
      <c r="F81" s="66">
        <v>0.06</v>
      </c>
      <c r="G81" s="66">
        <v>0.11</v>
      </c>
      <c r="H81" s="66">
        <v>0.11</v>
      </c>
      <c r="I81" s="66">
        <v>0.13</v>
      </c>
      <c r="J81" s="66">
        <v>0.15</v>
      </c>
      <c r="K81" s="66">
        <v>7.0000000000000007E-2</v>
      </c>
      <c r="L81" s="66">
        <v>0.05</v>
      </c>
      <c r="M81" s="67">
        <v>0.09</v>
      </c>
      <c r="N81" s="65" t="s">
        <v>65</v>
      </c>
      <c r="O81" s="24">
        <f>AVERAGE(B81:M81)</f>
        <v>9.8333333333333342E-2</v>
      </c>
    </row>
    <row r="82" spans="1:15" ht="15.75" thickBot="1" x14ac:dyDescent="0.3"/>
    <row r="83" spans="1:15" x14ac:dyDescent="0.25">
      <c r="A83" s="101" t="s">
        <v>180</v>
      </c>
      <c r="B83" s="103" t="s">
        <v>126</v>
      </c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4"/>
    </row>
    <row r="84" spans="1:15" x14ac:dyDescent="0.25">
      <c r="A84" s="102"/>
      <c r="B84" s="51" t="s">
        <v>150</v>
      </c>
      <c r="C84" s="51" t="s">
        <v>151</v>
      </c>
      <c r="D84" s="51" t="s">
        <v>152</v>
      </c>
      <c r="E84" s="51" t="s">
        <v>153</v>
      </c>
      <c r="F84" s="51" t="s">
        <v>154</v>
      </c>
      <c r="G84" s="51" t="s">
        <v>155</v>
      </c>
      <c r="H84" s="51" t="s">
        <v>156</v>
      </c>
      <c r="I84" s="51" t="s">
        <v>157</v>
      </c>
      <c r="J84" s="51" t="s">
        <v>158</v>
      </c>
      <c r="K84" s="51" t="s">
        <v>159</v>
      </c>
      <c r="L84" s="51" t="s">
        <v>160</v>
      </c>
      <c r="M84" s="62" t="s">
        <v>161</v>
      </c>
    </row>
    <row r="85" spans="1:15" x14ac:dyDescent="0.25">
      <c r="A85" s="63" t="s">
        <v>181</v>
      </c>
      <c r="B85" s="57">
        <v>41</v>
      </c>
      <c r="C85" s="57">
        <v>39</v>
      </c>
      <c r="D85" s="57">
        <v>23</v>
      </c>
      <c r="E85" s="57">
        <v>37</v>
      </c>
      <c r="F85" s="57">
        <v>28</v>
      </c>
      <c r="G85" s="57">
        <v>45</v>
      </c>
      <c r="H85" s="57">
        <v>42</v>
      </c>
      <c r="I85" s="57">
        <v>50</v>
      </c>
      <c r="J85" s="57">
        <v>38</v>
      </c>
      <c r="K85" s="57">
        <v>36</v>
      </c>
      <c r="L85" s="57">
        <v>36</v>
      </c>
      <c r="M85" s="77">
        <v>40</v>
      </c>
      <c r="N85" s="63" t="s">
        <v>181</v>
      </c>
      <c r="O85" s="83">
        <f t="shared" ref="O85:O91" si="4">AVERAGE(B85:M85)</f>
        <v>37.916666666666664</v>
      </c>
    </row>
    <row r="86" spans="1:15" x14ac:dyDescent="0.25">
      <c r="A86" s="78" t="s">
        <v>94</v>
      </c>
      <c r="B86" s="58">
        <v>0.48780487804878048</v>
      </c>
      <c r="C86" s="58">
        <v>0.25641025641025639</v>
      </c>
      <c r="D86" s="58">
        <v>0.30434782608695654</v>
      </c>
      <c r="E86" s="58">
        <v>0.24324324324324326</v>
      </c>
      <c r="F86" s="58">
        <v>0.5</v>
      </c>
      <c r="G86" s="58">
        <v>0.35555555555555557</v>
      </c>
      <c r="H86" s="58">
        <v>0.40476190476190477</v>
      </c>
      <c r="I86" s="58">
        <v>0.42</v>
      </c>
      <c r="J86" s="58">
        <v>0.42105263157894735</v>
      </c>
      <c r="K86" s="58">
        <v>0.25</v>
      </c>
      <c r="L86" s="58">
        <v>0.41666666666666669</v>
      </c>
      <c r="M86" s="64">
        <v>0.2</v>
      </c>
      <c r="N86" s="78" t="s">
        <v>94</v>
      </c>
      <c r="O86" s="24">
        <f t="shared" si="4"/>
        <v>0.35498691352935924</v>
      </c>
    </row>
    <row r="87" spans="1:15" x14ac:dyDescent="0.25">
      <c r="A87" s="79" t="s">
        <v>95</v>
      </c>
      <c r="B87" s="58">
        <v>7.3170731707317069E-2</v>
      </c>
      <c r="C87" s="58">
        <v>0.10256410256410256</v>
      </c>
      <c r="D87" s="58">
        <v>4.3478260869565216E-2</v>
      </c>
      <c r="E87" s="58">
        <v>5.4054054054054057E-2</v>
      </c>
      <c r="F87" s="58">
        <v>7.1428571428571425E-2</v>
      </c>
      <c r="G87" s="58">
        <v>8.8888888888888892E-2</v>
      </c>
      <c r="H87" s="58">
        <v>4.7619047619047616E-2</v>
      </c>
      <c r="I87" s="58">
        <v>0.08</v>
      </c>
      <c r="J87" s="58">
        <v>5.2631578947368418E-2</v>
      </c>
      <c r="K87" s="58">
        <v>0.1388888888888889</v>
      </c>
      <c r="L87" s="58">
        <v>2.7777777777777776E-2</v>
      </c>
      <c r="M87" s="64">
        <v>0.125</v>
      </c>
      <c r="N87" s="79" t="s">
        <v>95</v>
      </c>
      <c r="O87" s="24">
        <f t="shared" si="4"/>
        <v>7.5458491895465149E-2</v>
      </c>
    </row>
    <row r="88" spans="1:15" x14ac:dyDescent="0.25">
      <c r="A88" s="79" t="s">
        <v>96</v>
      </c>
      <c r="B88" s="58">
        <v>0</v>
      </c>
      <c r="C88" s="58">
        <v>0</v>
      </c>
      <c r="D88" s="58">
        <v>0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64">
        <v>0</v>
      </c>
      <c r="N88" s="79" t="s">
        <v>96</v>
      </c>
      <c r="O88" s="24">
        <f t="shared" si="4"/>
        <v>0</v>
      </c>
    </row>
    <row r="89" spans="1:15" x14ac:dyDescent="0.25">
      <c r="A89" s="79" t="s">
        <v>97</v>
      </c>
      <c r="B89" s="58">
        <v>0</v>
      </c>
      <c r="C89" s="58">
        <v>0</v>
      </c>
      <c r="D89" s="58">
        <v>0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5.5555555555555552E-2</v>
      </c>
      <c r="L89" s="58">
        <v>0</v>
      </c>
      <c r="M89" s="64">
        <v>0</v>
      </c>
      <c r="N89" s="79" t="s">
        <v>97</v>
      </c>
      <c r="O89" s="24">
        <f t="shared" si="4"/>
        <v>4.6296296296296294E-3</v>
      </c>
    </row>
    <row r="90" spans="1:15" x14ac:dyDescent="0.25">
      <c r="A90" s="79" t="s">
        <v>99</v>
      </c>
      <c r="B90" s="58">
        <v>0.41463414634146339</v>
      </c>
      <c r="C90" s="58">
        <v>0.64102564102564108</v>
      </c>
      <c r="D90" s="58">
        <v>0.65217391304347827</v>
      </c>
      <c r="E90" s="58">
        <v>0.64864864864864868</v>
      </c>
      <c r="F90" s="58">
        <v>0.42857142857142855</v>
      </c>
      <c r="G90" s="58">
        <v>0.48888888888888887</v>
      </c>
      <c r="H90" s="58">
        <v>0.54761904761904767</v>
      </c>
      <c r="I90" s="58">
        <v>0.44</v>
      </c>
      <c r="J90" s="58">
        <v>0.52631578947368418</v>
      </c>
      <c r="K90" s="58">
        <v>0.58333333333333337</v>
      </c>
      <c r="L90" s="58">
        <v>0.52777777777777779</v>
      </c>
      <c r="M90" s="64">
        <v>0.67500000000000004</v>
      </c>
      <c r="N90" s="79" t="s">
        <v>99</v>
      </c>
      <c r="O90" s="24">
        <f t="shared" si="4"/>
        <v>0.5478323845602826</v>
      </c>
    </row>
    <row r="91" spans="1:15" ht="15.75" thickBot="1" x14ac:dyDescent="0.3">
      <c r="A91" s="80" t="s">
        <v>44</v>
      </c>
      <c r="B91" s="66">
        <v>2.4390243902439025E-2</v>
      </c>
      <c r="C91" s="66">
        <v>0</v>
      </c>
      <c r="D91" s="66">
        <v>0</v>
      </c>
      <c r="E91" s="66">
        <v>5.4054054054054057E-2</v>
      </c>
      <c r="F91" s="66">
        <v>0</v>
      </c>
      <c r="G91" s="66">
        <v>6.6666666666666666E-2</v>
      </c>
      <c r="H91" s="66">
        <v>0</v>
      </c>
      <c r="I91" s="66">
        <v>0.06</v>
      </c>
      <c r="J91" s="66">
        <v>0</v>
      </c>
      <c r="K91" s="66">
        <v>2.7777777777777776E-2</v>
      </c>
      <c r="L91" s="66">
        <v>2.7777777777777776E-2</v>
      </c>
      <c r="M91" s="67">
        <v>0</v>
      </c>
      <c r="N91" s="79" t="s">
        <v>44</v>
      </c>
      <c r="O91" s="24">
        <f t="shared" si="4"/>
        <v>2.1722210014892943E-2</v>
      </c>
    </row>
  </sheetData>
  <mergeCells count="19">
    <mergeCell ref="A1:A2"/>
    <mergeCell ref="B1:M1"/>
    <mergeCell ref="A13:A14"/>
    <mergeCell ref="B13:M13"/>
    <mergeCell ref="A26:A27"/>
    <mergeCell ref="B26:M26"/>
    <mergeCell ref="A83:A84"/>
    <mergeCell ref="B83:M83"/>
    <mergeCell ref="A32:A33"/>
    <mergeCell ref="B32:M32"/>
    <mergeCell ref="A47:A48"/>
    <mergeCell ref="B47:M47"/>
    <mergeCell ref="A53:A54"/>
    <mergeCell ref="B53:M53"/>
    <mergeCell ref="A58:A59"/>
    <mergeCell ref="B58:M58"/>
    <mergeCell ref="A66:A67"/>
    <mergeCell ref="B66:M66"/>
    <mergeCell ref="B79:M7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D13" sqref="D13"/>
    </sheetView>
  </sheetViews>
  <sheetFormatPr baseColWidth="10" defaultRowHeight="15" x14ac:dyDescent="0.25"/>
  <cols>
    <col min="2" max="2" width="13.7109375" customWidth="1"/>
    <col min="3" max="3" width="17.7109375" customWidth="1"/>
    <col min="4" max="4" width="16.28515625" customWidth="1"/>
    <col min="5" max="5" width="11.42578125" customWidth="1"/>
  </cols>
  <sheetData>
    <row r="1" spans="1:5" x14ac:dyDescent="0.25">
      <c r="A1" s="81"/>
      <c r="B1" s="81" t="s">
        <v>182</v>
      </c>
      <c r="C1" s="81" t="s">
        <v>183</v>
      </c>
      <c r="D1" s="81" t="s">
        <v>184</v>
      </c>
      <c r="E1" s="81" t="s">
        <v>185</v>
      </c>
    </row>
    <row r="2" spans="1:5" x14ac:dyDescent="0.25">
      <c r="A2" s="81" t="s">
        <v>137</v>
      </c>
      <c r="B2" s="59">
        <v>90051.15</v>
      </c>
      <c r="C2" s="59">
        <v>44124.119999999995</v>
      </c>
      <c r="D2" s="59">
        <v>4000</v>
      </c>
      <c r="E2" s="59">
        <f t="shared" ref="E2:E12" si="0">D2/C2</f>
        <v>9.0653366004806446E-2</v>
      </c>
    </row>
    <row r="3" spans="1:5" x14ac:dyDescent="0.25">
      <c r="A3" s="81" t="s">
        <v>138</v>
      </c>
      <c r="B3" s="59">
        <v>87030.41</v>
      </c>
      <c r="C3" s="59">
        <v>29249.67</v>
      </c>
      <c r="D3" s="59">
        <v>6500</v>
      </c>
      <c r="E3" s="59">
        <f t="shared" si="0"/>
        <v>0.22222472937301516</v>
      </c>
    </row>
    <row r="4" spans="1:5" x14ac:dyDescent="0.25">
      <c r="A4" s="81" t="s">
        <v>139</v>
      </c>
      <c r="B4" s="59">
        <v>75085.94</v>
      </c>
      <c r="C4" s="59">
        <v>9320.16</v>
      </c>
      <c r="D4" s="59">
        <v>5600</v>
      </c>
      <c r="E4" s="59">
        <f t="shared" si="0"/>
        <v>0.600848054110659</v>
      </c>
    </row>
    <row r="5" spans="1:5" x14ac:dyDescent="0.25">
      <c r="A5" s="81" t="s">
        <v>140</v>
      </c>
      <c r="B5" s="59">
        <v>110830.24</v>
      </c>
      <c r="C5" s="59">
        <v>19314.919999999998</v>
      </c>
      <c r="D5" s="59">
        <v>6500</v>
      </c>
      <c r="E5" s="59">
        <f t="shared" si="0"/>
        <v>0.33652740989866903</v>
      </c>
    </row>
    <row r="6" spans="1:5" x14ac:dyDescent="0.25">
      <c r="A6" s="81" t="s">
        <v>141</v>
      </c>
      <c r="B6" s="59">
        <v>79101.97</v>
      </c>
      <c r="C6" s="59">
        <v>43958.89</v>
      </c>
      <c r="D6" s="59">
        <v>6500</v>
      </c>
      <c r="E6" s="59">
        <f t="shared" si="0"/>
        <v>0.14786542608332467</v>
      </c>
    </row>
    <row r="7" spans="1:5" x14ac:dyDescent="0.25">
      <c r="A7" s="81" t="s">
        <v>142</v>
      </c>
      <c r="B7" s="59">
        <v>98826.83</v>
      </c>
      <c r="C7" s="59">
        <v>29388.92</v>
      </c>
      <c r="D7" s="59">
        <v>8500</v>
      </c>
      <c r="E7" s="59">
        <f t="shared" si="0"/>
        <v>0.28922464656748192</v>
      </c>
    </row>
    <row r="8" spans="1:5" x14ac:dyDescent="0.25">
      <c r="A8" s="81" t="s">
        <v>143</v>
      </c>
      <c r="B8" s="59">
        <v>134537.76999999999</v>
      </c>
      <c r="C8" s="59">
        <v>44031.570000000007</v>
      </c>
      <c r="D8" s="59">
        <v>4500</v>
      </c>
      <c r="E8" s="59">
        <f t="shared" si="0"/>
        <v>0.10219939920379853</v>
      </c>
    </row>
    <row r="9" spans="1:5" x14ac:dyDescent="0.25">
      <c r="A9" s="81" t="s">
        <v>144</v>
      </c>
      <c r="B9" s="59">
        <v>134636.19</v>
      </c>
      <c r="C9" s="59">
        <v>46870.659999999996</v>
      </c>
      <c r="D9" s="59">
        <v>5000</v>
      </c>
      <c r="E9" s="59">
        <f t="shared" si="0"/>
        <v>0.10667654349224015</v>
      </c>
    </row>
    <row r="10" spans="1:5" x14ac:dyDescent="0.25">
      <c r="A10" s="81" t="s">
        <v>145</v>
      </c>
      <c r="B10" s="59">
        <v>90695.15</v>
      </c>
      <c r="C10" s="59">
        <v>34209.54</v>
      </c>
      <c r="D10" s="59">
        <v>5500</v>
      </c>
      <c r="E10" s="59">
        <f t="shared" si="0"/>
        <v>0.16077386600345986</v>
      </c>
    </row>
    <row r="11" spans="1:5" x14ac:dyDescent="0.25">
      <c r="A11" s="81" t="s">
        <v>146</v>
      </c>
      <c r="B11" s="59">
        <v>109108.46999999999</v>
      </c>
      <c r="C11" s="59">
        <v>17978.12</v>
      </c>
      <c r="D11" s="59">
        <v>5500</v>
      </c>
      <c r="E11" s="59">
        <f t="shared" si="0"/>
        <v>0.30592742733945488</v>
      </c>
    </row>
    <row r="12" spans="1:5" x14ac:dyDescent="0.25">
      <c r="A12" s="81" t="s">
        <v>147</v>
      </c>
      <c r="B12" s="59">
        <v>113421.42000000001</v>
      </c>
      <c r="C12" s="59">
        <v>23989.879999999997</v>
      </c>
      <c r="D12" s="59">
        <v>7500</v>
      </c>
      <c r="E12" s="59">
        <f t="shared" si="0"/>
        <v>0.31263182642014054</v>
      </c>
    </row>
    <row r="13" spans="1:5" x14ac:dyDescent="0.25">
      <c r="A13" s="81" t="s">
        <v>148</v>
      </c>
      <c r="B13" s="59">
        <v>103123.47999999997</v>
      </c>
      <c r="C13" s="59">
        <v>22919.08</v>
      </c>
      <c r="D13" s="59">
        <v>4500</v>
      </c>
      <c r="E13" s="59">
        <f>D13/C13</f>
        <v>0.19634295966504761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Hoja1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Estadísticas finales</vt:lpstr>
      <vt:lpstr>Estadísticas Específicas</vt:lpstr>
      <vt:lpstr>Publicidad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ALONSO!</dc:creator>
  <cp:lastModifiedBy>PRINCIPAL</cp:lastModifiedBy>
  <cp:lastPrinted>2024-04-03T16:47:53Z</cp:lastPrinted>
  <dcterms:created xsi:type="dcterms:W3CDTF">2023-12-28T20:50:21Z</dcterms:created>
  <dcterms:modified xsi:type="dcterms:W3CDTF">2026-03-02T16:59:10Z</dcterms:modified>
</cp:coreProperties>
</file>