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200" windowHeight="11505"/>
  </bookViews>
  <sheets>
    <sheet name="Hoja1" sheetId="1" r:id="rId1"/>
    <sheet name="Enero" sheetId="2" r:id="rId2"/>
    <sheet name="Febrero" sheetId="3" r:id="rId3"/>
    <sheet name="Marzo" sheetId="4" r:id="rId4"/>
    <sheet name="Abril" sheetId="5" r:id="rId5"/>
    <sheet name="Mayo" sheetId="6" r:id="rId6"/>
    <sheet name="Junio" sheetId="7" r:id="rId7"/>
    <sheet name="Julio" sheetId="8" r:id="rId8"/>
    <sheet name="Agosto" sheetId="9" r:id="rId9"/>
    <sheet name="Sept" sheetId="10" r:id="rId10"/>
    <sheet name="Oct" sheetId="11" r:id="rId11"/>
    <sheet name="Nov" sheetId="12" r:id="rId12"/>
    <sheet name="Dic" sheetId="13" r:id="rId13"/>
    <sheet name="Estadísticas finales" sheetId="14" r:id="rId14"/>
    <sheet name="Estadísticas específicas" sheetId="15" r:id="rId15"/>
    <sheet name="Publicidad" sheetId="16" r:id="rId16"/>
  </sheets>
  <calcPr calcId="144525"/>
</workbook>
</file>

<file path=xl/calcChain.xml><?xml version="1.0" encoding="utf-8"?>
<calcChain xmlns="http://schemas.openxmlformats.org/spreadsheetml/2006/main">
  <c r="E13" i="16" l="1"/>
  <c r="E12" i="16"/>
  <c r="E11" i="16"/>
  <c r="E10" i="16"/>
  <c r="E9" i="16"/>
  <c r="E8" i="16"/>
  <c r="E7" i="16"/>
  <c r="E6" i="16"/>
  <c r="E5" i="16"/>
  <c r="E4" i="16"/>
  <c r="E3" i="16"/>
  <c r="E2" i="16"/>
  <c r="O81" i="15"/>
  <c r="O77" i="15"/>
  <c r="O76" i="15"/>
  <c r="O75" i="15"/>
  <c r="O74" i="15"/>
  <c r="O73" i="15"/>
  <c r="O72" i="15"/>
  <c r="O71" i="15"/>
  <c r="O70" i="15"/>
  <c r="O69" i="15"/>
  <c r="O68" i="15"/>
  <c r="O64" i="15"/>
  <c r="O63" i="15"/>
  <c r="O62" i="15"/>
  <c r="O61" i="15"/>
  <c r="O60" i="15"/>
  <c r="O56" i="15"/>
  <c r="O55" i="15"/>
  <c r="O51" i="15"/>
  <c r="O50" i="15"/>
  <c r="O49" i="15"/>
  <c r="O45" i="15"/>
  <c r="O44" i="15"/>
  <c r="O43" i="15"/>
  <c r="O42" i="15"/>
  <c r="O41" i="15"/>
  <c r="O40" i="15"/>
  <c r="O39" i="15"/>
  <c r="O38" i="15"/>
  <c r="O37" i="15"/>
  <c r="O36" i="15"/>
  <c r="O35" i="15"/>
  <c r="O34" i="15"/>
  <c r="O30" i="15"/>
  <c r="O29" i="15"/>
  <c r="O28" i="15"/>
  <c r="O24" i="15"/>
  <c r="O23" i="15"/>
  <c r="O22" i="15"/>
  <c r="O21" i="15"/>
  <c r="O20" i="15"/>
  <c r="O19" i="15"/>
  <c r="O18" i="15"/>
  <c r="O17" i="15"/>
  <c r="O16" i="15"/>
  <c r="O15" i="15"/>
  <c r="O11" i="15"/>
  <c r="O10" i="15"/>
  <c r="O9" i="15"/>
  <c r="O8" i="15"/>
  <c r="O7" i="15"/>
  <c r="O6" i="15"/>
  <c r="O5" i="15"/>
  <c r="O4" i="15"/>
  <c r="O3" i="15"/>
  <c r="N17" i="14"/>
  <c r="L17" i="14"/>
  <c r="J17" i="14"/>
  <c r="I17" i="14"/>
  <c r="H17" i="14"/>
  <c r="G17" i="14"/>
  <c r="F17" i="14"/>
  <c r="E17" i="14"/>
  <c r="D17" i="14"/>
  <c r="C17" i="14"/>
  <c r="B17" i="14"/>
  <c r="F13" i="14"/>
  <c r="D13" i="14"/>
  <c r="F12" i="14"/>
  <c r="D12" i="14"/>
  <c r="F11" i="14"/>
  <c r="D11" i="14"/>
  <c r="F10" i="14"/>
  <c r="D10" i="14"/>
  <c r="F9" i="14"/>
  <c r="D9" i="14"/>
  <c r="F8" i="14"/>
  <c r="D8" i="14"/>
  <c r="F7" i="14"/>
  <c r="D7" i="14"/>
  <c r="F6" i="14"/>
  <c r="D6" i="14"/>
  <c r="F5" i="14"/>
  <c r="D5" i="14"/>
  <c r="F4" i="14"/>
  <c r="D4" i="14"/>
  <c r="F3" i="14"/>
  <c r="D3" i="14"/>
  <c r="F2" i="14"/>
  <c r="D2" i="14"/>
  <c r="J113" i="13"/>
  <c r="B113" i="13"/>
  <c r="J112" i="13"/>
  <c r="J111" i="13"/>
  <c r="B111" i="13"/>
  <c r="J110" i="13"/>
  <c r="B110" i="13"/>
  <c r="J109" i="13"/>
  <c r="B109" i="13"/>
  <c r="J108" i="13"/>
  <c r="J107" i="13"/>
  <c r="J106" i="13"/>
  <c r="J105" i="13"/>
  <c r="J104" i="13"/>
  <c r="F103" i="13"/>
  <c r="F102" i="13"/>
  <c r="F101" i="13"/>
  <c r="J100" i="13"/>
  <c r="F100" i="13"/>
  <c r="J99" i="13"/>
  <c r="F99" i="13"/>
  <c r="J98" i="13"/>
  <c r="J97" i="13"/>
  <c r="F96" i="13"/>
  <c r="F95" i="13"/>
  <c r="F94" i="13"/>
  <c r="J93" i="13"/>
  <c r="F93" i="13"/>
  <c r="J92" i="13"/>
  <c r="F92" i="13"/>
  <c r="J91" i="13"/>
  <c r="F91" i="13"/>
  <c r="J90" i="13"/>
  <c r="J89" i="13"/>
  <c r="J88" i="13"/>
  <c r="F88" i="13"/>
  <c r="F87" i="13"/>
  <c r="J85" i="13"/>
  <c r="J84" i="13"/>
  <c r="F84" i="13"/>
  <c r="J83" i="13"/>
  <c r="F83" i="13"/>
  <c r="J82" i="13"/>
  <c r="F82" i="13"/>
  <c r="J81" i="13"/>
  <c r="C81" i="13"/>
  <c r="J80" i="13"/>
  <c r="F79" i="13"/>
  <c r="F78" i="13"/>
  <c r="F77" i="13"/>
  <c r="J76" i="13"/>
  <c r="F76" i="13"/>
  <c r="J75" i="13"/>
  <c r="F75" i="13"/>
  <c r="F74" i="13"/>
  <c r="F73" i="13"/>
  <c r="J72" i="13"/>
  <c r="F72" i="13"/>
  <c r="J71" i="13"/>
  <c r="F71" i="13"/>
  <c r="J70" i="13"/>
  <c r="F70" i="13"/>
  <c r="J69" i="13"/>
  <c r="J68" i="13"/>
  <c r="C68" i="13"/>
  <c r="J67" i="13"/>
  <c r="F67" i="13"/>
  <c r="J66" i="13"/>
  <c r="F66" i="13"/>
  <c r="J65" i="13"/>
  <c r="F65" i="13"/>
  <c r="J64" i="13"/>
  <c r="F64" i="13"/>
  <c r="J63" i="13"/>
  <c r="F63" i="13"/>
  <c r="J62" i="13"/>
  <c r="F62" i="13"/>
  <c r="J61" i="13"/>
  <c r="F61" i="13"/>
  <c r="F60" i="13"/>
  <c r="J59" i="13"/>
  <c r="F59" i="13"/>
  <c r="J58" i="13"/>
  <c r="J57" i="13"/>
  <c r="F56" i="13"/>
  <c r="F55" i="13"/>
  <c r="J53" i="13"/>
  <c r="J52" i="13"/>
  <c r="F52" i="13"/>
  <c r="J51" i="13"/>
  <c r="C50" i="13"/>
  <c r="B118" i="12"/>
  <c r="B116" i="12"/>
  <c r="B115" i="12"/>
  <c r="J114" i="12"/>
  <c r="B114" i="12"/>
  <c r="J113" i="12"/>
  <c r="J112" i="12"/>
  <c r="J111" i="12"/>
  <c r="J110" i="12"/>
  <c r="J109" i="12"/>
  <c r="J108" i="12"/>
  <c r="J107" i="12"/>
  <c r="J106" i="12"/>
  <c r="J105" i="12"/>
  <c r="F104" i="12"/>
  <c r="F103" i="12"/>
  <c r="F102" i="12"/>
  <c r="J101" i="12"/>
  <c r="F101" i="12"/>
  <c r="J100" i="12"/>
  <c r="F100" i="12"/>
  <c r="J99" i="12"/>
  <c r="J98" i="12"/>
  <c r="F97" i="12"/>
  <c r="F96" i="12"/>
  <c r="F95" i="12"/>
  <c r="J94" i="12"/>
  <c r="F94" i="12"/>
  <c r="J93" i="12"/>
  <c r="F93" i="12"/>
  <c r="J92" i="12"/>
  <c r="F92" i="12"/>
  <c r="J91" i="12"/>
  <c r="J90" i="12"/>
  <c r="J89" i="12"/>
  <c r="F89" i="12"/>
  <c r="F88" i="12"/>
  <c r="J86" i="12"/>
  <c r="J85" i="12"/>
  <c r="F85" i="12"/>
  <c r="J84" i="12"/>
  <c r="F84" i="12"/>
  <c r="J83" i="12"/>
  <c r="F83" i="12"/>
  <c r="J82" i="12"/>
  <c r="C82" i="12"/>
  <c r="J81" i="12"/>
  <c r="F80" i="12"/>
  <c r="F79" i="12"/>
  <c r="F78" i="12"/>
  <c r="J77" i="12"/>
  <c r="F77" i="12"/>
  <c r="J76" i="12"/>
  <c r="F76" i="12"/>
  <c r="F75" i="12"/>
  <c r="F74" i="12"/>
  <c r="J73" i="12"/>
  <c r="F73" i="12"/>
  <c r="J72" i="12"/>
  <c r="F72" i="12"/>
  <c r="J71" i="12"/>
  <c r="F71" i="12"/>
  <c r="J70" i="12"/>
  <c r="J69" i="12"/>
  <c r="C69" i="12"/>
  <c r="J68" i="12"/>
  <c r="F68" i="12"/>
  <c r="J67" i="12"/>
  <c r="F67" i="12"/>
  <c r="J66" i="12"/>
  <c r="F66" i="12"/>
  <c r="J65" i="12"/>
  <c r="F65" i="12"/>
  <c r="J64" i="12"/>
  <c r="F64" i="12"/>
  <c r="J63" i="12"/>
  <c r="F63" i="12"/>
  <c r="J62" i="12"/>
  <c r="F62" i="12"/>
  <c r="F61" i="12"/>
  <c r="J60" i="12"/>
  <c r="F60" i="12"/>
  <c r="J59" i="12"/>
  <c r="J58" i="12"/>
  <c r="F57" i="12"/>
  <c r="F56" i="12"/>
  <c r="J54" i="12"/>
  <c r="J53" i="12"/>
  <c r="F53" i="12"/>
  <c r="J52" i="12"/>
  <c r="C51" i="12"/>
  <c r="B109" i="11"/>
  <c r="J107" i="11"/>
  <c r="B107" i="11"/>
  <c r="J106" i="11"/>
  <c r="B106" i="11"/>
  <c r="J105" i="11"/>
  <c r="B105" i="11"/>
  <c r="J104" i="11"/>
  <c r="J103" i="11"/>
  <c r="J102" i="11"/>
  <c r="J101" i="11"/>
  <c r="J100" i="11"/>
  <c r="J99" i="11"/>
  <c r="F99" i="11"/>
  <c r="J98" i="11"/>
  <c r="F98" i="11"/>
  <c r="F97" i="11"/>
  <c r="F96" i="11"/>
  <c r="F95" i="11"/>
  <c r="J94" i="11"/>
  <c r="J93" i="11"/>
  <c r="J92" i="11"/>
  <c r="F92" i="11"/>
  <c r="J91" i="11"/>
  <c r="F91" i="11"/>
  <c r="J90" i="11"/>
  <c r="F90" i="11"/>
  <c r="F89" i="11"/>
  <c r="F88" i="11"/>
  <c r="F87" i="11"/>
  <c r="J86" i="11"/>
  <c r="J85" i="11"/>
  <c r="J84" i="11"/>
  <c r="F84" i="11"/>
  <c r="J83" i="11"/>
  <c r="F83" i="11"/>
  <c r="J82" i="11"/>
  <c r="J81" i="11"/>
  <c r="F80" i="11"/>
  <c r="F79" i="11"/>
  <c r="J78" i="11"/>
  <c r="J77" i="11"/>
  <c r="J76" i="11"/>
  <c r="F76" i="11"/>
  <c r="J75" i="11"/>
  <c r="F75" i="11"/>
  <c r="J74" i="11"/>
  <c r="F74" i="11"/>
  <c r="J73" i="11"/>
  <c r="C73" i="11"/>
  <c r="F71" i="11"/>
  <c r="F70" i="11"/>
  <c r="J69" i="11"/>
  <c r="F69" i="11"/>
  <c r="J68" i="11"/>
  <c r="F68" i="11"/>
  <c r="F67" i="11"/>
  <c r="F66" i="11"/>
  <c r="F65" i="11"/>
  <c r="J64" i="11"/>
  <c r="F64" i="11"/>
  <c r="J63" i="11"/>
  <c r="F63" i="11"/>
  <c r="J62" i="11"/>
  <c r="F62" i="11"/>
  <c r="J61" i="11"/>
  <c r="J60" i="11"/>
  <c r="C60" i="11"/>
  <c r="J59" i="11"/>
  <c r="F59" i="11"/>
  <c r="J58" i="11"/>
  <c r="F58" i="11"/>
  <c r="J57" i="11"/>
  <c r="F57" i="11"/>
  <c r="J56" i="11"/>
  <c r="F56" i="11"/>
  <c r="J55" i="11"/>
  <c r="F55" i="11"/>
  <c r="J54" i="11"/>
  <c r="F54" i="11"/>
  <c r="J53" i="11"/>
  <c r="F53" i="11"/>
  <c r="F52" i="11"/>
  <c r="J51" i="11"/>
  <c r="F51" i="11"/>
  <c r="J50" i="11"/>
  <c r="J49" i="11"/>
  <c r="F48" i="11"/>
  <c r="F47" i="11"/>
  <c r="J45" i="11"/>
  <c r="J44" i="11"/>
  <c r="F44" i="11"/>
  <c r="J43" i="11"/>
  <c r="C42" i="11"/>
  <c r="B123" i="10"/>
  <c r="B122" i="10"/>
  <c r="J121" i="10"/>
  <c r="B121" i="10"/>
  <c r="J120" i="10"/>
  <c r="B120" i="10"/>
  <c r="J119" i="10"/>
  <c r="B119" i="10"/>
  <c r="J118" i="10"/>
  <c r="J117" i="10"/>
  <c r="J116" i="10"/>
  <c r="J115" i="10"/>
  <c r="J114" i="10"/>
  <c r="F114" i="10"/>
  <c r="J113" i="10"/>
  <c r="F113" i="10"/>
  <c r="J112" i="10"/>
  <c r="F112" i="10"/>
  <c r="F111" i="10"/>
  <c r="F110" i="10"/>
  <c r="J108" i="10"/>
  <c r="J107" i="10"/>
  <c r="F107" i="10"/>
  <c r="J106" i="10"/>
  <c r="F106" i="10"/>
  <c r="J105" i="10"/>
  <c r="F105" i="10"/>
  <c r="F104" i="10"/>
  <c r="F103" i="10"/>
  <c r="F102" i="10"/>
  <c r="J101" i="10"/>
  <c r="J100" i="10"/>
  <c r="J99" i="10"/>
  <c r="F99" i="10"/>
  <c r="J98" i="10"/>
  <c r="F98" i="10"/>
  <c r="J97" i="10"/>
  <c r="J96" i="10"/>
  <c r="F95" i="10"/>
  <c r="F94" i="10"/>
  <c r="J93" i="10"/>
  <c r="J92" i="10"/>
  <c r="J91" i="10"/>
  <c r="F91" i="10"/>
  <c r="J90" i="10"/>
  <c r="F90" i="10"/>
  <c r="J89" i="10"/>
  <c r="F89" i="10"/>
  <c r="J88" i="10"/>
  <c r="C88" i="10"/>
  <c r="F86" i="10"/>
  <c r="F85" i="10"/>
  <c r="J84" i="10"/>
  <c r="F84" i="10"/>
  <c r="J83" i="10"/>
  <c r="F83" i="10"/>
  <c r="F82" i="10"/>
  <c r="F81" i="10"/>
  <c r="F80" i="10"/>
  <c r="J79" i="10"/>
  <c r="F79" i="10"/>
  <c r="J78" i="10"/>
  <c r="F78" i="10"/>
  <c r="J77" i="10"/>
  <c r="F77" i="10"/>
  <c r="J76" i="10"/>
  <c r="J75" i="10"/>
  <c r="C75" i="10"/>
  <c r="J74" i="10"/>
  <c r="F74" i="10"/>
  <c r="J73" i="10"/>
  <c r="F73" i="10"/>
  <c r="J72" i="10"/>
  <c r="F72" i="10"/>
  <c r="J71" i="10"/>
  <c r="F71" i="10"/>
  <c r="J70" i="10"/>
  <c r="F70" i="10"/>
  <c r="J69" i="10"/>
  <c r="F69" i="10"/>
  <c r="J68" i="10"/>
  <c r="F68" i="10"/>
  <c r="F67" i="10"/>
  <c r="J66" i="10"/>
  <c r="F66" i="10"/>
  <c r="J65" i="10"/>
  <c r="J64" i="10"/>
  <c r="F63" i="10"/>
  <c r="F62" i="10"/>
  <c r="J60" i="10"/>
  <c r="J59" i="10"/>
  <c r="F59" i="10"/>
  <c r="J58" i="10"/>
  <c r="C57" i="10"/>
  <c r="B127" i="9"/>
  <c r="B126" i="9"/>
  <c r="B125" i="9"/>
  <c r="B124" i="9"/>
  <c r="J123" i="9"/>
  <c r="B123" i="9"/>
  <c r="J122" i="9"/>
  <c r="J121" i="9"/>
  <c r="J120" i="9"/>
  <c r="J119" i="9"/>
  <c r="J118" i="9"/>
  <c r="J117" i="9"/>
  <c r="F117" i="9"/>
  <c r="J116" i="9"/>
  <c r="F116" i="9"/>
  <c r="J115" i="9"/>
  <c r="F115" i="9"/>
  <c r="J114" i="9"/>
  <c r="F114" i="9"/>
  <c r="F113" i="9"/>
  <c r="J110" i="9"/>
  <c r="F110" i="9"/>
  <c r="J109" i="9"/>
  <c r="F109" i="9"/>
  <c r="J108" i="9"/>
  <c r="F108" i="9"/>
  <c r="J107" i="9"/>
  <c r="F107" i="9"/>
  <c r="F106" i="9"/>
  <c r="F105" i="9"/>
  <c r="J103" i="9"/>
  <c r="J102" i="9"/>
  <c r="F102" i="9"/>
  <c r="J101" i="9"/>
  <c r="F101" i="9"/>
  <c r="J100" i="9"/>
  <c r="J99" i="9"/>
  <c r="J98" i="9"/>
  <c r="F98" i="9"/>
  <c r="F97" i="9"/>
  <c r="J95" i="9"/>
  <c r="J94" i="9"/>
  <c r="F94" i="9"/>
  <c r="J93" i="9"/>
  <c r="F93" i="9"/>
  <c r="J92" i="9"/>
  <c r="F92" i="9"/>
  <c r="J91" i="9"/>
  <c r="C91" i="9"/>
  <c r="J90" i="9"/>
  <c r="F89" i="9"/>
  <c r="F88" i="9"/>
  <c r="F87" i="9"/>
  <c r="J86" i="9"/>
  <c r="F86" i="9"/>
  <c r="J85" i="9"/>
  <c r="F85" i="9"/>
  <c r="F84" i="9"/>
  <c r="F83" i="9"/>
  <c r="J82" i="9"/>
  <c r="F82" i="9"/>
  <c r="J81" i="9"/>
  <c r="F81" i="9"/>
  <c r="J80" i="9"/>
  <c r="F80" i="9"/>
  <c r="J79" i="9"/>
  <c r="J78" i="9"/>
  <c r="C78" i="9"/>
  <c r="J77" i="9"/>
  <c r="F77" i="9"/>
  <c r="J76" i="9"/>
  <c r="F76" i="9"/>
  <c r="J75" i="9"/>
  <c r="F75" i="9"/>
  <c r="J74" i="9"/>
  <c r="F74" i="9"/>
  <c r="J73" i="9"/>
  <c r="F73" i="9"/>
  <c r="J72" i="9"/>
  <c r="F72" i="9"/>
  <c r="J71" i="9"/>
  <c r="F71" i="9"/>
  <c r="F70" i="9"/>
  <c r="J69" i="9"/>
  <c r="F69" i="9"/>
  <c r="J68" i="9"/>
  <c r="J67" i="9"/>
  <c r="F66" i="9"/>
  <c r="F65" i="9"/>
  <c r="J63" i="9"/>
  <c r="J62" i="9"/>
  <c r="F62" i="9"/>
  <c r="J61" i="9"/>
  <c r="C60" i="9"/>
  <c r="B139" i="8"/>
  <c r="J138" i="8"/>
  <c r="B138" i="8"/>
  <c r="J137" i="8"/>
  <c r="J136" i="8"/>
  <c r="J135" i="8"/>
  <c r="J134" i="8"/>
  <c r="J133" i="8"/>
  <c r="J132" i="8"/>
  <c r="F132" i="8"/>
  <c r="J131" i="8"/>
  <c r="F131" i="8"/>
  <c r="J130" i="8"/>
  <c r="F130" i="8"/>
  <c r="J129" i="8"/>
  <c r="F129" i="8"/>
  <c r="F128" i="8"/>
  <c r="J125" i="8"/>
  <c r="F125" i="8"/>
  <c r="J124" i="8"/>
  <c r="F124" i="8"/>
  <c r="J123" i="8"/>
  <c r="F123" i="8"/>
  <c r="J122" i="8"/>
  <c r="F122" i="8"/>
  <c r="F121" i="8"/>
  <c r="F120" i="8"/>
  <c r="J118" i="8"/>
  <c r="J117" i="8"/>
  <c r="F117" i="8"/>
  <c r="J116" i="8"/>
  <c r="F116" i="8"/>
  <c r="J115" i="8"/>
  <c r="J114" i="8"/>
  <c r="J113" i="8"/>
  <c r="F113" i="8"/>
  <c r="F112" i="8"/>
  <c r="J110" i="8"/>
  <c r="J109" i="8"/>
  <c r="F109" i="8"/>
  <c r="J108" i="8"/>
  <c r="F108" i="8"/>
  <c r="J107" i="8"/>
  <c r="F107" i="8"/>
  <c r="J106" i="8"/>
  <c r="C106" i="8"/>
  <c r="J105" i="8"/>
  <c r="F104" i="8"/>
  <c r="F103" i="8"/>
  <c r="F102" i="8"/>
  <c r="J101" i="8"/>
  <c r="F101" i="8"/>
  <c r="J100" i="8"/>
  <c r="F100" i="8"/>
  <c r="F99" i="8"/>
  <c r="F98" i="8"/>
  <c r="J97" i="8"/>
  <c r="F97" i="8"/>
  <c r="J96" i="8"/>
  <c r="F96" i="8"/>
  <c r="J95" i="8"/>
  <c r="F95" i="8"/>
  <c r="J94" i="8"/>
  <c r="J93" i="8"/>
  <c r="C93" i="8"/>
  <c r="J92" i="8"/>
  <c r="F92" i="8"/>
  <c r="J91" i="8"/>
  <c r="F91" i="8"/>
  <c r="J90" i="8"/>
  <c r="F90" i="8"/>
  <c r="J89" i="8"/>
  <c r="F89" i="8"/>
  <c r="J88" i="8"/>
  <c r="F88" i="8"/>
  <c r="J87" i="8"/>
  <c r="F87" i="8"/>
  <c r="J86" i="8"/>
  <c r="F86" i="8"/>
  <c r="F85" i="8"/>
  <c r="J84" i="8"/>
  <c r="F84" i="8"/>
  <c r="J83" i="8"/>
  <c r="J82" i="8"/>
  <c r="F81" i="8"/>
  <c r="F80" i="8"/>
  <c r="J78" i="8"/>
  <c r="J77" i="8"/>
  <c r="F77" i="8"/>
  <c r="J76" i="8"/>
  <c r="C75" i="8"/>
  <c r="B104" i="7"/>
  <c r="B102" i="7"/>
  <c r="B101" i="7"/>
  <c r="J100" i="7"/>
  <c r="B100" i="7"/>
  <c r="J99" i="7"/>
  <c r="J98" i="7"/>
  <c r="J97" i="7"/>
  <c r="J96" i="7"/>
  <c r="J95" i="7"/>
  <c r="J94" i="7"/>
  <c r="F94" i="7"/>
  <c r="J93" i="7"/>
  <c r="F93" i="7"/>
  <c r="J92" i="7"/>
  <c r="F92" i="7"/>
  <c r="J91" i="7"/>
  <c r="F91" i="7"/>
  <c r="F90" i="7"/>
  <c r="J87" i="7"/>
  <c r="F87" i="7"/>
  <c r="J86" i="7"/>
  <c r="F86" i="7"/>
  <c r="J85" i="7"/>
  <c r="F85" i="7"/>
  <c r="J84" i="7"/>
  <c r="F84" i="7"/>
  <c r="F83" i="7"/>
  <c r="F82" i="7"/>
  <c r="J80" i="7"/>
  <c r="J79" i="7"/>
  <c r="F79" i="7"/>
  <c r="J78" i="7"/>
  <c r="F78" i="7"/>
  <c r="J77" i="7"/>
  <c r="J76" i="7"/>
  <c r="J75" i="7"/>
  <c r="F75" i="7"/>
  <c r="F74" i="7"/>
  <c r="J72" i="7"/>
  <c r="J71" i="7"/>
  <c r="F71" i="7"/>
  <c r="J70" i="7"/>
  <c r="F70" i="7"/>
  <c r="J69" i="7"/>
  <c r="F69" i="7"/>
  <c r="J68" i="7"/>
  <c r="C68" i="7"/>
  <c r="J67" i="7"/>
  <c r="F66" i="7"/>
  <c r="F65" i="7"/>
  <c r="F64" i="7"/>
  <c r="J63" i="7"/>
  <c r="F63" i="7"/>
  <c r="J62" i="7"/>
  <c r="F62" i="7"/>
  <c r="F61" i="7"/>
  <c r="F60" i="7"/>
  <c r="F59" i="7"/>
  <c r="J58" i="7"/>
  <c r="F58" i="7"/>
  <c r="J57" i="7"/>
  <c r="F57" i="7"/>
  <c r="J56" i="7"/>
  <c r="J55" i="7"/>
  <c r="C55" i="7"/>
  <c r="J54" i="7"/>
  <c r="F54" i="7"/>
  <c r="J53" i="7"/>
  <c r="F53" i="7"/>
  <c r="J52" i="7"/>
  <c r="F52" i="7"/>
  <c r="J51" i="7"/>
  <c r="F51" i="7"/>
  <c r="J50" i="7"/>
  <c r="F50" i="7"/>
  <c r="J49" i="7"/>
  <c r="F49" i="7"/>
  <c r="J48" i="7"/>
  <c r="F48" i="7"/>
  <c r="F47" i="7"/>
  <c r="J46" i="7"/>
  <c r="F46" i="7"/>
  <c r="J45" i="7"/>
  <c r="J44" i="7"/>
  <c r="F43" i="7"/>
  <c r="F42" i="7"/>
  <c r="J40" i="7"/>
  <c r="J39" i="7"/>
  <c r="F39" i="7"/>
  <c r="J38" i="7"/>
  <c r="C37" i="7"/>
  <c r="B118" i="6"/>
  <c r="B116" i="6"/>
  <c r="B115" i="6"/>
  <c r="B114" i="6"/>
  <c r="J113" i="6"/>
  <c r="J112" i="6"/>
  <c r="J111" i="6"/>
  <c r="J110" i="6"/>
  <c r="J109" i="6"/>
  <c r="J108" i="6"/>
  <c r="F108" i="6"/>
  <c r="J107" i="6"/>
  <c r="F107" i="6"/>
  <c r="J106" i="6"/>
  <c r="F106" i="6"/>
  <c r="J105" i="6"/>
  <c r="F105" i="6"/>
  <c r="J104" i="6"/>
  <c r="F104" i="6"/>
  <c r="F101" i="6"/>
  <c r="J100" i="6"/>
  <c r="F100" i="6"/>
  <c r="J99" i="6"/>
  <c r="F99" i="6"/>
  <c r="J98" i="6"/>
  <c r="F98" i="6"/>
  <c r="J97" i="6"/>
  <c r="F97" i="6"/>
  <c r="F96" i="6"/>
  <c r="J93" i="6"/>
  <c r="F93" i="6"/>
  <c r="J92" i="6"/>
  <c r="F92" i="6"/>
  <c r="J91" i="6"/>
  <c r="J90" i="6"/>
  <c r="J89" i="6"/>
  <c r="F89" i="6"/>
  <c r="J88" i="6"/>
  <c r="F88" i="6"/>
  <c r="J85" i="6"/>
  <c r="F85" i="6"/>
  <c r="J84" i="6"/>
  <c r="F84" i="6"/>
  <c r="J83" i="6"/>
  <c r="F83" i="6"/>
  <c r="J82" i="6"/>
  <c r="C82" i="6"/>
  <c r="J81" i="6"/>
  <c r="J80" i="6"/>
  <c r="F80" i="6"/>
  <c r="F79" i="6"/>
  <c r="F78" i="6"/>
  <c r="F77" i="6"/>
  <c r="J76" i="6"/>
  <c r="F76" i="6"/>
  <c r="J75" i="6"/>
  <c r="F75" i="6"/>
  <c r="F74" i="6"/>
  <c r="F73" i="6"/>
  <c r="J72" i="6"/>
  <c r="F72" i="6"/>
  <c r="J71" i="6"/>
  <c r="F71" i="6"/>
  <c r="J70" i="6"/>
  <c r="J69" i="6"/>
  <c r="C69" i="6"/>
  <c r="J68" i="6"/>
  <c r="F68" i="6"/>
  <c r="J67" i="6"/>
  <c r="F67" i="6"/>
  <c r="J66" i="6"/>
  <c r="F66" i="6"/>
  <c r="J65" i="6"/>
  <c r="F65" i="6"/>
  <c r="J64" i="6"/>
  <c r="F64" i="6"/>
  <c r="J63" i="6"/>
  <c r="F63" i="6"/>
  <c r="J62" i="6"/>
  <c r="F62" i="6"/>
  <c r="F61" i="6"/>
  <c r="J60" i="6"/>
  <c r="F60" i="6"/>
  <c r="J59" i="6"/>
  <c r="J58" i="6"/>
  <c r="F57" i="6"/>
  <c r="F56" i="6"/>
  <c r="J54" i="6"/>
  <c r="J53" i="6"/>
  <c r="F53" i="6"/>
  <c r="J52" i="6"/>
  <c r="C51" i="6"/>
  <c r="B109" i="5"/>
  <c r="B108" i="5"/>
  <c r="B107" i="5"/>
  <c r="B106" i="5"/>
  <c r="B105" i="5"/>
  <c r="J104" i="5"/>
  <c r="J103" i="5"/>
  <c r="J102" i="5"/>
  <c r="J101" i="5"/>
  <c r="J100" i="5"/>
  <c r="J99" i="5"/>
  <c r="F99" i="5"/>
  <c r="J98" i="5"/>
  <c r="F98" i="5"/>
  <c r="J97" i="5"/>
  <c r="F97" i="5"/>
  <c r="J96" i="5"/>
  <c r="F96" i="5"/>
  <c r="J95" i="5"/>
  <c r="F95" i="5"/>
  <c r="F92" i="5"/>
  <c r="J91" i="5"/>
  <c r="F91" i="5"/>
  <c r="J90" i="5"/>
  <c r="F90" i="5"/>
  <c r="J89" i="5"/>
  <c r="F89" i="5"/>
  <c r="J88" i="5"/>
  <c r="F88" i="5"/>
  <c r="F87" i="5"/>
  <c r="J84" i="5"/>
  <c r="F84" i="5"/>
  <c r="J83" i="5"/>
  <c r="F83" i="5"/>
  <c r="J82" i="5"/>
  <c r="J81" i="5"/>
  <c r="J80" i="5"/>
  <c r="F80" i="5"/>
  <c r="J79" i="5"/>
  <c r="F79" i="5"/>
  <c r="J76" i="5"/>
  <c r="F76" i="5"/>
  <c r="J75" i="5"/>
  <c r="F75" i="5"/>
  <c r="J74" i="5"/>
  <c r="F74" i="5"/>
  <c r="J73" i="5"/>
  <c r="C73" i="5"/>
  <c r="J72" i="5"/>
  <c r="J71" i="5"/>
  <c r="F71" i="5"/>
  <c r="F70" i="5"/>
  <c r="F69" i="5"/>
  <c r="F68" i="5"/>
  <c r="J67" i="5"/>
  <c r="F67" i="5"/>
  <c r="J66" i="5"/>
  <c r="F66" i="5"/>
  <c r="F65" i="5"/>
  <c r="F64" i="5"/>
  <c r="F63" i="5"/>
  <c r="J62" i="5"/>
  <c r="F62" i="5"/>
  <c r="J61" i="5"/>
  <c r="J60" i="5"/>
  <c r="C60" i="5"/>
  <c r="J59" i="5"/>
  <c r="F59" i="5"/>
  <c r="J58" i="5"/>
  <c r="F58" i="5"/>
  <c r="J57" i="5"/>
  <c r="F57" i="5"/>
  <c r="J56" i="5"/>
  <c r="F56" i="5"/>
  <c r="J55" i="5"/>
  <c r="F55" i="5"/>
  <c r="J54" i="5"/>
  <c r="F54" i="5"/>
  <c r="J53" i="5"/>
  <c r="F53" i="5"/>
  <c r="F52" i="5"/>
  <c r="J51" i="5"/>
  <c r="F51" i="5"/>
  <c r="J50" i="5"/>
  <c r="J49" i="5"/>
  <c r="F48" i="5"/>
  <c r="F47" i="5"/>
  <c r="J45" i="5"/>
  <c r="J44" i="5"/>
  <c r="F44" i="5"/>
  <c r="J43" i="5"/>
  <c r="C42" i="5"/>
  <c r="B114" i="4"/>
  <c r="B113" i="4"/>
  <c r="J112" i="4"/>
  <c r="B112" i="4"/>
  <c r="J111" i="4"/>
  <c r="B111" i="4"/>
  <c r="J110" i="4"/>
  <c r="B110" i="4"/>
  <c r="J109" i="4"/>
  <c r="J108" i="4"/>
  <c r="J107" i="4"/>
  <c r="J106" i="4"/>
  <c r="J105" i="4"/>
  <c r="J104" i="4"/>
  <c r="F104" i="4"/>
  <c r="J103" i="4"/>
  <c r="F103" i="4"/>
  <c r="F102" i="4"/>
  <c r="F101" i="4"/>
  <c r="F100" i="4"/>
  <c r="J99" i="4"/>
  <c r="J98" i="4"/>
  <c r="J97" i="4"/>
  <c r="F97" i="4"/>
  <c r="J96" i="4"/>
  <c r="F96" i="4"/>
  <c r="J95" i="4"/>
  <c r="F95" i="4"/>
  <c r="F94" i="4"/>
  <c r="F93" i="4"/>
  <c r="F92" i="4"/>
  <c r="J91" i="4"/>
  <c r="J90" i="4"/>
  <c r="J89" i="4"/>
  <c r="F89" i="4"/>
  <c r="J88" i="4"/>
  <c r="F88" i="4"/>
  <c r="J87" i="4"/>
  <c r="J86" i="4"/>
  <c r="F85" i="4"/>
  <c r="F84" i="4"/>
  <c r="J83" i="4"/>
  <c r="J82" i="4"/>
  <c r="J81" i="4"/>
  <c r="F81" i="4"/>
  <c r="J80" i="4"/>
  <c r="F80" i="4"/>
  <c r="J79" i="4"/>
  <c r="F79" i="4"/>
  <c r="J78" i="4"/>
  <c r="C78" i="4"/>
  <c r="F76" i="4"/>
  <c r="F75" i="4"/>
  <c r="J74" i="4"/>
  <c r="F74" i="4"/>
  <c r="J73" i="4"/>
  <c r="F73" i="4"/>
  <c r="F72" i="4"/>
  <c r="F71" i="4"/>
  <c r="F70" i="4"/>
  <c r="J69" i="4"/>
  <c r="F69" i="4"/>
  <c r="J68" i="4"/>
  <c r="F68" i="4"/>
  <c r="J67" i="4"/>
  <c r="F67" i="4"/>
  <c r="J66" i="4"/>
  <c r="J65" i="4"/>
  <c r="C65" i="4"/>
  <c r="J64" i="4"/>
  <c r="F64" i="4"/>
  <c r="J63" i="4"/>
  <c r="F63" i="4"/>
  <c r="J62" i="4"/>
  <c r="F62" i="4"/>
  <c r="J61" i="4"/>
  <c r="F61" i="4"/>
  <c r="J60" i="4"/>
  <c r="F60" i="4"/>
  <c r="J59" i="4"/>
  <c r="F59" i="4"/>
  <c r="J58" i="4"/>
  <c r="F58" i="4"/>
  <c r="F57" i="4"/>
  <c r="J56" i="4"/>
  <c r="F56" i="4"/>
  <c r="J55" i="4"/>
  <c r="J54" i="4"/>
  <c r="F53" i="4"/>
  <c r="F52" i="4"/>
  <c r="J50" i="4"/>
  <c r="J49" i="4"/>
  <c r="F49" i="4"/>
  <c r="J48" i="4"/>
  <c r="C47" i="4"/>
  <c r="B99" i="3"/>
  <c r="B97" i="3"/>
  <c r="B96" i="3"/>
  <c r="B95" i="3"/>
  <c r="J89" i="3"/>
  <c r="F89" i="3"/>
  <c r="J88" i="3"/>
  <c r="F88" i="3"/>
  <c r="J87" i="3"/>
  <c r="F87" i="3"/>
  <c r="J86" i="3"/>
  <c r="F86" i="3"/>
  <c r="J85" i="3"/>
  <c r="F85" i="3"/>
  <c r="J84" i="3"/>
  <c r="J83" i="3"/>
  <c r="J82" i="3"/>
  <c r="F82" i="3"/>
  <c r="J81" i="3"/>
  <c r="F81" i="3"/>
  <c r="J80" i="3"/>
  <c r="F80" i="3"/>
  <c r="F79" i="3"/>
  <c r="F78" i="3"/>
  <c r="F77" i="3"/>
  <c r="J76" i="3"/>
  <c r="J75" i="3"/>
  <c r="J74" i="3"/>
  <c r="F74" i="3"/>
  <c r="J73" i="3"/>
  <c r="F73" i="3"/>
  <c r="F70" i="3"/>
  <c r="F69" i="3"/>
  <c r="J68" i="3"/>
  <c r="J67" i="3"/>
  <c r="J66" i="3"/>
  <c r="F66" i="3"/>
  <c r="J65" i="3"/>
  <c r="F65" i="3"/>
  <c r="J64" i="3"/>
  <c r="F64" i="3"/>
  <c r="J63" i="3"/>
  <c r="C63" i="3"/>
  <c r="F61" i="3"/>
  <c r="F60" i="3"/>
  <c r="J59" i="3"/>
  <c r="F59" i="3"/>
  <c r="J58" i="3"/>
  <c r="F58" i="3"/>
  <c r="F57" i="3"/>
  <c r="F56" i="3"/>
  <c r="F55" i="3"/>
  <c r="J54" i="3"/>
  <c r="F54" i="3"/>
  <c r="J53" i="3"/>
  <c r="F53" i="3"/>
  <c r="J52" i="3"/>
  <c r="F52" i="3"/>
  <c r="J51" i="3"/>
  <c r="J50" i="3"/>
  <c r="C50" i="3"/>
  <c r="J49" i="3"/>
  <c r="F49" i="3"/>
  <c r="J48" i="3"/>
  <c r="F48" i="3"/>
  <c r="J47" i="3"/>
  <c r="F47" i="3"/>
  <c r="J46" i="3"/>
  <c r="F46" i="3"/>
  <c r="J45" i="3"/>
  <c r="F45" i="3"/>
  <c r="J44" i="3"/>
  <c r="F44" i="3"/>
  <c r="J43" i="3"/>
  <c r="F43" i="3"/>
  <c r="F42" i="3"/>
  <c r="J41" i="3"/>
  <c r="F41" i="3"/>
  <c r="J40" i="3"/>
  <c r="J39" i="3"/>
  <c r="F38" i="3"/>
  <c r="F37" i="3"/>
  <c r="J35" i="3"/>
  <c r="J34" i="3"/>
  <c r="F34" i="3"/>
  <c r="J33" i="3"/>
  <c r="C32" i="3"/>
  <c r="B112" i="2"/>
  <c r="B110" i="2"/>
  <c r="B109" i="2"/>
  <c r="B108" i="2"/>
  <c r="J102" i="2"/>
  <c r="F102" i="2"/>
  <c r="J101" i="2"/>
  <c r="F101" i="2"/>
  <c r="J100" i="2"/>
  <c r="F100" i="2"/>
  <c r="J99" i="2"/>
  <c r="F99" i="2"/>
  <c r="J98" i="2"/>
  <c r="F98" i="2"/>
  <c r="J97" i="2"/>
  <c r="J96" i="2"/>
  <c r="J95" i="2"/>
  <c r="F95" i="2"/>
  <c r="J94" i="2"/>
  <c r="F94" i="2"/>
  <c r="J93" i="2"/>
  <c r="F93" i="2"/>
  <c r="F92" i="2"/>
  <c r="F91" i="2"/>
  <c r="F90" i="2"/>
  <c r="J89" i="2"/>
  <c r="J88" i="2"/>
  <c r="J87" i="2"/>
  <c r="F87" i="2"/>
  <c r="J86" i="2"/>
  <c r="F86" i="2"/>
  <c r="J85" i="2"/>
  <c r="F83" i="2"/>
  <c r="F82" i="2"/>
  <c r="J81" i="2"/>
  <c r="J80" i="2"/>
  <c r="J79" i="2"/>
  <c r="F79" i="2"/>
  <c r="J78" i="2"/>
  <c r="F78" i="2"/>
  <c r="J77" i="2"/>
  <c r="F77" i="2"/>
  <c r="J76" i="2"/>
  <c r="C76" i="2"/>
  <c r="F74" i="2"/>
  <c r="F73" i="2"/>
  <c r="J72" i="2"/>
  <c r="F72" i="2"/>
  <c r="J71" i="2"/>
  <c r="F71" i="2"/>
  <c r="F70" i="2"/>
  <c r="F69" i="2"/>
  <c r="F68" i="2"/>
  <c r="J67" i="2"/>
  <c r="F67" i="2"/>
  <c r="J66" i="2"/>
  <c r="F66" i="2"/>
  <c r="J65" i="2"/>
  <c r="F65" i="2"/>
  <c r="J64" i="2"/>
  <c r="J63" i="2"/>
  <c r="C63" i="2"/>
  <c r="J62" i="2"/>
  <c r="F62" i="2"/>
  <c r="J61" i="2"/>
  <c r="F61" i="2"/>
  <c r="J60" i="2"/>
  <c r="F60" i="2"/>
  <c r="J59" i="2"/>
  <c r="F59" i="2"/>
  <c r="J58" i="2"/>
  <c r="F58" i="2"/>
  <c r="J57" i="2"/>
  <c r="F57" i="2"/>
  <c r="J56" i="2"/>
  <c r="F56" i="2"/>
  <c r="F55" i="2"/>
  <c r="J54" i="2"/>
  <c r="F54" i="2"/>
  <c r="J53" i="2"/>
  <c r="J52" i="2"/>
  <c r="F51" i="2"/>
  <c r="F50" i="2"/>
  <c r="J48" i="2"/>
  <c r="J47" i="2"/>
  <c r="F47" i="2"/>
  <c r="J46" i="2"/>
  <c r="C45" i="2"/>
  <c r="J1000" i="1"/>
  <c r="J999" i="1"/>
  <c r="A999" i="1"/>
  <c r="J998" i="1"/>
  <c r="A998" i="1"/>
  <c r="J997" i="1"/>
  <c r="A997" i="1"/>
  <c r="J996" i="1"/>
  <c r="A996" i="1"/>
  <c r="J995" i="1"/>
  <c r="A995" i="1"/>
  <c r="J994" i="1"/>
  <c r="A994" i="1"/>
  <c r="J993" i="1"/>
  <c r="A993" i="1"/>
  <c r="J992" i="1"/>
  <c r="A992" i="1"/>
  <c r="J991" i="1"/>
  <c r="A991" i="1"/>
  <c r="J990" i="1"/>
  <c r="A990" i="1"/>
  <c r="J989" i="1"/>
  <c r="A989" i="1"/>
  <c r="J988" i="1"/>
  <c r="A988" i="1"/>
  <c r="J987" i="1"/>
  <c r="A987" i="1"/>
  <c r="J986" i="1"/>
  <c r="A986" i="1"/>
  <c r="J985" i="1"/>
  <c r="A985" i="1"/>
  <c r="J984" i="1"/>
  <c r="A984" i="1"/>
  <c r="J983" i="1"/>
  <c r="A983" i="1"/>
  <c r="J982" i="1"/>
  <c r="A982" i="1"/>
  <c r="J981" i="1"/>
  <c r="A981" i="1"/>
  <c r="J980" i="1"/>
  <c r="A980" i="1"/>
  <c r="J979" i="1"/>
  <c r="A979" i="1"/>
  <c r="J978" i="1"/>
  <c r="A978" i="1"/>
  <c r="J977" i="1"/>
  <c r="A977" i="1"/>
  <c r="J976" i="1"/>
  <c r="A976" i="1"/>
  <c r="J975" i="1"/>
  <c r="A975" i="1"/>
  <c r="J974" i="1"/>
  <c r="A974" i="1"/>
  <c r="J973" i="1"/>
  <c r="A973" i="1"/>
  <c r="J972" i="1"/>
  <c r="A972" i="1"/>
  <c r="J971" i="1"/>
  <c r="A971" i="1"/>
  <c r="J970" i="1"/>
  <c r="A970" i="1"/>
  <c r="J969" i="1"/>
  <c r="A969" i="1"/>
  <c r="J968" i="1"/>
  <c r="A968" i="1"/>
  <c r="J967" i="1"/>
  <c r="A967" i="1"/>
  <c r="J966" i="1"/>
  <c r="A966" i="1"/>
  <c r="J965" i="1"/>
  <c r="A965" i="1"/>
  <c r="J964" i="1"/>
  <c r="A964" i="1"/>
  <c r="J963" i="1"/>
  <c r="A963" i="1"/>
  <c r="J962" i="1"/>
  <c r="A962" i="1"/>
  <c r="J961" i="1"/>
  <c r="A961" i="1"/>
  <c r="J960" i="1"/>
  <c r="A960" i="1"/>
  <c r="J959" i="1"/>
  <c r="A959" i="1"/>
  <c r="J958" i="1"/>
  <c r="A958" i="1"/>
  <c r="J957" i="1"/>
  <c r="A957" i="1"/>
  <c r="J956" i="1"/>
  <c r="A956" i="1"/>
  <c r="J955" i="1"/>
  <c r="A955" i="1"/>
  <c r="J954" i="1"/>
  <c r="A954" i="1"/>
  <c r="J953" i="1"/>
  <c r="A953" i="1"/>
  <c r="J952" i="1"/>
  <c r="A952" i="1"/>
  <c r="J951" i="1"/>
  <c r="A951" i="1"/>
  <c r="J950" i="1"/>
  <c r="A950" i="1"/>
  <c r="J949" i="1"/>
  <c r="A949" i="1"/>
  <c r="J948" i="1"/>
  <c r="A948" i="1"/>
  <c r="J947" i="1"/>
  <c r="A947" i="1"/>
  <c r="J946" i="1"/>
  <c r="A946" i="1"/>
  <c r="J945" i="1"/>
  <c r="A945" i="1"/>
  <c r="J944" i="1"/>
  <c r="A944" i="1"/>
  <c r="J943" i="1"/>
  <c r="A943" i="1"/>
  <c r="J942" i="1"/>
  <c r="A942" i="1"/>
  <c r="J941" i="1"/>
  <c r="A941" i="1"/>
  <c r="J940" i="1"/>
  <c r="A940" i="1"/>
  <c r="J939" i="1"/>
  <c r="A939" i="1"/>
  <c r="J938" i="1"/>
  <c r="A938" i="1"/>
  <c r="J937" i="1"/>
  <c r="A937" i="1"/>
  <c r="J936" i="1"/>
  <c r="A936" i="1"/>
  <c r="J935" i="1"/>
  <c r="A935" i="1"/>
  <c r="J934" i="1"/>
  <c r="A934" i="1"/>
  <c r="J933" i="1"/>
  <c r="A933" i="1"/>
  <c r="J932" i="1"/>
  <c r="A932" i="1"/>
  <c r="J931" i="1"/>
  <c r="A931" i="1"/>
  <c r="J930" i="1"/>
  <c r="A930" i="1"/>
  <c r="J929" i="1"/>
  <c r="A929" i="1"/>
  <c r="J928" i="1"/>
  <c r="A928" i="1"/>
  <c r="J927" i="1"/>
  <c r="A927" i="1"/>
  <c r="J926" i="1"/>
  <c r="A926" i="1"/>
  <c r="J925" i="1"/>
  <c r="A925" i="1"/>
  <c r="J924" i="1"/>
  <c r="A924" i="1"/>
  <c r="J923" i="1"/>
  <c r="A923" i="1"/>
  <c r="J922" i="1"/>
  <c r="A922" i="1"/>
  <c r="J921" i="1"/>
  <c r="A921" i="1"/>
  <c r="J920" i="1"/>
  <c r="A920" i="1"/>
  <c r="J919" i="1"/>
  <c r="A919" i="1"/>
  <c r="J918" i="1"/>
  <c r="A918" i="1"/>
  <c r="J917" i="1"/>
  <c r="A917" i="1"/>
  <c r="J916" i="1"/>
  <c r="A916" i="1"/>
  <c r="J915" i="1"/>
  <c r="A915" i="1"/>
  <c r="J914" i="1"/>
  <c r="A914" i="1"/>
  <c r="J913" i="1"/>
  <c r="A913" i="1"/>
  <c r="J912" i="1"/>
  <c r="A912" i="1"/>
  <c r="J911" i="1"/>
  <c r="A911" i="1"/>
  <c r="J910" i="1"/>
  <c r="A910" i="1"/>
  <c r="J909" i="1"/>
  <c r="A909" i="1"/>
  <c r="J908" i="1"/>
  <c r="A908" i="1"/>
  <c r="J907" i="1"/>
  <c r="A907" i="1"/>
  <c r="J906" i="1"/>
  <c r="A906" i="1"/>
  <c r="J905" i="1"/>
  <c r="A905" i="1"/>
  <c r="J904" i="1"/>
  <c r="A904" i="1"/>
  <c r="J903" i="1"/>
  <c r="A903" i="1"/>
  <c r="J902" i="1"/>
  <c r="A902" i="1"/>
  <c r="J901" i="1"/>
  <c r="A901" i="1"/>
  <c r="J900" i="1"/>
  <c r="A900" i="1"/>
  <c r="J899" i="1"/>
  <c r="A899" i="1"/>
  <c r="J898" i="1"/>
  <c r="A898" i="1"/>
  <c r="J897" i="1"/>
  <c r="A897" i="1"/>
  <c r="J896" i="1"/>
  <c r="A896" i="1"/>
  <c r="J895" i="1"/>
  <c r="A895" i="1"/>
  <c r="J894" i="1"/>
  <c r="A894" i="1"/>
  <c r="J893" i="1"/>
  <c r="A893" i="1"/>
  <c r="J892" i="1"/>
  <c r="A892" i="1"/>
  <c r="J891" i="1"/>
  <c r="A891" i="1"/>
  <c r="J890" i="1"/>
  <c r="A890" i="1"/>
  <c r="J889" i="1"/>
  <c r="A889" i="1"/>
  <c r="J888" i="1"/>
  <c r="A888" i="1"/>
  <c r="J887" i="1"/>
  <c r="A887" i="1"/>
  <c r="J886" i="1"/>
  <c r="A886" i="1"/>
  <c r="J885" i="1"/>
  <c r="A885" i="1"/>
  <c r="J884" i="1"/>
  <c r="A884" i="1"/>
  <c r="J883" i="1"/>
  <c r="A883" i="1"/>
  <c r="J882" i="1"/>
  <c r="A882" i="1"/>
  <c r="J881" i="1"/>
  <c r="A881" i="1"/>
  <c r="J880" i="1"/>
  <c r="A880" i="1"/>
  <c r="J879" i="1"/>
  <c r="A879" i="1"/>
  <c r="J878" i="1"/>
  <c r="A878" i="1"/>
  <c r="J877" i="1"/>
  <c r="A877" i="1"/>
  <c r="J876" i="1"/>
  <c r="A876" i="1"/>
  <c r="J875" i="1"/>
  <c r="A875" i="1"/>
  <c r="J874" i="1"/>
  <c r="A874" i="1"/>
  <c r="J873" i="1"/>
  <c r="A873" i="1"/>
  <c r="J872" i="1"/>
  <c r="A872" i="1"/>
  <c r="J871" i="1"/>
  <c r="A871" i="1"/>
  <c r="J870" i="1"/>
  <c r="A870" i="1"/>
  <c r="J869" i="1"/>
  <c r="A869" i="1"/>
  <c r="J868" i="1"/>
  <c r="A868" i="1"/>
  <c r="J867" i="1"/>
  <c r="A867" i="1"/>
  <c r="J866" i="1"/>
  <c r="A866" i="1"/>
  <c r="J865" i="1"/>
  <c r="A865" i="1"/>
  <c r="J864" i="1"/>
  <c r="A864" i="1"/>
  <c r="J863" i="1"/>
  <c r="A863" i="1"/>
  <c r="J862" i="1"/>
  <c r="A862" i="1"/>
  <c r="J861" i="1"/>
  <c r="A861" i="1"/>
  <c r="J860" i="1"/>
  <c r="A860" i="1"/>
  <c r="J859" i="1"/>
  <c r="A859" i="1"/>
  <c r="J858" i="1"/>
  <c r="A858" i="1"/>
  <c r="J857" i="1"/>
  <c r="A857" i="1"/>
  <c r="J856" i="1"/>
  <c r="A856" i="1"/>
  <c r="J855" i="1"/>
  <c r="A855" i="1"/>
  <c r="J854" i="1"/>
  <c r="A854" i="1"/>
  <c r="J853" i="1"/>
  <c r="A853" i="1"/>
  <c r="J852" i="1"/>
  <c r="A852" i="1"/>
  <c r="J851" i="1"/>
  <c r="A851" i="1"/>
  <c r="J850" i="1"/>
  <c r="A850" i="1"/>
  <c r="J849" i="1"/>
  <c r="A849" i="1"/>
  <c r="J848" i="1"/>
  <c r="A848" i="1"/>
  <c r="J847" i="1"/>
  <c r="A847" i="1"/>
  <c r="J846" i="1"/>
  <c r="A846" i="1"/>
  <c r="J845" i="1"/>
  <c r="A845" i="1"/>
  <c r="J844" i="1"/>
  <c r="A844" i="1"/>
  <c r="J843" i="1"/>
  <c r="A843" i="1"/>
  <c r="J842" i="1"/>
  <c r="A842" i="1"/>
  <c r="J841" i="1"/>
  <c r="A841" i="1"/>
  <c r="J840" i="1"/>
  <c r="A840" i="1"/>
  <c r="J839" i="1"/>
  <c r="A839" i="1"/>
  <c r="J838" i="1"/>
  <c r="A838" i="1"/>
  <c r="J837" i="1"/>
  <c r="A837" i="1"/>
  <c r="J836" i="1"/>
  <c r="A836" i="1"/>
  <c r="J835" i="1"/>
  <c r="A835" i="1"/>
  <c r="J834" i="1"/>
  <c r="A834" i="1"/>
  <c r="J833" i="1"/>
  <c r="A833" i="1"/>
  <c r="J832" i="1"/>
  <c r="A832" i="1"/>
  <c r="J831" i="1"/>
  <c r="A831" i="1"/>
  <c r="J830" i="1"/>
  <c r="A830" i="1"/>
  <c r="J829" i="1"/>
  <c r="A829" i="1"/>
  <c r="J828" i="1"/>
  <c r="A828" i="1"/>
  <c r="J827" i="1"/>
  <c r="A827" i="1"/>
  <c r="J826" i="1"/>
  <c r="A826" i="1"/>
  <c r="J825" i="1"/>
  <c r="A825" i="1"/>
  <c r="J824" i="1"/>
  <c r="A824" i="1"/>
  <c r="J823" i="1"/>
  <c r="A823" i="1"/>
  <c r="J822" i="1"/>
  <c r="A822" i="1"/>
  <c r="J821" i="1"/>
  <c r="A821" i="1"/>
  <c r="J820" i="1"/>
  <c r="A820" i="1"/>
  <c r="J819" i="1"/>
  <c r="A819" i="1"/>
  <c r="J818" i="1"/>
  <c r="A818" i="1"/>
  <c r="J817" i="1"/>
  <c r="A817" i="1"/>
  <c r="J816" i="1"/>
  <c r="A816" i="1"/>
  <c r="J815" i="1"/>
  <c r="A815" i="1"/>
  <c r="J814" i="1"/>
  <c r="A814" i="1"/>
  <c r="J813" i="1"/>
  <c r="A813" i="1"/>
  <c r="J812" i="1"/>
  <c r="A812" i="1"/>
  <c r="J811" i="1"/>
  <c r="A811" i="1"/>
  <c r="J810" i="1"/>
  <c r="A810" i="1"/>
  <c r="J809" i="1"/>
  <c r="A809" i="1"/>
  <c r="J808" i="1"/>
  <c r="A808" i="1"/>
  <c r="J807" i="1"/>
  <c r="A807" i="1"/>
  <c r="J806" i="1"/>
  <c r="A806" i="1"/>
  <c r="J805" i="1"/>
  <c r="A805" i="1"/>
  <c r="J804" i="1"/>
  <c r="A804" i="1"/>
  <c r="J803" i="1"/>
  <c r="A803" i="1"/>
  <c r="J802" i="1"/>
  <c r="A802" i="1"/>
  <c r="J801" i="1"/>
  <c r="A801" i="1"/>
  <c r="J800" i="1"/>
  <c r="A800" i="1"/>
  <c r="J799" i="1"/>
  <c r="A799" i="1"/>
  <c r="J798" i="1"/>
  <c r="A798" i="1"/>
  <c r="J797" i="1"/>
  <c r="A797" i="1"/>
  <c r="J796" i="1"/>
  <c r="A796" i="1"/>
  <c r="J795" i="1"/>
  <c r="A795" i="1"/>
  <c r="J794" i="1"/>
  <c r="A794" i="1"/>
  <c r="J793" i="1"/>
  <c r="A793" i="1"/>
  <c r="J792" i="1"/>
  <c r="A792" i="1"/>
  <c r="J791" i="1"/>
  <c r="A791" i="1"/>
  <c r="J790" i="1"/>
  <c r="A790" i="1"/>
  <c r="J789" i="1"/>
  <c r="A789" i="1"/>
  <c r="J788" i="1"/>
  <c r="A788" i="1"/>
  <c r="J787" i="1"/>
  <c r="A787" i="1"/>
  <c r="J786" i="1"/>
  <c r="A786" i="1"/>
  <c r="J785" i="1"/>
  <c r="A785" i="1"/>
  <c r="J784" i="1"/>
  <c r="A784" i="1"/>
  <c r="J783" i="1"/>
  <c r="A783" i="1"/>
  <c r="J782" i="1"/>
  <c r="A782" i="1"/>
  <c r="J781" i="1"/>
  <c r="A781" i="1"/>
  <c r="J780" i="1"/>
  <c r="A780" i="1"/>
  <c r="J779" i="1"/>
  <c r="A779" i="1"/>
  <c r="J778" i="1"/>
  <c r="A778" i="1"/>
  <c r="J777" i="1"/>
  <c r="A777" i="1"/>
  <c r="J776" i="1"/>
  <c r="A776" i="1"/>
  <c r="J775" i="1"/>
  <c r="A775" i="1"/>
  <c r="J774" i="1"/>
  <c r="A774" i="1"/>
  <c r="J773" i="1"/>
  <c r="A773" i="1"/>
  <c r="J772" i="1"/>
  <c r="A772" i="1"/>
  <c r="J771" i="1"/>
  <c r="A771" i="1"/>
  <c r="J770" i="1"/>
  <c r="A770" i="1"/>
  <c r="J769" i="1"/>
  <c r="A769" i="1"/>
  <c r="J768" i="1"/>
  <c r="A768" i="1"/>
  <c r="J767" i="1"/>
  <c r="A767" i="1"/>
  <c r="J766" i="1"/>
  <c r="A766" i="1"/>
  <c r="J765" i="1"/>
  <c r="A765" i="1"/>
  <c r="J764" i="1"/>
  <c r="A764" i="1"/>
  <c r="J763" i="1"/>
  <c r="A763" i="1"/>
  <c r="J762" i="1"/>
  <c r="A762" i="1"/>
  <c r="J761" i="1"/>
  <c r="A761" i="1"/>
  <c r="J760" i="1"/>
  <c r="A760" i="1"/>
  <c r="J759" i="1"/>
  <c r="A759" i="1"/>
  <c r="J758" i="1"/>
  <c r="A758" i="1"/>
  <c r="J757" i="1"/>
  <c r="A757" i="1"/>
  <c r="J756" i="1"/>
  <c r="A756" i="1"/>
  <c r="J755" i="1"/>
  <c r="A755" i="1"/>
  <c r="J754" i="1"/>
  <c r="A754" i="1"/>
  <c r="J753" i="1"/>
  <c r="A753" i="1"/>
  <c r="J752" i="1"/>
  <c r="A752" i="1"/>
  <c r="J751" i="1"/>
  <c r="A751" i="1"/>
  <c r="J750" i="1"/>
  <c r="A750" i="1"/>
  <c r="J749" i="1"/>
  <c r="A749" i="1"/>
  <c r="J748" i="1"/>
  <c r="A748" i="1"/>
  <c r="J747" i="1"/>
  <c r="A747" i="1"/>
  <c r="J746" i="1"/>
  <c r="A746" i="1"/>
  <c r="J745" i="1"/>
  <c r="A745" i="1"/>
  <c r="J744" i="1"/>
  <c r="A744" i="1"/>
  <c r="J743" i="1"/>
  <c r="A743" i="1"/>
  <c r="J742" i="1"/>
  <c r="A742" i="1"/>
  <c r="J741" i="1"/>
  <c r="A741" i="1"/>
  <c r="J740" i="1"/>
  <c r="A740" i="1"/>
  <c r="J739" i="1"/>
  <c r="A739" i="1"/>
  <c r="J738" i="1"/>
  <c r="A738" i="1"/>
  <c r="J737" i="1"/>
  <c r="A737" i="1"/>
  <c r="J736" i="1"/>
  <c r="A736" i="1"/>
  <c r="J735" i="1"/>
  <c r="A735" i="1"/>
  <c r="J734" i="1"/>
  <c r="A734" i="1"/>
  <c r="J733" i="1"/>
  <c r="A733" i="1"/>
  <c r="J732" i="1"/>
  <c r="A732" i="1"/>
  <c r="J731" i="1"/>
  <c r="A731" i="1"/>
  <c r="J730" i="1"/>
  <c r="A730" i="1"/>
  <c r="J729" i="1"/>
  <c r="A729" i="1"/>
  <c r="J728" i="1"/>
  <c r="A728" i="1"/>
  <c r="J727" i="1"/>
  <c r="A727" i="1"/>
  <c r="J726" i="1"/>
  <c r="A726" i="1"/>
  <c r="J725" i="1"/>
  <c r="A725" i="1"/>
  <c r="J724" i="1"/>
  <c r="A724" i="1"/>
  <c r="J723" i="1"/>
  <c r="A723" i="1"/>
  <c r="J722" i="1"/>
  <c r="A722" i="1"/>
  <c r="J721" i="1"/>
  <c r="A721" i="1"/>
  <c r="J720" i="1"/>
  <c r="A720" i="1"/>
  <c r="J719" i="1"/>
  <c r="A719" i="1"/>
  <c r="J718" i="1"/>
  <c r="A718" i="1"/>
  <c r="J717" i="1"/>
  <c r="A717" i="1"/>
  <c r="J716" i="1"/>
  <c r="A716" i="1"/>
  <c r="J715" i="1"/>
  <c r="A715" i="1"/>
  <c r="J714" i="1"/>
  <c r="A714" i="1"/>
  <c r="J713" i="1"/>
  <c r="A713" i="1"/>
  <c r="J712" i="1"/>
  <c r="A712" i="1"/>
  <c r="J711" i="1"/>
  <c r="A711" i="1"/>
  <c r="J710" i="1"/>
  <c r="A710" i="1"/>
  <c r="J709" i="1"/>
  <c r="A709" i="1"/>
  <c r="J708" i="1"/>
  <c r="A708" i="1"/>
  <c r="J707" i="1"/>
  <c r="A707" i="1"/>
  <c r="J706" i="1"/>
  <c r="A706" i="1"/>
  <c r="J705" i="1"/>
  <c r="A705" i="1"/>
  <c r="J704" i="1"/>
  <c r="A704" i="1"/>
  <c r="J703" i="1"/>
  <c r="A703" i="1"/>
  <c r="J702" i="1"/>
  <c r="A702" i="1"/>
  <c r="J701" i="1"/>
  <c r="A701" i="1"/>
  <c r="J700" i="1"/>
  <c r="A700" i="1"/>
  <c r="J699" i="1"/>
  <c r="A699" i="1"/>
  <c r="J698" i="1"/>
  <c r="A698" i="1"/>
  <c r="J697" i="1"/>
  <c r="A697" i="1"/>
  <c r="J696" i="1"/>
  <c r="A696" i="1"/>
  <c r="J695" i="1"/>
  <c r="A695" i="1"/>
  <c r="J694" i="1"/>
  <c r="A694" i="1"/>
  <c r="J693" i="1"/>
  <c r="A693" i="1"/>
  <c r="J692" i="1"/>
  <c r="A692" i="1"/>
  <c r="J691" i="1"/>
  <c r="A691" i="1"/>
  <c r="J690" i="1"/>
  <c r="A690" i="1"/>
  <c r="J689" i="1"/>
  <c r="A689" i="1"/>
  <c r="J688" i="1"/>
  <c r="A688" i="1"/>
  <c r="J687" i="1"/>
  <c r="A687" i="1"/>
  <c r="J686" i="1"/>
  <c r="A686" i="1"/>
  <c r="J685" i="1"/>
  <c r="A685" i="1"/>
  <c r="J684" i="1"/>
  <c r="A684" i="1"/>
  <c r="J683" i="1"/>
  <c r="A683" i="1"/>
  <c r="J682" i="1"/>
  <c r="A682" i="1"/>
  <c r="J681" i="1"/>
  <c r="A681" i="1"/>
  <c r="J680" i="1"/>
  <c r="A680" i="1"/>
  <c r="J679" i="1"/>
  <c r="A679" i="1"/>
  <c r="J678" i="1"/>
  <c r="A678" i="1"/>
  <c r="J677" i="1"/>
  <c r="A677" i="1"/>
  <c r="J676" i="1"/>
  <c r="A676" i="1"/>
  <c r="J675" i="1"/>
  <c r="A675" i="1"/>
  <c r="J674" i="1"/>
  <c r="A674" i="1"/>
  <c r="J673" i="1"/>
  <c r="A673" i="1"/>
  <c r="J672" i="1"/>
  <c r="A672" i="1"/>
  <c r="J671" i="1"/>
  <c r="A671" i="1"/>
  <c r="J670" i="1"/>
  <c r="A670" i="1"/>
  <c r="J669" i="1"/>
  <c r="A669" i="1"/>
  <c r="J668" i="1"/>
  <c r="A668" i="1"/>
  <c r="J667" i="1"/>
  <c r="A667" i="1"/>
  <c r="J666" i="1"/>
  <c r="A666" i="1"/>
  <c r="J665" i="1"/>
  <c r="A665" i="1"/>
  <c r="J664" i="1"/>
  <c r="A664" i="1"/>
  <c r="J663" i="1"/>
  <c r="A663" i="1"/>
  <c r="J662" i="1"/>
  <c r="A662" i="1"/>
  <c r="J661" i="1"/>
  <c r="A661" i="1"/>
  <c r="J660" i="1"/>
  <c r="A660" i="1"/>
  <c r="J659" i="1"/>
  <c r="A659" i="1"/>
  <c r="J658" i="1"/>
  <c r="A658" i="1"/>
  <c r="J657" i="1"/>
  <c r="A657" i="1"/>
  <c r="J656" i="1"/>
  <c r="A656" i="1"/>
  <c r="J655" i="1"/>
  <c r="A655" i="1"/>
  <c r="J654" i="1"/>
  <c r="A654" i="1"/>
  <c r="J653" i="1"/>
  <c r="A653" i="1"/>
  <c r="J652" i="1"/>
  <c r="A652" i="1"/>
  <c r="J651" i="1"/>
  <c r="A651" i="1"/>
  <c r="J650" i="1"/>
  <c r="A650" i="1"/>
  <c r="J649" i="1"/>
  <c r="A649" i="1"/>
  <c r="J648" i="1"/>
  <c r="A648" i="1"/>
  <c r="J647" i="1"/>
  <c r="A647" i="1"/>
  <c r="J646" i="1"/>
  <c r="A646" i="1"/>
  <c r="J645" i="1"/>
  <c r="A645" i="1"/>
  <c r="J644" i="1"/>
  <c r="A644" i="1"/>
  <c r="J643" i="1"/>
  <c r="A643" i="1"/>
  <c r="J642" i="1"/>
  <c r="A642" i="1"/>
  <c r="J641" i="1"/>
  <c r="A641" i="1"/>
  <c r="J640" i="1"/>
  <c r="A640" i="1"/>
  <c r="J639" i="1"/>
  <c r="A639" i="1"/>
  <c r="J638" i="1"/>
  <c r="A638" i="1"/>
  <c r="J637" i="1"/>
  <c r="A637" i="1"/>
  <c r="J636" i="1"/>
  <c r="A636" i="1"/>
  <c r="J635" i="1"/>
  <c r="A635" i="1"/>
  <c r="J634" i="1"/>
  <c r="A634" i="1"/>
  <c r="J633" i="1"/>
  <c r="A633" i="1"/>
  <c r="J632" i="1"/>
  <c r="A632" i="1"/>
  <c r="J631" i="1"/>
  <c r="A631" i="1"/>
  <c r="J630" i="1"/>
  <c r="A630" i="1"/>
  <c r="J629" i="1"/>
  <c r="A629" i="1"/>
  <c r="J628" i="1"/>
  <c r="A628" i="1"/>
  <c r="J627" i="1"/>
  <c r="A627" i="1"/>
  <c r="J626" i="1"/>
  <c r="A626" i="1"/>
  <c r="J625" i="1"/>
  <c r="A625" i="1"/>
  <c r="J624" i="1"/>
  <c r="A624" i="1"/>
  <c r="J623" i="1"/>
  <c r="A623" i="1"/>
  <c r="J622" i="1"/>
  <c r="A622" i="1"/>
  <c r="J621" i="1"/>
  <c r="A621" i="1"/>
  <c r="J620" i="1"/>
  <c r="A620" i="1"/>
  <c r="J619" i="1"/>
  <c r="A619" i="1"/>
  <c r="J618" i="1"/>
  <c r="A618" i="1"/>
  <c r="J617" i="1"/>
  <c r="A617" i="1"/>
  <c r="J616" i="1"/>
  <c r="A616" i="1"/>
  <c r="J615" i="1"/>
  <c r="A615" i="1"/>
  <c r="J614" i="1"/>
  <c r="A614" i="1"/>
  <c r="J613" i="1"/>
  <c r="A613" i="1"/>
  <c r="J612" i="1"/>
  <c r="A612" i="1"/>
  <c r="J611" i="1"/>
  <c r="A611" i="1"/>
  <c r="J610" i="1"/>
  <c r="A610" i="1"/>
  <c r="J609" i="1"/>
  <c r="A609" i="1"/>
  <c r="J608" i="1"/>
  <c r="A608" i="1"/>
  <c r="J607" i="1"/>
  <c r="A607" i="1"/>
  <c r="J606" i="1"/>
  <c r="A606" i="1"/>
  <c r="J605" i="1"/>
  <c r="A605" i="1"/>
  <c r="J604" i="1"/>
  <c r="A604" i="1"/>
  <c r="J603" i="1"/>
  <c r="A603" i="1"/>
  <c r="J602" i="1"/>
  <c r="A602" i="1"/>
  <c r="J601" i="1"/>
  <c r="A601" i="1"/>
  <c r="J600" i="1"/>
  <c r="A600" i="1"/>
  <c r="J599" i="1"/>
  <c r="A599" i="1"/>
  <c r="J598" i="1"/>
  <c r="A598" i="1"/>
  <c r="J597" i="1"/>
  <c r="A597" i="1"/>
  <c r="J596" i="1"/>
  <c r="A596" i="1"/>
  <c r="J595" i="1"/>
  <c r="A595" i="1"/>
  <c r="J594" i="1"/>
  <c r="A594" i="1"/>
  <c r="J593" i="1"/>
  <c r="A593" i="1"/>
  <c r="J592" i="1"/>
  <c r="A592" i="1"/>
  <c r="J591" i="1"/>
  <c r="A591" i="1"/>
  <c r="J590" i="1"/>
  <c r="A590" i="1"/>
  <c r="J589" i="1"/>
  <c r="A589" i="1"/>
  <c r="J588" i="1"/>
  <c r="A588" i="1"/>
  <c r="J587" i="1"/>
  <c r="A587" i="1"/>
  <c r="J586" i="1"/>
  <c r="A586" i="1"/>
  <c r="J585" i="1"/>
  <c r="A585" i="1"/>
  <c r="J584" i="1"/>
  <c r="A584" i="1"/>
  <c r="J583" i="1"/>
  <c r="A583" i="1"/>
  <c r="J582" i="1"/>
  <c r="A582" i="1"/>
  <c r="J581" i="1"/>
  <c r="A581" i="1"/>
  <c r="J580" i="1"/>
  <c r="A580" i="1"/>
  <c r="J579" i="1"/>
  <c r="A579" i="1"/>
  <c r="J578" i="1"/>
  <c r="A578" i="1"/>
  <c r="J577" i="1"/>
  <c r="A577" i="1"/>
  <c r="J576" i="1"/>
  <c r="A576" i="1"/>
  <c r="J575" i="1"/>
  <c r="A575" i="1"/>
  <c r="J574" i="1"/>
  <c r="A574" i="1"/>
  <c r="J573" i="1"/>
  <c r="A573" i="1"/>
  <c r="J572" i="1"/>
  <c r="A572" i="1"/>
  <c r="J571" i="1"/>
  <c r="A571" i="1"/>
  <c r="J570" i="1"/>
  <c r="A570" i="1"/>
  <c r="J569" i="1"/>
  <c r="A569" i="1"/>
  <c r="J568" i="1"/>
  <c r="A568" i="1"/>
  <c r="J567" i="1"/>
  <c r="A567" i="1"/>
  <c r="J566" i="1"/>
  <c r="A566" i="1"/>
  <c r="J565" i="1"/>
  <c r="A565" i="1"/>
  <c r="J564" i="1"/>
  <c r="A564" i="1"/>
  <c r="J563" i="1"/>
  <c r="A563" i="1"/>
  <c r="J562" i="1"/>
  <c r="A562" i="1"/>
  <c r="J561" i="1"/>
  <c r="A561" i="1"/>
  <c r="J560" i="1"/>
  <c r="A560" i="1"/>
  <c r="J559" i="1"/>
  <c r="A559" i="1"/>
  <c r="J558" i="1"/>
  <c r="A558" i="1"/>
  <c r="J557" i="1"/>
  <c r="A557" i="1"/>
  <c r="J556" i="1"/>
  <c r="A556" i="1"/>
  <c r="J555" i="1"/>
  <c r="A555" i="1"/>
  <c r="J554" i="1"/>
  <c r="A554" i="1"/>
  <c r="J553" i="1"/>
  <c r="A553" i="1"/>
  <c r="J552" i="1"/>
  <c r="A552" i="1"/>
  <c r="J551" i="1"/>
  <c r="A551" i="1"/>
  <c r="J550" i="1"/>
  <c r="A550" i="1"/>
  <c r="J549" i="1"/>
  <c r="A549" i="1"/>
  <c r="J548" i="1"/>
  <c r="A548" i="1"/>
  <c r="J547" i="1"/>
  <c r="A547" i="1"/>
  <c r="J546" i="1"/>
  <c r="A546" i="1"/>
  <c r="J545" i="1"/>
  <c r="A545" i="1"/>
  <c r="J544" i="1"/>
  <c r="A544" i="1"/>
  <c r="J543" i="1"/>
  <c r="A543" i="1"/>
  <c r="J542" i="1"/>
  <c r="A542" i="1"/>
  <c r="J541" i="1"/>
  <c r="A541" i="1"/>
  <c r="J540" i="1"/>
  <c r="A540" i="1"/>
  <c r="J539" i="1"/>
  <c r="A539" i="1"/>
  <c r="J538" i="1"/>
  <c r="A538" i="1"/>
  <c r="J537" i="1"/>
  <c r="A537" i="1"/>
  <c r="J536" i="1"/>
  <c r="A536" i="1"/>
  <c r="J535" i="1"/>
  <c r="A535" i="1"/>
  <c r="J534" i="1"/>
  <c r="A534" i="1"/>
  <c r="J533" i="1"/>
  <c r="A533" i="1"/>
  <c r="J532" i="1"/>
  <c r="A532" i="1"/>
  <c r="J531" i="1"/>
  <c r="A531" i="1"/>
  <c r="J530" i="1"/>
  <c r="A530" i="1"/>
  <c r="J529" i="1"/>
  <c r="A529" i="1"/>
  <c r="J528" i="1"/>
  <c r="A528" i="1"/>
  <c r="J527" i="1"/>
  <c r="A527" i="1"/>
  <c r="J526" i="1"/>
  <c r="A526" i="1"/>
  <c r="J525" i="1"/>
  <c r="A525" i="1"/>
  <c r="J524" i="1"/>
  <c r="A524" i="1"/>
  <c r="J523" i="1"/>
  <c r="A523" i="1"/>
  <c r="J522" i="1"/>
  <c r="A522" i="1"/>
  <c r="J521" i="1"/>
  <c r="A521" i="1"/>
  <c r="J520" i="1"/>
  <c r="A520" i="1"/>
  <c r="J519" i="1"/>
  <c r="A519" i="1"/>
  <c r="J518" i="1"/>
  <c r="A518" i="1"/>
  <c r="J517" i="1"/>
  <c r="A517" i="1"/>
  <c r="J516" i="1"/>
  <c r="A516" i="1"/>
  <c r="J515" i="1"/>
  <c r="A515" i="1"/>
  <c r="J514" i="1"/>
  <c r="A514" i="1"/>
  <c r="J513" i="1"/>
  <c r="A513" i="1"/>
  <c r="J512" i="1"/>
  <c r="A512" i="1"/>
  <c r="J511" i="1"/>
  <c r="A511" i="1"/>
  <c r="J510" i="1"/>
  <c r="A510" i="1"/>
  <c r="J509" i="1"/>
  <c r="A509" i="1"/>
  <c r="J508" i="1"/>
  <c r="A508" i="1"/>
  <c r="J507" i="1"/>
  <c r="A507" i="1"/>
  <c r="J506" i="1"/>
  <c r="A506" i="1"/>
  <c r="J505" i="1"/>
  <c r="A505" i="1"/>
  <c r="J504" i="1"/>
  <c r="A504" i="1"/>
  <c r="J503" i="1"/>
  <c r="A503" i="1"/>
  <c r="J502" i="1"/>
  <c r="A502" i="1"/>
  <c r="J501" i="1"/>
  <c r="A501" i="1"/>
  <c r="J500" i="1"/>
  <c r="A500" i="1"/>
  <c r="J499" i="1"/>
  <c r="A499" i="1"/>
  <c r="J498" i="1"/>
  <c r="A498" i="1"/>
  <c r="J497" i="1"/>
  <c r="A497" i="1"/>
  <c r="J496" i="1"/>
  <c r="A496" i="1"/>
  <c r="J495" i="1"/>
  <c r="A495" i="1"/>
  <c r="J494" i="1"/>
  <c r="A494" i="1"/>
  <c r="J493" i="1"/>
  <c r="A493" i="1"/>
  <c r="J492" i="1"/>
  <c r="A492" i="1"/>
  <c r="J491" i="1"/>
  <c r="A491" i="1"/>
  <c r="J490" i="1"/>
  <c r="A490" i="1"/>
  <c r="J489" i="1"/>
  <c r="A489" i="1"/>
  <c r="J488" i="1"/>
  <c r="A488" i="1"/>
  <c r="J487" i="1"/>
  <c r="A487" i="1"/>
  <c r="J486" i="1"/>
  <c r="A486" i="1"/>
  <c r="J485" i="1"/>
  <c r="A485" i="1"/>
  <c r="J484" i="1"/>
  <c r="A484" i="1"/>
  <c r="J483" i="1"/>
  <c r="A483" i="1"/>
  <c r="J482" i="1"/>
  <c r="A482" i="1"/>
  <c r="J481" i="1"/>
  <c r="A481" i="1"/>
  <c r="J480" i="1"/>
  <c r="A480" i="1"/>
  <c r="J479" i="1"/>
  <c r="A479" i="1"/>
  <c r="J478" i="1"/>
  <c r="A478" i="1"/>
  <c r="J477" i="1"/>
  <c r="A477" i="1"/>
  <c r="J476" i="1"/>
  <c r="A476" i="1"/>
  <c r="J475" i="1"/>
  <c r="A475" i="1"/>
  <c r="J474" i="1"/>
  <c r="A474" i="1"/>
  <c r="J473" i="1"/>
  <c r="A473" i="1"/>
  <c r="J472" i="1"/>
  <c r="A472" i="1"/>
  <c r="J471" i="1"/>
  <c r="A471" i="1"/>
  <c r="J470" i="1"/>
  <c r="A470" i="1"/>
  <c r="J469" i="1"/>
  <c r="A469" i="1"/>
  <c r="J468" i="1"/>
  <c r="A468" i="1"/>
  <c r="J467" i="1"/>
  <c r="A467" i="1"/>
  <c r="J466" i="1"/>
  <c r="A466" i="1"/>
  <c r="J465" i="1"/>
  <c r="A465" i="1"/>
  <c r="J464" i="1"/>
  <c r="A464" i="1"/>
  <c r="J463" i="1"/>
  <c r="A463" i="1"/>
  <c r="J462" i="1"/>
  <c r="A462" i="1"/>
  <c r="J461" i="1"/>
  <c r="A461" i="1"/>
  <c r="J460" i="1"/>
  <c r="A460" i="1"/>
  <c r="J459" i="1"/>
  <c r="A459" i="1"/>
  <c r="J458" i="1"/>
  <c r="A458" i="1"/>
  <c r="J457" i="1"/>
  <c r="A457" i="1"/>
  <c r="J456" i="1"/>
  <c r="A456" i="1"/>
  <c r="J455" i="1"/>
  <c r="A455" i="1"/>
  <c r="J454" i="1"/>
  <c r="A454" i="1"/>
  <c r="J453" i="1"/>
  <c r="A453" i="1"/>
  <c r="J452" i="1"/>
  <c r="A452" i="1"/>
  <c r="J451" i="1"/>
  <c r="A451" i="1"/>
  <c r="J450" i="1"/>
  <c r="A450" i="1"/>
  <c r="J449" i="1"/>
  <c r="A449" i="1"/>
  <c r="J448" i="1"/>
  <c r="A448" i="1"/>
  <c r="J447" i="1"/>
  <c r="A447" i="1"/>
  <c r="J446" i="1"/>
  <c r="A446" i="1"/>
  <c r="J445" i="1"/>
  <c r="A445" i="1"/>
  <c r="J444" i="1"/>
  <c r="A444" i="1"/>
  <c r="J443" i="1"/>
  <c r="A443" i="1"/>
  <c r="J442" i="1"/>
  <c r="A442" i="1"/>
  <c r="J441" i="1"/>
  <c r="A441" i="1"/>
  <c r="J440" i="1"/>
  <c r="A440" i="1"/>
  <c r="J439" i="1"/>
  <c r="A439" i="1"/>
  <c r="J438" i="1"/>
  <c r="A438" i="1"/>
  <c r="J437" i="1"/>
  <c r="A437" i="1"/>
  <c r="J436" i="1"/>
  <c r="A436" i="1"/>
  <c r="J435" i="1"/>
  <c r="A435" i="1"/>
  <c r="J434" i="1"/>
  <c r="A434" i="1"/>
  <c r="J433" i="1"/>
  <c r="A433" i="1"/>
  <c r="J432" i="1"/>
  <c r="A432" i="1"/>
  <c r="J431" i="1"/>
  <c r="A431" i="1"/>
  <c r="J430" i="1"/>
  <c r="A430" i="1"/>
  <c r="J429" i="1"/>
  <c r="A429" i="1"/>
  <c r="J428" i="1"/>
  <c r="A428" i="1"/>
  <c r="J427" i="1"/>
  <c r="A427" i="1"/>
  <c r="J426" i="1"/>
  <c r="A426" i="1"/>
  <c r="J425" i="1"/>
  <c r="A425" i="1"/>
  <c r="J424" i="1"/>
  <c r="A424" i="1"/>
  <c r="J423" i="1"/>
  <c r="A423" i="1"/>
  <c r="J422" i="1"/>
  <c r="A422" i="1"/>
  <c r="J421" i="1"/>
  <c r="A421" i="1"/>
  <c r="J420" i="1"/>
  <c r="A420" i="1"/>
  <c r="J419" i="1"/>
  <c r="A419" i="1"/>
  <c r="J418" i="1"/>
  <c r="A418" i="1"/>
  <c r="J417" i="1"/>
  <c r="A417" i="1"/>
  <c r="J416" i="1"/>
  <c r="A416" i="1"/>
  <c r="J415" i="1"/>
  <c r="A415" i="1"/>
  <c r="J414" i="1"/>
  <c r="A414" i="1"/>
  <c r="J413" i="1"/>
  <c r="A413" i="1"/>
  <c r="J412" i="1"/>
  <c r="A412" i="1"/>
  <c r="J411" i="1"/>
  <c r="A411" i="1"/>
  <c r="J410" i="1"/>
  <c r="A410" i="1"/>
  <c r="J409" i="1"/>
  <c r="A409" i="1"/>
  <c r="J408" i="1"/>
  <c r="A408" i="1"/>
  <c r="J407" i="1"/>
  <c r="A407" i="1"/>
  <c r="J406" i="1"/>
  <c r="A406" i="1"/>
  <c r="J405" i="1"/>
  <c r="A405" i="1"/>
  <c r="J404" i="1"/>
  <c r="A404" i="1"/>
  <c r="J403" i="1"/>
  <c r="A403" i="1"/>
  <c r="J402" i="1"/>
  <c r="A402" i="1"/>
  <c r="J401" i="1"/>
  <c r="A401" i="1"/>
  <c r="J400" i="1"/>
  <c r="A400" i="1"/>
  <c r="J399" i="1"/>
  <c r="A399" i="1"/>
  <c r="J398" i="1"/>
  <c r="A398" i="1"/>
  <c r="J397" i="1"/>
  <c r="A397" i="1"/>
  <c r="J396" i="1"/>
  <c r="A396" i="1"/>
  <c r="J395" i="1"/>
  <c r="A395" i="1"/>
  <c r="J394" i="1"/>
  <c r="A394" i="1"/>
  <c r="J393" i="1"/>
  <c r="A393" i="1"/>
  <c r="J392" i="1"/>
  <c r="A392" i="1"/>
  <c r="J391" i="1"/>
  <c r="A391" i="1"/>
  <c r="J390" i="1"/>
  <c r="A390" i="1"/>
  <c r="J389" i="1"/>
  <c r="A389" i="1"/>
  <c r="J388" i="1"/>
  <c r="A388" i="1"/>
  <c r="J387" i="1"/>
  <c r="A387" i="1"/>
  <c r="J386" i="1"/>
  <c r="A386" i="1"/>
  <c r="J385" i="1"/>
  <c r="A385" i="1"/>
  <c r="J384" i="1"/>
  <c r="A384" i="1"/>
  <c r="J383" i="1"/>
  <c r="A383" i="1"/>
  <c r="J382" i="1"/>
  <c r="A382" i="1"/>
  <c r="J381" i="1"/>
  <c r="A381" i="1"/>
  <c r="J380" i="1"/>
  <c r="A380" i="1"/>
  <c r="J379" i="1"/>
  <c r="A379" i="1"/>
  <c r="J378" i="1"/>
  <c r="A378" i="1"/>
  <c r="J377" i="1"/>
  <c r="A377" i="1"/>
  <c r="J376" i="1"/>
  <c r="A376" i="1"/>
  <c r="J375" i="1"/>
  <c r="A375" i="1"/>
  <c r="J374" i="1"/>
  <c r="A374" i="1"/>
  <c r="J373" i="1"/>
  <c r="A373" i="1"/>
  <c r="J372" i="1"/>
  <c r="A372" i="1"/>
  <c r="J371" i="1"/>
  <c r="A371" i="1"/>
  <c r="J370" i="1"/>
  <c r="A370" i="1"/>
  <c r="J369" i="1"/>
  <c r="A369" i="1"/>
  <c r="J368" i="1"/>
  <c r="A368" i="1"/>
  <c r="J367" i="1"/>
  <c r="A367" i="1"/>
  <c r="J366" i="1"/>
  <c r="A366" i="1"/>
  <c r="J365" i="1"/>
  <c r="A365" i="1"/>
  <c r="J364" i="1"/>
  <c r="A364" i="1"/>
  <c r="J363" i="1"/>
  <c r="A363" i="1"/>
  <c r="J362" i="1"/>
  <c r="A362" i="1"/>
  <c r="J361" i="1"/>
  <c r="A361" i="1"/>
  <c r="J360" i="1"/>
  <c r="A360" i="1"/>
  <c r="J359" i="1"/>
  <c r="A359" i="1"/>
  <c r="J358" i="1"/>
  <c r="A358" i="1"/>
  <c r="J357" i="1"/>
  <c r="A357" i="1"/>
  <c r="J356" i="1"/>
  <c r="A356" i="1"/>
  <c r="J355" i="1"/>
  <c r="A355" i="1"/>
  <c r="J354" i="1"/>
  <c r="A354" i="1"/>
  <c r="J353" i="1"/>
  <c r="A353" i="1"/>
  <c r="J352" i="1"/>
  <c r="A352" i="1"/>
  <c r="J351" i="1"/>
  <c r="A351" i="1"/>
  <c r="J350" i="1"/>
  <c r="A350" i="1"/>
  <c r="J349" i="1"/>
  <c r="A349" i="1"/>
  <c r="J348" i="1"/>
  <c r="A348" i="1"/>
  <c r="J347" i="1"/>
  <c r="A347" i="1"/>
  <c r="J346" i="1"/>
  <c r="A346" i="1"/>
  <c r="J345" i="1"/>
  <c r="A345" i="1"/>
  <c r="J344" i="1"/>
  <c r="A344" i="1"/>
  <c r="J343" i="1"/>
  <c r="A343" i="1"/>
  <c r="J342" i="1"/>
  <c r="A342" i="1"/>
  <c r="J341" i="1"/>
  <c r="A341" i="1"/>
  <c r="J340" i="1"/>
  <c r="A340" i="1"/>
  <c r="J339" i="1"/>
  <c r="A339" i="1"/>
  <c r="J338" i="1"/>
  <c r="A338" i="1"/>
  <c r="J337" i="1"/>
  <c r="A337" i="1"/>
  <c r="J336" i="1"/>
  <c r="A336" i="1"/>
  <c r="J335" i="1"/>
  <c r="A335" i="1"/>
  <c r="J334" i="1"/>
  <c r="A334" i="1"/>
  <c r="J333" i="1"/>
  <c r="A333" i="1"/>
  <c r="J332" i="1"/>
  <c r="A332" i="1"/>
  <c r="J331" i="1"/>
  <c r="A331" i="1"/>
  <c r="J330" i="1"/>
  <c r="A330" i="1"/>
  <c r="J329" i="1"/>
  <c r="A329" i="1"/>
  <c r="J328" i="1"/>
  <c r="A328" i="1"/>
  <c r="J327" i="1"/>
  <c r="A327" i="1"/>
  <c r="J326" i="1"/>
  <c r="A326" i="1"/>
  <c r="J325" i="1"/>
  <c r="A325" i="1"/>
  <c r="J324" i="1"/>
  <c r="A324" i="1"/>
  <c r="J323" i="1"/>
  <c r="A323" i="1"/>
  <c r="J322" i="1"/>
  <c r="A322" i="1"/>
  <c r="J321" i="1"/>
  <c r="A321" i="1"/>
  <c r="J320" i="1"/>
  <c r="A320" i="1"/>
  <c r="J319" i="1"/>
  <c r="A319" i="1"/>
  <c r="J318" i="1"/>
  <c r="A318" i="1"/>
  <c r="J317" i="1"/>
  <c r="A317" i="1"/>
  <c r="J316" i="1"/>
  <c r="A316" i="1"/>
  <c r="J315" i="1"/>
  <c r="A315" i="1"/>
  <c r="J314" i="1"/>
  <c r="A314" i="1"/>
  <c r="J313" i="1"/>
  <c r="A313" i="1"/>
  <c r="J312" i="1"/>
  <c r="A312" i="1"/>
  <c r="J311" i="1"/>
  <c r="A311" i="1"/>
  <c r="J310" i="1"/>
  <c r="A310" i="1"/>
  <c r="J309" i="1"/>
  <c r="A309" i="1"/>
  <c r="J308" i="1"/>
  <c r="A308" i="1"/>
  <c r="J307" i="1"/>
  <c r="A307" i="1"/>
  <c r="J306" i="1"/>
  <c r="A306" i="1"/>
  <c r="J305" i="1"/>
  <c r="A305" i="1"/>
  <c r="J304" i="1"/>
  <c r="A304" i="1"/>
  <c r="J303" i="1"/>
  <c r="A303" i="1"/>
  <c r="J302" i="1"/>
  <c r="A302" i="1"/>
  <c r="J301" i="1"/>
  <c r="A301" i="1"/>
  <c r="J300" i="1"/>
  <c r="A300" i="1"/>
  <c r="J299" i="1"/>
  <c r="A299" i="1"/>
  <c r="J298" i="1"/>
  <c r="A298" i="1"/>
  <c r="J297" i="1"/>
  <c r="A297" i="1"/>
  <c r="J296" i="1"/>
  <c r="A296" i="1"/>
  <c r="J295" i="1"/>
  <c r="A295" i="1"/>
  <c r="J294" i="1"/>
  <c r="A294" i="1"/>
  <c r="J293" i="1"/>
  <c r="A293" i="1"/>
  <c r="J292" i="1"/>
  <c r="A292" i="1"/>
  <c r="J291" i="1"/>
  <c r="A291" i="1"/>
  <c r="J290" i="1"/>
  <c r="A290" i="1"/>
  <c r="J289" i="1"/>
  <c r="A289" i="1"/>
  <c r="J288" i="1"/>
  <c r="A288" i="1"/>
  <c r="J287" i="1"/>
  <c r="A287" i="1"/>
  <c r="J286" i="1"/>
  <c r="A286" i="1"/>
  <c r="J285" i="1"/>
  <c r="A285" i="1"/>
  <c r="J284" i="1"/>
  <c r="A284" i="1"/>
  <c r="J283" i="1"/>
  <c r="A283" i="1"/>
  <c r="J282" i="1"/>
  <c r="A282" i="1"/>
  <c r="J281" i="1"/>
  <c r="A281" i="1"/>
  <c r="J280" i="1"/>
  <c r="A280" i="1"/>
  <c r="J279" i="1"/>
  <c r="A279" i="1"/>
  <c r="J278" i="1"/>
  <c r="A278" i="1"/>
  <c r="J277" i="1"/>
  <c r="A277" i="1"/>
  <c r="J276" i="1"/>
  <c r="A276" i="1"/>
  <c r="J275" i="1"/>
  <c r="A275" i="1"/>
  <c r="J274" i="1"/>
  <c r="A274" i="1"/>
  <c r="J273" i="1"/>
  <c r="A273" i="1"/>
  <c r="J272" i="1"/>
  <c r="A272" i="1"/>
  <c r="J271" i="1"/>
  <c r="A271" i="1"/>
  <c r="J270" i="1"/>
  <c r="A270" i="1"/>
  <c r="J269" i="1"/>
  <c r="A269" i="1"/>
  <c r="J268" i="1"/>
  <c r="A268" i="1"/>
  <c r="J267" i="1"/>
  <c r="A267" i="1"/>
  <c r="J266" i="1"/>
  <c r="A266" i="1"/>
  <c r="J265" i="1"/>
  <c r="A265" i="1"/>
  <c r="J264" i="1"/>
  <c r="A264" i="1"/>
  <c r="J263" i="1"/>
  <c r="A263" i="1"/>
  <c r="J262" i="1"/>
  <c r="A262" i="1"/>
  <c r="J261" i="1"/>
  <c r="A261" i="1"/>
  <c r="J260" i="1"/>
  <c r="A260" i="1"/>
  <c r="J259" i="1"/>
  <c r="A259" i="1"/>
  <c r="J258" i="1"/>
  <c r="A258" i="1"/>
  <c r="J257" i="1"/>
  <c r="A257" i="1"/>
  <c r="J256" i="1"/>
  <c r="A256" i="1"/>
  <c r="J255" i="1"/>
  <c r="A255" i="1"/>
  <c r="J254" i="1"/>
  <c r="A254" i="1"/>
  <c r="J253" i="1"/>
  <c r="A253" i="1"/>
  <c r="J252" i="1"/>
  <c r="A252" i="1"/>
  <c r="J251" i="1"/>
  <c r="A251" i="1"/>
  <c r="J250" i="1"/>
  <c r="A250" i="1"/>
  <c r="J249" i="1"/>
  <c r="A249" i="1"/>
  <c r="J248" i="1"/>
  <c r="A248" i="1"/>
  <c r="J247" i="1"/>
  <c r="A247" i="1"/>
  <c r="J246" i="1"/>
  <c r="A246" i="1"/>
  <c r="J245" i="1"/>
  <c r="A245" i="1"/>
  <c r="J244" i="1"/>
  <c r="A244" i="1"/>
  <c r="J243" i="1"/>
  <c r="A243" i="1"/>
  <c r="J242" i="1"/>
  <c r="A242" i="1"/>
  <c r="J241" i="1"/>
  <c r="A241" i="1"/>
  <c r="J240" i="1"/>
  <c r="A240" i="1"/>
  <c r="J239" i="1"/>
  <c r="A239" i="1"/>
  <c r="J238" i="1"/>
  <c r="A238" i="1"/>
  <c r="J237" i="1"/>
  <c r="A237" i="1"/>
  <c r="J236" i="1"/>
  <c r="A236" i="1"/>
  <c r="J235" i="1"/>
  <c r="A235" i="1"/>
  <c r="J234" i="1"/>
  <c r="A234" i="1"/>
  <c r="J233" i="1"/>
  <c r="A233" i="1"/>
  <c r="J232" i="1"/>
  <c r="A232" i="1"/>
  <c r="J231" i="1"/>
  <c r="A231" i="1"/>
  <c r="J230" i="1"/>
  <c r="A230" i="1"/>
  <c r="J229" i="1"/>
  <c r="A229" i="1"/>
  <c r="J228" i="1"/>
  <c r="A228" i="1"/>
  <c r="J227" i="1"/>
  <c r="A227" i="1"/>
  <c r="J226" i="1"/>
  <c r="A226" i="1"/>
  <c r="J225" i="1"/>
  <c r="A225" i="1"/>
  <c r="J224" i="1"/>
  <c r="A224" i="1"/>
  <c r="J223" i="1"/>
  <c r="A223" i="1"/>
  <c r="J222" i="1"/>
  <c r="A222" i="1"/>
  <c r="J221" i="1"/>
  <c r="A221" i="1"/>
  <c r="J220" i="1"/>
  <c r="A220" i="1"/>
  <c r="J219" i="1"/>
  <c r="A219" i="1"/>
  <c r="J218" i="1"/>
  <c r="A218" i="1"/>
  <c r="J217" i="1"/>
  <c r="A217" i="1"/>
  <c r="J216" i="1"/>
  <c r="A216" i="1"/>
  <c r="J215" i="1"/>
  <c r="A215" i="1"/>
  <c r="J214" i="1"/>
  <c r="A214" i="1"/>
  <c r="J213" i="1"/>
  <c r="A213" i="1"/>
  <c r="J212" i="1"/>
  <c r="A212" i="1"/>
  <c r="J211" i="1"/>
  <c r="A211" i="1"/>
  <c r="J210" i="1"/>
  <c r="A210" i="1"/>
  <c r="J209" i="1"/>
  <c r="A209" i="1"/>
  <c r="J208" i="1"/>
  <c r="A208" i="1"/>
  <c r="J207" i="1"/>
  <c r="A207" i="1"/>
  <c r="J206" i="1"/>
  <c r="A206" i="1"/>
  <c r="J205" i="1"/>
  <c r="A205" i="1"/>
  <c r="J204" i="1"/>
  <c r="A204" i="1"/>
  <c r="J203" i="1"/>
  <c r="A203" i="1"/>
  <c r="J202" i="1"/>
  <c r="A202" i="1"/>
  <c r="J201" i="1"/>
  <c r="A201" i="1"/>
  <c r="J200" i="1"/>
  <c r="A200" i="1"/>
  <c r="J199" i="1"/>
  <c r="A199" i="1"/>
  <c r="J198" i="1"/>
  <c r="A198" i="1"/>
  <c r="J197" i="1"/>
  <c r="A197" i="1"/>
  <c r="J196" i="1"/>
  <c r="A196" i="1"/>
  <c r="J195" i="1"/>
  <c r="A195" i="1"/>
  <c r="J194" i="1"/>
  <c r="A194" i="1"/>
  <c r="J193" i="1"/>
  <c r="A193" i="1"/>
  <c r="J192" i="1"/>
  <c r="A192" i="1"/>
  <c r="J191" i="1"/>
  <c r="A191" i="1"/>
  <c r="J190" i="1"/>
  <c r="A190" i="1"/>
  <c r="J189" i="1"/>
  <c r="A189" i="1"/>
  <c r="J188" i="1"/>
  <c r="A188" i="1"/>
  <c r="J187" i="1"/>
  <c r="A187" i="1"/>
  <c r="J186" i="1"/>
  <c r="A186" i="1"/>
  <c r="J185" i="1"/>
  <c r="A185" i="1"/>
  <c r="J184" i="1"/>
  <c r="A184" i="1"/>
  <c r="J183" i="1"/>
  <c r="A183" i="1"/>
  <c r="J182" i="1"/>
  <c r="A182" i="1"/>
  <c r="J181" i="1"/>
  <c r="A181" i="1"/>
  <c r="J180" i="1"/>
  <c r="A180" i="1"/>
  <c r="J179" i="1"/>
  <c r="A179" i="1"/>
  <c r="J178" i="1"/>
  <c r="A178" i="1"/>
  <c r="J177" i="1"/>
  <c r="A177" i="1"/>
  <c r="J176" i="1"/>
  <c r="A176" i="1"/>
  <c r="J175" i="1"/>
  <c r="A175" i="1"/>
  <c r="J174" i="1"/>
  <c r="A174" i="1"/>
  <c r="J173" i="1"/>
  <c r="A173" i="1"/>
  <c r="J172" i="1"/>
  <c r="A172" i="1"/>
  <c r="J171" i="1"/>
  <c r="A171" i="1"/>
  <c r="J170" i="1"/>
  <c r="A170" i="1"/>
  <c r="J169" i="1"/>
  <c r="A169" i="1"/>
  <c r="J168" i="1"/>
  <c r="A168" i="1"/>
  <c r="J167" i="1"/>
  <c r="A167" i="1"/>
  <c r="J166" i="1"/>
  <c r="A166" i="1"/>
  <c r="J165" i="1"/>
  <c r="A165" i="1"/>
  <c r="J164" i="1"/>
  <c r="A164" i="1"/>
  <c r="J163" i="1"/>
  <c r="A163" i="1"/>
  <c r="J162" i="1"/>
  <c r="A162" i="1"/>
  <c r="J161" i="1"/>
  <c r="A161" i="1"/>
  <c r="J160" i="1"/>
  <c r="A160" i="1"/>
  <c r="J159" i="1"/>
  <c r="A159" i="1"/>
  <c r="J158" i="1"/>
  <c r="A158" i="1"/>
  <c r="J157" i="1"/>
  <c r="A157" i="1"/>
  <c r="J156" i="1"/>
  <c r="A156" i="1"/>
  <c r="J155" i="1"/>
  <c r="A155" i="1"/>
  <c r="J154" i="1"/>
  <c r="A154" i="1"/>
  <c r="J153" i="1"/>
  <c r="A153" i="1"/>
  <c r="J152" i="1"/>
  <c r="A152" i="1"/>
  <c r="J151" i="1"/>
  <c r="A151" i="1"/>
  <c r="J150" i="1"/>
  <c r="A150" i="1"/>
  <c r="J149" i="1"/>
  <c r="A149" i="1"/>
  <c r="J148" i="1"/>
  <c r="A148" i="1"/>
  <c r="J147" i="1"/>
  <c r="A147" i="1"/>
  <c r="J146" i="1"/>
  <c r="A146" i="1"/>
  <c r="J145" i="1"/>
  <c r="A145" i="1"/>
  <c r="J144" i="1"/>
  <c r="A144" i="1"/>
  <c r="J143" i="1"/>
  <c r="A143" i="1"/>
  <c r="J142" i="1"/>
  <c r="A142" i="1"/>
  <c r="J141" i="1"/>
  <c r="A141" i="1"/>
  <c r="J140" i="1"/>
  <c r="A140" i="1"/>
  <c r="J139" i="1"/>
  <c r="A139" i="1"/>
  <c r="J138" i="1"/>
  <c r="A138" i="1"/>
  <c r="J137" i="1"/>
  <c r="A137" i="1"/>
  <c r="J136" i="1"/>
  <c r="A136" i="1"/>
  <c r="J135" i="1"/>
  <c r="A135" i="1"/>
  <c r="J134" i="1"/>
  <c r="A134" i="1"/>
  <c r="J133" i="1"/>
  <c r="A133" i="1"/>
  <c r="J132" i="1"/>
  <c r="A132" i="1"/>
  <c r="J131" i="1"/>
  <c r="A131" i="1"/>
  <c r="J130" i="1"/>
  <c r="A130" i="1"/>
  <c r="J129" i="1"/>
  <c r="A129" i="1"/>
  <c r="J128" i="1"/>
  <c r="A128" i="1"/>
  <c r="J127" i="1"/>
  <c r="A127" i="1"/>
  <c r="J126" i="1"/>
  <c r="A126" i="1"/>
  <c r="J125" i="1"/>
  <c r="A125" i="1"/>
  <c r="J124" i="1"/>
  <c r="A124" i="1"/>
  <c r="J123" i="1"/>
  <c r="A123" i="1"/>
  <c r="J122" i="1"/>
  <c r="A122" i="1"/>
  <c r="J121" i="1"/>
  <c r="A121" i="1"/>
  <c r="J120" i="1"/>
  <c r="A120" i="1"/>
  <c r="J119" i="1"/>
  <c r="A119" i="1"/>
  <c r="J118" i="1"/>
  <c r="A118" i="1"/>
  <c r="J117" i="1"/>
  <c r="A117" i="1"/>
  <c r="J116" i="1"/>
  <c r="A116" i="1"/>
  <c r="J115" i="1"/>
  <c r="A115" i="1"/>
  <c r="J114" i="1"/>
  <c r="A114" i="1"/>
  <c r="J113" i="1"/>
  <c r="A113" i="1"/>
  <c r="J112" i="1"/>
  <c r="A112" i="1"/>
  <c r="J111" i="1"/>
  <c r="A111" i="1"/>
  <c r="J110" i="1"/>
  <c r="A110" i="1"/>
  <c r="J109" i="1"/>
  <c r="A109" i="1"/>
  <c r="J108" i="1"/>
  <c r="A108" i="1"/>
  <c r="J107" i="1"/>
  <c r="A107" i="1"/>
  <c r="J106" i="1"/>
  <c r="A106" i="1"/>
  <c r="J105" i="1"/>
  <c r="A105" i="1"/>
  <c r="J104" i="1"/>
  <c r="A104" i="1"/>
  <c r="J103" i="1"/>
  <c r="A103" i="1"/>
  <c r="J102" i="1"/>
  <c r="A102" i="1"/>
  <c r="J101" i="1"/>
  <c r="A101" i="1"/>
  <c r="J100" i="1"/>
  <c r="A100" i="1"/>
  <c r="J99" i="1"/>
  <c r="A99" i="1"/>
  <c r="J98" i="1"/>
  <c r="A98" i="1"/>
  <c r="J97" i="1"/>
  <c r="A97" i="1"/>
  <c r="J96" i="1"/>
  <c r="A96" i="1"/>
  <c r="J95" i="1"/>
  <c r="A95" i="1"/>
  <c r="J94" i="1"/>
  <c r="A94" i="1"/>
  <c r="J93" i="1"/>
  <c r="A93" i="1"/>
  <c r="J92" i="1"/>
  <c r="A92" i="1"/>
  <c r="J91" i="1"/>
  <c r="A91" i="1"/>
  <c r="J90" i="1"/>
  <c r="A90" i="1"/>
  <c r="J89" i="1"/>
  <c r="A89" i="1"/>
  <c r="J88" i="1"/>
  <c r="A88" i="1"/>
  <c r="J87" i="1"/>
  <c r="A87" i="1"/>
  <c r="J86" i="1"/>
  <c r="A86" i="1"/>
  <c r="J85" i="1"/>
  <c r="A85" i="1"/>
  <c r="J84" i="1"/>
  <c r="A84" i="1"/>
  <c r="J83" i="1"/>
  <c r="A83" i="1"/>
  <c r="J82" i="1"/>
  <c r="A82" i="1"/>
  <c r="J81" i="1"/>
  <c r="A81" i="1"/>
  <c r="J80" i="1"/>
  <c r="A80" i="1"/>
  <c r="J79" i="1"/>
  <c r="A79" i="1"/>
  <c r="J78" i="1"/>
  <c r="A78" i="1"/>
  <c r="J77" i="1"/>
  <c r="A77" i="1"/>
  <c r="J76" i="1"/>
  <c r="A76" i="1"/>
  <c r="J75" i="1"/>
  <c r="A75" i="1"/>
  <c r="J74" i="1"/>
  <c r="A74" i="1"/>
  <c r="J73" i="1"/>
  <c r="A73" i="1"/>
  <c r="J72" i="1"/>
  <c r="A72" i="1"/>
  <c r="J71" i="1"/>
  <c r="A71" i="1"/>
  <c r="J70" i="1"/>
  <c r="A70" i="1"/>
  <c r="J69" i="1"/>
  <c r="A69" i="1"/>
  <c r="J68" i="1"/>
  <c r="A68" i="1"/>
  <c r="J67" i="1"/>
  <c r="A67" i="1"/>
  <c r="J66" i="1"/>
  <c r="A66" i="1"/>
  <c r="J65" i="1"/>
  <c r="A65" i="1"/>
  <c r="J64" i="1"/>
  <c r="A64" i="1"/>
  <c r="J63" i="1"/>
  <c r="A63" i="1"/>
  <c r="J62" i="1"/>
  <c r="A62" i="1"/>
  <c r="J61" i="1"/>
  <c r="A61" i="1"/>
  <c r="J60" i="1"/>
  <c r="A60" i="1"/>
  <c r="J59" i="1"/>
  <c r="A59" i="1"/>
  <c r="J58" i="1"/>
  <c r="A58" i="1"/>
  <c r="J57" i="1"/>
  <c r="A57" i="1"/>
  <c r="J56" i="1"/>
  <c r="A56" i="1"/>
  <c r="J55" i="1"/>
  <c r="A55" i="1"/>
  <c r="J54" i="1"/>
  <c r="A54" i="1"/>
  <c r="J53" i="1"/>
  <c r="A53" i="1"/>
  <c r="J52" i="1"/>
  <c r="A52" i="1"/>
  <c r="J51" i="1"/>
  <c r="A51" i="1"/>
  <c r="J50" i="1"/>
  <c r="A50" i="1"/>
  <c r="J49" i="1"/>
  <c r="A49" i="1"/>
  <c r="J48" i="1"/>
  <c r="A48" i="1"/>
  <c r="J47" i="1"/>
  <c r="A47" i="1"/>
  <c r="J46" i="1"/>
  <c r="A46" i="1"/>
  <c r="J45" i="1"/>
  <c r="A45" i="1"/>
  <c r="J44" i="1"/>
  <c r="A44" i="1"/>
  <c r="J43" i="1"/>
  <c r="A43" i="1"/>
  <c r="J42" i="1"/>
  <c r="A42" i="1"/>
  <c r="J41" i="1"/>
  <c r="A41" i="1"/>
  <c r="J40" i="1"/>
  <c r="A40" i="1"/>
  <c r="J39" i="1"/>
  <c r="A39" i="1"/>
  <c r="J38" i="1"/>
  <c r="A38" i="1"/>
  <c r="J37" i="1"/>
  <c r="A37" i="1"/>
  <c r="J36" i="1"/>
  <c r="A36" i="1"/>
  <c r="J35" i="1"/>
  <c r="A35" i="1"/>
  <c r="J34" i="1"/>
  <c r="A34" i="1"/>
  <c r="J33" i="1"/>
  <c r="A33" i="1"/>
  <c r="J32" i="1"/>
  <c r="A32" i="1"/>
  <c r="J31" i="1"/>
  <c r="A31" i="1"/>
  <c r="J30" i="1"/>
  <c r="A30" i="1"/>
  <c r="J29" i="1"/>
  <c r="A29" i="1"/>
  <c r="J28" i="1"/>
  <c r="A28" i="1"/>
  <c r="J27" i="1"/>
  <c r="A27" i="1"/>
  <c r="J26" i="1"/>
  <c r="A26" i="1"/>
  <c r="J25" i="1"/>
  <c r="A25" i="1"/>
  <c r="J24" i="1"/>
  <c r="A24" i="1"/>
  <c r="J23" i="1"/>
  <c r="A23" i="1"/>
  <c r="J22" i="1"/>
  <c r="A22" i="1"/>
  <c r="J21" i="1"/>
  <c r="A21" i="1"/>
  <c r="J20" i="1"/>
  <c r="A20" i="1"/>
  <c r="J19" i="1"/>
  <c r="A19" i="1"/>
  <c r="J18" i="1"/>
  <c r="A18" i="1"/>
  <c r="J17" i="1"/>
  <c r="A17" i="1"/>
  <c r="J16" i="1"/>
  <c r="A16" i="1"/>
  <c r="J15" i="1"/>
  <c r="A15" i="1"/>
  <c r="J14" i="1"/>
  <c r="A14" i="1"/>
  <c r="J13" i="1"/>
  <c r="A13" i="1"/>
  <c r="J12" i="1"/>
  <c r="A12" i="1"/>
  <c r="J11" i="1"/>
  <c r="A11" i="1"/>
  <c r="J10" i="1"/>
  <c r="A10" i="1"/>
  <c r="J9" i="1"/>
  <c r="A9" i="1"/>
  <c r="J8" i="1"/>
  <c r="A8" i="1"/>
  <c r="J7" i="1"/>
  <c r="A7" i="1"/>
  <c r="J6" i="1"/>
  <c r="A6" i="1"/>
  <c r="J5" i="1"/>
  <c r="A5" i="1"/>
  <c r="J4" i="1"/>
  <c r="A4" i="1"/>
  <c r="J3" i="1"/>
  <c r="A3" i="1"/>
  <c r="J2" i="1"/>
</calcChain>
</file>

<file path=xl/sharedStrings.xml><?xml version="1.0" encoding="utf-8"?>
<sst xmlns="http://schemas.openxmlformats.org/spreadsheetml/2006/main" count="12841" uniqueCount="2599">
  <si>
    <t>Folio sistema</t>
  </si>
  <si>
    <t>Folio interno</t>
  </si>
  <si>
    <t>Fecha</t>
  </si>
  <si>
    <t>Nombre</t>
  </si>
  <si>
    <t>Tel</t>
  </si>
  <si>
    <t>Dirección</t>
  </si>
  <si>
    <t>Origen</t>
  </si>
  <si>
    <t>Ventas</t>
  </si>
  <si>
    <t>Monto</t>
  </si>
  <si>
    <t>Promedio de venta</t>
  </si>
  <si>
    <t>Servicio</t>
  </si>
  <si>
    <t>Comentarios con llamada posterior a venta</t>
  </si>
  <si>
    <t>90 Dias</t>
  </si>
  <si>
    <t>6 Meses</t>
  </si>
  <si>
    <t>1 Año</t>
  </si>
  <si>
    <t>Tipo</t>
  </si>
  <si>
    <t>Promedios</t>
  </si>
  <si>
    <t>Total vendido</t>
  </si>
  <si>
    <t>Venta</t>
  </si>
  <si>
    <t>Tapete</t>
  </si>
  <si>
    <t>servicio</t>
  </si>
  <si>
    <t>Lana</t>
  </si>
  <si>
    <t>Dias del mes laborales</t>
  </si>
  <si>
    <t>venta diaria</t>
  </si>
  <si>
    <t>Sintético</t>
  </si>
  <si>
    <t>Total de servicios</t>
  </si>
  <si>
    <t>Seda</t>
  </si>
  <si>
    <t xml:space="preserve"> </t>
  </si>
  <si>
    <t>Tipo de cliente</t>
  </si>
  <si>
    <t>Servicios Res</t>
  </si>
  <si>
    <t>Res</t>
  </si>
  <si>
    <t>Servicios Com</t>
  </si>
  <si>
    <t>Com</t>
  </si>
  <si>
    <t>Sala tela</t>
  </si>
  <si>
    <t>todo fijo</t>
  </si>
  <si>
    <t>Tipo de mueble:</t>
  </si>
  <si>
    <t>Tipo de mueble</t>
  </si>
  <si>
    <t>Resaldo o asiento removible</t>
  </si>
  <si>
    <t>Alfombra</t>
  </si>
  <si>
    <t>Todo removible</t>
  </si>
  <si>
    <t>Sala</t>
  </si>
  <si>
    <t>Sala piel</t>
  </si>
  <si>
    <t>Sillas</t>
  </si>
  <si>
    <t>Autos</t>
  </si>
  <si>
    <t>Colchones</t>
  </si>
  <si>
    <t>Futón</t>
  </si>
  <si>
    <t>Otro</t>
  </si>
  <si>
    <t>Total de muebles</t>
  </si>
  <si>
    <t>Sólo asiento</t>
  </si>
  <si>
    <t>Tipo de servicio</t>
  </si>
  <si>
    <t>Asiento y respaldo</t>
  </si>
  <si>
    <t>Tipo de servicio:</t>
  </si>
  <si>
    <t>Senc</t>
  </si>
  <si>
    <t>Eco</t>
  </si>
  <si>
    <t>Prot</t>
  </si>
  <si>
    <t>Autos tela</t>
  </si>
  <si>
    <t>Prem</t>
  </si>
  <si>
    <t>Chico</t>
  </si>
  <si>
    <t>Healty</t>
  </si>
  <si>
    <t>Mediano</t>
  </si>
  <si>
    <t>Protex</t>
  </si>
  <si>
    <t>Grande</t>
  </si>
  <si>
    <t>Aspirado</t>
  </si>
  <si>
    <t>Camioneta</t>
  </si>
  <si>
    <t>Extracción</t>
  </si>
  <si>
    <t>Pick up</t>
  </si>
  <si>
    <t>Piel</t>
  </si>
  <si>
    <t>Pick up doble cabina</t>
  </si>
  <si>
    <t>PURT</t>
  </si>
  <si>
    <t>Autos Piel</t>
  </si>
  <si>
    <t>Total de servicios:</t>
  </si>
  <si>
    <t>Satisfacción</t>
  </si>
  <si>
    <t>Satisfechos</t>
  </si>
  <si>
    <t>Clientes satisfechos</t>
  </si>
  <si>
    <t>Insatisfechos</t>
  </si>
  <si>
    <t>Clientes insatisfechos</t>
  </si>
  <si>
    <t>Sin Respuesta</t>
  </si>
  <si>
    <t>Clientes sin respuesta</t>
  </si>
  <si>
    <t>1a vez</t>
  </si>
  <si>
    <t>1a Vez</t>
  </si>
  <si>
    <t>Repite</t>
  </si>
  <si>
    <t>Tipo de publicidad</t>
  </si>
  <si>
    <t>Ind</t>
  </si>
  <si>
    <t>Publicidad</t>
  </si>
  <si>
    <t>Internet</t>
  </si>
  <si>
    <t>Mat</t>
  </si>
  <si>
    <t>Recomendación</t>
  </si>
  <si>
    <t>QS</t>
  </si>
  <si>
    <t>Folletos</t>
  </si>
  <si>
    <t>KS</t>
  </si>
  <si>
    <t>Vendedores</t>
  </si>
  <si>
    <t>Repetición</t>
  </si>
  <si>
    <t>Taburete</t>
  </si>
  <si>
    <t>Municipio</t>
  </si>
  <si>
    <t>Cabecera</t>
  </si>
  <si>
    <t>Total de Municipios</t>
  </si>
  <si>
    <t>Zapopan</t>
  </si>
  <si>
    <t>Carriola y porta bebé</t>
  </si>
  <si>
    <t>Guadalajara</t>
  </si>
  <si>
    <t>Piso</t>
  </si>
  <si>
    <t>Tlaquepaque</t>
  </si>
  <si>
    <t>Cojines</t>
  </si>
  <si>
    <t>Tlajomulco</t>
  </si>
  <si>
    <t>Tonalá</t>
  </si>
  <si>
    <t>El Salto</t>
  </si>
  <si>
    <t>Mes</t>
  </si>
  <si>
    <t>Venta mensual bruta</t>
  </si>
  <si>
    <t>Gastos</t>
  </si>
  <si>
    <t>Venta diaria</t>
  </si>
  <si>
    <t>Venta promedio</t>
  </si>
  <si>
    <t>No. Servicios</t>
  </si>
  <si>
    <t>% Cliente Res</t>
  </si>
  <si>
    <t>% Rep</t>
  </si>
  <si>
    <t>Mueble</t>
  </si>
  <si>
    <t>Paquete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</si>
  <si>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</si>
  <si>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</si>
  <si>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</si>
  <si>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</si>
  <si>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</si>
  <si>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</si>
  <si>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</si>
  <si>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</si>
  <si>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</si>
  <si>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</si>
  <si>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</si>
  <si>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</si>
  <si>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</si>
  <si>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</si>
  <si>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</si>
  <si>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</si>
  <si>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</si>
  <si>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</si>
  <si>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</si>
  <si>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</si>
  <si>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</si>
  <si>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</si>
  <si>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</si>
  <si>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</si>
  <si>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</si>
  <si>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Tipo de sala</t>
  </si>
  <si>
    <t>Todo fijo</t>
  </si>
  <si>
    <t>A o R removible</t>
  </si>
  <si>
    <t>Todo Removible</t>
  </si>
  <si>
    <t>Plazas</t>
  </si>
  <si>
    <t>1 Plaza</t>
  </si>
  <si>
    <t>2 Plazas</t>
  </si>
  <si>
    <t>3 Plazas</t>
  </si>
  <si>
    <t>4 Plazas</t>
  </si>
  <si>
    <t>5 Plazas</t>
  </si>
  <si>
    <t>6 Plazas</t>
  </si>
  <si>
    <t>7 Plazas</t>
  </si>
  <si>
    <t>8 Plazas</t>
  </si>
  <si>
    <t>9 Plazas</t>
  </si>
  <si>
    <t>10 Plazas</t>
  </si>
  <si>
    <t>11 Plazas</t>
  </si>
  <si>
    <t>12 Plazas</t>
  </si>
  <si>
    <t>Asiento</t>
  </si>
  <si>
    <t>Cuna</t>
  </si>
  <si>
    <t>Banca</t>
  </si>
  <si>
    <t>Banco</t>
  </si>
  <si>
    <t>Reposet</t>
  </si>
  <si>
    <t>Colchón interno</t>
  </si>
  <si>
    <t>Torre de gatos</t>
  </si>
  <si>
    <t>1/22</t>
  </si>
  <si>
    <t>Salvador Orlando Márquez Magdaleno</t>
  </si>
  <si>
    <t>33-3247-8036</t>
  </si>
  <si>
    <t>Ciruela #54 Entre Guayabo y Ciruela #68 Zapopan</t>
  </si>
  <si>
    <t>Int</t>
  </si>
  <si>
    <t>Sala 5 p r r, Interior coche med Senc</t>
  </si>
  <si>
    <t>No se llama, muy quisquilloso, pero quedó bien</t>
  </si>
  <si>
    <t>2/22</t>
  </si>
  <si>
    <t>Gerardo Olivares / Gerardo Merinos</t>
  </si>
  <si>
    <t>23-2329-5570</t>
  </si>
  <si>
    <t>LandMark Paseo de los Virreyes #45 Depto 2606 Col. Pta de Hierro Zapopan</t>
  </si>
  <si>
    <t>3 tapetes sint, 2 tapetes lana, tapete viscosa Healty</t>
  </si>
  <si>
    <t>Muy bien</t>
  </si>
  <si>
    <t>3/22</t>
  </si>
  <si>
    <t>Arturo Barragán</t>
  </si>
  <si>
    <t>33-3463-6832</t>
  </si>
  <si>
    <t>Bethoven # 4741 Col. La estancia Zapopan</t>
  </si>
  <si>
    <t>Tapete sint, Sillas a y r Healty</t>
  </si>
  <si>
    <t>Marité Narváez</t>
  </si>
  <si>
    <t>33-1895-2449</t>
  </si>
  <si>
    <t>Tulum #4861 Col. Mirador del sol Zapopan</t>
  </si>
  <si>
    <t>Sala 5 p t r, PURT</t>
  </si>
  <si>
    <t>5/22</t>
  </si>
  <si>
    <t>6/22</t>
  </si>
  <si>
    <t>Brenda Carrillo</t>
  </si>
  <si>
    <t>61-4406-9658</t>
  </si>
  <si>
    <t>Paseo Lomas altas #4777 Col Lomas Altas Zapopan</t>
  </si>
  <si>
    <t>Sala 3 p t f, Eco PURT</t>
  </si>
  <si>
    <t>Se manda WA, no contesta</t>
  </si>
  <si>
    <t>Se manda WA, todo muy bien</t>
  </si>
  <si>
    <t>Germán Velázquez Jacobo</t>
  </si>
  <si>
    <t>33-2937-3521</t>
  </si>
  <si>
    <t>Av Tepeyac #5751 Int 37 Zapopan</t>
  </si>
  <si>
    <t>Interior de auto med tela Prem</t>
  </si>
  <si>
    <t>Quedó humedo</t>
  </si>
  <si>
    <t>7/22</t>
  </si>
  <si>
    <t>8/22</t>
  </si>
  <si>
    <t>9/22</t>
  </si>
  <si>
    <t>Isidro Martín González / Cristina Prado</t>
  </si>
  <si>
    <t>33-3038-8680</t>
  </si>
  <si>
    <t>Nños Héroes La Cauda # 720 Int 4 A Col Jardines del bosque Gdl</t>
  </si>
  <si>
    <t>Tapete de lana Healty</t>
  </si>
  <si>
    <t>La secre no sabe</t>
  </si>
  <si>
    <t>Margarita Parra</t>
  </si>
  <si>
    <t>33-3946-1745</t>
  </si>
  <si>
    <t>Palma Sola #1595 Col. 18 de Marzo Gdl</t>
  </si>
  <si>
    <t>Sala 6 p r r, Colchón Ind Senc</t>
  </si>
  <si>
    <t>Claudia Villaseñor</t>
  </si>
  <si>
    <t>33-3318-1518</t>
  </si>
  <si>
    <t>Enrique Rodó #2909 Col. Providencia Zapopan</t>
  </si>
  <si>
    <t>Colchón KS, Sala 1 p t f, Eco</t>
  </si>
  <si>
    <t>No tiene cel</t>
  </si>
  <si>
    <t>10/22</t>
  </si>
  <si>
    <t>11/22</t>
  </si>
  <si>
    <t>12/22</t>
  </si>
  <si>
    <t>13/22</t>
  </si>
  <si>
    <t>15/22</t>
  </si>
  <si>
    <t>16/22</t>
  </si>
  <si>
    <t>17/22</t>
  </si>
  <si>
    <t>Pamela Troncoso</t>
  </si>
  <si>
    <t>33-3167-0653</t>
  </si>
  <si>
    <t>Agua Azul #2525 Int 13 Col. El Campanario Tlaj</t>
  </si>
  <si>
    <t>Tapete Sint, Colchón KS Senc PURT</t>
  </si>
  <si>
    <t>Blanca López</t>
  </si>
  <si>
    <t>33-1520-6002</t>
  </si>
  <si>
    <t>Paseo Valle Real #900 Int 56 Col. Pta real Zapopan</t>
  </si>
  <si>
    <t>Sala 6 p r r, Colchón KS, Tapete Sint Eco</t>
  </si>
  <si>
    <t>Se manda WA, Quedo todo bien</t>
  </si>
  <si>
    <t>Miguel Angel Nuño</t>
  </si>
  <si>
    <t>33-1827-5480</t>
  </si>
  <si>
    <t>Calle Tenochtitlán #324-B Col. Jardines del Sol Zapopan</t>
  </si>
  <si>
    <t>Sala 5 p t f, Sillas a y r, Banca, Silla of tela y piel, Tab Coj Prem</t>
  </si>
  <si>
    <t>patricia Bernardo / TOCSA</t>
  </si>
  <si>
    <t>33-3797-0297</t>
  </si>
  <si>
    <t>Prol Gob Luis G Curiel #1753 Tlaq</t>
  </si>
  <si>
    <t>2 Colchones KS Senc</t>
  </si>
  <si>
    <t>Todo bien</t>
  </si>
  <si>
    <t>Jorge Leanza</t>
  </si>
  <si>
    <t>33-3100-0485</t>
  </si>
  <si>
    <t>Av Naciones Unidas #7500 Coto Los Castaños Casa 101 Zapopan</t>
  </si>
  <si>
    <t>Alfombra Senc</t>
  </si>
  <si>
    <t>Rocío Hernández / Delicias Beef</t>
  </si>
  <si>
    <t>33-1225-1907</t>
  </si>
  <si>
    <t>Priv de Mirasoles #105 Zapopan</t>
  </si>
  <si>
    <t>Sala 6 p t f, Tab, Coj Eco</t>
  </si>
  <si>
    <t>rené de la Torre</t>
  </si>
  <si>
    <t>Privanza Atemajac Av, V. Carranza Torre 300 Depto 372 Zapopan</t>
  </si>
  <si>
    <t>Amigo</t>
  </si>
  <si>
    <t>Colchón KS Healty</t>
  </si>
  <si>
    <t>Raúl pregunta</t>
  </si>
  <si>
    <t>Oscar Guzmán</t>
  </si>
  <si>
    <t>33-1911-7475</t>
  </si>
  <si>
    <t>Faisán #2690 - 3 Fracc Parque Las Aves Col las Palomas Zapopan</t>
  </si>
  <si>
    <t>Interior coche med Eco</t>
  </si>
  <si>
    <t>Se manda WA, todo excelente</t>
  </si>
  <si>
    <t>18/22</t>
  </si>
  <si>
    <t>Natalia Margarita Cuellar De Santago</t>
  </si>
  <si>
    <t>33-1993-3237</t>
  </si>
  <si>
    <t>Boulevard La Espuela #165 Col. El Vigía Zapopan</t>
  </si>
  <si>
    <t>Sala 6 p r r, Eco</t>
  </si>
  <si>
    <t>Se manda WA, se ve bien</t>
  </si>
  <si>
    <t>19/22</t>
  </si>
  <si>
    <t>20/22</t>
  </si>
  <si>
    <t>María Morán</t>
  </si>
  <si>
    <t>33-1178-6691</t>
  </si>
  <si>
    <t>Av. Valle del Silicio #130 Casa 158 Coto Bilbao Tlajo</t>
  </si>
  <si>
    <t>Colchón Mat Healty</t>
  </si>
  <si>
    <t>Muy bien, quiere repetir</t>
  </si>
  <si>
    <t>Se manda WA, quedaron muy bien</t>
  </si>
  <si>
    <t>Elva Mendoza</t>
  </si>
  <si>
    <t>33-2762-5321</t>
  </si>
  <si>
    <t>Paseo del Roble #439 Col. Del Bosque Zapopan</t>
  </si>
  <si>
    <t>Sala 4 p t f, Eco</t>
  </si>
  <si>
    <t>Se manda WA, todo bien</t>
  </si>
  <si>
    <t>Se manda WA, quedó muy bien</t>
  </si>
  <si>
    <t>21/22</t>
  </si>
  <si>
    <t>22/22</t>
  </si>
  <si>
    <t>Rep</t>
  </si>
  <si>
    <t>Colchón Mat Prot PURT</t>
  </si>
  <si>
    <t>4/22, 21/22</t>
  </si>
  <si>
    <t>33-3392-5212</t>
  </si>
  <si>
    <t>Dr. Jn Gómez Villaseñor #1201 Casa 13 Zapopan</t>
  </si>
  <si>
    <t>Tapete sint, Colchón Ind Prem</t>
  </si>
  <si>
    <t>23/22</t>
  </si>
  <si>
    <t>Ana María Regalado Arreola</t>
  </si>
  <si>
    <t>33-1205-2786</t>
  </si>
  <si>
    <t>Los Alamos #52 Col. Villas de Nuevo Méx Zapopan</t>
  </si>
  <si>
    <t>Rec</t>
  </si>
  <si>
    <t>Sala 4 p r r, Coj Eco</t>
  </si>
  <si>
    <t>Marcela Ramírez</t>
  </si>
  <si>
    <t>24/22</t>
  </si>
  <si>
    <t>25/22</t>
  </si>
  <si>
    <t>Victor Javier Salas Cañedo</t>
  </si>
  <si>
    <t>33-1765-5563</t>
  </si>
  <si>
    <t>Av. Altavista #450 Pte. Int 240 Zapopan</t>
  </si>
  <si>
    <t>Sala 6 p t f, Sala 4 p r r, Senc</t>
  </si>
  <si>
    <t>Quedaron como nuevas</t>
  </si>
  <si>
    <t>Se manda WA, excelente trabajo</t>
  </si>
  <si>
    <t>Linett Ramírez</t>
  </si>
  <si>
    <t>33-1974-4562</t>
  </si>
  <si>
    <t>Paseo del Torreón #1683 Col. Colonas de San Javier Zapopan</t>
  </si>
  <si>
    <t>Sala 4 p t r, Colchón KS, Base y cabecera, PURT Eco</t>
  </si>
  <si>
    <t>26/22</t>
  </si>
  <si>
    <t>Gabriela Ponce</t>
  </si>
  <si>
    <t>33-1553-7939</t>
  </si>
  <si>
    <t>Av Valle de San Isidro #287 casa 51 Coto Los Sabinos Zapopan</t>
  </si>
  <si>
    <t>Sala 5 p t f, Sillas s a, Eco</t>
  </si>
  <si>
    <t>27/22</t>
  </si>
  <si>
    <t>28/22</t>
  </si>
  <si>
    <t>29/22</t>
  </si>
  <si>
    <t>Mariana Paola Arias</t>
  </si>
  <si>
    <t>33-3449-8885</t>
  </si>
  <si>
    <t>De la Cordialidad #1458 Col. Villas Perisur Zapopan</t>
  </si>
  <si>
    <t>Sala 2 p t f, Sillas A y r, 2 tapetes sint Senc</t>
  </si>
  <si>
    <t>Norma Altamirano</t>
  </si>
  <si>
    <t>47-7274-9682</t>
  </si>
  <si>
    <t>Av Paseo Valle Real #3000 Fracc Reserva Real Casa 92 Zapopan</t>
  </si>
  <si>
    <t>Tapete sin Healty</t>
  </si>
  <si>
    <t>Se manda WA, no contestó</t>
  </si>
  <si>
    <t>Todo perfecto</t>
  </si>
  <si>
    <t>Se manda WA, muy bien, repetirá</t>
  </si>
  <si>
    <t>Patricia Torres</t>
  </si>
  <si>
    <t>722-153-3334</t>
  </si>
  <si>
    <t>Circ del Bosque #216 Coto Amate casa 105 Zapopan</t>
  </si>
  <si>
    <t>Sala 6 p r r Senc</t>
  </si>
  <si>
    <t>Repite del año pasado</t>
  </si>
  <si>
    <t>30/22</t>
  </si>
  <si>
    <t>31/22</t>
  </si>
  <si>
    <t>14/22, 30/22</t>
  </si>
  <si>
    <t>Sala 2 p t f, Sala 8 p r r,Coj, Tab, Prot 2 Tapetes sint Eco</t>
  </si>
  <si>
    <t>Francisca Vázquez de Rodriguez</t>
  </si>
  <si>
    <t>33-3508-9905</t>
  </si>
  <si>
    <t>Av Manuel Acuña #3491 Col. Rnc Sta Rita Zapopan</t>
  </si>
  <si>
    <t>Sala 5 p t r, Sala 4 p t f Senc</t>
  </si>
  <si>
    <t>32/22</t>
  </si>
  <si>
    <t>Sergio González</t>
  </si>
  <si>
    <t>33-1667-8659</t>
  </si>
  <si>
    <t>Coto B Casa 85 La cima Zapopan</t>
  </si>
  <si>
    <t>Tapete sint Healty</t>
  </si>
  <si>
    <t>Se manda WA, todo muy bien, muy satisfechos</t>
  </si>
  <si>
    <t>33/22</t>
  </si>
  <si>
    <t>34/22</t>
  </si>
  <si>
    <t>35/22</t>
  </si>
  <si>
    <t>Alex Zamora</t>
  </si>
  <si>
    <t>33-2078-2157</t>
  </si>
  <si>
    <t>Fray Juan de Zumárraga #639 Col. Chapalita Zapopan</t>
  </si>
  <si>
    <t>Sala 4 p r r, Colchón QS Eco</t>
  </si>
  <si>
    <t>Seúl Gaxiola Insunza</t>
  </si>
  <si>
    <t>33-3958-0215</t>
  </si>
  <si>
    <t>Rinc del Arroyo # 11501-7 Depto 803 Captal Norte Zapopan</t>
  </si>
  <si>
    <t xml:space="preserve">Colchón Mat, KS, Senc Antác </t>
  </si>
  <si>
    <t>Se manda WA</t>
  </si>
  <si>
    <t>Erick Carrillo Tinajero</t>
  </si>
  <si>
    <t>55-3117-5486</t>
  </si>
  <si>
    <t>Av Quintas del Bosque #376 Coto Bosques Casa 49 Zapopan</t>
  </si>
  <si>
    <t>Int coche peq tela Prot</t>
  </si>
  <si>
    <t>Gdl</t>
  </si>
  <si>
    <t>Tlaj</t>
  </si>
  <si>
    <t>Tlaq</t>
  </si>
  <si>
    <t>Sala 5 p t r, prot PURT</t>
  </si>
  <si>
    <t>Se manda WA, Muy bien, solo una manchita</t>
  </si>
  <si>
    <t>Sala 1 p</t>
  </si>
  <si>
    <t>Sala 2 p</t>
  </si>
  <si>
    <t>Sala 3 p</t>
  </si>
  <si>
    <t>Sala 4 p</t>
  </si>
  <si>
    <t>Sala 5 p</t>
  </si>
  <si>
    <t>Sala 6 p</t>
  </si>
  <si>
    <t>Sala 7 p</t>
  </si>
  <si>
    <t>Sala 8 p</t>
  </si>
  <si>
    <t>Sala 9 p</t>
  </si>
  <si>
    <t>Sala 10 p</t>
  </si>
  <si>
    <t>Sala 11 p</t>
  </si>
  <si>
    <t>Sala 12 p</t>
  </si>
  <si>
    <t>36/22</t>
  </si>
  <si>
    <t>37/22</t>
  </si>
  <si>
    <t>Leticia Tamayo / Luis Fernando Méndez</t>
  </si>
  <si>
    <t>Buenos Aires #2375 Depto 5 Zapopan</t>
  </si>
  <si>
    <t>11 tapetes sint, Sala 2 p t f, sala 3 p t f, sala 3 p t f, Senc, PURT</t>
  </si>
  <si>
    <t>No hay num</t>
  </si>
  <si>
    <t>Cristina Soriano</t>
  </si>
  <si>
    <t>871-329-5204</t>
  </si>
  <si>
    <t>Av El Campestre #720 Coto Mascardi Casa 119 Zapopan</t>
  </si>
  <si>
    <t>Colchón Mat Prem, PURT</t>
  </si>
  <si>
    <t>Se manda WA, un colchón muy bien, el otro con mancha</t>
  </si>
  <si>
    <t>Se manda WA, uno si quedó con mancha</t>
  </si>
  <si>
    <t>38/22</t>
  </si>
  <si>
    <t>39/22</t>
  </si>
  <si>
    <t>40/22</t>
  </si>
  <si>
    <t>Aurora Martínez</t>
  </si>
  <si>
    <t>33-3968-3148</t>
  </si>
  <si>
    <t>Diamante #2836-208 Col Valle Verde Gdl</t>
  </si>
  <si>
    <t>3 tapete sint Prot</t>
  </si>
  <si>
    <t>Se manda WA, no se ha secado y aún huele</t>
  </si>
  <si>
    <t>Valeria de la Vega / Surfax</t>
  </si>
  <si>
    <t>33-1216-5240</t>
  </si>
  <si>
    <t>Agua marina #3042 &lt;col. Agua Blanca Zapopan</t>
  </si>
  <si>
    <t>Silla secre, silla ejec, sala 6 p t f Prem</t>
  </si>
  <si>
    <t>Lucero Hernández</t>
  </si>
  <si>
    <t>33-2556-6019</t>
  </si>
  <si>
    <t>Calle Santa Paula #389 Col. Sta Margarita Zapopan</t>
  </si>
  <si>
    <t>Sala 6 p t f, Senc</t>
  </si>
  <si>
    <t>41/22</t>
  </si>
  <si>
    <t>42/22</t>
  </si>
  <si>
    <t>Elvira Ramos Hernández</t>
  </si>
  <si>
    <t>33-3814-1517</t>
  </si>
  <si>
    <t>Calle Circunvalación Sur #213 int 3 Zapopan</t>
  </si>
  <si>
    <t>2 Colchones Mat Prem</t>
  </si>
  <si>
    <t>Se manda WA, no le han pasado el reporte</t>
  </si>
  <si>
    <t>Ma Del Reugio López</t>
  </si>
  <si>
    <t>av Acueducto #708 PB Col Sta Margarita Zapopan</t>
  </si>
  <si>
    <t>Sala 5 p t f, Sillas a y r, Coj Senc</t>
  </si>
  <si>
    <t>No hay tel</t>
  </si>
  <si>
    <t>43/22</t>
  </si>
  <si>
    <t>44/22</t>
  </si>
  <si>
    <t>45/22</t>
  </si>
  <si>
    <t>46/22</t>
  </si>
  <si>
    <t>Jimena Pérez</t>
  </si>
  <si>
    <t>33-1109-5900</t>
  </si>
  <si>
    <t>Av de los Pinos #520 Int 305 Ric Sta Rita Zapopan</t>
  </si>
  <si>
    <t>2 tapetes sint Prem</t>
  </si>
  <si>
    <t>Se manda WA, no se quitaron las manchas como esperaba</t>
  </si>
  <si>
    <t>2 tapete sint Prem</t>
  </si>
  <si>
    <t>Se manda WA, muy bien, repetira</t>
  </si>
  <si>
    <t>Antonio Rogel</t>
  </si>
  <si>
    <t>33-2493-1292</t>
  </si>
  <si>
    <t>Florida #292 Col Prados del Nido Tlaq</t>
  </si>
  <si>
    <t>Interior camioneta tela</t>
  </si>
  <si>
    <t>Ana Díaz</t>
  </si>
  <si>
    <t>33-1049-2218</t>
  </si>
  <si>
    <t>Carr libre a Zapotlanejo #1374 Col. Jauja Tonalá</t>
  </si>
  <si>
    <t>Interior camioneta, prot, coche med, sillas secret Senc</t>
  </si>
  <si>
    <t>Luz Durán</t>
  </si>
  <si>
    <t>33-1479-4270</t>
  </si>
  <si>
    <t>Barrica #152 Coto Córdova Col Real de Valdepeñas, Zapopan</t>
  </si>
  <si>
    <t>sala 5 p t f, Sala 2 p t f, Piel</t>
  </si>
  <si>
    <t>47/22</t>
  </si>
  <si>
    <t>48/22</t>
  </si>
  <si>
    <t>Moctezuma Valero Haro</t>
  </si>
  <si>
    <t>33-1172-5286</t>
  </si>
  <si>
    <t>Los Alpes #1407 Col Independencia Gdl</t>
  </si>
  <si>
    <t>Tapete sint Eco PURT</t>
  </si>
  <si>
    <t>Manuel Cruz</t>
  </si>
  <si>
    <t>55-5417-9047</t>
  </si>
  <si>
    <t>Paseo de los Emperadores #776 Casa 26 Coto 17 Valle Imperial Zapopan</t>
  </si>
  <si>
    <t>Sala 2 p t f, Senc</t>
  </si>
  <si>
    <t>Quedó muy bien</t>
  </si>
  <si>
    <t>Moctezuma Valero</t>
  </si>
  <si>
    <t>Tapete sint Eco, PURT</t>
  </si>
  <si>
    <t>Se manda WA, a uno no se le quitaron</t>
  </si>
  <si>
    <t>49/22</t>
  </si>
  <si>
    <t>Juan Carlos Lecuona</t>
  </si>
  <si>
    <t>33-1382-5909</t>
  </si>
  <si>
    <t>paseo de las Aves #2070 casa 10 Cond Sta Fabiola Zapopan</t>
  </si>
  <si>
    <t>Alfombra, 2 salas 5 p t f Senc</t>
  </si>
  <si>
    <t>Ganancia</t>
  </si>
  <si>
    <t>50/22</t>
  </si>
  <si>
    <t>51/22</t>
  </si>
  <si>
    <t>Ma Eugenia Jiménez</t>
  </si>
  <si>
    <t>33-3944-4006</t>
  </si>
  <si>
    <t>Eulogio Parra #2588 Depto 5 Col. Providencia Gdl</t>
  </si>
  <si>
    <t>Tapete Sint Healty</t>
  </si>
  <si>
    <t>Se manda WA, satisfactorio, cumplió espectativas</t>
  </si>
  <si>
    <t>Victor Carrillo</t>
  </si>
  <si>
    <t>33-1122-4670</t>
  </si>
  <si>
    <t>Av Hidalgo #1830-12A Col. Ladrón de Guevara Gdl</t>
  </si>
  <si>
    <t>Sala 5 p t f, 2 tapetes sint Senc</t>
  </si>
  <si>
    <t>52/22</t>
  </si>
  <si>
    <t>Martha Salas</t>
  </si>
  <si>
    <t>33-3171-7294</t>
  </si>
  <si>
    <t>Calle La Rioja #3102 Col Colomos Providencia Zapopan</t>
  </si>
  <si>
    <t>Sala 9 p t f, Sillas a y r</t>
  </si>
  <si>
    <t>Se manda WA, quedó muy satisfecha</t>
  </si>
  <si>
    <t>53/22</t>
  </si>
  <si>
    <t>Rosa Ortega Cortés</t>
  </si>
  <si>
    <t>33-3399-1658</t>
  </si>
  <si>
    <t>Rio Blanco #1676 casa 268 cond Los Almendros Zapopan</t>
  </si>
  <si>
    <t>3 tapetes sint, 1 tapete lana Healty</t>
  </si>
  <si>
    <t>54/22</t>
  </si>
  <si>
    <t>Se manda WA, el servicio excelente, los tapetes muy bien y en tiempo, el personal muy amable</t>
  </si>
  <si>
    <t>55/22</t>
  </si>
  <si>
    <t>56/22</t>
  </si>
  <si>
    <t>Fabiola Hernández</t>
  </si>
  <si>
    <t>33-1197-3742</t>
  </si>
  <si>
    <t>Gregorio Dávila #478 Int 6 Gdl</t>
  </si>
  <si>
    <t>Sala 3 p t f,Prot, 2 Colchones Ind Senc</t>
  </si>
  <si>
    <t>Juan Carlos Alonso</t>
  </si>
  <si>
    <t>33-1069-8819</t>
  </si>
  <si>
    <t>Av Río Blanco #1171 Col. Parques de Tesistán Zapopan</t>
  </si>
  <si>
    <t>Sala 1 p t f Healty</t>
  </si>
  <si>
    <t>57/22</t>
  </si>
  <si>
    <t>Mamparas Senc, sillas secret Prem</t>
  </si>
  <si>
    <t>58/22</t>
  </si>
  <si>
    <t>59/22</t>
  </si>
  <si>
    <t>Verónica De La Garza</t>
  </si>
  <si>
    <t>55-5503-9791</t>
  </si>
  <si>
    <t>Montevideo #3497 Int 11 E Torre 200 Col Colinas de San Javier Zapopan</t>
  </si>
  <si>
    <t>Tapete sint Senc, PURT</t>
  </si>
  <si>
    <t>Claudia Leo</t>
  </si>
  <si>
    <t>33-1700-8885</t>
  </si>
  <si>
    <t>David Alfaro Siqueiros #194 Col. Sta Paula Tonalá</t>
  </si>
  <si>
    <t>Interior coche chico tela Senc</t>
  </si>
  <si>
    <t>Colchón mat Prem, PURT</t>
  </si>
  <si>
    <t>Quedó con un poco de olor a orina, pero aún está húmedo</t>
  </si>
  <si>
    <t>Valeria de la vega / Surfax</t>
  </si>
  <si>
    <t>Sillas Sercret, Sala 1 p t f, Prem</t>
  </si>
  <si>
    <t>Muy bien, repetirán</t>
  </si>
  <si>
    <t xml:space="preserve">2 Colchón mat Prem  </t>
  </si>
  <si>
    <t>No se quitaron todas las manchas</t>
  </si>
  <si>
    <t>Ma Del Refugio López</t>
  </si>
  <si>
    <t>No hay cel</t>
  </si>
  <si>
    <t>Interior de camionta Prot, coche med, Sillas secre Senc</t>
  </si>
  <si>
    <t>Todo muy bien</t>
  </si>
  <si>
    <t>Tlaque</t>
  </si>
  <si>
    <t>Interior de coche gde Senc</t>
  </si>
  <si>
    <t>No contesta</t>
  </si>
  <si>
    <t>Sala 5 p t f, Sofa 2 p t f, Piel</t>
  </si>
  <si>
    <t>Muy bien, le encantó</t>
  </si>
  <si>
    <t>Juan Carlos Leucona</t>
  </si>
  <si>
    <t>Alfombra, Sala 5 p t f, Sala 5 p t f, Senc</t>
  </si>
  <si>
    <t>Satisfactorio, y se cubrieron las espectativas</t>
  </si>
  <si>
    <t>Satisfecha con el servicio</t>
  </si>
  <si>
    <t>Sala 5 p t f, 2 Tapete sint Senc</t>
  </si>
  <si>
    <t>Sala 9 p t f, Sillas a y r Senc</t>
  </si>
  <si>
    <t>Rosa Ortega</t>
  </si>
  <si>
    <t>4 tapetes sint Healty</t>
  </si>
  <si>
    <t>Muy bien el servico, a tiempo</t>
  </si>
  <si>
    <t xml:space="preserve">Repite  </t>
  </si>
  <si>
    <t>Sala 3 p t f Prot, Colchón Ind Senc</t>
  </si>
  <si>
    <t>Excelente</t>
  </si>
  <si>
    <t>Sala 1 p t f, Healty</t>
  </si>
  <si>
    <t>Mamparas Senc, Sillas secre Prem</t>
  </si>
  <si>
    <t>Verónica de la Garza</t>
  </si>
  <si>
    <t>Tapete sint Senc PURT</t>
  </si>
  <si>
    <t>Interior coche peq, Senc</t>
  </si>
  <si>
    <t>60/22</t>
  </si>
  <si>
    <t>Karen Covarrubias</t>
  </si>
  <si>
    <t>33-1157-4767</t>
  </si>
  <si>
    <t>Privada de Cisne #2545 Int 113 Col. Lomas de Indep Gdl</t>
  </si>
  <si>
    <t>Sala 5 p t f, Colchón Mat, Futón, Eco, PURT</t>
  </si>
  <si>
    <t>Sala 5 p t f, Colchón Mat, Futón, Eco PURT</t>
  </si>
  <si>
    <t>61/22</t>
  </si>
  <si>
    <t>62/22</t>
  </si>
  <si>
    <t>Ana Laura Gallardo Arreola</t>
  </si>
  <si>
    <t>33-1833-0204</t>
  </si>
  <si>
    <t>Fco La Madrid #334 PA Col % de Mayo Gdl</t>
  </si>
  <si>
    <t>Colchón mat Healt, Colcchón mat asp, Sanitización</t>
  </si>
  <si>
    <t>Norma Laura Ortíz</t>
  </si>
  <si>
    <t>33-1872-1060</t>
  </si>
  <si>
    <t>Copilco #1549 Col Pinar de la calma Zapopan</t>
  </si>
  <si>
    <t>Sala 6 p t f, eco, Sillas de comedor senc (promo)</t>
  </si>
  <si>
    <t>Ana laura Gallardo Arreola</t>
  </si>
  <si>
    <t>Colchón mat Healty, Colchon Mat Asp, sanitización</t>
  </si>
  <si>
    <t>Sala 6 p t f Eco, sillas a y r senc (promo)</t>
  </si>
  <si>
    <t>63/22</t>
  </si>
  <si>
    <t>64/22</t>
  </si>
  <si>
    <t>Norma Martínez</t>
  </si>
  <si>
    <t>33-3705-1365</t>
  </si>
  <si>
    <t>Av Enrique Díaz de León #798 Int 2 Col Moderna Gdl</t>
  </si>
  <si>
    <t xml:space="preserve">Sillas a y r teflón </t>
  </si>
  <si>
    <t>Se manda WA, todo muy bien le gustó mucho</t>
  </si>
  <si>
    <t>Rosy Hinojosa</t>
  </si>
  <si>
    <t>33-1129-0518</t>
  </si>
  <si>
    <t>Río Bravo #1169 Col. Quinta Velarde Gdl</t>
  </si>
  <si>
    <t>Sala 6 p t f, Interior camioneta tela, Sillas de comedor Senc</t>
  </si>
  <si>
    <t>Teflón en sillas a y r</t>
  </si>
  <si>
    <t>Se manda WA, muy bien</t>
  </si>
  <si>
    <t>65/22</t>
  </si>
  <si>
    <t>Elba Gueta / Rest Los chilaquiles / Mariana</t>
  </si>
  <si>
    <t>33-3303-9847</t>
  </si>
  <si>
    <t>Calz Lázaro Cárdenas #2927 Col. Jardines del Bosque Gdl</t>
  </si>
  <si>
    <t>Rest los Chilaquiles / Mariana</t>
  </si>
  <si>
    <t>Alfombra senc</t>
  </si>
  <si>
    <t>66/22</t>
  </si>
  <si>
    <t>Jaqueline De La Peña / Sun Beauty and Care</t>
  </si>
  <si>
    <t>33-2914-9166</t>
  </si>
  <si>
    <t>Av Naciones unidas #6875 Loc B-18 2 P Plaza Los Tules Zapopan</t>
  </si>
  <si>
    <t>Sala 6 p t f, Interior camioneta tela, Sillas a y r Senc</t>
  </si>
  <si>
    <t>Quedaron alguna manchas, se regresa</t>
  </si>
  <si>
    <t>67/22</t>
  </si>
  <si>
    <t>Sandra Vázquez</t>
  </si>
  <si>
    <t>33-3388-5807</t>
  </si>
  <si>
    <t>José Ma. Bocanegra #734 Col. Lomas del Paradero Tlaq</t>
  </si>
  <si>
    <t>Colchón Ind Senc PURT</t>
  </si>
  <si>
    <t>Se regresa a limpiar, queda bien</t>
  </si>
  <si>
    <t>68/22</t>
  </si>
  <si>
    <t>69/22</t>
  </si>
  <si>
    <t>Pilar Caballero</t>
  </si>
  <si>
    <t>87-8703-5036</t>
  </si>
  <si>
    <t>Coto Austriaco #94 Valle Imperial Zapopan</t>
  </si>
  <si>
    <t>Amigos</t>
  </si>
  <si>
    <t>Tapete de lana Eco</t>
  </si>
  <si>
    <t>Se manda WA, no ha podido revisar</t>
  </si>
  <si>
    <t>Irma Álvarez</t>
  </si>
  <si>
    <t>33-3673-5378</t>
  </si>
  <si>
    <t>George Bossett #5683 Col. La Estancia Zapopan</t>
  </si>
  <si>
    <t>70/22</t>
  </si>
  <si>
    <t>Ricardo Muñoz / Sra Carla</t>
  </si>
  <si>
    <t>Circ De las Flores #2544 Col Bugambilias Zapopan</t>
  </si>
  <si>
    <t>Ref</t>
  </si>
  <si>
    <t>Alfombra Eco, Extraccion</t>
  </si>
  <si>
    <t>No se llama es cliente de Archi</t>
  </si>
  <si>
    <t>Se manda SMS, le gustó mucho</t>
  </si>
  <si>
    <t>Se manda WA, le encantó</t>
  </si>
  <si>
    <t>71/22</t>
  </si>
  <si>
    <t>72/22</t>
  </si>
  <si>
    <t>73/22</t>
  </si>
  <si>
    <t>74/22</t>
  </si>
  <si>
    <t>Cristina Rodriguez</t>
  </si>
  <si>
    <t>33-1569-1468</t>
  </si>
  <si>
    <t>Calle Tabachín #1397 Col. Paraisos del Colli Zapopan</t>
  </si>
  <si>
    <t>2 Tapetes de lana Senc PURT</t>
  </si>
  <si>
    <t>Ramón Loaiza / Broken Cheese</t>
  </si>
  <si>
    <t>33-1519-9638</t>
  </si>
  <si>
    <t>Av Tepeyac #4358 Col Tepeyac Casino Zapopan</t>
  </si>
  <si>
    <t>Cojines de boot Prot</t>
  </si>
  <si>
    <t>Esperanza Espinoza</t>
  </si>
  <si>
    <t>33-1971-4481</t>
  </si>
  <si>
    <t>Daniel Larios Cárdenas #1108 Col. Rancho Nuevo Gdl</t>
  </si>
  <si>
    <t>Sala 6 p t f, Sillas a y r, PURT</t>
  </si>
  <si>
    <t>Se manda WA, quedaron muy bien, no huele a orina, servicio excelente</t>
  </si>
  <si>
    <t>Se manda WA, servicio muy bueno, checara la sala</t>
  </si>
  <si>
    <t>75/22</t>
  </si>
  <si>
    <t>76/22</t>
  </si>
  <si>
    <t>Carmen Sanchez</t>
  </si>
  <si>
    <t>55-7956-8568</t>
  </si>
  <si>
    <t>Montreal #1669-3 Col. Providencia Gdl</t>
  </si>
  <si>
    <t>Sala 9 p t r, Sillas a y r ( promo) Senc</t>
  </si>
  <si>
    <t>Alejandra Chávez</t>
  </si>
  <si>
    <t>33-1709-8566</t>
  </si>
  <si>
    <t>Francia #1747-102 Col. Moderna Gdl</t>
  </si>
  <si>
    <t>Sala 6 p t f, Bancos, Eco, Sillas a y r (promo) Senc</t>
  </si>
  <si>
    <t>77/22</t>
  </si>
  <si>
    <t>78/22</t>
  </si>
  <si>
    <t>79/22</t>
  </si>
  <si>
    <t>José Mejorada</t>
  </si>
  <si>
    <t>Coto Bizantino #122 Valle Imperial Zapopan</t>
  </si>
  <si>
    <t>4 tapetes sint senc, PURT</t>
  </si>
  <si>
    <t>Raúl avisa</t>
  </si>
  <si>
    <t>Se manda WA, uno de los bancos quedo una pequeña mancha, se regresará</t>
  </si>
  <si>
    <t>Yolanda Delgadillo</t>
  </si>
  <si>
    <t>33-1062-8330</t>
  </si>
  <si>
    <t>Av Sto Domingo #4358 Int Leonardo 191 Fracc Palermo Zapopan</t>
  </si>
  <si>
    <t>Tapete sint Healty, PURT</t>
  </si>
  <si>
    <t>Damaris Acevez</t>
  </si>
  <si>
    <t>33-3952-6676</t>
  </si>
  <si>
    <t>Valle de San Sebastián #2394 Coto Viveros del Valle Col. Jardines del Valle Zapopan</t>
  </si>
  <si>
    <t>Sala 5 p t f, Sala 2 p t f, Bancos, Eco Sillas a y r Senc (Promo)</t>
  </si>
  <si>
    <t>80/22</t>
  </si>
  <si>
    <t>81/22</t>
  </si>
  <si>
    <t>Banregio, suc Tlaquepaque</t>
  </si>
  <si>
    <t>Suc Tlaquepaque</t>
  </si>
  <si>
    <t>Sillas de piel, sillas secretariales, sala 4 p t f Prem</t>
  </si>
  <si>
    <t>Repite de año pasado, negocio de Mty</t>
  </si>
  <si>
    <t>Banregio, Suc La Rioja</t>
  </si>
  <si>
    <t>Suc La Rioja Tlajomuco</t>
  </si>
  <si>
    <t>82/22</t>
  </si>
  <si>
    <t>83/22</t>
  </si>
  <si>
    <t>84/22</t>
  </si>
  <si>
    <t>Ma de los Angeles Vázquez</t>
  </si>
  <si>
    <t>33-1417-9136</t>
  </si>
  <si>
    <t>Asturias #200 Coto 4 Casa 10-A Col. Santillana Gdl</t>
  </si>
  <si>
    <t>Sala 6 p t f Senc</t>
  </si>
  <si>
    <t>Cristina Villegas</t>
  </si>
  <si>
    <t>33-3402-3374</t>
  </si>
  <si>
    <t>Toreros #630 Col. Jardines de Gpe Zapopan</t>
  </si>
  <si>
    <t>Sala 6 p t r, Sala 4 p t r, Sillas a y r (promo) Senc</t>
  </si>
  <si>
    <t>85/22</t>
  </si>
  <si>
    <t>86/22</t>
  </si>
  <si>
    <t>Alejandrina Díaz de León</t>
  </si>
  <si>
    <t>33-1043-0158</t>
  </si>
  <si>
    <t>Batalla de Celaya #3257 Col. Fracc Rev Tlaq</t>
  </si>
  <si>
    <t>Sillas a Prem</t>
  </si>
  <si>
    <t>Se manda WA, le gustó mucho</t>
  </si>
  <si>
    <t>Ernesto Escalante</t>
  </si>
  <si>
    <t>33-3474-5363</t>
  </si>
  <si>
    <t>Madero #974 Col. Americana, Gdl</t>
  </si>
  <si>
    <t>10 tapetes sint senc</t>
  </si>
  <si>
    <t>87/22</t>
  </si>
  <si>
    <t>88/22</t>
  </si>
  <si>
    <t>Nora Díaz/ La Vaca Argentina</t>
  </si>
  <si>
    <t>33-3612-2126</t>
  </si>
  <si>
    <t>Lopez Mateos Sur #1710 PB 02 Plaza La Gourmetería Zapopan</t>
  </si>
  <si>
    <t>Tapete sintético Eco</t>
  </si>
  <si>
    <t>Karen Tapia</t>
  </si>
  <si>
    <t>33-2258-5609</t>
  </si>
  <si>
    <t>Calle 9 #415 Col Ferrocarrila Gdl</t>
  </si>
  <si>
    <t>Interior camioneta tela, Colchón Ind, Sala 3 p t f, Senc</t>
  </si>
  <si>
    <t>89/22</t>
  </si>
  <si>
    <t>Benjamín Barajas</t>
  </si>
  <si>
    <t>33-1291-5600</t>
  </si>
  <si>
    <t>Agapando #7 Fracc Sendas Valle Imperial Zapopan</t>
  </si>
  <si>
    <t>Sala 5 p a y r, Colchón Ind, Eco PURT</t>
  </si>
  <si>
    <t>90/22</t>
  </si>
  <si>
    <t>91/22</t>
  </si>
  <si>
    <t>Banregio Suc Mariano Otero</t>
  </si>
  <si>
    <t>Suc Mariano Otero</t>
  </si>
  <si>
    <t>Banregio Suc Abastos</t>
  </si>
  <si>
    <t>Suc Abastos</t>
  </si>
  <si>
    <t>Benjamím Barajas</t>
  </si>
  <si>
    <t>Sala 5 p a y r, Colchón Ind, Eco, PURT</t>
  </si>
  <si>
    <t>92/22</t>
  </si>
  <si>
    <t>Calle Herce #413 Col. La Rioja Tlajomulco</t>
  </si>
  <si>
    <t>2 colchones mat Eco, PURT</t>
  </si>
  <si>
    <t>93/22</t>
  </si>
  <si>
    <t>94/22</t>
  </si>
  <si>
    <t>2 Colchon Ind Eco, PURT</t>
  </si>
  <si>
    <t>Edgar Ramírez</t>
  </si>
  <si>
    <t>33-3176-7769</t>
  </si>
  <si>
    <t>Justo Sierra #2040 Int 18 Col. Ladrón de Guevara Gdl</t>
  </si>
  <si>
    <t>Interiores Pick up, Camioneta y 3 filas de asientos Senc</t>
  </si>
  <si>
    <t>95/22</t>
  </si>
  <si>
    <t>96/22</t>
  </si>
  <si>
    <t>Mega Electrificaciones / Amanda Jiménez</t>
  </si>
  <si>
    <t>33-1429-1656</t>
  </si>
  <si>
    <t>Calle Sta Ana #3859 Col Las Fuentes Zapopan</t>
  </si>
  <si>
    <t>Sala 6 p t r, Sala 3 p t r, Sala 3 p t r, Sillas de comedor, Tapete sint Prem</t>
  </si>
  <si>
    <t>Susana Ornelas</t>
  </si>
  <si>
    <t>33-1312-3297</t>
  </si>
  <si>
    <t>Prado de las Gladiolas #4259 Col. Prados de Tepeyac Zapopan</t>
  </si>
  <si>
    <t>Tapete de lana Prem</t>
  </si>
  <si>
    <t>97/22</t>
  </si>
  <si>
    <t>98/22</t>
  </si>
  <si>
    <t>99/22</t>
  </si>
  <si>
    <t>100/22</t>
  </si>
  <si>
    <t>Jorge Márquez Orozco</t>
  </si>
  <si>
    <t>33-3839-8605</t>
  </si>
  <si>
    <t>Venustiano Carranza #424 Col Centro Gdl</t>
  </si>
  <si>
    <t>Sala 6 p t f, 2 Tapetes sint, sillas a y r (promo) Senc</t>
  </si>
  <si>
    <t>Se manda WA, muy satisfechos</t>
  </si>
  <si>
    <t>Lucía Elena Alvarez Treviño</t>
  </si>
  <si>
    <t>33-3823-1442</t>
  </si>
  <si>
    <t>José I Solórzano #819 Col Jardines Alcalde Gdl</t>
  </si>
  <si>
    <t>Sala 4 p r r, Colchón Ind, Slas 1 p r r, Eco Sillas a y r (promo) Senc</t>
  </si>
  <si>
    <t>Secretaría de Infraestructura / Ana Ma Ascencio</t>
  </si>
  <si>
    <t>33-1211-5345</t>
  </si>
  <si>
    <t>Av Alcalde #1351 Edif B Gdl</t>
  </si>
  <si>
    <t>Sillas secretarial Prot</t>
  </si>
  <si>
    <t>Se manda WA, le encantó, nos recomendará</t>
  </si>
  <si>
    <t>Cecilia García Riveroll</t>
  </si>
  <si>
    <t>33-1400-9366</t>
  </si>
  <si>
    <t>Av Gpe #6700 Torre 2 Depto 221 Col. Buga Zapopan</t>
  </si>
  <si>
    <t>Sala 4 p t f, futón, Sillas a y r ( promo) Portabebe, Senc PURT</t>
  </si>
  <si>
    <t>101/22</t>
  </si>
  <si>
    <t>102/22</t>
  </si>
  <si>
    <t>Esmeralda Jiménez</t>
  </si>
  <si>
    <t>33-1881-1750</t>
  </si>
  <si>
    <t>Fco Sarabia #575-D Gdl</t>
  </si>
  <si>
    <t>Sala 5 p t f, Healty</t>
  </si>
  <si>
    <t>Se manda WA, fue satisfactorio</t>
  </si>
  <si>
    <t>Se manda WA, un sillón aún huele a orina</t>
  </si>
  <si>
    <t>Ana Victoria Zepeda</t>
  </si>
  <si>
    <t>33-1293-3448</t>
  </si>
  <si>
    <t>Paseo Lomas Altas #4777 Depto G 402 Col. Lomas Altas Zapopan</t>
  </si>
  <si>
    <t>Colchon KS, Mat, Ind, Eco Sala 1 p t f, Sillas a y r (promo ) senc</t>
  </si>
  <si>
    <t>Tlajo</t>
  </si>
  <si>
    <t>Sala 4 p r r, Colchón Ind, Sala 1 p r r, Eco Sillas a y r (promo) Senc</t>
  </si>
  <si>
    <t>Sala 6 p t f, Sillas a y r, Senc PURT</t>
  </si>
  <si>
    <t>103/22</t>
  </si>
  <si>
    <t>Enrique Torres</t>
  </si>
  <si>
    <t>33-1617-0833</t>
  </si>
  <si>
    <t>Av México #5000 Torre 200 Piso 16G Urbania Zapopan</t>
  </si>
  <si>
    <t>Sala 4 p t r, Senc</t>
  </si>
  <si>
    <t>Sala 4 p t r Senc</t>
  </si>
  <si>
    <t>104/22</t>
  </si>
  <si>
    <t>105/22</t>
  </si>
  <si>
    <t>106/22</t>
  </si>
  <si>
    <t>107/22</t>
  </si>
  <si>
    <t>Constanza Bujaidar</t>
  </si>
  <si>
    <t>47-7729-5712</t>
  </si>
  <si>
    <t>Av. Pablo Casals #712 Depto 701 Col Prados Providencia Zapopan</t>
  </si>
  <si>
    <t>Se manda WA, buena calidad en el servicio</t>
  </si>
  <si>
    <t>Se manda WA, quedó perfecto</t>
  </si>
  <si>
    <t>Alejandra Sisure</t>
  </si>
  <si>
    <t>33-3444-9020</t>
  </si>
  <si>
    <t>Eva Briseño #702 Depto 4-E Col. Sta Fe Zapopan</t>
  </si>
  <si>
    <t>Sala 3 p r r, Prot</t>
  </si>
  <si>
    <t>Sindicato de trab académ de la U de G / Mayela Alonso</t>
  </si>
  <si>
    <t>33-1063-0162</t>
  </si>
  <si>
    <t>Av José Parres Arias #555 Col. Conj Belenes Zapopan</t>
  </si>
  <si>
    <t>Sillas secret y ejecutivas Senc</t>
  </si>
  <si>
    <t>Les encantó</t>
  </si>
  <si>
    <t>Constanza Budajar</t>
  </si>
  <si>
    <t>Le encantó</t>
  </si>
  <si>
    <t>Se manda WA, servicio impecable</t>
  </si>
  <si>
    <t>Tapete lana Healty</t>
  </si>
  <si>
    <t>Sind Trab Acad de la U de G / Mayela Alonso</t>
  </si>
  <si>
    <t>Sillas secret Senc</t>
  </si>
  <si>
    <t>108/22</t>
  </si>
  <si>
    <t>Juan Carlos Ahumada</t>
  </si>
  <si>
    <t>33-1479-3110</t>
  </si>
  <si>
    <t>Av Circunvalación Pte #783 Col. Cd Granja Zapopan</t>
  </si>
  <si>
    <t>Sala 6 p r r, Tapete sint, sillas a y r (promo) Senc</t>
  </si>
  <si>
    <t>Se manda WA, todo perfecto</t>
  </si>
  <si>
    <t>Sala 6 p r r, Tapete sint, Sillas a y r (promo) Senc</t>
  </si>
  <si>
    <t>Satisfecho</t>
  </si>
  <si>
    <t>ok</t>
  </si>
  <si>
    <t>109/22</t>
  </si>
  <si>
    <t>Sala 6 p r r, Sala 3 p r r, Piel, Sala 2 p t r, Sala 2 p a r, 2 Sala 1 p t f, Sala 4 p t f, Prot</t>
  </si>
  <si>
    <t>110/22</t>
  </si>
  <si>
    <t>111/22</t>
  </si>
  <si>
    <t>112/22</t>
  </si>
  <si>
    <t>113/22</t>
  </si>
  <si>
    <t>114/22</t>
  </si>
  <si>
    <t>2 tapete de lana Prot</t>
  </si>
  <si>
    <t>Axel Ávila / Brenda Ibarra</t>
  </si>
  <si>
    <t>33-1864-5550</t>
  </si>
  <si>
    <t>Calle Volcán Ajusco #4521 Depto 16 Col. El Colli Zapopan</t>
  </si>
  <si>
    <t>Sala 2 p t f, 2 tapetes sint, Cama para perro Prem PURT</t>
  </si>
  <si>
    <t>María Rizo</t>
  </si>
  <si>
    <t>33-3555-0445</t>
  </si>
  <si>
    <t>Coto Británico #93 Col. Valle Imperial Zapopan</t>
  </si>
  <si>
    <t>2 tapeptes sint Prem</t>
  </si>
  <si>
    <t>Se manda WA, quedó increible</t>
  </si>
  <si>
    <t>Montserrat Velasco</t>
  </si>
  <si>
    <t>33-3166-5992</t>
  </si>
  <si>
    <t>Av Tepeyac #5131 Tepeyac Zapopan</t>
  </si>
  <si>
    <t>Colchón Mat Eco</t>
  </si>
  <si>
    <t>33-3662-8950</t>
  </si>
  <si>
    <t>C Menhir nte #1261 Col. Altamira Zapopan</t>
  </si>
  <si>
    <t>Alfombra Eco, Sillas a y r senc (promo)</t>
  </si>
  <si>
    <t>115/22</t>
  </si>
  <si>
    <t>116/22</t>
  </si>
  <si>
    <t>117/22</t>
  </si>
  <si>
    <t>118/22</t>
  </si>
  <si>
    <t>119/22</t>
  </si>
  <si>
    <t>Ma Luisa Martínez López</t>
  </si>
  <si>
    <t>33-3823-5327</t>
  </si>
  <si>
    <t>Miguel Galindo #1703 Edif 5 Depto 3 Gdl</t>
  </si>
  <si>
    <t>No conesta</t>
  </si>
  <si>
    <t>Elizabeth Uribe</t>
  </si>
  <si>
    <t>33-1465-5891</t>
  </si>
  <si>
    <t>Av Jesús #3841 Coto Del Carmen II Int San Manuel I col Jardines del Valle Zapopan</t>
  </si>
  <si>
    <t>Sala 5 p t f, Prot</t>
  </si>
  <si>
    <t>Maricruz Ortíz</t>
  </si>
  <si>
    <t>33-3846-2793</t>
  </si>
  <si>
    <t>Av Del Ahuehuete #151 Int A 10 Coto El Granado Col. Puertas del Tule Zapopan</t>
  </si>
  <si>
    <t>Colchón Mat Eco, Antiácaros</t>
  </si>
  <si>
    <t>Clienta confictiva</t>
  </si>
  <si>
    <t>Emmanuel Ayala Alvarado</t>
  </si>
  <si>
    <t>33-1893-0943</t>
  </si>
  <si>
    <t>Volcán Coruyo #4753 Int 22 Coto Real Volcano El Colli Zapopan</t>
  </si>
  <si>
    <t>Sala 5 p t f Eco</t>
  </si>
  <si>
    <t>Ing Rubén Rosales</t>
  </si>
  <si>
    <t>33-3809-5028</t>
  </si>
  <si>
    <t>Ricardo Palma #3066 Col. Providencia Zapopan</t>
  </si>
  <si>
    <t>Alfombra, Sillas a y r ( promo) Senc</t>
  </si>
  <si>
    <t>120/22</t>
  </si>
  <si>
    <t>121/22</t>
  </si>
  <si>
    <t>122/22</t>
  </si>
  <si>
    <t>Antonieta Padilla</t>
  </si>
  <si>
    <t>33-3115-5164</t>
  </si>
  <si>
    <t>Av Dr José Simeón De Uria #730 Col Villa de los Belenes Zapopan</t>
  </si>
  <si>
    <t>Sala 6 p t r, sillas a y r ( promo ) Senc</t>
  </si>
  <si>
    <t>Karime García</t>
  </si>
  <si>
    <t>33-1303-7171</t>
  </si>
  <si>
    <t>Montevideo #3278 Int 5 Col. Providencia Zapopan</t>
  </si>
  <si>
    <t>Colchón Ind Prem</t>
  </si>
  <si>
    <t>Cecilia Gpe García Murillo</t>
  </si>
  <si>
    <t>33-1272-0228</t>
  </si>
  <si>
    <t>Hda La Purísima #2284 Col. Oblatos Gdl</t>
  </si>
  <si>
    <t>Sala 5 p t r, Sala 6 p t f, Sillas a y r (promo) Senc</t>
  </si>
  <si>
    <t>123/22</t>
  </si>
  <si>
    <t>124/22</t>
  </si>
  <si>
    <t>125/22</t>
  </si>
  <si>
    <t>Cristina Velasco</t>
  </si>
  <si>
    <t>33-1699-9030</t>
  </si>
  <si>
    <t>José Ma. Vigil #3021 Int 203 Col. Prados Providencia Zapopan</t>
  </si>
  <si>
    <t>Sala 4 p t f, Cojines, Sillas a y r Eco</t>
  </si>
  <si>
    <t>Se manda WA, le encantó, repetirá</t>
  </si>
  <si>
    <t>Joel Navarro</t>
  </si>
  <si>
    <t>33-2199-3332</t>
  </si>
  <si>
    <t>Jacobo Magaña #1514 Col. Parque San Pedro Gdl</t>
  </si>
  <si>
    <t>Sala 6 p t f Eco, Sillas a y r ( promo) Senc</t>
  </si>
  <si>
    <t>Dania González</t>
  </si>
  <si>
    <t>Paseo de los Pinos #23 casa 41 Col. Lomas del Valle Zapopan</t>
  </si>
  <si>
    <t>Sala 4 p t f, sala 5p t f, Tapete sint, Coj Prot Lavado de piso</t>
  </si>
  <si>
    <t>126/22</t>
  </si>
  <si>
    <t>127/22</t>
  </si>
  <si>
    <t>128/22</t>
  </si>
  <si>
    <t>129/22</t>
  </si>
  <si>
    <t>Jazmín Villar</t>
  </si>
  <si>
    <t>33-3955-3725</t>
  </si>
  <si>
    <t>Colina Imperial #2182 Colinas de Atemajac Gdl</t>
  </si>
  <si>
    <t>repite del año pasado</t>
  </si>
  <si>
    <t>Jaime Velázquez</t>
  </si>
  <si>
    <t>33-3482-0129</t>
  </si>
  <si>
    <t>Av Dr. José Simeón De Uria #754 Col Villa de los Belenes Zapopan</t>
  </si>
  <si>
    <t>Sala 3 p a r, coj, Sillas s a, Senc</t>
  </si>
  <si>
    <t>Roberto Cáceres / Alejandra</t>
  </si>
  <si>
    <t>81-1748-3695</t>
  </si>
  <si>
    <t>Av Acueducto #2405 Coto Las Garzas casa 15 Col. Real de San Javier Zaopan</t>
  </si>
  <si>
    <t>Alfombra Eco</t>
  </si>
  <si>
    <t>No se manda es casa de airbb, era huésped</t>
  </si>
  <si>
    <t>Av Dr. José Simeón De Uria #730 Col Villa de los Belenes Zapopan</t>
  </si>
  <si>
    <t>Int coche peq tela Senc</t>
  </si>
  <si>
    <t>130/22</t>
  </si>
  <si>
    <t>131/22</t>
  </si>
  <si>
    <t>132/22</t>
  </si>
  <si>
    <t>133/22</t>
  </si>
  <si>
    <t>134/22</t>
  </si>
  <si>
    <t>135/22</t>
  </si>
  <si>
    <t>136/22</t>
  </si>
  <si>
    <t>137/22</t>
  </si>
  <si>
    <t>138/22</t>
  </si>
  <si>
    <t>139/22</t>
  </si>
  <si>
    <t>140/22</t>
  </si>
  <si>
    <t>141/22</t>
  </si>
  <si>
    <t>Esmeralda Pulido</t>
  </si>
  <si>
    <t xml:space="preserve">33-2386-1710 </t>
  </si>
  <si>
    <t>Mision del Bosque #310 int 12 Coto Ileana Col Mision del Bosque Zapopan</t>
  </si>
  <si>
    <t>Sala 5 p t f, Senc PURT</t>
  </si>
  <si>
    <t>María Franco / Los Chilaquiles</t>
  </si>
  <si>
    <t>33-2044-7084</t>
  </si>
  <si>
    <t>Suc Patria</t>
  </si>
  <si>
    <t>Alfombra, Tapete Sint Eco</t>
  </si>
  <si>
    <t>Marcela Salcado</t>
  </si>
  <si>
    <t>33-1653-1481</t>
  </si>
  <si>
    <t>Paseo Lomas del Bosque #4389 Int 9 Cond El Prado Col. Atlas Colomos Zapopan</t>
  </si>
  <si>
    <t>4 tapetes de lana Prem, Extracc</t>
  </si>
  <si>
    <t>Ivonee Guerra</t>
  </si>
  <si>
    <t>33-1576-1747</t>
  </si>
  <si>
    <t>Av La Giralda #2653 Int 203 Res Victoria Zapopan</t>
  </si>
  <si>
    <t>Sala 6 p t f Prot Coj Senc Sillas a y r Prot</t>
  </si>
  <si>
    <t>Mari Carmen Santana</t>
  </si>
  <si>
    <t>33-1409-3400</t>
  </si>
  <si>
    <t>Nicolás Copérnico #3851 Col. Arboledas Zapopan</t>
  </si>
  <si>
    <t>Colchón Mat, Almohadas Prem</t>
  </si>
  <si>
    <t>Táctica / Fernando Torres</t>
  </si>
  <si>
    <t>33-1962-7796</t>
  </si>
  <si>
    <t>Av Royal Country #4650 Piso 16 Zapopan</t>
  </si>
  <si>
    <t>2 Sala 1 p t f, Piel, 4 Sala 1 p t f, senc</t>
  </si>
  <si>
    <t>Se manda WA, el olor no se quitó pide regresar a poner PURT</t>
  </si>
  <si>
    <t>Karla Ivonne Valle</t>
  </si>
  <si>
    <t>22-9278-0082</t>
  </si>
  <si>
    <t>Salvador López Chávez #1750 Int 308-D Col San Carlos Gdl</t>
  </si>
  <si>
    <t>Sala 3 p t f Eco</t>
  </si>
  <si>
    <t>Alma Soto</t>
  </si>
  <si>
    <t>33-2996-8485</t>
  </si>
  <si>
    <t>Calle Navío #4949 Int 207 Coto Habitat La Calma Zapopan</t>
  </si>
  <si>
    <t>Sala 5 p t f, Prem Futón Senc, Sillas a y r Senc</t>
  </si>
  <si>
    <t>Rubén Rosales</t>
  </si>
  <si>
    <t>Sala 6 p t r, Sala 3 p a r, Silla s a, silla a y r Senc</t>
  </si>
  <si>
    <t>Claudia Corona / José Antonio Lasa</t>
  </si>
  <si>
    <t>33-1337-3110</t>
  </si>
  <si>
    <t>Casiopea #3387 Col La Calma Zapopan</t>
  </si>
  <si>
    <t>Face</t>
  </si>
  <si>
    <t>Sala 10 p t r protex, Sillas a y r senc ( promo)</t>
  </si>
  <si>
    <t>Sergio Chávez</t>
  </si>
  <si>
    <t>31-2118-5013</t>
  </si>
  <si>
    <t>Camino Real a Colima #5150 Col. Balcones de Sta Ma depto 508 Gdl</t>
  </si>
  <si>
    <t>142/22</t>
  </si>
  <si>
    <t>Casino Caliente</t>
  </si>
  <si>
    <t>Raúl lo checa</t>
  </si>
  <si>
    <t>Karem Ruiz</t>
  </si>
  <si>
    <t>Sala 5 p t r Senc, Colchón King, Mat Healty, PURT, Sillas Senc (promo) Cama perro Senc</t>
  </si>
  <si>
    <t>33-3485-4734</t>
  </si>
  <si>
    <t>Paseo de la colina Nte #94-A Col. Lomas de Sta Anita Tlajo</t>
  </si>
  <si>
    <t>Ok</t>
  </si>
  <si>
    <t>Sala 4 p t f, sala 5 p t f, Tapete sint, Coj Prot Lavado de piso</t>
  </si>
  <si>
    <t>143/22</t>
  </si>
  <si>
    <t>Alejandra Rosales</t>
  </si>
  <si>
    <t>33-3175-1795</t>
  </si>
  <si>
    <t>Camichines #4 Rincón Garza Coto Naranjos Int 74 Zapopan</t>
  </si>
  <si>
    <t>Sala 5 p r r Eco, Sillas a y r (promo) senc</t>
  </si>
  <si>
    <t>Se manda WA, quedaron muy contentas</t>
  </si>
  <si>
    <t>Se manda WA les gustó mucho</t>
  </si>
  <si>
    <t>144/22</t>
  </si>
  <si>
    <t>145/22</t>
  </si>
  <si>
    <t>146/22</t>
  </si>
  <si>
    <t>147/22</t>
  </si>
  <si>
    <t>148/22</t>
  </si>
  <si>
    <t>149/22</t>
  </si>
  <si>
    <t>Yadira Magaña Cerino</t>
  </si>
  <si>
    <t>99-3206-1572</t>
  </si>
  <si>
    <t>Servicdor Púb Edif Real View Depto W 206 Zapopan</t>
  </si>
  <si>
    <t>Sala 4 p t f Prot</t>
  </si>
  <si>
    <t>Se mnada WA, no contesta</t>
  </si>
  <si>
    <t>Karina Salazar / Carlos</t>
  </si>
  <si>
    <t>34-1411-7628</t>
  </si>
  <si>
    <t>Federación #725 Col. La Perla Gdl</t>
  </si>
  <si>
    <t>Angeles Vargas</t>
  </si>
  <si>
    <t>98-8389-0515</t>
  </si>
  <si>
    <t>Av del Tule #480 Coto Del Cerezo Int 60-A Zapopan</t>
  </si>
  <si>
    <t>Axel Avila</t>
  </si>
  <si>
    <t>Sala 2 p t f, Tapete sint Prot PURT</t>
  </si>
  <si>
    <t>Se manda WA, sigue oliendo, lo va a checar</t>
  </si>
  <si>
    <t>Socorro González</t>
  </si>
  <si>
    <t>33-3629-2486</t>
  </si>
  <si>
    <t>Bethoven # 5215 La Estancia Zapopan</t>
  </si>
  <si>
    <t>Colchon Ind, Mat senc</t>
  </si>
  <si>
    <t>Evila Quintana</t>
  </si>
  <si>
    <t>33-4048-5562</t>
  </si>
  <si>
    <t>Río Blanco #1590 Int 171 Coto Los Patos Zapopan</t>
  </si>
  <si>
    <t>Sala 4 p t f  Prot PURT</t>
  </si>
  <si>
    <t>150/22</t>
  </si>
  <si>
    <t>151/22</t>
  </si>
  <si>
    <t>152/22</t>
  </si>
  <si>
    <t>153/22</t>
  </si>
  <si>
    <t>154/22</t>
  </si>
  <si>
    <t>155/22</t>
  </si>
  <si>
    <t>156/22</t>
  </si>
  <si>
    <t>157/22</t>
  </si>
  <si>
    <t>Alejandro Isaac Alcalá</t>
  </si>
  <si>
    <t>33-3137-5965</t>
  </si>
  <si>
    <t>Playa Chemela #5258 Int 7 Zapopan</t>
  </si>
  <si>
    <t>Sala 6 p t f, prem, sillas a y r, banca senc (promo)</t>
  </si>
  <si>
    <t>Riocío Zepeda</t>
  </si>
  <si>
    <t>33-3950-9403</t>
  </si>
  <si>
    <t>Puerta Plata casa Luna 14 Zapopan</t>
  </si>
  <si>
    <t>Sala 6 p a r, banca, sillas a y r Senc</t>
  </si>
  <si>
    <t>Se manda WA, Excelente trabajo</t>
  </si>
  <si>
    <t>Martín González Hermosillo</t>
  </si>
  <si>
    <t>33-1249-1497</t>
  </si>
  <si>
    <t>Circ del Prado #2001 Int Páramo # 9 Col. Brisas de Chapala, Tlaq</t>
  </si>
  <si>
    <t>Sala 5 t f, Eco</t>
  </si>
  <si>
    <t>Yedith Castillo</t>
  </si>
  <si>
    <t>33-1402-0216</t>
  </si>
  <si>
    <t>Leona Vicario #2309 Col. La Haciendita Zapopan</t>
  </si>
  <si>
    <t>Sala 4 p t f Eco</t>
  </si>
  <si>
    <t>Se manda WA, quedaron manchas</t>
  </si>
  <si>
    <t>Arturo Ramírez</t>
  </si>
  <si>
    <t>33-3143-5923</t>
  </si>
  <si>
    <t>El Origen Casa 182 Tlaj</t>
  </si>
  <si>
    <t>Tapete sint Senc</t>
  </si>
  <si>
    <t xml:space="preserve">Tapete Sint Eco   </t>
  </si>
  <si>
    <t>Se manda WA todo muy bien</t>
  </si>
  <si>
    <t>Labz / Edith de Alba</t>
  </si>
  <si>
    <t>33-2254-5567</t>
  </si>
  <si>
    <t>Av San Miguel #308 Bodega 27 Col. San Juan Ocotán Zapopan</t>
  </si>
  <si>
    <t>Sillas de of, 3 salas 2 p t f, Alfombra, sillas de of de piel</t>
  </si>
  <si>
    <t>158/22</t>
  </si>
  <si>
    <t>159/22</t>
  </si>
  <si>
    <t>160/22</t>
  </si>
  <si>
    <t>161/22</t>
  </si>
  <si>
    <t>Pau Michelle / Ingrid Coronado</t>
  </si>
  <si>
    <t>33-1863-3538</t>
  </si>
  <si>
    <t>Calle Acero #225 Int 96 Pta Asis Zapopan</t>
  </si>
  <si>
    <t>Sala 5 p r r Senc</t>
  </si>
  <si>
    <t>Se manda WA, parece que todo bien</t>
  </si>
  <si>
    <t>Emiliano González</t>
  </si>
  <si>
    <t>Av Elementia #117 Int 159 Col. Cortijo de Sn Agustín Coto Argo Tlaj</t>
  </si>
  <si>
    <t>33-1850-9836</t>
  </si>
  <si>
    <t>Sala 5 p t r, Sala 1 p t f, Colchón KS, Sillas a y r Senc</t>
  </si>
  <si>
    <t>Sillas a y r, Sala 1 p t f Senc</t>
  </si>
  <si>
    <t>Estela Rentería</t>
  </si>
  <si>
    <t>33-3453-3093</t>
  </si>
  <si>
    <t>Calle del Mar #29 Coto Del Mar Col Tierra Res Zapopan</t>
  </si>
  <si>
    <t>Sala 6 p r r, Prem</t>
  </si>
  <si>
    <t>Cesar Eduardo Rodriguez Muñoz</t>
  </si>
  <si>
    <t>55-1825-9294</t>
  </si>
  <si>
    <t>Tres lagos Life Style Torre 5 Depto 706 Zapopan</t>
  </si>
  <si>
    <t>Colchón KS, Prem</t>
  </si>
  <si>
    <t>162/22</t>
  </si>
  <si>
    <t>172/22</t>
  </si>
  <si>
    <t>Israel Chávez</t>
  </si>
  <si>
    <t>33-3955-5779</t>
  </si>
  <si>
    <t>Miguel Hidalgo #1990 Int 502 Col Ladrón de Guevara Gdl</t>
  </si>
  <si>
    <t>Se manda WA, perfectamente</t>
  </si>
  <si>
    <t>Se manda WA, le gustó mucho, repetira</t>
  </si>
  <si>
    <t>163/22</t>
  </si>
  <si>
    <t>164/22</t>
  </si>
  <si>
    <t>165/22</t>
  </si>
  <si>
    <t>166/22</t>
  </si>
  <si>
    <t>167/22</t>
  </si>
  <si>
    <t>168/22</t>
  </si>
  <si>
    <t>169/22</t>
  </si>
  <si>
    <t>170/22</t>
  </si>
  <si>
    <t>171/22</t>
  </si>
  <si>
    <t>Dalia Lucía Soto Rmz</t>
  </si>
  <si>
    <t>33-3495-0179</t>
  </si>
  <si>
    <t>Celia Pacheco #3842 Col. Heliodoro Hdz Loza Gdl</t>
  </si>
  <si>
    <t>Banregio</t>
  </si>
  <si>
    <t>Suc Vallarta</t>
  </si>
  <si>
    <t>Sillas a y r Prem</t>
  </si>
  <si>
    <t>Ingrid Coronado</t>
  </si>
  <si>
    <t>Calle Acero #225 Int 96 Pta Asís Zapopan</t>
  </si>
  <si>
    <t>Sala 6 p t f, Eco PURT</t>
  </si>
  <si>
    <t>Se manda WA Todo excelente</t>
  </si>
  <si>
    <t>Se manda WA; olía limón super delicioso y sin manchas</t>
  </si>
  <si>
    <t>julieta Martínez</t>
  </si>
  <si>
    <t>33-2255-0922</t>
  </si>
  <si>
    <t>Rinconada del Olmo #2561 Col. Rinconada de los Fresnos Zapopan</t>
  </si>
  <si>
    <t>Sala 2 p t f, Sala 1 p t f, Senc PURT</t>
  </si>
  <si>
    <t>Verónica Ramírez</t>
  </si>
  <si>
    <t>33-1155-0540</t>
  </si>
  <si>
    <t>Quintas del bosque #485 Int 55 Fracc Quintas del Bosque Zapopan</t>
  </si>
  <si>
    <t>33-1746-7513</t>
  </si>
  <si>
    <t>Abrantes #876 Fracc Autocinema Gdl</t>
  </si>
  <si>
    <t>Colchón Mat, Sillas a y r Senc</t>
  </si>
  <si>
    <t>Ma Gpe Aguiar Jiménez</t>
  </si>
  <si>
    <t>Domenico Giovimazzo</t>
  </si>
  <si>
    <t>33-3170-1583</t>
  </si>
  <si>
    <t>Lomas de Líbano #2169 Col. Lomas de Atemajac Zapopan</t>
  </si>
  <si>
    <t>Sala 7 p f Senc</t>
  </si>
  <si>
    <t>Gabriela Ibarra</t>
  </si>
  <si>
    <t>33-2388-8311</t>
  </si>
  <si>
    <t>Av del Reno Pte Villa 10 San Pablo Casa 11 Zapopan</t>
  </si>
  <si>
    <t>Tapete de lana, Sillas de comedor Senc</t>
  </si>
  <si>
    <t>Se manda WA, puntuales, amables, satisfecha</t>
  </si>
  <si>
    <t>Sara Angélica Pérez Aguilar</t>
  </si>
  <si>
    <t>33-3904-8721</t>
  </si>
  <si>
    <t>Xalle Jalisco #1222 Int 49 Coto Granada Col Altus Zapopan</t>
  </si>
  <si>
    <t>Sala 6 p r r Eco</t>
  </si>
  <si>
    <t>Lizeth Jiménez</t>
  </si>
  <si>
    <t>31-7385-1889</t>
  </si>
  <si>
    <t>Priv Araucarias #214 Int 11 Col. Camichines Tlaq</t>
  </si>
  <si>
    <t>Sala 6 p t f Senc PURT</t>
  </si>
  <si>
    <t>Se manda WA, muy satisfecha</t>
  </si>
  <si>
    <t>173/22</t>
  </si>
  <si>
    <t>174/22</t>
  </si>
  <si>
    <t>175/22</t>
  </si>
  <si>
    <t>176/22</t>
  </si>
  <si>
    <t>177/22</t>
  </si>
  <si>
    <t>178/22</t>
  </si>
  <si>
    <t>179/22</t>
  </si>
  <si>
    <t>180/22</t>
  </si>
  <si>
    <t>181/22</t>
  </si>
  <si>
    <t>182/22</t>
  </si>
  <si>
    <t>183/22</t>
  </si>
  <si>
    <t>184/22</t>
  </si>
  <si>
    <t>185/22</t>
  </si>
  <si>
    <t>186/22</t>
  </si>
  <si>
    <t>Universidad Lamar / Juan Rodriguez</t>
  </si>
  <si>
    <t>33-1863-7339</t>
  </si>
  <si>
    <t>Campus Vallarta</t>
  </si>
  <si>
    <t>Silla secre, silla ejec, Sala 1 p t f, Senc</t>
  </si>
  <si>
    <t>Lumara González Aréchiga</t>
  </si>
  <si>
    <t>33-1096-5994</t>
  </si>
  <si>
    <t>José Ma. Heredia #2411 Int 9 Col. Lomas de Guevara Zapopan</t>
  </si>
  <si>
    <t>Sala 5 p r r, Senc</t>
  </si>
  <si>
    <t>Muy buen servicio</t>
  </si>
  <si>
    <t>Se manda WA, todo súper bien</t>
  </si>
  <si>
    <t>Noemí Lizeth Vargas Rodriguez</t>
  </si>
  <si>
    <t>33-2688-6395</t>
  </si>
  <si>
    <t>Av López Mateos Sur #1917 Col. Chapalita Gdl</t>
  </si>
  <si>
    <t>2 tapetes sint Healty</t>
  </si>
  <si>
    <t>Diana Padilla</t>
  </si>
  <si>
    <t>64-2158-1190</t>
  </si>
  <si>
    <t>Juan Palomar y Arias #60 Torre Sonia Depto 506 Gdl</t>
  </si>
  <si>
    <t>Sala 5 p r r, 2 tapetes sint Senc</t>
  </si>
  <si>
    <t>Madre Ana Rosa García Padilla</t>
  </si>
  <si>
    <t>33-3831-9741</t>
  </si>
  <si>
    <t>Bernardo de Balbuena #240 Col. Ladrón de Guevara Zapopan</t>
  </si>
  <si>
    <t>2 tapetes sint Prot</t>
  </si>
  <si>
    <t>Sthefany Hernández</t>
  </si>
  <si>
    <t>95-1237-9204</t>
  </si>
  <si>
    <t>Vista Primavera #1580 Fracc Las Terrazas Coto Faisan Int 11 Tlaq</t>
  </si>
  <si>
    <t>Interior de coche chico, tapete sint, Senc, PURT</t>
  </si>
  <si>
    <t>Nora Alicia Gómez</t>
  </si>
  <si>
    <t>33-1804-7140</t>
  </si>
  <si>
    <t>Paseo de los lagos #159 Col Las Cañadas Zapopan</t>
  </si>
  <si>
    <t>Sala 6 p r r, Sillas s a, bancos Senc</t>
  </si>
  <si>
    <t>Ayari Anaya</t>
  </si>
  <si>
    <t>33-3200-3849</t>
  </si>
  <si>
    <t>Rudyard Kipling #4839 Col. Jardines de la patria Zapopan</t>
  </si>
  <si>
    <t>Sala 5 p t f, Prot, 2 tapetes sint, Senc</t>
  </si>
  <si>
    <t>33-1599-0913</t>
  </si>
  <si>
    <t>Sala 5 p t r, Prot, PURT</t>
  </si>
  <si>
    <t>Rosario Ríos</t>
  </si>
  <si>
    <t>33-3473-9132</t>
  </si>
  <si>
    <t>MiraSierra #94 Int 29 Col. Río Blanco Zapopan</t>
  </si>
  <si>
    <t>Colchón Mat Prot, Sala 1 p t f Senc</t>
  </si>
  <si>
    <t>Tipo de Repetición</t>
  </si>
  <si>
    <t>Entrada</t>
  </si>
  <si>
    <t>Salida</t>
  </si>
  <si>
    <t>Slal 11 p r r Senc</t>
  </si>
  <si>
    <t>Hilda Salcido</t>
  </si>
  <si>
    <t>33-1228-8814</t>
  </si>
  <si>
    <t>Isla Cozumel #3185 Col. Jardines del Sur Zapopan</t>
  </si>
  <si>
    <t>Sala 6 p t r, coj, senc, Sillas s a, coj Prot Sala 1 p t r teflón</t>
  </si>
  <si>
    <t>Javier Hernández</t>
  </si>
  <si>
    <t>Ramón López Velarde #72 Col San Antonio Gdl</t>
  </si>
  <si>
    <t>Sala 2 p t f, Sala 2 p a r, Sala 1 p t f, Senc, sillas a y r Prot</t>
  </si>
  <si>
    <t>Sala 11 p r r Senc</t>
  </si>
  <si>
    <t>187/22</t>
  </si>
  <si>
    <t>César Ramírez / José Ma. Verduzco</t>
  </si>
  <si>
    <t>33-1409-7607</t>
  </si>
  <si>
    <t>Calle Jacaranda #60 Puerta de Hierro Zapopan</t>
  </si>
  <si>
    <t>Alfombra Prem</t>
  </si>
  <si>
    <t>Sillas de of, 3 salas 2 p t f, Alfombra, Senc sillas de of de piel</t>
  </si>
  <si>
    <t>Se manda WA, quedo mancahdo el sillon</t>
  </si>
  <si>
    <t xml:space="preserve">Sala 11 p </t>
  </si>
  <si>
    <t xml:space="preserve">Sala </t>
  </si>
  <si>
    <t>188/22</t>
  </si>
  <si>
    <t>189/22</t>
  </si>
  <si>
    <t>190/22</t>
  </si>
  <si>
    <t>191/22</t>
  </si>
  <si>
    <t>192/22</t>
  </si>
  <si>
    <t>193/22</t>
  </si>
  <si>
    <t>194/22</t>
  </si>
  <si>
    <t>195/22</t>
  </si>
  <si>
    <t>196/22</t>
  </si>
  <si>
    <t>197/22</t>
  </si>
  <si>
    <t>198/22</t>
  </si>
  <si>
    <t>199/22</t>
  </si>
  <si>
    <t>200/22</t>
  </si>
  <si>
    <t>201/22</t>
  </si>
  <si>
    <t>202/22</t>
  </si>
  <si>
    <t>203/22</t>
  </si>
  <si>
    <t>Samantha Rodríguez</t>
  </si>
  <si>
    <t>33-3800-7899</t>
  </si>
  <si>
    <t>La Bella Res #100 Casa 56 Calle Inspiración Tlaj</t>
  </si>
  <si>
    <t>Colchón KS Eco PURT</t>
  </si>
  <si>
    <t xml:space="preserve">Repite de año pasado </t>
  </si>
  <si>
    <t>Se manda WA, nos avisa cuando llegue el duño</t>
  </si>
  <si>
    <t>204/22</t>
  </si>
  <si>
    <t>205/22</t>
  </si>
  <si>
    <t>Martín Arballe Luján</t>
  </si>
  <si>
    <t>33-3339-5138</t>
  </si>
  <si>
    <t>Av Gpe #6111 - 4 A Zapopan</t>
  </si>
  <si>
    <t>4 tapetes sint Eco</t>
  </si>
  <si>
    <t>Carmen Arroyo</t>
  </si>
  <si>
    <t>43-6108-4128</t>
  </si>
  <si>
    <t>Rinconada de Bugambilias #3581 Int 3 A Col Sta Rita Zapopan</t>
  </si>
  <si>
    <t>Alfombra, Sala 3 p a r, Sillas a y r (promo) Senc</t>
  </si>
  <si>
    <t>Lucy Llanos</t>
  </si>
  <si>
    <t>33-3199-7435</t>
  </si>
  <si>
    <t>Mar Egeo #1442 Int 403 P4 Col. Contry Club Zapopan</t>
  </si>
  <si>
    <t>Sala 5 p t f Torre de gatos Prot</t>
  </si>
  <si>
    <t>Se manda WA, no se quitaron unas manchas de abajo del tapete</t>
  </si>
  <si>
    <t>Se manda WA, quedó excelente</t>
  </si>
  <si>
    <t>Sala 7 p t r, sala 1 p a r Senc</t>
  </si>
  <si>
    <t>Azuzena Carrillo Ochoa</t>
  </si>
  <si>
    <t>33-2254-0721</t>
  </si>
  <si>
    <t>Paseo de la estrella #3652 casa 10 Col. Parques Vallarta Zapopan</t>
  </si>
  <si>
    <t>No se llama, habla para reclamar MUY MAL</t>
  </si>
  <si>
    <t>Julia Rodriguez</t>
  </si>
  <si>
    <t>33-1545-4700</t>
  </si>
  <si>
    <t>Av de la Huerta #290-121 Coto Victoria Zapopan</t>
  </si>
  <si>
    <t>Andrés Padilla</t>
  </si>
  <si>
    <t>33-1914-5062</t>
  </si>
  <si>
    <t>Tornamantos #668 Fracc La rioja Tlaj</t>
  </si>
  <si>
    <t>Sala 7 p t r, Colchones KS, Mat, Sala 3 p t r, Sala 1 p t f, Senc PURT</t>
  </si>
  <si>
    <t>Nathalie Jiménez</t>
  </si>
  <si>
    <t>33-1457-8457</t>
  </si>
  <si>
    <t>Volcán de San Fco #95 casa 8 Col Huentitán Zapopan</t>
  </si>
  <si>
    <t>Repitte del año pasado</t>
  </si>
  <si>
    <t>206/22</t>
  </si>
  <si>
    <t>207/22</t>
  </si>
  <si>
    <t>208/22</t>
  </si>
  <si>
    <t>209/22</t>
  </si>
  <si>
    <t>Alejandro Bricio / Carlos y Esperanza</t>
  </si>
  <si>
    <t>33-3137-9878</t>
  </si>
  <si>
    <t>Calle Cernícano #362 Col Morelos Gdl</t>
  </si>
  <si>
    <t>Colchón KS Eco</t>
  </si>
  <si>
    <t>Jessica Marcelli</t>
  </si>
  <si>
    <t>33-1416-1165</t>
  </si>
  <si>
    <t>Fray Juan de Zumárraga #710 Col. Chapalita Zapopan</t>
  </si>
  <si>
    <t>Sala 5 p t f Senc PURT</t>
  </si>
  <si>
    <t>Alfonso Miranda</t>
  </si>
  <si>
    <t>33-1893-4308</t>
  </si>
  <si>
    <t>Av Agrícola #3237 Int 78 Col Parques del Bosque Tlaj</t>
  </si>
  <si>
    <t>Sala 6 p t f, Eco Sillas a y r Prot</t>
  </si>
  <si>
    <t>Luis Olavarrieta</t>
  </si>
  <si>
    <t>33-3809-4245</t>
  </si>
  <si>
    <t>Blvd Pte de Hierro #5225 Torre Maple Depto 602 P 6 Zapopan</t>
  </si>
  <si>
    <t>Sala 10 p t r, coj, Sala 8 p t r, coj, Tapete sint, Prot, Sillas a y r Senc</t>
  </si>
  <si>
    <t>Barcelona #2478 Col Sta Mónica Zapopan</t>
  </si>
  <si>
    <t>Sala 2 p t f, Colchón Ind, Sala 5 p t f, Eco</t>
  </si>
  <si>
    <t>Claudia Valencia</t>
  </si>
  <si>
    <t>33-2184-9572</t>
  </si>
  <si>
    <t>Ecónomos #6916 Depto 1303 Torre A Col Rinc del Parque Zapopan</t>
  </si>
  <si>
    <t>Sala 3 p t r, Cabecera, Sala 1 p t f, tab, Tapete sint, Coj, Senc</t>
  </si>
  <si>
    <t>Se manda WA, super bien, y muy satisfecho</t>
  </si>
  <si>
    <t>Francisco Aguirre Rdz</t>
  </si>
  <si>
    <t>33-1320-1605</t>
  </si>
  <si>
    <t>Pto Ensenada #825 Col. Circunvalación Belizario Gdl</t>
  </si>
  <si>
    <t>Sala 10 p a r, Sillas a y r, Senc</t>
  </si>
  <si>
    <t>Negocios DPC / D´Paul / Dulce Gaspar</t>
  </si>
  <si>
    <t>33-1568-3445</t>
  </si>
  <si>
    <t>Av Niño Obrero #870 Col. Cd de los Niños, Zapopan</t>
  </si>
  <si>
    <t>Mamparas, Sala 2 p a r, Eco</t>
  </si>
  <si>
    <t>Hospital MIT / Andrea Padrón</t>
  </si>
  <si>
    <t>33-1338-1017</t>
  </si>
  <si>
    <t>Juan Gil Preciado #8920 Col Parques de Tesistán Zapopan</t>
  </si>
  <si>
    <t>Sala 4 p t r, 8 Sala 1 p a r, Sala 7 p t r, reposet, sala 6 p t r Senc</t>
  </si>
  <si>
    <t>Les encantó, repetirán</t>
  </si>
  <si>
    <t>Se manda WA, todo muy bien y excelente servicio</t>
  </si>
  <si>
    <t>Se manda WA, muy bien, esperan repetir</t>
  </si>
  <si>
    <t>210/22</t>
  </si>
  <si>
    <t>211/22</t>
  </si>
  <si>
    <t>212/22</t>
  </si>
  <si>
    <t>213/22</t>
  </si>
  <si>
    <t>33-1111-9192</t>
  </si>
  <si>
    <t>Mar Tirreno #2136 Int 111 Col Country Club Zapopan</t>
  </si>
  <si>
    <t>2 tapetes de lana, Eco 4 PURT</t>
  </si>
  <si>
    <t>Carlos Castellanos/ Alejandra</t>
  </si>
  <si>
    <t>Brenda González</t>
  </si>
  <si>
    <t>33-2835-7288</t>
  </si>
  <si>
    <t>Oporto #869 Fracc Autocinema Zapopan</t>
  </si>
  <si>
    <t>Colchón KS, Mat, Sala 3 p t f, Senc</t>
  </si>
  <si>
    <t>Gisselle Carrillo Gama</t>
  </si>
  <si>
    <t>34-1419-5089</t>
  </si>
  <si>
    <t>Frida Khalo #27 Col Chaálita Inn, Zapopan</t>
  </si>
  <si>
    <t>2 tapetes sint Eco</t>
  </si>
  <si>
    <t>Se manda WA, repetirá</t>
  </si>
  <si>
    <t>Benjamín Barajas /Alta tecnología en concreto de Colima</t>
  </si>
  <si>
    <t>Int de camioneta, Int de Camión Eco</t>
  </si>
  <si>
    <t>Caliente</t>
  </si>
  <si>
    <t>Itzel Mendoza</t>
  </si>
  <si>
    <t>31-3148-7411</t>
  </si>
  <si>
    <t>Cale Fresnos #62 Fracc Amaranto, Zapopan</t>
  </si>
  <si>
    <t>Interior coche med Senc</t>
  </si>
  <si>
    <t>Daniel Estrada / Extravida</t>
  </si>
  <si>
    <t>2 colchones QS, Colchón KS, Senc, PURT</t>
  </si>
  <si>
    <t>Sala 4 p r r, tab, sillas a y r, tapete sint, sala 1 p t f, Prot</t>
  </si>
  <si>
    <t>Sala 4 p r r, tab, sillas a y r, tapete sint, sala 1 p t f, prot</t>
  </si>
  <si>
    <t>Se manda WA, repite</t>
  </si>
  <si>
    <t>214/22</t>
  </si>
  <si>
    <t>215/22</t>
  </si>
  <si>
    <t>216/22</t>
  </si>
  <si>
    <t>33-2244-6274</t>
  </si>
  <si>
    <t>Paseo de los fresnos #50 Col. Pinar de la venta Zapopan</t>
  </si>
  <si>
    <t>Colchon KS, 2 Colchon QS, Senc PURT</t>
  </si>
  <si>
    <t>Isabel González / Fundación Rafael Dondé</t>
  </si>
  <si>
    <t>99-9133-6841</t>
  </si>
  <si>
    <t>Monte Olimpo #84 Col. Independencia Ote, Gdl</t>
  </si>
  <si>
    <t>Interior de auto med, Eco</t>
  </si>
  <si>
    <t>Int de cohe med Eco</t>
  </si>
  <si>
    <t>Adriana Madrigal Valencia</t>
  </si>
  <si>
    <t>33-1876-4039</t>
  </si>
  <si>
    <t>Pta de Hierro Coto Cataluña, Sendero de los abedules #106 Zapopan</t>
  </si>
  <si>
    <t>Sillas ayr, Tapete de lana, Sala 3 p t r, Senc PURT</t>
  </si>
  <si>
    <t>Sillas a y r, Tapete de lana, Sala 3 p t r, Senc PURT</t>
  </si>
  <si>
    <t>217/22</t>
  </si>
  <si>
    <t>2 Tapete lana Eco</t>
  </si>
  <si>
    <t xml:space="preserve">2 tapetes de lana, Eco  </t>
  </si>
  <si>
    <t>Poulete Cruz</t>
  </si>
  <si>
    <t>Tapete sint, Prem</t>
  </si>
  <si>
    <t>Se manda WA, les encantó</t>
  </si>
  <si>
    <t>218/22</t>
  </si>
  <si>
    <t>219/22</t>
  </si>
  <si>
    <t>220/22</t>
  </si>
  <si>
    <t>221/22</t>
  </si>
  <si>
    <t>222/22</t>
  </si>
  <si>
    <t>223/22</t>
  </si>
  <si>
    <t>224/22</t>
  </si>
  <si>
    <t>225/22</t>
  </si>
  <si>
    <t>226/22</t>
  </si>
  <si>
    <t>227/22</t>
  </si>
  <si>
    <t>228/22</t>
  </si>
  <si>
    <t>229/22</t>
  </si>
  <si>
    <t>230/22</t>
  </si>
  <si>
    <t>55-2658-3880</t>
  </si>
  <si>
    <t>Cima Park Torre 300 Depto 6 G Zapopan</t>
  </si>
  <si>
    <t>Tapete sint Prem</t>
  </si>
  <si>
    <t>Tania Saucedo</t>
  </si>
  <si>
    <t>33-3385-0481</t>
  </si>
  <si>
    <t>Av Valle de México #3384 Col Jardines del Valle Gdl</t>
  </si>
  <si>
    <t>Sala 3 p t r, Tab Prem, Sillas a y r Banca Prot</t>
  </si>
  <si>
    <t>Francisco Javier Reyes León</t>
  </si>
  <si>
    <t>33-2666-1186</t>
  </si>
  <si>
    <t>Av Atemajac #1115 int 8 Col Sn Luis Zapopan</t>
  </si>
  <si>
    <t>Sala 3 p t f Piel</t>
  </si>
  <si>
    <t>Paola Contreras</t>
  </si>
  <si>
    <t>33-3170-3577</t>
  </si>
  <si>
    <t>Clz Sn Juan # 1343 Int 1 Col Granja Zapopan</t>
  </si>
  <si>
    <t>colchón Mat Healty</t>
  </si>
  <si>
    <t>Javier Frias</t>
  </si>
  <si>
    <t>33-3230-2860</t>
  </si>
  <si>
    <t>Garibaldi #2634 Torre Garibaldi Perse Int 406 Col Circunvalación Vallarta Zapopan</t>
  </si>
  <si>
    <t>Colchón QS Eco</t>
  </si>
  <si>
    <t>Glafira Berber</t>
  </si>
  <si>
    <t>33-3808-2608</t>
  </si>
  <si>
    <t>Alfombra, Senc</t>
  </si>
  <si>
    <t>Se manda WA, les encantó repetira</t>
  </si>
  <si>
    <t>Se manda WA, muy satisfactorio, agenda para agosto</t>
  </si>
  <si>
    <t>Se manda WA, muy bien y muy satisfecha</t>
  </si>
  <si>
    <t>Int coche peq, med, Senc, Colchon KS, Piecera Prem</t>
  </si>
  <si>
    <t>Viridiana Castellanos</t>
  </si>
  <si>
    <t>33-1553-7699</t>
  </si>
  <si>
    <t>Armadura Oriente #158 Coto 11 Col. Jardín Real Zapopan</t>
  </si>
  <si>
    <t xml:space="preserve">Sala 5 p t f, Sillas A y r, Prot, Sala 2 p t f Piel, Tab, 2 Tapetes Sint Senc </t>
  </si>
  <si>
    <t>Elias Saad</t>
  </si>
  <si>
    <t>64-6138-2125</t>
  </si>
  <si>
    <t>Av del Servidor Púb #1425 Depto 303 Edif Plenitud Valle Real Zapopan</t>
  </si>
  <si>
    <t>Sala 4 p r r, Eco, PURT</t>
  </si>
  <si>
    <t>Jessica Vargas</t>
  </si>
  <si>
    <t>33-1006-9492</t>
  </si>
  <si>
    <t>Durero #5075 Col. Real Vallarta Zapopan</t>
  </si>
  <si>
    <t>Tapete sint Eco</t>
  </si>
  <si>
    <t>Volcán Antuco #223 Col. Huentitán El Bajo Zapopan</t>
  </si>
  <si>
    <t>Int coche chico Eco, Colchones KS, Mat Senc</t>
  </si>
  <si>
    <t>Repite pero personal</t>
  </si>
  <si>
    <t>Joshua Trujillo</t>
  </si>
  <si>
    <t>33-2301-9304</t>
  </si>
  <si>
    <t>Pablo Neruda #3308 Int 9-B Col. Colinas de Sn Javier Zapopan</t>
  </si>
  <si>
    <t>Sala 5 p r r, Tapete sint, Silla s a Senc</t>
  </si>
  <si>
    <t>Blanca Palacios / Humberto Lafarga</t>
  </si>
  <si>
    <t>66-7336-3524</t>
  </si>
  <si>
    <t>Paseo Valle Real Torre Eleve Depto 5-A Zapopan</t>
  </si>
  <si>
    <t>Sala 6 p t r, Senc, PURT</t>
  </si>
  <si>
    <t>231/22</t>
  </si>
  <si>
    <t>232/22</t>
  </si>
  <si>
    <t>233/22</t>
  </si>
  <si>
    <t>234/22</t>
  </si>
  <si>
    <t>235/22</t>
  </si>
  <si>
    <t>236/22</t>
  </si>
  <si>
    <t>237/22</t>
  </si>
  <si>
    <t>238/22</t>
  </si>
  <si>
    <t>239/22</t>
  </si>
  <si>
    <t>240/22</t>
  </si>
  <si>
    <t>241/22</t>
  </si>
  <si>
    <t>242/22</t>
  </si>
  <si>
    <t>243/22</t>
  </si>
  <si>
    <t>244/22</t>
  </si>
  <si>
    <t>245/22</t>
  </si>
  <si>
    <t>246/22</t>
  </si>
  <si>
    <t>Sala 10 p t r, senc, Tab, Tapete sint Prot PURT</t>
  </si>
  <si>
    <t>247/22</t>
  </si>
  <si>
    <t>Janet Gonzaga</t>
  </si>
  <si>
    <t>33-2130-6980</t>
  </si>
  <si>
    <t>Manuel Hdez y Hdez #4990 Col Auditorio Zapopan</t>
  </si>
  <si>
    <t>Enrique Contreras</t>
  </si>
  <si>
    <t>64-4462-4868</t>
  </si>
  <si>
    <t>Paseo Solares #934 Coto 7 Casa 209 Zapopan</t>
  </si>
  <si>
    <t>Sala 6 p t f, Sala 4 p r r, Senc, PURT</t>
  </si>
  <si>
    <t>Isabel La Católica #225 Col. Vallarta Nte Gdl</t>
  </si>
  <si>
    <t>Inter coche med Senc</t>
  </si>
  <si>
    <t>Se manda WA, le gustó mucho, sin olor</t>
  </si>
  <si>
    <t>José Ma Chávez</t>
  </si>
  <si>
    <t>33-1468-0755</t>
  </si>
  <si>
    <t>Amado Nerva #520-A Int 2 Col Ladrón de Guevara Zapopan</t>
  </si>
  <si>
    <t>Colchón Ind, Mat, Senc</t>
  </si>
  <si>
    <t>Ma Inés Pérez</t>
  </si>
  <si>
    <t>33-1563-5727</t>
  </si>
  <si>
    <t>Volcán Cofre de Perote #1919 Col. El Colli Zapopan</t>
  </si>
  <si>
    <t>Se manda WA, le gustó mucho, repetirá</t>
  </si>
  <si>
    <t>Av La Mancha #293 casa 279 Col. La Cima Zapopan</t>
  </si>
  <si>
    <t>Verónica Pérez</t>
  </si>
  <si>
    <t>55-2510-8200</t>
  </si>
  <si>
    <t>Sala 6 p a r, sillas a y r Senc</t>
  </si>
  <si>
    <t>Sala 6 p a r, Colchón mat Senc PURT</t>
  </si>
  <si>
    <t>33-1291-5688</t>
  </si>
  <si>
    <t>Goya #223 Col. La estancia Zapopan</t>
  </si>
  <si>
    <t>Sala 7 p a r, Senc PURT</t>
  </si>
  <si>
    <t>Julio Cesar Avalos Soto</t>
  </si>
  <si>
    <t>55-8027-6547</t>
  </si>
  <si>
    <t>Isla Gpe #2915 Col. Villa Vicente Gro. Gdl</t>
  </si>
  <si>
    <t>Sala 6 p t f, colchon KS, 2 Ind, Mat Senc</t>
  </si>
  <si>
    <t>Le gustó mucho</t>
  </si>
  <si>
    <t>Daniela Pahola Razcón Razcón</t>
  </si>
  <si>
    <t>33-1440-1292</t>
  </si>
  <si>
    <t>Maestra Rural #7 Col. Chapalita Inn Zapopan</t>
  </si>
  <si>
    <t>Columba Sánchez</t>
  </si>
  <si>
    <t>33-3115-0366</t>
  </si>
  <si>
    <t>Las Cimas #119 Col. Prados Vallarta Zapopan</t>
  </si>
  <si>
    <t>Sala 5 p r r, Sala 1 p t f, Senc</t>
  </si>
  <si>
    <t>Diego Pérez Nafarrate</t>
  </si>
  <si>
    <t>Se manda WA, lo revisará</t>
  </si>
  <si>
    <t>Lizette Navarro</t>
  </si>
  <si>
    <t>33-1803-1043</t>
  </si>
  <si>
    <t>Isla San Juanito #2739 Col. Rinconada Bosques de la Victoria Gdl</t>
  </si>
  <si>
    <t>Colchón KS Senc PURT</t>
  </si>
  <si>
    <t>Paolo Yrizar</t>
  </si>
  <si>
    <t>44-2138-1122</t>
  </si>
  <si>
    <t>Puesta de Sol #4150 Depto 2124 Col Lomas Altas Zapopan</t>
  </si>
  <si>
    <t>José Eric Galván Benavides</t>
  </si>
  <si>
    <t>33-1615-3192</t>
  </si>
  <si>
    <t>Manuel González #536  Col La Palmita Zapopan</t>
  </si>
  <si>
    <t>Sala 6 p t f, Sala 6 p t f Senc</t>
  </si>
  <si>
    <t>Samantha Díaz</t>
  </si>
  <si>
    <t>64-6290-6356</t>
  </si>
  <si>
    <t>Helios #1138 Col El Mirador Zapopan</t>
  </si>
  <si>
    <t>Sala 2 p t f, Sala 4 p t f, Prem PURT</t>
  </si>
  <si>
    <t>Francisco Velázco</t>
  </si>
  <si>
    <t>33-2225-6740</t>
  </si>
  <si>
    <t>Cruz Verde #268 Int 6 Col Centro Gdl</t>
  </si>
  <si>
    <t>2 Colchón Mat Senc</t>
  </si>
  <si>
    <t>Suc Andares</t>
  </si>
  <si>
    <t>24 sillas de of, Sala 7 p t f, Tapete sint Prem</t>
  </si>
  <si>
    <t>248/22</t>
  </si>
  <si>
    <t>249/22</t>
  </si>
  <si>
    <t>250/22</t>
  </si>
  <si>
    <t>251/22</t>
  </si>
  <si>
    <t>252/22</t>
  </si>
  <si>
    <t>253/22</t>
  </si>
  <si>
    <t>254/22</t>
  </si>
  <si>
    <t>255/22</t>
  </si>
  <si>
    <t>256/22</t>
  </si>
  <si>
    <t>257/22</t>
  </si>
  <si>
    <t>258/22</t>
  </si>
  <si>
    <t>259/22</t>
  </si>
  <si>
    <t>260/22</t>
  </si>
  <si>
    <t>261/22</t>
  </si>
  <si>
    <t>262/22</t>
  </si>
  <si>
    <t>263/22</t>
  </si>
  <si>
    <t>264/22</t>
  </si>
  <si>
    <t>Erika Cuellar</t>
  </si>
  <si>
    <t>33-1047-7885</t>
  </si>
  <si>
    <t>Rayo #2656 Gdl</t>
  </si>
  <si>
    <t>Se manda WA, muy bien el servicio</t>
  </si>
  <si>
    <t>Se manda WA, se dejó a su entera satisfacción</t>
  </si>
  <si>
    <t>Se manda WA, no le pareció que fuera por un solo lado</t>
  </si>
  <si>
    <t>Tapete sint, Senc, Tapete Algodón Prem, PURT</t>
  </si>
  <si>
    <t>Se manda WA, parece que bien</t>
  </si>
  <si>
    <t>265/22</t>
  </si>
  <si>
    <t>266/22</t>
  </si>
  <si>
    <t>267/22</t>
  </si>
  <si>
    <t>268/22</t>
  </si>
  <si>
    <t>Araceli Arredondo Almeida</t>
  </si>
  <si>
    <t>33-1767-3941</t>
  </si>
  <si>
    <t>Calle Antigua #84 Fracc Misión Capistrano Zapopan</t>
  </si>
  <si>
    <t>Sala 6 p t f, Prot</t>
  </si>
  <si>
    <t>Mari Carmen García</t>
  </si>
  <si>
    <t>33-3968-1358</t>
  </si>
  <si>
    <t>Av Inglaterra #7645 casa 13 Mz 7 Fracc Rinc  del Bosque Zapopan</t>
  </si>
  <si>
    <t>Tab, Coj, Sofa cama Prot, PURT</t>
  </si>
  <si>
    <t>Av Río Blanco #1900 Fracc Residencial Argenta casa 137 Zapopan</t>
  </si>
  <si>
    <t>Sala 5 p t f, Sillas a y r, Reposet Eco</t>
  </si>
  <si>
    <t>Sala 8 p t r, Sala 3 p r r, Prot Cama perro senc</t>
  </si>
  <si>
    <t>Se manda WA, muy satisfactorio, se eliminó por completo el olor</t>
  </si>
  <si>
    <t>269/22</t>
  </si>
  <si>
    <t>270/22</t>
  </si>
  <si>
    <t>271/22</t>
  </si>
  <si>
    <t>272/22</t>
  </si>
  <si>
    <t>273/22</t>
  </si>
  <si>
    <t>274/22</t>
  </si>
  <si>
    <t>275/22</t>
  </si>
  <si>
    <t>276/22</t>
  </si>
  <si>
    <t>Rebeca Padilla De Ueda</t>
  </si>
  <si>
    <t>44-2561-4634</t>
  </si>
  <si>
    <t>El Greco #529 Int 7 Col Monraz Zapopan</t>
  </si>
  <si>
    <t>Sala 7 p t f, Prot</t>
  </si>
  <si>
    <t>El servicio excelente y la sala quedó muy bien</t>
  </si>
  <si>
    <t>Gloria Gutierrez Gómez</t>
  </si>
  <si>
    <t>33-3508-4821</t>
  </si>
  <si>
    <t>Paseo de los virreyes #4213 Col. Universitaria Zapopan</t>
  </si>
  <si>
    <t>Alfombra Senc, Purt</t>
  </si>
  <si>
    <t>Diana Galavíz</t>
  </si>
  <si>
    <t>33-3201-8788</t>
  </si>
  <si>
    <t>Villa Serena La Joya 1 prol Av Gpe #6980 Int 50 Zapopan</t>
  </si>
  <si>
    <t>Sala 5 p r r, Tapete Sint Prem</t>
  </si>
  <si>
    <t>Ma Eugenia Vélez</t>
  </si>
  <si>
    <t>33-1725-9968</t>
  </si>
  <si>
    <t>Periférico #1000 casa H-2 Puerta del Valle Zapopan</t>
  </si>
  <si>
    <t>Silvia Macias</t>
  </si>
  <si>
    <t>33-1462-9428</t>
  </si>
  <si>
    <t>Av del Bosque Real Coto Impero Maya # 19 casa 27 Valle Imperial, Zapopan</t>
  </si>
  <si>
    <t>Sala 6 p t r, asientos de camioneta Senc</t>
  </si>
  <si>
    <t>33-3389-2666</t>
  </si>
  <si>
    <t>La Cima Coto B Casa 85 Zapopan</t>
  </si>
  <si>
    <t>Sala 6 p t f, Senc PURT</t>
  </si>
  <si>
    <t>277/22</t>
  </si>
  <si>
    <t>278/22</t>
  </si>
  <si>
    <t>279/22</t>
  </si>
  <si>
    <t>Esteban Farrera</t>
  </si>
  <si>
    <t>96-1593-1961</t>
  </si>
  <si>
    <t>Aviación # 4412 Int 53 Coto Real II Zapopan</t>
  </si>
  <si>
    <t>Colcchoneta Eco</t>
  </si>
  <si>
    <t>Germán Estrada</t>
  </si>
  <si>
    <t>33-1748-1006</t>
  </si>
  <si>
    <t>San Miguel Nte # 12 Col. Lomas de San Gonzalo Zapopan</t>
  </si>
  <si>
    <t>Sala 3 p t f, Sala 1 p t f, Banca, Prem, Tab Prot</t>
  </si>
  <si>
    <t>Arturo González</t>
  </si>
  <si>
    <t>33-1264-1908</t>
  </si>
  <si>
    <t xml:space="preserve">Valle de San Marcos #100 Casa L 15 Col. Jardines Del Valle Zapopan </t>
  </si>
  <si>
    <t>Colchón QS, Tapete sint Eco</t>
  </si>
  <si>
    <t>Se manda WA, quedaron muy bien y el servicio satisfactorio</t>
  </si>
  <si>
    <t>Norma Arce López</t>
  </si>
  <si>
    <t>55-3045-0870</t>
  </si>
  <si>
    <t>Vereda del Canario #92 Coto Murcia Pta de Hierro Zapopan</t>
  </si>
  <si>
    <t>Sala 7 p r r, Alfombra, coj, Eco</t>
  </si>
  <si>
    <t>Se manda WA, queda una mancha que se ve hasta más grande</t>
  </si>
  <si>
    <t>Cima Park Torre 300 Despto 6 G Zapopan</t>
  </si>
  <si>
    <t>Jorge Gómez</t>
  </si>
  <si>
    <t>33-1328-1197</t>
  </si>
  <si>
    <t>San Mateo #49 Col. San Gonzálo Zapopan</t>
  </si>
  <si>
    <t>Sala 6 p t r, Sillas s a, 2 tapetes sint Senc</t>
  </si>
  <si>
    <t>Carla Wiechers</t>
  </si>
  <si>
    <t>33-1217-5618</t>
  </si>
  <si>
    <t>Camino de los parques #3880 Coto 4 Casa 58 Col Sn Isidro Zapopan</t>
  </si>
  <si>
    <t>Tapete algodón protex</t>
  </si>
  <si>
    <t>Tapete de algodón Healty</t>
  </si>
  <si>
    <t>Nancy Livier Alfaro</t>
  </si>
  <si>
    <t>33-1365-3951</t>
  </si>
  <si>
    <t>Arbolada # 2 casa A 14 Zapopan</t>
  </si>
  <si>
    <t>Sala 5 p r r, Porta bb Senc</t>
  </si>
  <si>
    <t>33-1862-6147</t>
  </si>
  <si>
    <t>Sala 5 p r r Sillas a y r, Senc PURT</t>
  </si>
  <si>
    <t>Plasser Mexicana / Montserrat</t>
  </si>
  <si>
    <t>55-3156-1286</t>
  </si>
  <si>
    <t>Calle Aquamarina #2826 Col. La Florida Tlaq</t>
  </si>
  <si>
    <t>Ana Ma Solís</t>
  </si>
  <si>
    <t>33-1272-4646</t>
  </si>
  <si>
    <t>Av Valdepeñas #50 Coto La Rioja Calle alambique #51 B Zapopan</t>
  </si>
  <si>
    <t>Futón Prot</t>
  </si>
  <si>
    <t xml:space="preserve">Colchón Mat Prem </t>
  </si>
  <si>
    <t>Se puo muy pesada con el PURT y no lo quiso pagar, en caso de querer más todo por escrito</t>
  </si>
  <si>
    <t>Tipo de venta</t>
  </si>
  <si>
    <t>num de Serv</t>
  </si>
  <si>
    <t>Laura Montes</t>
  </si>
  <si>
    <t>33-3507-7393</t>
  </si>
  <si>
    <t>Paseo Reina Isabel #34 Col. Colinas del Rey Zapopan</t>
  </si>
  <si>
    <t>Sala 3 p t f, Sala 2 p r r, Sillas a y r Eco</t>
  </si>
  <si>
    <t>Se manda WA, le gustó mucho, muy recomendable</t>
  </si>
  <si>
    <t>Ximena Ojeda Aburto</t>
  </si>
  <si>
    <t>33-3968-8428</t>
  </si>
  <si>
    <t>Eva Briseño #713 Depto 5 Col Sta Fe Zapopan</t>
  </si>
  <si>
    <t>Sala 7 p t r, Sala 3 p t r, coj, Sala 1 p t r, Sillas a y r Prem</t>
  </si>
  <si>
    <t>Benito Guardado</t>
  </si>
  <si>
    <t>64-4134-0914</t>
  </si>
  <si>
    <t>Nicolás Puga #30 Col. Arcos Vallarta Gdl</t>
  </si>
  <si>
    <t>Sala 5 p t f, coj, Eco</t>
  </si>
  <si>
    <t>Venta total</t>
  </si>
  <si>
    <t>Venta de internet</t>
  </si>
  <si>
    <t>Pago de Internet</t>
  </si>
  <si>
    <t>Relación gasto / Venta</t>
  </si>
  <si>
    <t>280/22</t>
  </si>
  <si>
    <t>281/22</t>
  </si>
  <si>
    <t>Juan Macías</t>
  </si>
  <si>
    <t>55-7939-4974</t>
  </si>
  <si>
    <t>Circ Del Laurel Nte #3869 Coto Laurel Nte Zapopan</t>
  </si>
  <si>
    <t>Se manda WA, les gusó el resultado</t>
  </si>
  <si>
    <t>Patricia Fregoso Cruz</t>
  </si>
  <si>
    <t>33-3677-7520</t>
  </si>
  <si>
    <t>Colomos #2770 Int 401 Col Prov Zapopan</t>
  </si>
  <si>
    <t>Sala 5 p r r, coj, Eco</t>
  </si>
  <si>
    <t>282/22</t>
  </si>
  <si>
    <t>283/22</t>
  </si>
  <si>
    <t>284/22</t>
  </si>
  <si>
    <t>285/22</t>
  </si>
  <si>
    <t>286/22</t>
  </si>
  <si>
    <t>287/22</t>
  </si>
  <si>
    <t>288/22</t>
  </si>
  <si>
    <t>289/22</t>
  </si>
  <si>
    <t>290/22</t>
  </si>
  <si>
    <t>291/22</t>
  </si>
  <si>
    <t>292/22</t>
  </si>
  <si>
    <t>293/22</t>
  </si>
  <si>
    <t>294/22</t>
  </si>
  <si>
    <t>Maricruz Yañez</t>
  </si>
  <si>
    <t>33-2358-5460</t>
  </si>
  <si>
    <t>Rinconada del Girasol #3650 Col. Rinconada Santa Rita Zapopan</t>
  </si>
  <si>
    <t>2 Tapetes sint Prot PURT</t>
  </si>
  <si>
    <t>Le encantó, no se acordaban del color</t>
  </si>
  <si>
    <t>Osvaldo Ortega Pérez</t>
  </si>
  <si>
    <t>33-1149-8080</t>
  </si>
  <si>
    <t>Av de la Pradera #487 Int 97 Coto Céneca Fracc El Campestre Zapopan</t>
  </si>
  <si>
    <t>Sala 5 p rr, Colchón Mat, cabecera, Sala 1 p t f, Sala 1 p t f, Colchoneta Senc</t>
  </si>
  <si>
    <t>Diana Medina / Ogarrio y Asoc</t>
  </si>
  <si>
    <t>33-3166-5325</t>
  </si>
  <si>
    <t>Av D #400 Col El Capullo Zapopan</t>
  </si>
  <si>
    <t>Sala 12 p t f Senc</t>
  </si>
  <si>
    <t>Marcela Salcedo</t>
  </si>
  <si>
    <t>295/22</t>
  </si>
  <si>
    <t>296/22</t>
  </si>
  <si>
    <t>297/22</t>
  </si>
  <si>
    <t>Alejandro Gutierrez</t>
  </si>
  <si>
    <t>33-3077-2645</t>
  </si>
  <si>
    <t>Martha Dueñas #5285 Col Paseos del sol Zapopan</t>
  </si>
  <si>
    <t>Interior coche med, Senc</t>
  </si>
  <si>
    <t>Gabriela Gomez</t>
  </si>
  <si>
    <t>33_3497-3307</t>
  </si>
  <si>
    <t xml:space="preserve">Altavista Pte #303 casa B 149 Col Altavista Res Zapopan </t>
  </si>
  <si>
    <t>Colchon QS, Prem</t>
  </si>
  <si>
    <t>No ha podido revisar</t>
  </si>
  <si>
    <t>David Rivera</t>
  </si>
  <si>
    <t>55-1368-2195</t>
  </si>
  <si>
    <t>Circ Peña de Tapalpa #21 C Coto 4 Fracc Bosques de Sta Anita Tlajomulco</t>
  </si>
  <si>
    <t>Tapete de lana, Senc</t>
  </si>
  <si>
    <t>Brenda Meillón</t>
  </si>
  <si>
    <t>33-3301-0809</t>
  </si>
  <si>
    <t>Almería #363 Coto Barcelona  Col Nva Galicia , Tlajo</t>
  </si>
  <si>
    <t>2 tapetes  sint, Prem</t>
  </si>
  <si>
    <t>Gilda de Arroyo</t>
  </si>
  <si>
    <t>33-1411-5306</t>
  </si>
  <si>
    <t>Ceja de la barranca #500 casa 42 Col Loma Real, Gdl</t>
  </si>
  <si>
    <t xml:space="preserve">Se mnda WA, todo excelente </t>
  </si>
  <si>
    <t xml:space="preserve">Muy bien, repetira tapete y nos recomienda con su mamá </t>
  </si>
  <si>
    <t>Yazmín Alejandra Briseño</t>
  </si>
  <si>
    <t>55-3814-7425</t>
  </si>
  <si>
    <t>Prol Colón #155 Int Reus #141 Tossa Res Tlaquep</t>
  </si>
  <si>
    <t>Sala 3 p r r, Senc PURT</t>
  </si>
  <si>
    <t>Se manda WA, todo excelente, pero dejaron sucio el espacio</t>
  </si>
  <si>
    <t xml:space="preserve">Se manda WA, no contesta </t>
  </si>
  <si>
    <t>298/22</t>
  </si>
  <si>
    <t>299/22</t>
  </si>
  <si>
    <t>Javier Partida</t>
  </si>
  <si>
    <t>33-1229-4056</t>
  </si>
  <si>
    <t>Real Camichines #1140 Int 23 Col. Res Camichines, Tlaque</t>
  </si>
  <si>
    <t>Sala 3 p t f, Prem, Colchón Mat Eco, PURT</t>
  </si>
  <si>
    <t>300/22</t>
  </si>
  <si>
    <t>301/22</t>
  </si>
  <si>
    <t>302/22</t>
  </si>
  <si>
    <t>Ma de las Nieves Gtz</t>
  </si>
  <si>
    <t>33-3662-8331</t>
  </si>
  <si>
    <t>Río de la Plata # 2487 Depto 1002 Col Colomos Providencia Zapopan</t>
  </si>
  <si>
    <t>Sala 6 p t r, Tapete lana, banca, Sala 1 p t r, Sala 4 p t f, Sala 1 p t r, Senc</t>
  </si>
  <si>
    <t>Se manda WA, salió de la cd</t>
  </si>
  <si>
    <t>Se manda WA, el colchón aún no secaba</t>
  </si>
  <si>
    <t>Javier Hermosillo Acevedo</t>
  </si>
  <si>
    <t>33-1159-0531</t>
  </si>
  <si>
    <t>Melquiades Campos #1433 Col. Gdl Ote Gdl</t>
  </si>
  <si>
    <t>Colchón Mat, 2 Ind, Sillas s a, Senc</t>
  </si>
  <si>
    <t>Estrella Tapia</t>
  </si>
  <si>
    <t>55-2569-1101</t>
  </si>
  <si>
    <t>Av Paseo de las Aves # 2220 Casa 9 Col Mirador de Sn Isidro Zapopan</t>
  </si>
  <si>
    <t>Sala 5 p r r, Cama interior, Senc, Colcón Mat, KS, Eco</t>
  </si>
  <si>
    <t>Av Nicolás Copérnico #943-A Col Atlas Chapalita Depto 1005 Torre Sur Zapopan</t>
  </si>
  <si>
    <t>Sala 1 p t f Prot, Sala 4 p t f, Tab Protex PURT</t>
  </si>
  <si>
    <t>Enrique Montalvo</t>
  </si>
  <si>
    <t>33-1974-9071</t>
  </si>
  <si>
    <t>Pto Sn Blas #1386 Col. Miramar Zapopan</t>
  </si>
  <si>
    <t>Saloa 6 p t f, Sillas A y r, 2 tapetes sint, Banca, Eco PURT</t>
  </si>
  <si>
    <t>Elizabeth Llamas Guerrero</t>
  </si>
  <si>
    <t>33-1145-8469</t>
  </si>
  <si>
    <t>Paseo Casurina Sur # 308 Col. Pinar de la Venta Zapopan</t>
  </si>
  <si>
    <t>Sala 3 p t f, Prot</t>
  </si>
  <si>
    <t>Sala 6 p t f, Sillas A y r, 2 tapetes sint, Banca, Eco PURT</t>
  </si>
  <si>
    <t xml:space="preserve">Banregio </t>
  </si>
  <si>
    <t>Suc Américas</t>
  </si>
  <si>
    <t>15 Sala 1 p t f, Silla ejec, Silla a y r Prem</t>
  </si>
  <si>
    <t>Ma Jesús Cervantes</t>
  </si>
  <si>
    <t>33-1172-7760</t>
  </si>
  <si>
    <t>Andador de los Naranjos #14 Col. El Porvenir Gdl</t>
  </si>
  <si>
    <t>Se manda WA, perfecto todo</t>
  </si>
  <si>
    <t>Bibiana Salcedo</t>
  </si>
  <si>
    <t>33-3363-5415</t>
  </si>
  <si>
    <t xml:space="preserve">Paseo Lomas del Bosque #4389 Int 21 Cond El Prado Zapopan </t>
  </si>
  <si>
    <t>Tapete de lana, Eco PURT</t>
  </si>
  <si>
    <t>Sala 7 p t r, Tapete de lana, Sala 2 p t r, Senc</t>
  </si>
  <si>
    <t>Inte coche peq, med, Senc, Colchon KS, Piecera Prem</t>
  </si>
  <si>
    <t>Inte coche chico Eco, Colchones KS, Mat Senc</t>
  </si>
  <si>
    <t>303/22</t>
  </si>
  <si>
    <t>304/22</t>
  </si>
  <si>
    <t>305/22</t>
  </si>
  <si>
    <t>306/22</t>
  </si>
  <si>
    <t>307/22</t>
  </si>
  <si>
    <t>308/22</t>
  </si>
  <si>
    <t>309/22</t>
  </si>
  <si>
    <t>310/22</t>
  </si>
  <si>
    <t>311/22</t>
  </si>
  <si>
    <t>312/22</t>
  </si>
  <si>
    <t>313/22</t>
  </si>
  <si>
    <t>314/22</t>
  </si>
  <si>
    <t>315/22</t>
  </si>
  <si>
    <t>Aidee Domínguez</t>
  </si>
  <si>
    <t>33-1895-1479</t>
  </si>
  <si>
    <t>Av Paseo de la Toscana #808 Casa 92 Fracc La Toscana Zapopan</t>
  </si>
  <si>
    <t>Sala 6 p a r, Sala 2 p t f,2 tapete sint, Eco PURT</t>
  </si>
  <si>
    <t>Gerardo Gómez</t>
  </si>
  <si>
    <t>33-2154-5879</t>
  </si>
  <si>
    <t>Circ Rinc del Abedul Nte #2758 Fracc Rnc de los Fresnos Zapopan</t>
  </si>
  <si>
    <t>Club</t>
  </si>
  <si>
    <t>Colchón KS, Sala 5 p r r, Chaise Lounge Senc</t>
  </si>
  <si>
    <t>Fernanda Rodríguez</t>
  </si>
  <si>
    <t>55-1795-0791</t>
  </si>
  <si>
    <t>Mar Azov #1556 Int 1 Col. Lomas del Country Gdl</t>
  </si>
  <si>
    <t>Se manda WA, todo bien, solo quedó una mancha</t>
  </si>
  <si>
    <t>Suc Zona Industrial</t>
  </si>
  <si>
    <t>Silla ejec, Sala 1 p t f, Silla secre, 2 sala 1 p t f, Prem</t>
  </si>
  <si>
    <t>Gabriel Ibarra</t>
  </si>
  <si>
    <t>Sala 2 p t f, Colchón QS, Eco</t>
  </si>
  <si>
    <t>Gloria Glz</t>
  </si>
  <si>
    <t>33-1799-2152</t>
  </si>
  <si>
    <t>Rio Bco #1900 Coto Argenta Casa 154 Zapopan</t>
  </si>
  <si>
    <t>2 Colchón mat, Sala 6 p t f, sillas s a, Prot</t>
  </si>
  <si>
    <t>Suc Centro</t>
  </si>
  <si>
    <t>Silla ejec, 3 sala 1 p t f, Silla secre, Prem</t>
  </si>
  <si>
    <t>Adrian Cordero</t>
  </si>
  <si>
    <t>55-2966-1604</t>
  </si>
  <si>
    <t>Juan Alvarez #1222 Int A Bo Sta Tere Zapopan</t>
  </si>
  <si>
    <t>Corina Nuñez</t>
  </si>
  <si>
    <t>33-3261-3289</t>
  </si>
  <si>
    <t>Paseo Puesta de Sol #4150 Int 1062 Torre Livorno Zapopan</t>
  </si>
  <si>
    <t>Se manda WA; todo muy Bien</t>
  </si>
  <si>
    <t>322/22</t>
  </si>
  <si>
    <t>332/22</t>
  </si>
  <si>
    <t>Grisel Olvera</t>
  </si>
  <si>
    <t>33-1417-4493</t>
  </si>
  <si>
    <t>Puerto Cayao #2511 Int 3 Col. Providencia Zapopan</t>
  </si>
  <si>
    <t xml:space="preserve">Futón, Senc, 2 tapetes sint, Healty, PURT </t>
  </si>
  <si>
    <t>316/22</t>
  </si>
  <si>
    <t>317/22</t>
  </si>
  <si>
    <t>318/22</t>
  </si>
  <si>
    <t>319/22</t>
  </si>
  <si>
    <t>320/22</t>
  </si>
  <si>
    <t>321/22</t>
  </si>
  <si>
    <t>323/22</t>
  </si>
  <si>
    <t>324/22</t>
  </si>
  <si>
    <t>325/22</t>
  </si>
  <si>
    <t>326/22</t>
  </si>
  <si>
    <t>327/22</t>
  </si>
  <si>
    <t>328/22</t>
  </si>
  <si>
    <t>329/22</t>
  </si>
  <si>
    <t>330/22</t>
  </si>
  <si>
    <t>331/22</t>
  </si>
  <si>
    <t>333/22</t>
  </si>
  <si>
    <t>334/22</t>
  </si>
  <si>
    <t>335/22</t>
  </si>
  <si>
    <t>336/22</t>
  </si>
  <si>
    <t>337/22</t>
  </si>
  <si>
    <t>338/22</t>
  </si>
  <si>
    <t>339/22</t>
  </si>
  <si>
    <t>340/22</t>
  </si>
  <si>
    <t>341/22</t>
  </si>
  <si>
    <t>Teresita Cubillas</t>
  </si>
  <si>
    <t>66-2127-0080</t>
  </si>
  <si>
    <t>Eulogio Parra #2588 Col. Lomas de Guevara Zapopan</t>
  </si>
  <si>
    <t>No está en la cd, pero el marido no notó nada malo</t>
  </si>
  <si>
    <t>Gabriela Cuevas / Damien Escallier</t>
  </si>
  <si>
    <t>81-2585-7953</t>
  </si>
  <si>
    <t>Rinc de Buga #3630 Int 8 Col Sta Rita Zapopan</t>
  </si>
  <si>
    <t>Colchón Ind Senc</t>
  </si>
  <si>
    <t>Tapete sintetico Prem</t>
  </si>
  <si>
    <t>2 Tapete Sint Prem</t>
  </si>
  <si>
    <t>Lourdes Ruiz</t>
  </si>
  <si>
    <t>33-1118-7854</t>
  </si>
  <si>
    <t>Alamos #138 Cd Granja Zapopan</t>
  </si>
  <si>
    <t>Coj, Sala 1 p t f, Tapete sint, Sala 7 p t f, Senc, Sala 2 p t f, Prot, Aspirado coj y tapete</t>
  </si>
  <si>
    <t>Juan Javier García / Lorena</t>
  </si>
  <si>
    <t>33-1043-3878</t>
  </si>
  <si>
    <t>Av de las Lomas #1138 Cond Del Río Casa 18 Zapopan</t>
  </si>
  <si>
    <t>Primo</t>
  </si>
  <si>
    <t>Sala 6 p t r,  2 colchones Ind, KS, 2 Cabecera y 2 bases, Senc</t>
  </si>
  <si>
    <t>Eduardo Lomelí</t>
  </si>
  <si>
    <t>33-3809-0247</t>
  </si>
  <si>
    <t>Camino Arenero #1052 Bajío Habitat Cond A Casa 28 Zapopan</t>
  </si>
  <si>
    <t>6 tapetes sint Senc, 1 Eco</t>
  </si>
  <si>
    <t>Gabriela Uribe</t>
  </si>
  <si>
    <t>33-1193-0211</t>
  </si>
  <si>
    <t>Paseo de las estrellas #633 Casa 11 Coto Eucaliptos, Solares Zapopan</t>
  </si>
  <si>
    <t>2 tapetes sinte Healty</t>
  </si>
  <si>
    <t>Se dá descuento de 50%, no se quitó el olor</t>
  </si>
  <si>
    <t>Pablo Castillo</t>
  </si>
  <si>
    <t>33-3440-4044</t>
  </si>
  <si>
    <t>Mariano Jiménez #418 Col. Centro Gdl</t>
  </si>
  <si>
    <t>Sala 6 p r r, Senc</t>
  </si>
  <si>
    <t>Se manda WA, excelente servicio</t>
  </si>
  <si>
    <t>Francis Castillo</t>
  </si>
  <si>
    <t>33-1417-1808</t>
  </si>
  <si>
    <t>Av Uni #600 Int Atardecer 16 Pta Plata Zapopan</t>
  </si>
  <si>
    <t>Sala 7 p t f, Silla secret Prot, PURT</t>
  </si>
  <si>
    <t>Tapete sint, Tapete Viscosa, Eco</t>
  </si>
  <si>
    <t>Nayeli González</t>
  </si>
  <si>
    <t>33-1720-3395</t>
  </si>
  <si>
    <t>Lázaro Cárdenas #3446 Int 2 Col Jardines de los Arcos Gdl</t>
  </si>
  <si>
    <t>Sala 5 p r r, Prem, Colchon KS, Ind, Senc</t>
  </si>
  <si>
    <t>Mariana Macedo García</t>
  </si>
  <si>
    <t>33-2252-3442</t>
  </si>
  <si>
    <t>Lázaro Cárdenas #2850 Col Jardines del Bosque Gdl</t>
  </si>
  <si>
    <t>Isela Gpe Magaña Santos</t>
  </si>
  <si>
    <t>33-3905-6655</t>
  </si>
  <si>
    <t>Calle Misión de Sto Tomás #1080 Int  Miramar 17 Coto Bellavista Zapopan</t>
  </si>
  <si>
    <t>Barcelona #2463 Col Sta Mónica Zapopan</t>
  </si>
  <si>
    <t>Sala 7 p r r, Sala 1 p t f, Reposet, Sala 1 p a r, Senc, Colchón Ind Eco</t>
  </si>
  <si>
    <t>Lourdes Hernández Villegas</t>
  </si>
  <si>
    <t>32-1100-1007</t>
  </si>
  <si>
    <t>Av Gpe #6877 Int 78 Coto Gpe Col Gpe Inn Gdl</t>
  </si>
  <si>
    <t>Sala 4 p t f, Piel</t>
  </si>
  <si>
    <t>342/22</t>
  </si>
  <si>
    <t>343/22</t>
  </si>
  <si>
    <t>344/22</t>
  </si>
  <si>
    <t>345/22</t>
  </si>
  <si>
    <t>346/22</t>
  </si>
  <si>
    <t>347/22</t>
  </si>
  <si>
    <t>Alejandro Rodríguez</t>
  </si>
  <si>
    <t>22-2550-3757</t>
  </si>
  <si>
    <t>Fco I Madero #671 Int 178 Col Sta Anita Tlaj</t>
  </si>
  <si>
    <t>Se manda WA, si le gustó, aunque un sillón quedó con manchas, de daño</t>
  </si>
  <si>
    <t>Clarissa Valdéz Inzunza</t>
  </si>
  <si>
    <t>33-1895-9872</t>
  </si>
  <si>
    <t>Blvd Valle del Silicio #150 Coto Cádiz Casa 27 Fracc Nva Galicia, Tlaj</t>
  </si>
  <si>
    <t>Tapete sint Prem, PURT</t>
  </si>
  <si>
    <t>Eliselda Nuñez</t>
  </si>
  <si>
    <t>33-3968-2919</t>
  </si>
  <si>
    <t>Provenza Res Casa 67 Coto Sur, Tlaj</t>
  </si>
  <si>
    <t>Sala 6 p a r, Sillasa a y r, Bancos, Tapete Sint Prot</t>
  </si>
  <si>
    <t>Se repasa la sala</t>
  </si>
  <si>
    <t>Se manda WA, le gustó mucho, entregado en tiempo y forma</t>
  </si>
  <si>
    <t>Yahaira Buenrostro Montes</t>
  </si>
  <si>
    <t>33-3101-8792</t>
  </si>
  <si>
    <t>Félix Vera #3510 Int 5705 Col Huentitán El Alto Gdl</t>
  </si>
  <si>
    <t>Sala 6 p t f, Tapete sint Senc, PURT</t>
  </si>
  <si>
    <t>Repite, pero la sala es de 8 plazas!</t>
  </si>
  <si>
    <t>Eduardo Espinoza García</t>
  </si>
  <si>
    <t>33-3100-0973</t>
  </si>
  <si>
    <t>Paseo de San Carlos #3046 Valle Real Zapopan</t>
  </si>
  <si>
    <t>Aurora Mtz</t>
  </si>
  <si>
    <t>Colchon KS, Ind, Sala 1 p t f, Sala 2 p t r, Tapete de lana Senc</t>
  </si>
  <si>
    <t>José Juan Orozco</t>
  </si>
  <si>
    <t>33-1065-1611</t>
  </si>
  <si>
    <t>José Clemente Orozco #415 Col. Sta Tere Zapopan</t>
  </si>
  <si>
    <t>Colchón KS Eco, PURT</t>
  </si>
  <si>
    <t>Quedó muy bien, aunque todavía no seca</t>
  </si>
  <si>
    <t>Tapete de lana Eco, PURT</t>
  </si>
  <si>
    <t>Luz Cabral / Protección Civil</t>
  </si>
  <si>
    <t>33-1343-1412</t>
  </si>
  <si>
    <t>Av 18 de Marzo #705 Col La Nogalera, Gdl</t>
  </si>
  <si>
    <t>33-3115-6930</t>
  </si>
  <si>
    <t>Bertha Gutiérrez Carrillo</t>
  </si>
  <si>
    <t>Fco Villa #1247 Col. Circunvalación Oblatos, Gdl</t>
  </si>
  <si>
    <t>Futón, Senc, Sillas a y r, Prot</t>
  </si>
  <si>
    <t>Le encantó y repetirá</t>
  </si>
  <si>
    <t>Esmeralda Chávez</t>
  </si>
  <si>
    <t>33-2925-0219</t>
  </si>
  <si>
    <t>Blvd Pta de Hierro #5210 Torre Cube Int 8-C Zapopan</t>
  </si>
  <si>
    <t>Río Bco #1900 Coto Argenta #154 Calle Mina de la Valenciana Zapopan</t>
  </si>
  <si>
    <t>3 Tapetes sint Senc</t>
  </si>
  <si>
    <t>Alicia Cendejas / Angel Dorador</t>
  </si>
  <si>
    <t>Cond Plúmbago Casa F2 Zapopan</t>
  </si>
  <si>
    <t>Tepte sint Prem, PURT</t>
  </si>
  <si>
    <t>Paulina Rico / Sylvestre</t>
  </si>
  <si>
    <t>77-1219-1171</t>
  </si>
  <si>
    <t>Lopez Mateos Nte # 2405 Local 1 Midtown Zapopan</t>
  </si>
  <si>
    <t>quedó muy bien, y los muchachos muy amables</t>
  </si>
  <si>
    <t>Ingrid García Dela Rosa</t>
  </si>
  <si>
    <t>33-1699-7710</t>
  </si>
  <si>
    <t>Av Paseo Valle Real #3000 Int Somontano 73 Zapopan</t>
  </si>
  <si>
    <t>Sala 5 p t r, Senc</t>
  </si>
  <si>
    <t>Antonieta Alvarez Carbajal</t>
  </si>
  <si>
    <t>33-1346-5345</t>
  </si>
  <si>
    <t>Calle Jesús #468 Zapopan</t>
  </si>
  <si>
    <t>Sala 3 p r r, coj, Sala 3 p t f, Sillas a y r, banca Senc PURT</t>
  </si>
  <si>
    <t>Tepete sint Prem, PURT</t>
  </si>
  <si>
    <t>Sala 6 p a r, Sillas a y r, Bancos, Tapete Sint Prot</t>
  </si>
  <si>
    <t>Sala 5 p r r, Cama interior, Senc, Colchón Mat, KS, Eco</t>
  </si>
  <si>
    <t>Colchón mat, ind, cabecera, sala 1 p t f, Coj Senc</t>
  </si>
  <si>
    <t>Sala 5 p r r, Colchón Mat, cabecera, Sala 1 p t f, Sala 1 p t f, Colchoneta Senc</t>
  </si>
  <si>
    <t>348/22</t>
  </si>
  <si>
    <t>349/22</t>
  </si>
  <si>
    <t>350/22</t>
  </si>
  <si>
    <t>351/22</t>
  </si>
  <si>
    <t>352/22</t>
  </si>
  <si>
    <t>353/22</t>
  </si>
  <si>
    <t>354/22</t>
  </si>
  <si>
    <t>355/22</t>
  </si>
  <si>
    <t>José Juan Marín García</t>
  </si>
  <si>
    <t>61-2202-5561</t>
  </si>
  <si>
    <t>Av Aviación  dentro de la unidad habitacional de la zona militar Edif E-103 Zapopan</t>
  </si>
  <si>
    <t>2 Colchones Ind Eco</t>
  </si>
  <si>
    <t>Se manda WA, le encantó, ya nos recomendó</t>
  </si>
  <si>
    <t>Se manda WA, le encantó repetirá</t>
  </si>
  <si>
    <t>356/22</t>
  </si>
  <si>
    <t>357/22</t>
  </si>
  <si>
    <t>358/22</t>
  </si>
  <si>
    <t>359/22</t>
  </si>
  <si>
    <t>360/22</t>
  </si>
  <si>
    <t>361/22</t>
  </si>
  <si>
    <t>362/22</t>
  </si>
  <si>
    <t>363/22</t>
  </si>
  <si>
    <t>364/22</t>
  </si>
  <si>
    <t>365/22</t>
  </si>
  <si>
    <t>366/22</t>
  </si>
  <si>
    <t>Griselda Villa Sánchez</t>
  </si>
  <si>
    <t>33-1605-5587</t>
  </si>
  <si>
    <t>Cádiz #3472 Col Sta Mónica Zapopan</t>
  </si>
  <si>
    <t>Sala 6 p t f, Sala 6 p a r, Sillas a y r, Reposet, Prot</t>
  </si>
  <si>
    <t>Se manda WA, todo bien, nos recomendará</t>
  </si>
  <si>
    <t>Hugo villa / Nuera de Griselda Villa</t>
  </si>
  <si>
    <t>Cadiz #2474 Col Sta Mónica Zapopan</t>
  </si>
  <si>
    <t>Tzet Rendón Villanueva</t>
  </si>
  <si>
    <t>33-1283-4728</t>
  </si>
  <si>
    <t>Calle Sn Pedro #388 Col. La Providencia Tonalá</t>
  </si>
  <si>
    <t>John Easley</t>
  </si>
  <si>
    <t>77-0903-2322</t>
  </si>
  <si>
    <t>Ontario #661 Depto 2 Col Providencia Zapopan</t>
  </si>
  <si>
    <t>Sala 3 p t f, Healty</t>
  </si>
  <si>
    <t>Oscar Hdez</t>
  </si>
  <si>
    <t>Hotel Hyatt #3304 Andares Zapopan</t>
  </si>
  <si>
    <t>Colchón KS, Almohadas, Senc PURT</t>
  </si>
  <si>
    <t>No se llama, cliente no deseable</t>
  </si>
  <si>
    <t>Lesli Kick</t>
  </si>
  <si>
    <t>55-3504-1343</t>
  </si>
  <si>
    <t>Av Valle Real #3000 Coto Reserva Real Int Torre Cigales #62 Zapopan</t>
  </si>
  <si>
    <t>Tapete sint, Colchón KS Sala 5 p t f, Tab, Sillas Prot</t>
  </si>
  <si>
    <t>Jurit Venegas</t>
  </si>
  <si>
    <t>46-2628-1709</t>
  </si>
  <si>
    <t>Paseo de los Laureles #215 Club de golf Sta Anita, Tlaj</t>
  </si>
  <si>
    <t>Sala 6 p t r, Sala 2 p t f, Futón Senc</t>
  </si>
  <si>
    <t>367/22</t>
  </si>
  <si>
    <t>368/22</t>
  </si>
  <si>
    <t>369/22</t>
  </si>
  <si>
    <t>370/22</t>
  </si>
  <si>
    <t>371/22</t>
  </si>
  <si>
    <t>372/22</t>
  </si>
  <si>
    <t>373/22</t>
  </si>
  <si>
    <t>374/22</t>
  </si>
  <si>
    <t>375/22</t>
  </si>
  <si>
    <t>376/22</t>
  </si>
  <si>
    <t>377/22</t>
  </si>
  <si>
    <t>Mónica Maldonado</t>
  </si>
  <si>
    <t>33-1607-1371</t>
  </si>
  <si>
    <t>Coto Español Casa 133 Col Valle Imperial Zapopan</t>
  </si>
  <si>
    <t>Reposet Eco</t>
  </si>
  <si>
    <t>Se madna WA, le encantó, repetirá</t>
  </si>
  <si>
    <t>Ma Isabel De Alba Escoto</t>
  </si>
  <si>
    <t>33-2178-3232</t>
  </si>
  <si>
    <t>Bahía de Pichilingue #2729 Parques de Sta Ma Tlaq</t>
  </si>
  <si>
    <t>Victor Alberto García</t>
  </si>
  <si>
    <t>31-1122-5145</t>
  </si>
  <si>
    <t>Tepeyac #225 Consultorio #4 Chapalita Zapopan</t>
  </si>
  <si>
    <t>Silla secret Piel Tapete sin Healty</t>
  </si>
  <si>
    <t>Sillas a y r, Silla s a, Coj Senc, Tapete sint Prot</t>
  </si>
  <si>
    <t>Bertha Aurora Nuñez</t>
  </si>
  <si>
    <t>33-3190-7206</t>
  </si>
  <si>
    <t>Hda Sta Lucía #65 Col Rinc de Altamira Zapopan</t>
  </si>
  <si>
    <t>Alfombra, Sala 7 p t f Senc</t>
  </si>
  <si>
    <t>Mariana Galindo</t>
  </si>
  <si>
    <t>33-3250-8978</t>
  </si>
  <si>
    <t>Av Naciones Unidas #6825 Zapopan</t>
  </si>
  <si>
    <t>Colchon KS, 2 Ind, Prem, Sala 2 p a r, coj, Senc PURT</t>
  </si>
  <si>
    <t>Repetirá</t>
  </si>
  <si>
    <t>Se manda WA, las sillas bien, el tapete no lo ha visto</t>
  </si>
  <si>
    <t>Quedó muy contenta</t>
  </si>
  <si>
    <t>Alexia Hayde Segura</t>
  </si>
  <si>
    <t>33-1894-8030</t>
  </si>
  <si>
    <t>Calle Ricardo Güiraldes #5280 Col. Jardines Uni Zapopan</t>
  </si>
  <si>
    <t>Sala 5 p r r Senc PURT</t>
  </si>
  <si>
    <t>Edgar Rmz</t>
  </si>
  <si>
    <t>Interior tela Pick Up doble cabina Prot</t>
  </si>
  <si>
    <t>33-1599-9264</t>
  </si>
  <si>
    <t>Av del Campestre #386 Int 15 Coto Estreca La Venta del Astillero Zapopan</t>
  </si>
  <si>
    <t>Antonio López</t>
  </si>
  <si>
    <t>33-1995-9739</t>
  </si>
  <si>
    <t>Av al CUCBA #1204 Int 18 Col Sn Juan de Ocotán Zapopan</t>
  </si>
  <si>
    <t>Av Nac Unidas #6825 Zapopan</t>
  </si>
  <si>
    <t>Sala 7 p r r, Coj Prot, Colchón KS Senc</t>
  </si>
  <si>
    <t>Sala 4 p t r, Colchón Mat, Cabecera, Base, Sillas a y r, Banca Prot, Sala 6 p r r, Sillas a y r Piel PURT</t>
  </si>
  <si>
    <t>Emmanuel Ecobedo</t>
  </si>
  <si>
    <t>33-1141-5797</t>
  </si>
  <si>
    <t>Río Arandas #5657 Col Benito Juarez Zapopan</t>
  </si>
  <si>
    <t>Colchón KS, Tapete sint Eco</t>
  </si>
  <si>
    <t>Nathaly Carmona</t>
  </si>
  <si>
    <t>Se manda WA, en general bien</t>
  </si>
  <si>
    <t>33-1710-8546</t>
  </si>
  <si>
    <t>Misión de Sto Tomás Zapopan #1080 Int Mirador 25 Coto Bellavista Fracc Pza Gpe Zapopan</t>
  </si>
  <si>
    <t>Sala 2 p t f, Interiro tela coche chico Senc</t>
  </si>
  <si>
    <t>Hermelinda Torres Manríquez</t>
  </si>
  <si>
    <t>33-1574-8664</t>
  </si>
  <si>
    <t>Coto Creta Casa 109 Capital Nte, Zapopan</t>
  </si>
  <si>
    <t>Colchón KS, coj Prot</t>
  </si>
  <si>
    <t>Dionne Canul</t>
  </si>
  <si>
    <t>Se manda WA, está muy contenta y repetirá</t>
  </si>
  <si>
    <t>Se manda WA, le gustó, repetirá</t>
  </si>
  <si>
    <t>378/22</t>
  </si>
  <si>
    <t>379/22</t>
  </si>
  <si>
    <t>380/22</t>
  </si>
  <si>
    <t>381/22</t>
  </si>
  <si>
    <t>382/22</t>
  </si>
  <si>
    <t>383/22</t>
  </si>
  <si>
    <t>384/22</t>
  </si>
  <si>
    <t>385/22</t>
  </si>
  <si>
    <t>386/22</t>
  </si>
  <si>
    <t>387/22</t>
  </si>
  <si>
    <t>388/22</t>
  </si>
  <si>
    <t>389/22</t>
  </si>
  <si>
    <t>Paulina De Chávez</t>
  </si>
  <si>
    <t>33-1068-2912</t>
  </si>
  <si>
    <t>Mar Bco #1562 Col Lomas del Country Zapopan</t>
  </si>
  <si>
    <t>Colchón KS, Healty</t>
  </si>
  <si>
    <t>Mercedes Cisneros / Claudia Hinojosa</t>
  </si>
  <si>
    <t>33-3841-0537</t>
  </si>
  <si>
    <t>Jaime Nunó #1041 Col. Mezquitán Country Gdl</t>
  </si>
  <si>
    <t>Sillas a y r Healty</t>
  </si>
  <si>
    <t>Se manda WA, muy biien</t>
  </si>
  <si>
    <t>33-1613-7137</t>
  </si>
  <si>
    <t>Cecilia Aceves</t>
  </si>
  <si>
    <t>Asirios #364 Col Altamira Zapopan</t>
  </si>
  <si>
    <t>Futón, Tapete de viscosa, Tapete Sint, Coj, Sala 1 p t f Senc, PURT</t>
  </si>
  <si>
    <t>390/22</t>
  </si>
  <si>
    <t>391/22</t>
  </si>
  <si>
    <t>392/22</t>
  </si>
  <si>
    <t>393/22</t>
  </si>
  <si>
    <t>394/22</t>
  </si>
  <si>
    <t>395/22</t>
  </si>
  <si>
    <t>396/22</t>
  </si>
  <si>
    <t>397/22</t>
  </si>
  <si>
    <t>398/22</t>
  </si>
  <si>
    <t>399/22</t>
  </si>
  <si>
    <t>400/22</t>
  </si>
  <si>
    <t>401/22</t>
  </si>
  <si>
    <t>402/22</t>
  </si>
  <si>
    <t>Rubén de Regil</t>
  </si>
  <si>
    <t>33-1604-8171</t>
  </si>
  <si>
    <t>Prol Boyero #3700 Int 4-103 Col. La Calma Zapopan</t>
  </si>
  <si>
    <t>Sala 6 p a r, Sala 3 p a r, Colchón mat Senc</t>
  </si>
  <si>
    <t>Se manda WA, no ha revisado los tapetes</t>
  </si>
  <si>
    <t>Se manda WA, la atención magnífica, y el trabajo bien</t>
  </si>
  <si>
    <t>Magia Alejandre / Carlos Elizondo</t>
  </si>
  <si>
    <t>33-3559-2024</t>
  </si>
  <si>
    <t>Alberta #1195 Int 1 Col Providencia Zapopan</t>
  </si>
  <si>
    <t>2 tapetes sint, Sala 5 p a y r, coj, Eco</t>
  </si>
  <si>
    <t>Se manda WA, no ha tenido tiempo de revisar</t>
  </si>
  <si>
    <t>Se manda WA, muy bien todo el servicio, todo perfecto</t>
  </si>
  <si>
    <t>Isela Mojica / Speak Comunications</t>
  </si>
  <si>
    <t>56-3184-4128</t>
  </si>
  <si>
    <t>Av de las Lomas #270 Col San Juan de Ocotán Zapopan</t>
  </si>
  <si>
    <t>Jovita Castelán Valdéz</t>
  </si>
  <si>
    <t>81-1251-4394</t>
  </si>
  <si>
    <t>Calle Castellanos y Tapia Templo del Buen Pastor Gdl</t>
  </si>
  <si>
    <t>Colchon KS, 2 Ind, Eco</t>
  </si>
  <si>
    <t>Araceli Palacios / Pekín Motors</t>
  </si>
  <si>
    <t>33-1170-1542</t>
  </si>
  <si>
    <t>Av 16 de Sept #653 Col Centro Gdl</t>
  </si>
  <si>
    <t>Sala 2 p t f, Prem</t>
  </si>
  <si>
    <t>Pilar Calderón</t>
  </si>
  <si>
    <t>33-1320-3494</t>
  </si>
  <si>
    <t>Coto Almendro Casa 242 Valle Imoerial Zapopan</t>
  </si>
  <si>
    <t>Marcia Hernández</t>
  </si>
  <si>
    <t>33-1804-5878</t>
  </si>
  <si>
    <t>Av Vallarta #3145 Int 1 Zapopan</t>
  </si>
  <si>
    <t>Colchón Mat, Prem, Base y cabecera, Senc, PURT</t>
  </si>
  <si>
    <t>Se manda WA, quedaron muy agusto</t>
  </si>
  <si>
    <t>Se manda WA; todo muy bien</t>
  </si>
  <si>
    <t>Se manda WA, excelente y muy profesional</t>
  </si>
  <si>
    <t>Rode López de la Rosa</t>
  </si>
  <si>
    <t>33-1208-8394</t>
  </si>
  <si>
    <t>Canaán #3474 Col Hermosa Provincia, Gdl</t>
  </si>
  <si>
    <t>Colchón Ind, QS, Senc PURT</t>
  </si>
  <si>
    <t>Sala 3 p t f, 2 tapetes sint, Silla s a, Eco, Teflón para siilas y futón</t>
  </si>
  <si>
    <t>Se manda WA, le gustó, pero hubo confusión con el servicio</t>
  </si>
  <si>
    <t>Cima Park Torre 300 Depto 6 E, Zapopan</t>
  </si>
  <si>
    <t>Cristopher Mendoza</t>
  </si>
  <si>
    <t>99-9173-1615</t>
  </si>
  <si>
    <t>Gacellas casa 210 Buga 2a. Secc Zapopan</t>
  </si>
  <si>
    <t>Sala 6 p t f, 3 tapetes sint, coj Senc</t>
  </si>
  <si>
    <t>Rosa Ma Partida</t>
  </si>
  <si>
    <t>33-1169-0966</t>
  </si>
  <si>
    <t>Severo Díaz #134 Int D Col Ladrón de Guevara Gdl</t>
  </si>
  <si>
    <t>403/22</t>
  </si>
  <si>
    <t>2 Tapetes sint Prot</t>
  </si>
  <si>
    <t>Sala 2 p t f, Interior tela coche chico Senc</t>
  </si>
  <si>
    <t>Sala 3 p t f, 2 tapetes sint, Silla s a, Eco, Teflón para sillas y futón</t>
  </si>
  <si>
    <t>Fernando Díaz</t>
  </si>
  <si>
    <t>33-3453-2976</t>
  </si>
  <si>
    <t>Av Sendero #5648 Int 1 Coto Leman Col Campestre Zapopan</t>
  </si>
  <si>
    <t>Sala 4 p t f, Colchón Mat, Banca Senc</t>
  </si>
  <si>
    <t>Any Beltrán</t>
  </si>
  <si>
    <t>33-2506-5314</t>
  </si>
  <si>
    <t>Lomas del bosque #2851 Coto Loma de los Alamos casa 15 Zapopan</t>
  </si>
  <si>
    <t>Alfombra senc, antiác</t>
  </si>
  <si>
    <t>Claudia Isabel Ramírez Ponce / Gabriela Ponce</t>
  </si>
  <si>
    <t>Paseo de los robles #188 Coto Helechos Casa 100 Zapopan</t>
  </si>
  <si>
    <t>Sala 5 p t r, Coj, Tapete sint Eco</t>
  </si>
  <si>
    <t>Carlos Vieira / Bio Simex</t>
  </si>
  <si>
    <t>33-1944-7141</t>
  </si>
  <si>
    <t>Av Vallarta #7345 B Col. Cd Granja Zapopan</t>
  </si>
  <si>
    <t>Av Tepeyac #225 Consul 4 Col Chapalita Zapopan</t>
  </si>
  <si>
    <t>2 Tapetes sint Extracc, Healty</t>
  </si>
  <si>
    <t>404/22</t>
  </si>
  <si>
    <t>405/22</t>
  </si>
  <si>
    <t>406/22</t>
  </si>
  <si>
    <t>Int de tela de pick up doble cabina, Prot</t>
  </si>
  <si>
    <t>Clansi Alvarez / Acervo Central Living</t>
  </si>
  <si>
    <t>33-3489-2653</t>
  </si>
  <si>
    <t>Federalismo #1008 Col Artesanos Gdl</t>
  </si>
  <si>
    <t>Sala 4 p t r, Coj, Silla de piel, coj, Tapete sint Senc</t>
  </si>
  <si>
    <t>Renato Gtz</t>
  </si>
  <si>
    <t>42-5979-6008</t>
  </si>
  <si>
    <t>Paseo de la cañada sur #30 Torre Roble depto 601 La Cima Zapopan</t>
  </si>
  <si>
    <t>Sala 5 p r r, Tapete lana Eco</t>
  </si>
  <si>
    <t>Margarita Aceves</t>
  </si>
  <si>
    <t>33-3815-3726</t>
  </si>
  <si>
    <t>Colomos #2179 Col Villas del Country Zapopan</t>
  </si>
  <si>
    <t>No se llama, viejitos MUY exigentes y alfombra MUY vieja</t>
  </si>
  <si>
    <t>Pablo Casals #712 Int 701 Zapopan</t>
  </si>
  <si>
    <t>2 tapetes de algodón, Healty</t>
  </si>
  <si>
    <t>Lilia Esthela Bayardo Rdz</t>
  </si>
  <si>
    <t>33-1085-6307</t>
  </si>
  <si>
    <t>Serbia #46 Depto 10 Col. Loma Bca Zapopan</t>
  </si>
  <si>
    <t>Colchón QS Prem, PURT</t>
  </si>
  <si>
    <t>José Luis Oliver</t>
  </si>
  <si>
    <t>55-2882-8032</t>
  </si>
  <si>
    <t>Circuito del Bosque #194 Col. Bosques Vallarta Zapoapn</t>
  </si>
  <si>
    <t>Hacienda San Acacio Casa 100 Col. La Mojonera Zapoapn</t>
  </si>
  <si>
    <t>Sala 3 p t r Senc, Sala 10 p t r Prot</t>
  </si>
  <si>
    <t>Marisol Vallarta</t>
  </si>
  <si>
    <t>33-3119-3463</t>
  </si>
  <si>
    <t>Piscis #343 Col. Juan Manuel Vallarta Zapopan</t>
  </si>
  <si>
    <t>Sala 5 p t f, Chaise Lounge Eco</t>
  </si>
  <si>
    <t>Casino</t>
  </si>
  <si>
    <t xml:space="preserve">Funda de futón, Eco PURT </t>
  </si>
  <si>
    <t>Ma Teresa López Sanchez / Cristina</t>
  </si>
  <si>
    <t>33-1399-2245</t>
  </si>
  <si>
    <t>Gaspar Bolaños #741 Col Jardines Alcalde, Gdl</t>
  </si>
  <si>
    <t>Sala 2 p t f, Tapete sint Senc</t>
  </si>
  <si>
    <t>Gloria Cruz</t>
  </si>
  <si>
    <t>33-1295-3390</t>
  </si>
  <si>
    <t>Av Paseo Solares #734 Fracc Solares Zapopan</t>
  </si>
  <si>
    <t>Sala 5 p t f, Coj, Colchón Ind, Tab, Silla secret, Porta bb, Eco</t>
  </si>
  <si>
    <t>407/22</t>
  </si>
  <si>
    <t>408/22</t>
  </si>
  <si>
    <t>409/22</t>
  </si>
  <si>
    <t>410/22</t>
  </si>
  <si>
    <t>411/22</t>
  </si>
  <si>
    <t>412/22</t>
  </si>
  <si>
    <t>413/22</t>
  </si>
  <si>
    <t>414/22</t>
  </si>
  <si>
    <t>Interior tela camioneta, Prot</t>
  </si>
  <si>
    <t>Se manda WA, le gusó mucho, quedó muy contenta</t>
  </si>
  <si>
    <t>Guillermina Aguirre</t>
  </si>
  <si>
    <t>33-1479-5225</t>
  </si>
  <si>
    <t>Ermita #1630 Int D Col Chapalita Zapopan</t>
  </si>
  <si>
    <t>Sala 2 p t f, Prot, PURT</t>
  </si>
  <si>
    <t>Isela Mojica / Speak Cominnications</t>
  </si>
  <si>
    <t>7 tapetes lana, 1 tapete sint Eco</t>
  </si>
  <si>
    <t>33-1985-9716</t>
  </si>
  <si>
    <t>Torre Celtis Piso 9 Av Real Acueducto #240 Zapopán</t>
  </si>
  <si>
    <t>Colchon cuna, Base, cabecera mat, Sillas a y r, Senc</t>
  </si>
  <si>
    <t>Rocío Zepeda</t>
  </si>
  <si>
    <t>415/22</t>
  </si>
  <si>
    <t>Carla Menchaca</t>
  </si>
  <si>
    <t>33-3157-7729</t>
  </si>
  <si>
    <t>Sala 5 p t r, Tab, Sillas a y r Prot</t>
  </si>
  <si>
    <t>Adriana García</t>
  </si>
  <si>
    <t>61-2156-8792</t>
  </si>
  <si>
    <t>Av Novelistas #5646 Int 119 Zapopan</t>
  </si>
  <si>
    <t>Sala 2 p t f, Reposet, Prem</t>
  </si>
  <si>
    <t>Andrea Elizondo</t>
  </si>
  <si>
    <t>22-9915-2836</t>
  </si>
  <si>
    <t>Valle de Bravo #2297 Col. Jardines del Valle Zapopan</t>
  </si>
  <si>
    <t>33-1761-0951</t>
  </si>
  <si>
    <t>Rinc de Bugambilias #3566 Col. Sta Rita Zapopan</t>
  </si>
  <si>
    <t>Alfombra, Senc, PURT</t>
  </si>
  <si>
    <t>Nayeli Jocelyn Tapia González / industrial Pecuaria Los Altos</t>
  </si>
  <si>
    <t>Beatriz Mtz / Darío Treviño</t>
  </si>
  <si>
    <t>33-3954-5294</t>
  </si>
  <si>
    <t>G-1 #1995  Col Jardines del Country Gdl</t>
  </si>
  <si>
    <t>2 Colchón Mat, Senc</t>
  </si>
  <si>
    <t>Se manda WA, quedó super bien</t>
  </si>
  <si>
    <t>Se manda WA, quedó muy limpia y con muy buen olor</t>
  </si>
  <si>
    <t>416/22</t>
  </si>
  <si>
    <t>417/22</t>
  </si>
  <si>
    <t>418/22</t>
  </si>
  <si>
    <t>419/22</t>
  </si>
  <si>
    <t>420/22</t>
  </si>
  <si>
    <t>421/22</t>
  </si>
  <si>
    <t>Fernanda de la Hoya</t>
  </si>
  <si>
    <t>33-2388-8063</t>
  </si>
  <si>
    <t>Jardín Real Coto 8 Geranio # 39 Col. Valle Real Zapopan</t>
  </si>
  <si>
    <t>Colchón Mat Prem</t>
  </si>
  <si>
    <t>33-2617-6975</t>
  </si>
  <si>
    <t>Av Las Palmas #100 casa 42 Fracc Villa Col. Santa Fe Zapopan</t>
  </si>
  <si>
    <t>Alfombra Prot</t>
  </si>
  <si>
    <t>Alfombra Senc, Tapete de lana Prot</t>
  </si>
  <si>
    <t>Arcelio Orozco</t>
  </si>
  <si>
    <t>33-1112-7070</t>
  </si>
  <si>
    <t>Paseo Sn Arturo Pte #190 Casa 18 Coto Almendros Col. Valle Real Zapopan</t>
  </si>
  <si>
    <t>Sala 7 p t r, Coj Senc</t>
  </si>
  <si>
    <t>Pta Plata Luna  casa 14 Zapopan</t>
  </si>
  <si>
    <t>Sala 6 p a r, Banca, Sala 6 p t f, Senc</t>
  </si>
  <si>
    <t>Lupita Vázquez</t>
  </si>
  <si>
    <t>33-3171-7562</t>
  </si>
  <si>
    <t>Alfredo Carrasco #23 Col. Ladrón de Guevara Zapopan</t>
  </si>
  <si>
    <t>Colchón KS, Eco, Sillas secre, Sillas s a, Senc</t>
  </si>
  <si>
    <t>422/22</t>
  </si>
  <si>
    <t>Sala 6 p t r, Prot</t>
  </si>
  <si>
    <t>Se manda WA, le quedaron manchas, pero bien</t>
  </si>
  <si>
    <t>423/22</t>
  </si>
  <si>
    <t>424/22</t>
  </si>
  <si>
    <t>425/22</t>
  </si>
  <si>
    <t>426/22</t>
  </si>
  <si>
    <t>427/22</t>
  </si>
  <si>
    <t>428/22</t>
  </si>
  <si>
    <t>429/22</t>
  </si>
  <si>
    <t>Interior de tela auto grande Eco</t>
  </si>
  <si>
    <t>Janny Gaxiola de Corona</t>
  </si>
  <si>
    <t>33-3189-1739</t>
  </si>
  <si>
    <t>Lago Constanza #2688 Col. Lagos Country Zapopan</t>
  </si>
  <si>
    <t>Sala 6 p r r, Coj Senc</t>
  </si>
  <si>
    <t>Antonio Marmolejo Rodriguez</t>
  </si>
  <si>
    <t>47-3756-0508</t>
  </si>
  <si>
    <t>Sta Rosa de Lima #4022 Col Camino Real Depto 401- A Zapopan</t>
  </si>
  <si>
    <t>Sala 3 p r r Prot</t>
  </si>
  <si>
    <t>Carlos Peña</t>
  </si>
  <si>
    <t>Volcán de Sn Fco #95 Casa 8 Col Huentitán Zapopan</t>
  </si>
  <si>
    <t xml:space="preserve">Colchón QS, Eco, Sala 4 p r r, Cama abajo, Protex </t>
  </si>
  <si>
    <t>Sala 3 p r r, colchón Ind Senc</t>
  </si>
  <si>
    <t>Joanna Aldama</t>
  </si>
  <si>
    <t>33-1864-3974</t>
  </si>
  <si>
    <t>Camino del Portugués #413 Col. Sn Martín del Tajo Tlaj</t>
  </si>
  <si>
    <t>Sala 2 p r r, Tapete sint Eco</t>
  </si>
  <si>
    <t>Se manda WA, muy bien y muy amables</t>
  </si>
  <si>
    <t>Marianna Vázquez Mtz</t>
  </si>
  <si>
    <t>33-1888-0504</t>
  </si>
  <si>
    <t>Lobby 33 Depto 2007 Andares Zapopan</t>
  </si>
  <si>
    <t>Sala 5 p t f, Coj Senc</t>
  </si>
  <si>
    <t>Se manda WA, todo perfecto, muy serio el personal</t>
  </si>
  <si>
    <t>430/22</t>
  </si>
  <si>
    <t>431/22</t>
  </si>
  <si>
    <t>432/22</t>
  </si>
  <si>
    <t>433/22</t>
  </si>
  <si>
    <t>434/22</t>
  </si>
  <si>
    <t>435/22</t>
  </si>
  <si>
    <t>436/22</t>
  </si>
  <si>
    <t>437/22</t>
  </si>
  <si>
    <t>438/22</t>
  </si>
  <si>
    <t>439/22</t>
  </si>
  <si>
    <t>440/22</t>
  </si>
  <si>
    <t>441/22</t>
  </si>
  <si>
    <t>442/22</t>
  </si>
  <si>
    <t>443/22</t>
  </si>
  <si>
    <t>444/22</t>
  </si>
  <si>
    <t>445/22</t>
  </si>
  <si>
    <t>446/22</t>
  </si>
  <si>
    <t>447/22</t>
  </si>
  <si>
    <t>448/22</t>
  </si>
  <si>
    <t>Muebles Diego / Susana Nayeli Guzmán / Adán Solís</t>
  </si>
  <si>
    <t>33-3158-6327</t>
  </si>
  <si>
    <t>Porfirio Diaz #340 Col. Reforma (Oblatos) Gdl</t>
  </si>
  <si>
    <t>9 tapetes sint Senc</t>
  </si>
  <si>
    <t>Ofelia Muñoz</t>
  </si>
  <si>
    <t>31-2317-4097</t>
  </si>
  <si>
    <t>Sendero de los Abedules #158 Coto Cataluña Pte de Hierro Zapopan</t>
  </si>
  <si>
    <t>Sala 10 p a r, Sillas a y r, Sillas a y r, tab, tapete sint Prot, Coj Protex</t>
  </si>
  <si>
    <t>Repetira</t>
  </si>
  <si>
    <t>Marisol Aguilar Nungaray</t>
  </si>
  <si>
    <t>37-4103-8592</t>
  </si>
  <si>
    <t>Las torres #396 Av Gral Ramón Corona La Mojonera Zapopan</t>
  </si>
  <si>
    <t>Isela Mojica / Speak Communications</t>
  </si>
  <si>
    <t>Silla ejec, 8 Sala 1 p t f, Silla secre, Silla s a, Prot</t>
  </si>
  <si>
    <t>Joaquín Manzanares</t>
  </si>
  <si>
    <t>33-3459-7561</t>
  </si>
  <si>
    <t>José Ma Letena #240 Col. Lomas del Paraiso Gdl</t>
  </si>
  <si>
    <t>Sala 6 p a r, Senc</t>
  </si>
  <si>
    <t>47-7136-2372</t>
  </si>
  <si>
    <t>Abedules #106 Coto Cataluña Pta de Hierro Zapopan</t>
  </si>
  <si>
    <t>Tapete de lana Senc, PURT</t>
  </si>
  <si>
    <t>Av Pablo Casals #712 Depto 701 Col. Prados Providencia Zapopan</t>
  </si>
  <si>
    <t>Magda Aviña</t>
  </si>
  <si>
    <t>33-3167-7950</t>
  </si>
  <si>
    <t>Mar del norte #2060 Casa 2 Col Contry Club Zapopan</t>
  </si>
  <si>
    <t>Juan Manuel Serrato</t>
  </si>
  <si>
    <t>33-1126-2284</t>
  </si>
  <si>
    <t>Rinc de la foresta #1366 Edif 11 Depto 1122 Col Ric del Bosque Zapopan</t>
  </si>
  <si>
    <t xml:space="preserve">Colchón QS Prem </t>
  </si>
  <si>
    <t>Agustín González</t>
  </si>
  <si>
    <t>33-3259-1527</t>
  </si>
  <si>
    <t>Olivos #170 Fracc Real Cantabria Zapopan</t>
  </si>
  <si>
    <t>Sala 6 p t f, Sillas a y r Senc</t>
  </si>
  <si>
    <t>Luis Eduardo Navarro Santana</t>
  </si>
  <si>
    <t>33-1411-8594</t>
  </si>
  <si>
    <t>Obreros de Cananea #1556-94 Coto Pueblo Bonito Gdl</t>
  </si>
  <si>
    <t>3 Reposet Prot, aspirado colchón Mat</t>
  </si>
  <si>
    <t>Se manda WA, buen trabajo</t>
  </si>
  <si>
    <t>Se manda WA, Super recomendables! Le encantó</t>
  </si>
  <si>
    <t>2 Sala 1 p t f, Sala 8 p a r, futón, Tapete de lana Prot, Coj Protex</t>
  </si>
  <si>
    <t>Se manda WA, muy bien y satisfecho</t>
  </si>
  <si>
    <t>Humberto Lafarga</t>
  </si>
  <si>
    <t>66-7336-3856</t>
  </si>
  <si>
    <t>Paseo Valle Real #900 Torre Eleve Depto 5-A Zapopan</t>
  </si>
  <si>
    <t>Sala 5 p t r, Eco</t>
  </si>
  <si>
    <t>Ma Guadalupe Estrada García</t>
  </si>
  <si>
    <t>33-1011-6746</t>
  </si>
  <si>
    <t>Sn Celso #2308 Col Sn Vicente Gdl</t>
  </si>
  <si>
    <t>Sillas a y r, Sala 1 p a r, Prot</t>
  </si>
  <si>
    <t>Isidro Camarena</t>
  </si>
  <si>
    <t>33-1157-3071</t>
  </si>
  <si>
    <t>Coto Rincón del Paraiso, Golondrina #26 Tonalá</t>
  </si>
  <si>
    <t>Sala 1 p t f, 2 reposet Prem</t>
  </si>
  <si>
    <t>2 tapates de lana Eco</t>
  </si>
  <si>
    <t>Se manda WA, quedaron alguna manchas</t>
  </si>
  <si>
    <t>Carlos Carrillo</t>
  </si>
  <si>
    <t>33-2529-5879</t>
  </si>
  <si>
    <t>Fermín Riestra #133 Int 7 Zapopan</t>
  </si>
  <si>
    <t>2 tapetes sint, tapete de lana Healty</t>
  </si>
  <si>
    <t>Quedó una mancha</t>
  </si>
  <si>
    <t>Sala 5 p t r Protex</t>
  </si>
  <si>
    <t>Fátima Yasmeen López González</t>
  </si>
  <si>
    <t>33-1197-3965</t>
  </si>
  <si>
    <t>Paseo Sn Atilio #2573 Col Valle Real Zapopan</t>
  </si>
  <si>
    <t>Sala 6 p a r, Reposet, Piel, Sala 8 p t f, 4 Sala 1 p t f, Sillas s a, Prem</t>
  </si>
  <si>
    <t>449/50</t>
  </si>
  <si>
    <t>Julia Rodríguez</t>
  </si>
  <si>
    <t>Se manda WA, todo muy bien, le gustó mucho</t>
  </si>
  <si>
    <t>450/22</t>
  </si>
  <si>
    <t>451/22</t>
  </si>
  <si>
    <t>452/22</t>
  </si>
  <si>
    <t>453/22</t>
  </si>
  <si>
    <t>454/22</t>
  </si>
  <si>
    <t>455/22</t>
  </si>
  <si>
    <t>456/22</t>
  </si>
  <si>
    <t>457/22</t>
  </si>
  <si>
    <t>458/22</t>
  </si>
  <si>
    <t>459/22</t>
  </si>
  <si>
    <t>460/22</t>
  </si>
  <si>
    <t>461/22</t>
  </si>
  <si>
    <t>462/22</t>
  </si>
  <si>
    <t>463/22</t>
  </si>
  <si>
    <t>464/22</t>
  </si>
  <si>
    <t>465/22</t>
  </si>
  <si>
    <t>466/22</t>
  </si>
  <si>
    <t>467/22</t>
  </si>
  <si>
    <t>468/22</t>
  </si>
  <si>
    <t>469/22</t>
  </si>
  <si>
    <t>470/22</t>
  </si>
  <si>
    <t>471/22</t>
  </si>
  <si>
    <t>David Cano Jiménez</t>
  </si>
  <si>
    <t>33-1145-7626</t>
  </si>
  <si>
    <t>Prol Pinosurez #1278 Int 16 Col. Conj Los Laureles Zapopan</t>
  </si>
  <si>
    <t>Sala 4 p r r, Cama interior Senc, PURT</t>
  </si>
  <si>
    <t>Erika Jiménez</t>
  </si>
  <si>
    <t>33-3390-9756</t>
  </si>
  <si>
    <t>Laredo #1756 Coto Montecarlo I Tonalá</t>
  </si>
  <si>
    <t>Joe</t>
  </si>
  <si>
    <t>33-1148-2909</t>
  </si>
  <si>
    <t>Calle Laurel #708 Col Mariano Otero Gdl</t>
  </si>
  <si>
    <t>Colchón mat, Futón, Senc</t>
  </si>
  <si>
    <t>Av Paseo Valle Real #3000 Casa 92 Fracc Reserva real Zapopan</t>
  </si>
  <si>
    <t>Tapete algodón, Tapete sint Prem</t>
  </si>
  <si>
    <t>Estela Alvarez</t>
  </si>
  <si>
    <t>33-1809-9630</t>
  </si>
  <si>
    <t>Taladro #1221 Col. Alamo Industrial Gdl</t>
  </si>
  <si>
    <t>Bertha Alicia Enriquez</t>
  </si>
  <si>
    <t>32-2182-3685</t>
  </si>
  <si>
    <t>Fray Juan de Zumárraga #905-4PB Gdl</t>
  </si>
  <si>
    <t>Sala 5 p t f, Coj, Colchon QS, KS, Interior coche chico Senc</t>
  </si>
  <si>
    <t>Los colchones muy bien, la sala dura</t>
  </si>
  <si>
    <t>37 sillas secre Prot</t>
  </si>
  <si>
    <t>Ahtziri Mejía Ponce</t>
  </si>
  <si>
    <t>33-2637-6838</t>
  </si>
  <si>
    <t>Fermín Riestra #1526 Col Moderna Gdl</t>
  </si>
  <si>
    <t>Luisa Fernanda</t>
  </si>
  <si>
    <t>55-2344-2867</t>
  </si>
  <si>
    <t>Eva Briseño #332 Int 17 Col Sta Fe Zapopan</t>
  </si>
  <si>
    <t>Tapete de lana Prot</t>
  </si>
  <si>
    <t>Eloy Cabrera</t>
  </si>
  <si>
    <t>33-3499-6254</t>
  </si>
  <si>
    <t>Calle Montaña de Sta Ana #1 Coto 1 Fracc Villa California Tlaj</t>
  </si>
  <si>
    <t>Sala 6 p t f Piel, Sillas A y r Healty</t>
  </si>
  <si>
    <t>Se manda WA, no le gusto</t>
  </si>
  <si>
    <t>472/22</t>
  </si>
  <si>
    <t>473/22</t>
  </si>
  <si>
    <t>474/22</t>
  </si>
  <si>
    <t>475/22</t>
  </si>
  <si>
    <t>476/22</t>
  </si>
  <si>
    <t>Luis Ramírez / Vinosanto</t>
  </si>
  <si>
    <t>33-1417-8584</t>
  </si>
  <si>
    <t>Sn Jacinto #881 Col Jardines de la Paz Gdl</t>
  </si>
  <si>
    <t>Todo bien, pero caro</t>
  </si>
  <si>
    <t>Se manda WA, arugado, deshilachado, se notan mas las manchas</t>
  </si>
  <si>
    <t>Sala 3 p r r Senc, PURT</t>
  </si>
  <si>
    <t>Sara Moreno</t>
  </si>
  <si>
    <t>33-1458-1758</t>
  </si>
  <si>
    <t>Agua Escondida #2494-A Col. El Campanario Zapopan</t>
  </si>
  <si>
    <t>2 tapetes de lana, 2 taptese sint, Senc,  silla s a, Prot</t>
  </si>
  <si>
    <t>Azul Miramontes</t>
  </si>
  <si>
    <t>33-1158-4745</t>
  </si>
  <si>
    <t>Padre Xavier Scheifer de Amezaga #625 Col Parques del Bosque Tlaq</t>
  </si>
  <si>
    <t>Colchón Mat, Cabecera Senc</t>
  </si>
  <si>
    <t>Martha Ruvalcaba</t>
  </si>
  <si>
    <t>33-1071-4736</t>
  </si>
  <si>
    <t>Aurora Boreal #3661 Col Arboledas Zapopan</t>
  </si>
  <si>
    <t xml:space="preserve">Sala 6 p t f Prot </t>
  </si>
  <si>
    <t>477/22</t>
  </si>
  <si>
    <t>478/22</t>
  </si>
  <si>
    <t>479/22</t>
  </si>
  <si>
    <t>480/22</t>
  </si>
  <si>
    <t>481/22</t>
  </si>
  <si>
    <t>482/22</t>
  </si>
  <si>
    <t>483/22</t>
  </si>
  <si>
    <t>484/22</t>
  </si>
  <si>
    <t>485/22</t>
  </si>
  <si>
    <t>486/22</t>
  </si>
  <si>
    <t>487/22</t>
  </si>
  <si>
    <t>488/22</t>
  </si>
  <si>
    <t>489/22</t>
  </si>
  <si>
    <t>490/22</t>
  </si>
  <si>
    <t>Juan Carlos Gómez</t>
  </si>
  <si>
    <t>33-1599-4234</t>
  </si>
  <si>
    <t>Blvd Jardín Real Pte #933 Fracc Jardín Real Zapopan</t>
  </si>
  <si>
    <t>Sala 7 p t f, Sala 6 p r r Senc</t>
  </si>
  <si>
    <t>Se manda WA, nos felicitó</t>
  </si>
  <si>
    <t>Laura Leticia Ramos</t>
  </si>
  <si>
    <t>33-1163-0038</t>
  </si>
  <si>
    <t>Calle Jardín #33 Col Lindavista, Tlaquepaque</t>
  </si>
  <si>
    <t>Tapete Sint Healty PURT</t>
  </si>
  <si>
    <t>Sala 7 p t r, Eco, Sala 7 p t f Protex</t>
  </si>
  <si>
    <t>Juan Manuel Saavedra / Carolina</t>
  </si>
  <si>
    <t>33-1172-4823</t>
  </si>
  <si>
    <t>Calle Olmo #1573 Col. Del Fresno Gdl</t>
  </si>
  <si>
    <t>Sala 3 p a r, Prot</t>
  </si>
  <si>
    <t>Mónica Pérez</t>
  </si>
  <si>
    <t>33-1845-1069</t>
  </si>
  <si>
    <t>Morelo #2129 Depto 9 Col Arcos Vallarta Zapopan</t>
  </si>
  <si>
    <t>Se manda WA, se salió a trabajar</t>
  </si>
  <si>
    <t>Morelos #2129 Depto 9 Col. Arcos Vallarta Zapopan</t>
  </si>
  <si>
    <t>Colchón KS, Healty,  Sala 6 p t f, Cabecera KS, Prot Sala 1 p t f, Senc</t>
  </si>
  <si>
    <t>Mari Mendoza</t>
  </si>
  <si>
    <t>33-1183-8177</t>
  </si>
  <si>
    <t>Blvd Mirasierra #94 Casa 13 Prol Río Bco Zapopan</t>
  </si>
  <si>
    <t>Sala 7 p t f, Sala 1 p t f, Senc</t>
  </si>
  <si>
    <t>Quedaron satisfechos con el resultado</t>
  </si>
  <si>
    <t>Alicia Solís Quintanar</t>
  </si>
  <si>
    <t>33-1423-9655</t>
  </si>
  <si>
    <t>Calle Monte Calvario #273 Edif A-4 Depto 9 Col Villas de Sn juan Gdl</t>
  </si>
  <si>
    <t>Reposet, Sillas a y r Healty</t>
  </si>
  <si>
    <t>Durero #5075 Col Real Vallarta, Zapopan</t>
  </si>
  <si>
    <t>Sergio Matos</t>
  </si>
  <si>
    <t>33-3954-8873</t>
  </si>
  <si>
    <t>Calle Nebulosa #2887 Col Jardines del Bosque, Zapopan</t>
  </si>
  <si>
    <t>Sala 5 p a y r, tab, Sala 1 p t f, Prot</t>
  </si>
  <si>
    <t>Era cliente de Archie, no le contestó y se qudó con nosotros</t>
  </si>
  <si>
    <t>Gloria Gutiérrez</t>
  </si>
  <si>
    <t>Catalina Morfín</t>
  </si>
  <si>
    <t>33-1486-3234</t>
  </si>
  <si>
    <t>Cuauhtemoc #1057 Col Cd de los niños, Zapopan</t>
  </si>
  <si>
    <t>Sala 2 p a r, Sala 5 p t r, Sala 1 p t r,Sala 1 p t f, Silla s a, Prot</t>
  </si>
  <si>
    <t>Silla a y r, Banca, Colchón mat, Senc</t>
  </si>
  <si>
    <t>Blanca Alicia Pérez Ureda</t>
  </si>
  <si>
    <t>33-1850-4137</t>
  </si>
  <si>
    <t>Valle del Balsas #2195 Col. Jardines del Valle Zapopan</t>
  </si>
  <si>
    <t>Sala 6 p t f, Tapete sint , Senc</t>
  </si>
  <si>
    <t>Le gustó mucho, 100% recomendable</t>
  </si>
  <si>
    <t>Sala 4 p t f, Prot</t>
  </si>
  <si>
    <t>Blanca Estela Becerra Asencio</t>
  </si>
  <si>
    <t>33-1910-0934</t>
  </si>
  <si>
    <t>Cipriano Campos #882 Col. Jardines del Nilo Gdl</t>
  </si>
  <si>
    <t>Colchón QS, Ind Senc</t>
  </si>
  <si>
    <t>Octavio Mojarro Dávila</t>
  </si>
  <si>
    <t>33-1845-5333</t>
  </si>
  <si>
    <t>Av Bosques de Sn Isidro Sur #87-1 Col. Bosques de Sn Isidro Zapopan</t>
  </si>
  <si>
    <t>4 tapetes de lana senc</t>
  </si>
  <si>
    <t>Karen Estrada</t>
  </si>
  <si>
    <t>33-2567-8107</t>
  </si>
  <si>
    <t>Vista al atardecer #1976 Coto Jacarandas, Gdl</t>
  </si>
  <si>
    <t>Colchón Mat, Ind, Eco</t>
  </si>
  <si>
    <t>Le gustó mucho, quedaronmuy bien</t>
  </si>
  <si>
    <t>Martín Arballo Luján</t>
  </si>
  <si>
    <t>Nicolás Copérnico 943 A Depto 1005 Torre Sur Col Atlas Chapalita Zapopan</t>
  </si>
  <si>
    <t>Sala 6 p t f, Tapete de lana, Tapete sint, Prem PURT</t>
  </si>
  <si>
    <t>Se manda WA, satisfecha y recomienda ampliamente</t>
  </si>
  <si>
    <t>33-2684-4511</t>
  </si>
  <si>
    <t>Fray Juan de Zumárraga #639 Col Chapalita Gdl</t>
  </si>
  <si>
    <t xml:space="preserve">Sala 3 p t f, Eco  </t>
  </si>
  <si>
    <t>Alicia Galindo</t>
  </si>
  <si>
    <t>33-1241-6989</t>
  </si>
  <si>
    <t>Agustín Rivera #483 Col Centro Gdl</t>
  </si>
  <si>
    <t>Sillas a y r, Banca Healty</t>
  </si>
  <si>
    <t>Vanesa Gatica</t>
  </si>
  <si>
    <t>33-2935-7268</t>
  </si>
  <si>
    <t>Calle Granados #124 Col. Misión La Floresta, Zapopan</t>
  </si>
  <si>
    <t>Ana Leticia Pérez Magaña</t>
  </si>
  <si>
    <t>33-1140-0848</t>
  </si>
  <si>
    <t>Av 8 de Jul #796 Cond Pirineos Casa 4 Col Los Olivos, Tlaque</t>
  </si>
  <si>
    <t>3 colchon Mat, 1 Ind, Futón, Cama abajo, Eco, Sala 4 p t f Piel, PURT</t>
  </si>
  <si>
    <t>Muy bien y satisfecha</t>
  </si>
  <si>
    <t>Carmen Mercado Toscano</t>
  </si>
  <si>
    <t>33-2536-7277</t>
  </si>
  <si>
    <t>Cam real a Colima #193 Int 18 Geovillas del real Tlaque</t>
  </si>
  <si>
    <t>Sala 4 p t f, Sala 4 p r r, Colchón ind Prot</t>
  </si>
  <si>
    <t>491/22</t>
  </si>
  <si>
    <t>492/22</t>
  </si>
  <si>
    <t>493/22</t>
  </si>
  <si>
    <t>Alfombra, Prot</t>
  </si>
  <si>
    <t>Gustavo De Alva / Grupo Vaz</t>
  </si>
  <si>
    <t>33-1601-8883</t>
  </si>
  <si>
    <t>Blvrd Pta de Hierro #5153 Piso 20 Zapopan</t>
  </si>
  <si>
    <t>Santiago Cumplido</t>
  </si>
  <si>
    <t>33-3841-0101</t>
  </si>
  <si>
    <t>Cititower Av Méx #2582 Depto 12-A Torre 200 Zapopan</t>
  </si>
  <si>
    <t>2 tapetes de algodón, 1 tapete sint Prem</t>
  </si>
  <si>
    <t>Natalia Cervantes</t>
  </si>
  <si>
    <t>33-1178-1998</t>
  </si>
  <si>
    <t>Av Royal Country #4650 Piso 16 Col. Royal Country, Torre Inbursa, Zapopan</t>
  </si>
  <si>
    <t>Se manda WA, no contesto</t>
  </si>
  <si>
    <t>Se manda WA, muy contento con el servicio</t>
  </si>
  <si>
    <t>Se manda WA, muy bien, pero quedaron con un olor, lo van a revisar en unos dias</t>
  </si>
  <si>
    <t>494/22</t>
  </si>
  <si>
    <t>495/22</t>
  </si>
  <si>
    <t>Patricia Diaz Bringas</t>
  </si>
  <si>
    <t>33-3662-9188</t>
  </si>
  <si>
    <t>Hidalgo #903 Esq Cruz Vde Col Centro Gdl</t>
  </si>
  <si>
    <t>Maristas</t>
  </si>
  <si>
    <t>Karla García</t>
  </si>
  <si>
    <t>33-3662-1348</t>
  </si>
  <si>
    <t>Camino arenero #1051 Int 59 Col Fronda Residencial Zapopan</t>
  </si>
  <si>
    <t>2 tapetes sint, Silla a y r Senc</t>
  </si>
  <si>
    <t>2 tapetes sint, silla a y r, Senc</t>
  </si>
  <si>
    <t>496/22</t>
  </si>
  <si>
    <t>Natalia Hernández</t>
  </si>
  <si>
    <t>33-3780-1991</t>
  </si>
  <si>
    <t>Valle Sn Marcos #100 Int D3 Rinc de los fresnos, Zapopan</t>
  </si>
  <si>
    <t>Sala 2 p r r, Sala 1 p t f, tapete de lana Senc</t>
  </si>
  <si>
    <t>Se manda &lt;wa</t>
  </si>
  <si>
    <t>Sala 2 p r r, Sala 1 p t f, Tapete lana Senc</t>
  </si>
  <si>
    <t>1.5 Año</t>
  </si>
  <si>
    <t>497/22</t>
  </si>
  <si>
    <t>Karina Ramos</t>
  </si>
  <si>
    <t>33-2506-5357</t>
  </si>
  <si>
    <t>Arboreto Res Av Sn Ignacio #466 Int 65 Col Jardines de las fuentes, Zapopan</t>
  </si>
  <si>
    <t>2 tapetes sint, Eco PURT</t>
  </si>
  <si>
    <t>2 tapetes de lana, 2 tapetes sint, Senc,  silla s a, Prot</t>
  </si>
  <si>
    <t>Tapete / Sala</t>
  </si>
  <si>
    <t>Senc / Prot</t>
  </si>
  <si>
    <t>Giselle Carrillo Gama</t>
  </si>
  <si>
    <t>2 Años</t>
  </si>
  <si>
    <t>OK</t>
  </si>
  <si>
    <t>2.5 Años</t>
  </si>
  <si>
    <t>3 Años</t>
  </si>
  <si>
    <t>33-2182-7150</t>
  </si>
  <si>
    <t>3.5 Años</t>
  </si>
  <si>
    <t>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</si>
</sst>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$&quot;* #,##0.00_-;\-&quot;$&quot;* #,##0.00_-;_-&quot;$&quot;* &quot;-&quot;??_-;_-@_-"/>
    <numFmt numFmtId="164" formatCode="_-[$$-80A]* #,##0.00_-;\-[$$-80A]* #,##0.00_-;_-[$$-80A]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9">
    <xf numFmtId="0" fontId="0" fillId="0" borderId="0" xfId="0"/>
    <xf numFmtId="0" fontId="2" fillId="2" borderId="0" xfId="0" applyFont="1" applyFill="1" applyAlignment="1">
      <alignment wrapText="1"/>
    </xf>
    <xf numFmtId="49" fontId="2" fillId="2" borderId="0" xfId="0" applyNumberFormat="1" applyFont="1" applyFill="1" applyAlignment="1">
      <alignment wrapText="1"/>
    </xf>
    <xf numFmtId="14" fontId="2" fillId="2" borderId="0" xfId="0" applyNumberFormat="1" applyFont="1" applyFill="1" applyAlignment="1">
      <alignment wrapText="1"/>
    </xf>
    <xf numFmtId="0" fontId="2" fillId="2" borderId="0" xfId="0" applyFont="1" applyFill="1"/>
    <xf numFmtId="164" fontId="2" fillId="2" borderId="0" xfId="1" applyNumberFormat="1" applyFont="1" applyFill="1"/>
    <xf numFmtId="44" fontId="2" fillId="2" borderId="0" xfId="1" applyFont="1" applyFill="1" applyAlignment="1">
      <alignment wrapText="1"/>
    </xf>
    <xf numFmtId="9" fontId="2" fillId="2" borderId="0" xfId="2" applyFont="1" applyFill="1"/>
    <xf numFmtId="0" fontId="1" fillId="0" borderId="0" xfId="0" applyFont="1"/>
    <xf numFmtId="49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0" fillId="0" borderId="0" xfId="0" applyFont="1"/>
    <xf numFmtId="0" fontId="0" fillId="0" borderId="1" xfId="0" applyFont="1" applyBorder="1"/>
    <xf numFmtId="9" fontId="0" fillId="0" borderId="2" xfId="2" applyFont="1" applyBorder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4" xfId="0" applyFont="1" applyBorder="1"/>
    <xf numFmtId="164" fontId="0" fillId="0" borderId="5" xfId="2" applyNumberFormat="1" applyFont="1" applyBorder="1"/>
    <xf numFmtId="0" fontId="0" fillId="0" borderId="0" xfId="0" applyBorder="1"/>
    <xf numFmtId="9" fontId="0" fillId="0" borderId="5" xfId="2" applyFont="1" applyBorder="1"/>
    <xf numFmtId="1" fontId="0" fillId="0" borderId="0" xfId="0" applyNumberFormat="1"/>
    <xf numFmtId="0" fontId="0" fillId="0" borderId="6" xfId="0" applyFont="1" applyBorder="1"/>
    <xf numFmtId="44" fontId="0" fillId="0" borderId="7" xfId="1" applyFont="1" applyBorder="1"/>
    <xf numFmtId="9" fontId="0" fillId="0" borderId="0" xfId="2" applyFont="1"/>
    <xf numFmtId="0" fontId="0" fillId="0" borderId="8" xfId="0" applyBorder="1"/>
    <xf numFmtId="9" fontId="0" fillId="0" borderId="7" xfId="2" applyFont="1" applyBorder="1"/>
    <xf numFmtId="0" fontId="0" fillId="0" borderId="4" xfId="0" applyBorder="1"/>
    <xf numFmtId="49" fontId="0" fillId="0" borderId="4" xfId="0" applyNumberFormat="1" applyBorder="1"/>
    <xf numFmtId="0" fontId="0" fillId="0" borderId="6" xfId="0" applyBorder="1"/>
    <xf numFmtId="49" fontId="0" fillId="0" borderId="6" xfId="0" applyNumberFormat="1" applyBorder="1"/>
    <xf numFmtId="49" fontId="0" fillId="0" borderId="1" xfId="0" applyNumberFormat="1" applyBorder="1"/>
    <xf numFmtId="49" fontId="0" fillId="0" borderId="4" xfId="0" applyNumberFormat="1" applyFont="1" applyBorder="1"/>
    <xf numFmtId="49" fontId="0" fillId="0" borderId="6" xfId="0" applyNumberFormat="1" applyFont="1" applyBorder="1"/>
    <xf numFmtId="49" fontId="0" fillId="0" borderId="0" xfId="0" applyNumberFormat="1" applyFont="1"/>
    <xf numFmtId="49" fontId="0" fillId="0" borderId="1" xfId="0" applyNumberFormat="1" applyFont="1" applyBorder="1"/>
    <xf numFmtId="49" fontId="0" fillId="0" borderId="0" xfId="0" applyNumberFormat="1" applyBorder="1"/>
    <xf numFmtId="9" fontId="0" fillId="0" borderId="0" xfId="2" applyFont="1" applyBorder="1"/>
    <xf numFmtId="0" fontId="0" fillId="3" borderId="9" xfId="0" applyFill="1" applyBorder="1"/>
    <xf numFmtId="44" fontId="3" fillId="3" borderId="9" xfId="1" applyFont="1" applyFill="1" applyBorder="1"/>
    <xf numFmtId="44" fontId="0" fillId="3" borderId="9" xfId="1" applyFont="1" applyFill="1" applyBorder="1"/>
    <xf numFmtId="1" fontId="0" fillId="3" borderId="9" xfId="1" applyNumberFormat="1" applyFont="1" applyFill="1" applyBorder="1"/>
    <xf numFmtId="9" fontId="0" fillId="3" borderId="9" xfId="2" applyFont="1" applyFill="1" applyBorder="1"/>
    <xf numFmtId="44" fontId="0" fillId="0" borderId="9" xfId="1" applyFont="1" applyBorder="1"/>
    <xf numFmtId="1" fontId="0" fillId="0" borderId="9" xfId="1" applyNumberFormat="1" applyFont="1" applyBorder="1"/>
    <xf numFmtId="9" fontId="0" fillId="0" borderId="9" xfId="2" applyFont="1" applyBorder="1"/>
    <xf numFmtId="44" fontId="0" fillId="0" borderId="0" xfId="1" applyFont="1"/>
    <xf numFmtId="1" fontId="0" fillId="0" borderId="0" xfId="1" applyNumberFormat="1" applyFont="1"/>
    <xf numFmtId="0" fontId="0" fillId="3" borderId="16" xfId="0" applyFill="1" applyBorder="1"/>
    <xf numFmtId="0" fontId="0" fillId="3" borderId="15" xfId="0" applyFill="1" applyBorder="1"/>
    <xf numFmtId="9" fontId="0" fillId="0" borderId="16" xfId="2" applyFont="1" applyBorder="1"/>
    <xf numFmtId="0" fontId="0" fillId="3" borderId="17" xfId="0" applyFill="1" applyBorder="1"/>
    <xf numFmtId="9" fontId="0" fillId="0" borderId="18" xfId="2" applyFont="1" applyBorder="1"/>
    <xf numFmtId="9" fontId="0" fillId="0" borderId="19" xfId="2" applyFont="1" applyBorder="1"/>
    <xf numFmtId="1" fontId="0" fillId="3" borderId="15" xfId="0" applyNumberFormat="1" applyFill="1" applyBorder="1"/>
    <xf numFmtId="9" fontId="0" fillId="0" borderId="9" xfId="2" applyFont="1" applyFill="1" applyBorder="1"/>
    <xf numFmtId="1" fontId="0" fillId="3" borderId="17" xfId="0" applyNumberFormat="1" applyFill="1" applyBorder="1"/>
    <xf numFmtId="9" fontId="0" fillId="0" borderId="18" xfId="2" applyFont="1" applyFill="1" applyBorder="1"/>
    <xf numFmtId="0" fontId="0" fillId="3" borderId="15" xfId="0" applyFill="1" applyBorder="1" applyAlignment="1">
      <alignment horizontal="left"/>
    </xf>
    <xf numFmtId="9" fontId="0" fillId="4" borderId="9" xfId="2" applyFont="1" applyFill="1" applyBorder="1"/>
    <xf numFmtId="9" fontId="0" fillId="4" borderId="16" xfId="2" applyFont="1" applyFill="1" applyBorder="1"/>
    <xf numFmtId="9" fontId="0" fillId="0" borderId="9" xfId="2" applyNumberFormat="1" applyFont="1" applyBorder="1"/>
    <xf numFmtId="0" fontId="0" fillId="3" borderId="12" xfId="0" applyFill="1" applyBorder="1"/>
    <xf numFmtId="0" fontId="0" fillId="5" borderId="0" xfId="0" applyFill="1"/>
    <xf numFmtId="0" fontId="0" fillId="6" borderId="0" xfId="0" applyFill="1"/>
    <xf numFmtId="0" fontId="0" fillId="4" borderId="4" xfId="0" applyFill="1" applyBorder="1"/>
    <xf numFmtId="0" fontId="0" fillId="4" borderId="6" xfId="0" applyFill="1" applyBorder="1"/>
    <xf numFmtId="0" fontId="0" fillId="0" borderId="0" xfId="0" applyFill="1" applyBorder="1"/>
    <xf numFmtId="0" fontId="0" fillId="0" borderId="4" xfId="0" applyFill="1" applyBorder="1"/>
    <xf numFmtId="0" fontId="0" fillId="0" borderId="6" xfId="0" applyFill="1" applyBorder="1"/>
    <xf numFmtId="44" fontId="4" fillId="0" borderId="9" xfId="1" applyFont="1" applyBorder="1"/>
    <xf numFmtId="44" fontId="2" fillId="2" borderId="0" xfId="1" applyFont="1" applyFill="1"/>
    <xf numFmtId="44" fontId="0" fillId="0" borderId="2" xfId="1" applyFont="1" applyBorder="1"/>
    <xf numFmtId="44" fontId="0" fillId="0" borderId="5" xfId="1" applyFont="1" applyBorder="1"/>
    <xf numFmtId="44" fontId="0" fillId="4" borderId="0" xfId="1" applyFont="1" applyFill="1"/>
    <xf numFmtId="0" fontId="0" fillId="4" borderId="0" xfId="0" applyFill="1"/>
    <xf numFmtId="0" fontId="0" fillId="0" borderId="5" xfId="0" applyBorder="1"/>
    <xf numFmtId="0" fontId="0" fillId="7" borderId="0" xfId="0" applyFill="1"/>
    <xf numFmtId="0" fontId="0" fillId="8" borderId="0" xfId="0" applyFill="1"/>
    <xf numFmtId="0" fontId="0" fillId="0" borderId="1" xfId="0" applyFill="1" applyBorder="1"/>
    <xf numFmtId="164" fontId="0" fillId="0" borderId="5" xfId="0" applyNumberFormat="1" applyBorder="1"/>
    <xf numFmtId="0" fontId="0" fillId="3" borderId="0" xfId="0" applyFill="1"/>
    <xf numFmtId="0" fontId="0" fillId="0" borderId="9" xfId="0" applyBorder="1"/>
    <xf numFmtId="0" fontId="0" fillId="0" borderId="16" xfId="0" applyBorder="1"/>
    <xf numFmtId="0" fontId="0" fillId="0" borderId="18" xfId="0" applyBorder="1"/>
    <xf numFmtId="49" fontId="0" fillId="3" borderId="15" xfId="0" applyNumberFormat="1" applyFill="1" applyBorder="1"/>
    <xf numFmtId="0" fontId="0" fillId="3" borderId="15" xfId="0" applyFont="1" applyFill="1" applyBorder="1"/>
    <xf numFmtId="0" fontId="0" fillId="3" borderId="17" xfId="0" applyFont="1" applyFill="1" applyBorder="1"/>
    <xf numFmtId="49" fontId="0" fillId="0" borderId="12" xfId="0" applyNumberFormat="1" applyBorder="1"/>
    <xf numFmtId="0" fontId="0" fillId="0" borderId="14" xfId="0" applyBorder="1"/>
    <xf numFmtId="49" fontId="0" fillId="0" borderId="15" xfId="0" applyNumberFormat="1" applyBorder="1"/>
    <xf numFmtId="164" fontId="0" fillId="0" borderId="16" xfId="0" applyNumberFormat="1" applyBorder="1"/>
    <xf numFmtId="44" fontId="0" fillId="0" borderId="16" xfId="1" applyFont="1" applyBorder="1"/>
    <xf numFmtId="0" fontId="0" fillId="0" borderId="17" xfId="0" applyBorder="1"/>
    <xf numFmtId="164" fontId="0" fillId="0" borderId="19" xfId="0" applyNumberFormat="1" applyBorder="1"/>
    <xf numFmtId="49" fontId="0" fillId="0" borderId="22" xfId="0" applyNumberFormat="1" applyBorder="1"/>
    <xf numFmtId="9" fontId="0" fillId="0" borderId="22" xfId="2" applyFont="1" applyBorder="1"/>
    <xf numFmtId="1" fontId="0" fillId="0" borderId="9" xfId="0" applyNumberFormat="1" applyBorder="1"/>
    <xf numFmtId="1" fontId="0" fillId="0" borderId="18" xfId="0" applyNumberFormat="1" applyBorder="1"/>
    <xf numFmtId="44" fontId="0" fillId="0" borderId="14" xfId="1" applyFont="1" applyBorder="1"/>
    <xf numFmtId="0" fontId="0" fillId="9" borderId="0" xfId="0" applyFill="1"/>
    <xf numFmtId="49" fontId="0" fillId="10" borderId="0" xfId="0" applyNumberFormat="1" applyFill="1"/>
    <xf numFmtId="14" fontId="0" fillId="11" borderId="0" xfId="0" applyNumberFormat="1" applyFill="1"/>
    <xf numFmtId="49" fontId="0" fillId="11" borderId="0" xfId="0" applyNumberFormat="1" applyFill="1"/>
    <xf numFmtId="14" fontId="0" fillId="10" borderId="0" xfId="0" applyNumberFormat="1" applyFill="1"/>
    <xf numFmtId="0" fontId="0" fillId="3" borderId="0" xfId="0" applyFont="1" applyFill="1" applyAlignment="1">
      <alignment horizontal="center"/>
    </xf>
    <xf numFmtId="9" fontId="0" fillId="3" borderId="10" xfId="2" applyFont="1" applyFill="1" applyBorder="1" applyAlignment="1">
      <alignment horizontal="center"/>
    </xf>
    <xf numFmtId="9" fontId="0" fillId="3" borderId="11" xfId="2" applyFont="1" applyFill="1" applyBorder="1" applyAlignment="1">
      <alignment horizontal="center"/>
    </xf>
    <xf numFmtId="9" fontId="0" fillId="3" borderId="9" xfId="2" applyFont="1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5" fillId="3" borderId="15" xfId="0" applyFont="1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0" fillId="3" borderId="21" xfId="0" applyFill="1" applyBorder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33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 baseline="0"/>
              <a:t>Ganancia</a:t>
            </a:r>
            <a:endParaRPr lang="es-MX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'Estadísticas finales'!$D$1</c:f>
              <c:strCache>
                <c:ptCount val="1"/>
                <c:pt idx="0">
                  <c:v>Ganancia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'Estadísticas finales'!$A$2:$A$13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'Estadísticas finales'!$D$2:$D$13</c:f>
              <c:numCache>
                <c:formatCode>_("$"* #,##0.00_);_("$"* \(#,##0.00\);_("$"* "-"??_);_(@_)</c:formatCode>
                <c:ptCount val="12"/>
                <c:pt idx="0">
                  <c:v>31128.949999999983</c:v>
                </c:pt>
                <c:pt idx="1">
                  <c:v>8019.2600000000166</c:v>
                </c:pt>
                <c:pt idx="2">
                  <c:v>60812.010000000009</c:v>
                </c:pt>
                <c:pt idx="3">
                  <c:v>43766.41</c:v>
                </c:pt>
                <c:pt idx="4">
                  <c:v>32348.420000000006</c:v>
                </c:pt>
                <c:pt idx="5">
                  <c:v>54278.94999999999</c:v>
                </c:pt>
                <c:pt idx="6">
                  <c:v>56875.160000000018</c:v>
                </c:pt>
                <c:pt idx="7">
                  <c:v>77624.570000000007</c:v>
                </c:pt>
                <c:pt idx="8">
                  <c:v>38482.140000000021</c:v>
                </c:pt>
                <c:pt idx="9">
                  <c:v>42371.01</c:v>
                </c:pt>
                <c:pt idx="10">
                  <c:v>30943.740000000005</c:v>
                </c:pt>
                <c:pt idx="11">
                  <c:v>36323.760000000009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E039-40EA-AC1A-45E2A41903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5174784"/>
        <c:axId val="175176320"/>
      </c:barChart>
      <c:catAx>
        <c:axId val="175174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5176320"/>
        <c:crosses val="autoZero"/>
        <c:auto val="1"/>
        <c:lblAlgn val="ctr"/>
        <c:lblOffset val="100"/>
        <c:noMultiLvlLbl val="0"/>
      </c:catAx>
      <c:valAx>
        <c:axId val="175176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5174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5"/>
          <c:order val="0"/>
          <c:tx>
            <c:strRef>
              <c:f>'Estadísticas finales'!$G$1</c:f>
              <c:strCache>
                <c:ptCount val="1"/>
                <c:pt idx="0">
                  <c:v>No. Servicios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'Estadísticas finales'!$A$2:$A$13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'Estadísticas finales'!$G$2:$G$13</c:f>
              <c:numCache>
                <c:formatCode>0</c:formatCode>
                <c:ptCount val="12"/>
                <c:pt idx="0">
                  <c:v>40</c:v>
                </c:pt>
                <c:pt idx="1">
                  <c:v>27</c:v>
                </c:pt>
                <c:pt idx="2">
                  <c:v>42</c:v>
                </c:pt>
                <c:pt idx="3">
                  <c:v>35</c:v>
                </c:pt>
                <c:pt idx="4">
                  <c:v>44</c:v>
                </c:pt>
                <c:pt idx="5">
                  <c:v>32</c:v>
                </c:pt>
                <c:pt idx="6">
                  <c:v>60</c:v>
                </c:pt>
                <c:pt idx="7">
                  <c:v>51</c:v>
                </c:pt>
                <c:pt idx="8">
                  <c:v>48</c:v>
                </c:pt>
                <c:pt idx="9">
                  <c:v>33</c:v>
                </c:pt>
                <c:pt idx="10">
                  <c:v>44</c:v>
                </c:pt>
                <c:pt idx="11">
                  <c:v>43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ADCB-4C29-A51F-FF4FE2405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7921536"/>
        <c:axId val="147947904"/>
      </c:barChart>
      <c:catAx>
        <c:axId val="147921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7947904"/>
        <c:crosses val="autoZero"/>
        <c:auto val="1"/>
        <c:lblAlgn val="ctr"/>
        <c:lblOffset val="100"/>
        <c:noMultiLvlLbl val="0"/>
      </c:catAx>
      <c:valAx>
        <c:axId val="14794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7921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%</a:t>
            </a:r>
            <a:r>
              <a:rPr lang="es-MX" baseline="0"/>
              <a:t> de cliente residencial en venta bruta</a:t>
            </a:r>
            <a:endParaRPr lang="es-MX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'Estadísticas finales'!$B$1</c:f>
              <c:strCache>
                <c:ptCount val="1"/>
                <c:pt idx="0">
                  <c:v>Venta mensual bruta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'Estadísticas finales'!$A$2:$A$13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'Estadísticas finales'!$B$2:$B$13</c:f>
              <c:numCache>
                <c:formatCode>_("$"* #,##0.00_);_("$"* \(#,##0.00\);_("$"* "-"??_);_(@_)</c:formatCode>
                <c:ptCount val="12"/>
                <c:pt idx="0">
                  <c:v>73575.449999999983</c:v>
                </c:pt>
                <c:pt idx="1">
                  <c:v>41127.770000000011</c:v>
                </c:pt>
                <c:pt idx="2">
                  <c:v>100816.09000000001</c:v>
                </c:pt>
                <c:pt idx="3">
                  <c:v>90782.38</c:v>
                </c:pt>
                <c:pt idx="4">
                  <c:v>76138.070000000007</c:v>
                </c:pt>
                <c:pt idx="5">
                  <c:v>99291.18</c:v>
                </c:pt>
                <c:pt idx="6">
                  <c:v>110425.47000000002</c:v>
                </c:pt>
                <c:pt idx="7">
                  <c:v>126362.08</c:v>
                </c:pt>
                <c:pt idx="8">
                  <c:v>92531.60000000002</c:v>
                </c:pt>
                <c:pt idx="9">
                  <c:v>97264.27</c:v>
                </c:pt>
                <c:pt idx="10">
                  <c:v>86190.260000000009</c:v>
                </c:pt>
                <c:pt idx="11">
                  <c:v>91255.670000000013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13-4A76-8969-F4490F3154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979264"/>
        <c:axId val="147985152"/>
      </c:barChart>
      <c:lineChart>
        <c:grouping val="standard"/>
        <c:varyColors val="0"/>
        <c:ser>
          <c:idx val="6"/>
          <c:order val="1"/>
          <c:tx>
            <c:strRef>
              <c:f>'Estadísticas finales'!$H$1</c:f>
              <c:strCache>
                <c:ptCount val="1"/>
                <c:pt idx="0">
                  <c:v>% Cliente Res</c:v>
                </c:pt>
              </c:strCache>
            </c:strRef>
          </c:tx>
          <c:spPr>
            <a:ln w="349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'Estadísticas finales'!$A$2:$A$13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'Estadísticas finales'!$H$2:$H$13</c:f>
              <c:numCache>
                <c:formatCode>0%</c:formatCode>
                <c:ptCount val="12"/>
                <c:pt idx="0">
                  <c:v>0.9</c:v>
                </c:pt>
                <c:pt idx="1">
                  <c:v>0.89</c:v>
                </c:pt>
                <c:pt idx="2">
                  <c:v>0.7142857142857143</c:v>
                </c:pt>
                <c:pt idx="3">
                  <c:v>0.89</c:v>
                </c:pt>
                <c:pt idx="4">
                  <c:v>0.86</c:v>
                </c:pt>
                <c:pt idx="5">
                  <c:v>0.81</c:v>
                </c:pt>
                <c:pt idx="6">
                  <c:v>0.95</c:v>
                </c:pt>
                <c:pt idx="7">
                  <c:v>0.86</c:v>
                </c:pt>
                <c:pt idx="8">
                  <c:v>0.9</c:v>
                </c:pt>
                <c:pt idx="9">
                  <c:v>0.79</c:v>
                </c:pt>
                <c:pt idx="10">
                  <c:v>0.93</c:v>
                </c:pt>
                <c:pt idx="11">
                  <c:v>0.91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2413-4A76-8969-F4490F3154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996672"/>
        <c:axId val="147986688"/>
      </c:lineChart>
      <c:catAx>
        <c:axId val="147979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7985152"/>
        <c:crosses val="autoZero"/>
        <c:auto val="1"/>
        <c:lblAlgn val="ctr"/>
        <c:lblOffset val="100"/>
        <c:noMultiLvlLbl val="0"/>
      </c:catAx>
      <c:valAx>
        <c:axId val="14798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7979264"/>
        <c:crosses val="autoZero"/>
        <c:crossBetween val="between"/>
      </c:valAx>
      <c:valAx>
        <c:axId val="147986688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7996672"/>
        <c:crosses val="max"/>
        <c:crossBetween val="between"/>
      </c:valAx>
      <c:catAx>
        <c:axId val="1479966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79866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% de Repetición en venta bruta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'Estadísticas finales'!$B$1</c:f>
              <c:strCache>
                <c:ptCount val="1"/>
                <c:pt idx="0">
                  <c:v>Venta mensual bruta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'Estadísticas finales'!$A$2:$A$13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'Estadísticas finales'!$B$2:$B$13</c:f>
              <c:numCache>
                <c:formatCode>_("$"* #,##0.00_);_("$"* \(#,##0.00\);_("$"* "-"??_);_(@_)</c:formatCode>
                <c:ptCount val="12"/>
                <c:pt idx="0">
                  <c:v>73575.449999999983</c:v>
                </c:pt>
                <c:pt idx="1">
                  <c:v>41127.770000000011</c:v>
                </c:pt>
                <c:pt idx="2">
                  <c:v>100816.09000000001</c:v>
                </c:pt>
                <c:pt idx="3">
                  <c:v>90782.38</c:v>
                </c:pt>
                <c:pt idx="4">
                  <c:v>76138.070000000007</c:v>
                </c:pt>
                <c:pt idx="5">
                  <c:v>99291.18</c:v>
                </c:pt>
                <c:pt idx="6">
                  <c:v>110425.47000000002</c:v>
                </c:pt>
                <c:pt idx="7">
                  <c:v>126362.08</c:v>
                </c:pt>
                <c:pt idx="8">
                  <c:v>92531.60000000002</c:v>
                </c:pt>
                <c:pt idx="9">
                  <c:v>97264.27</c:v>
                </c:pt>
                <c:pt idx="10">
                  <c:v>86190.260000000009</c:v>
                </c:pt>
                <c:pt idx="11">
                  <c:v>91255.670000000013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B0-4107-921E-A388D2C78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8023936"/>
        <c:axId val="148033920"/>
      </c:barChart>
      <c:lineChart>
        <c:grouping val="standard"/>
        <c:varyColors val="0"/>
        <c:ser>
          <c:idx val="8"/>
          <c:order val="1"/>
          <c:tx>
            <c:strRef>
              <c:f>'Estadísticas finales'!$J$1</c:f>
              <c:strCache>
                <c:ptCount val="1"/>
                <c:pt idx="0">
                  <c:v>% Rep</c:v>
                </c:pt>
              </c:strCache>
            </c:strRef>
          </c:tx>
          <c:spPr>
            <a:ln w="34925" cap="rnd">
              <a:solidFill>
                <a:schemeClr val="accent3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'Estadísticas finales'!$A$2:$A$13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'Estadísticas finales'!$J$2:$J$13</c:f>
              <c:numCache>
                <c:formatCode>0%</c:formatCode>
                <c:ptCount val="12"/>
                <c:pt idx="0">
                  <c:v>0.18</c:v>
                </c:pt>
                <c:pt idx="1">
                  <c:v>0.37</c:v>
                </c:pt>
                <c:pt idx="2">
                  <c:v>0.17</c:v>
                </c:pt>
                <c:pt idx="3">
                  <c:v>0.23</c:v>
                </c:pt>
                <c:pt idx="4">
                  <c:v>0.32</c:v>
                </c:pt>
                <c:pt idx="5">
                  <c:v>0.41</c:v>
                </c:pt>
                <c:pt idx="6">
                  <c:v>0.45</c:v>
                </c:pt>
                <c:pt idx="7">
                  <c:v>0.62745098039215685</c:v>
                </c:pt>
                <c:pt idx="8">
                  <c:v>0.27</c:v>
                </c:pt>
                <c:pt idx="9">
                  <c:v>0.52</c:v>
                </c:pt>
                <c:pt idx="10">
                  <c:v>0.39</c:v>
                </c:pt>
                <c:pt idx="11">
                  <c:v>0.32558139534883723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26B0-4107-921E-A388D2C78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036992"/>
        <c:axId val="148035456"/>
      </c:lineChart>
      <c:catAx>
        <c:axId val="148023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8033920"/>
        <c:crosses val="autoZero"/>
        <c:auto val="1"/>
        <c:lblAlgn val="ctr"/>
        <c:lblOffset val="100"/>
        <c:noMultiLvlLbl val="0"/>
      </c:catAx>
      <c:valAx>
        <c:axId val="14803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8023936"/>
        <c:crosses val="autoZero"/>
        <c:crossBetween val="between"/>
      </c:valAx>
      <c:valAx>
        <c:axId val="148035456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8036992"/>
        <c:crosses val="max"/>
        <c:crossBetween val="between"/>
      </c:valAx>
      <c:catAx>
        <c:axId val="1480369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80354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%</a:t>
            </a:r>
            <a:r>
              <a:rPr lang="es-MX" baseline="0"/>
              <a:t> de tipo de mueble en venta bruta</a:t>
            </a:r>
            <a:endParaRPr lang="es-MX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venta mensual bruta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3CAFA68B-4D39-41A9-9D96-3970F433544D}" type="CELLRANGE">
                      <a:rPr lang="en-US"/>
                      <a:pPr/>
                      <a:t>[CELLRANGE]</a:t>
                    </a:fld>
                    <a:endParaRPr lang="es-MX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4C3B-4C29-A05B-79330C7918F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D69DCF0-5E70-4C4E-A85C-32163873D058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4C3B-4C29-A05B-79330C7918F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Tapete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C3B-4C29-A05B-79330C7918F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Sala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4C3B-4C29-A05B-79330C7918F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Sala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4C3B-4C29-A05B-79330C7918F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Sala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4C3B-4C29-A05B-79330C7918F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Sala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4C3B-4C29-A05B-79330C7918F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en-US"/>
                      <a:t>Sala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4C3B-4C29-A05B-79330C7918F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r>
                      <a:rPr lang="en-US"/>
                      <a:t>Sala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C3B-4C29-A05B-79330C7918F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r>
                      <a:rPr lang="en-US"/>
                      <a:t>Tapete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4C3B-4C29-A05B-79330C7918F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r>
                      <a:rPr lang="en-US"/>
                      <a:t>Sala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4C3B-4C29-A05B-79330C7918F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4C3B-4C29-A05B-79330C7918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'Estadísticas finales'!$B$2:$B$13</c:f>
              <c:numCache>
                <c:formatCode>_("$"* #,##0.00_);_("$"* \(#,##0.00\);_("$"* "-"??_);_(@_)</c:formatCode>
                <c:ptCount val="12"/>
                <c:pt idx="0">
                  <c:v>73575.449999999983</c:v>
                </c:pt>
                <c:pt idx="1">
                  <c:v>41127.770000000011</c:v>
                </c:pt>
                <c:pt idx="2">
                  <c:v>100816.09000000001</c:v>
                </c:pt>
                <c:pt idx="3">
                  <c:v>90782.38</c:v>
                </c:pt>
                <c:pt idx="4">
                  <c:v>76138.070000000007</c:v>
                </c:pt>
                <c:pt idx="5">
                  <c:v>99291.18</c:v>
                </c:pt>
                <c:pt idx="6">
                  <c:v>110425.47000000002</c:v>
                </c:pt>
                <c:pt idx="7">
                  <c:v>126362.08</c:v>
                </c:pt>
                <c:pt idx="8">
                  <c:v>92531.60000000002</c:v>
                </c:pt>
                <c:pt idx="9">
                  <c:v>97264.27</c:v>
                </c:pt>
                <c:pt idx="10">
                  <c:v>86190.260000000009</c:v>
                </c:pt>
                <c:pt idx="11">
                  <c:v>91255.670000000013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datalabelsRange>
                <c15:f>'Estadísticas finales'!$K$2:$K$13</c15:f>
                <c15:dlblRangeCache>
                  <c:ptCount val="12"/>
                  <c:pt idx="0">
                    <c:v>Tapete</c:v>
                  </c:pt>
                  <c:pt idx="1">
                    <c:v>Sala</c:v>
                  </c:pt>
                  <c:pt idx="2">
                    <c:v>Tapete</c:v>
                  </c:pt>
                  <c:pt idx="3">
                    <c:v>Sala</c:v>
                  </c:pt>
                  <c:pt idx="4">
                    <c:v>Sala </c:v>
                  </c:pt>
                  <c:pt idx="5">
                    <c:v>Sala</c:v>
                  </c:pt>
                  <c:pt idx="6">
                    <c:v>Sala</c:v>
                  </c:pt>
                  <c:pt idx="7">
                    <c:v>Sala</c:v>
                  </c:pt>
                  <c:pt idx="8">
                    <c:v>Sala</c:v>
                  </c:pt>
                  <c:pt idx="9">
                    <c:v>Tapete</c:v>
                  </c:pt>
                  <c:pt idx="10">
                    <c:v>Sala</c:v>
                  </c:pt>
                  <c:pt idx="11">
                    <c:v>Tapete / Sala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4C3B-4C29-A05B-79330C7918F9}"/>
            </c:ext>
          </c:extLst>
        </c:ser>
        <c:ser>
          <c:idx val="10"/>
          <c:order val="1"/>
          <c:tx>
            <c:v>Tipo de mueble</c:v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'Estadísticas finales'!$A$2:$A$13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'Estadísticas finales'!$K$2:$K$13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4C3B-4C29-A05B-79330C7918F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48100608"/>
        <c:axId val="148102144"/>
      </c:barChart>
      <c:lineChart>
        <c:grouping val="standard"/>
        <c:varyColors val="0"/>
        <c:ser>
          <c:idx val="11"/>
          <c:order val="2"/>
          <c:tx>
            <c:v>% de tipo de mueble</c:v>
          </c:tx>
          <c:spPr>
            <a:ln w="34925" cap="rnd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'Estadísticas finales'!$A$2:$A$13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'Estadísticas finales'!$L$2:$L$13</c:f>
              <c:numCache>
                <c:formatCode>0%</c:formatCode>
                <c:ptCount val="12"/>
                <c:pt idx="0">
                  <c:v>0.36</c:v>
                </c:pt>
                <c:pt idx="1">
                  <c:v>0.26</c:v>
                </c:pt>
                <c:pt idx="2">
                  <c:v>0.28000000000000003</c:v>
                </c:pt>
                <c:pt idx="3">
                  <c:v>0.38</c:v>
                </c:pt>
                <c:pt idx="4">
                  <c:v>0.44</c:v>
                </c:pt>
                <c:pt idx="5">
                  <c:v>0.4</c:v>
                </c:pt>
                <c:pt idx="6">
                  <c:v>0.3</c:v>
                </c:pt>
                <c:pt idx="7">
                  <c:v>0.4</c:v>
                </c:pt>
                <c:pt idx="8">
                  <c:v>0.3</c:v>
                </c:pt>
                <c:pt idx="9">
                  <c:v>0.31</c:v>
                </c:pt>
                <c:pt idx="10">
                  <c:v>0.36</c:v>
                </c:pt>
                <c:pt idx="11">
                  <c:v>0.28999999999999998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B-4C3B-4C29-A05B-79330C7918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109568"/>
        <c:axId val="148108032"/>
      </c:lineChart>
      <c:catAx>
        <c:axId val="1481006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8102144"/>
        <c:crosses val="autoZero"/>
        <c:auto val="1"/>
        <c:lblAlgn val="ctr"/>
        <c:lblOffset val="100"/>
        <c:noMultiLvlLbl val="0"/>
      </c:catAx>
      <c:valAx>
        <c:axId val="14810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8100608"/>
        <c:crosses val="autoZero"/>
        <c:crossBetween val="between"/>
      </c:valAx>
      <c:valAx>
        <c:axId val="148108032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8109568"/>
        <c:crosses val="max"/>
        <c:crossBetween val="between"/>
      </c:valAx>
      <c:catAx>
        <c:axId val="1481095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81080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%</a:t>
            </a:r>
            <a:r>
              <a:rPr lang="es-MX" baseline="0"/>
              <a:t> de tipo de servicio en venta bruta</a:t>
            </a:r>
            <a:endParaRPr lang="es-MX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Venta bruta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2EA08623-0417-4B24-AE1C-DCDF7EE1111E}" type="CELLRANGE">
                      <a:rPr lang="en-US"/>
                      <a:pPr/>
                      <a:t>[CELLRANGE]</a:t>
                    </a:fld>
                    <a:endParaRPr lang="es-MX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E9AE-4E9C-8EC4-0107C3B037C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3AE7F99-126C-4330-887A-918E635B5C4B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E9AE-4E9C-8EC4-0107C3B037C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Senc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9AE-4E9C-8EC4-0107C3B037C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Senc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9AE-4E9C-8EC4-0107C3B037C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Senc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E9AE-4E9C-8EC4-0107C3B037C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Senc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9AE-4E9C-8EC4-0107C3B037C8}"/>
                </c:ext>
              </c:extLst>
            </c:dLbl>
            <c:dLbl>
              <c:idx val="6"/>
              <c:layout>
                <c:manualLayout>
                  <c:x val="8.6160473882606354E-3"/>
                  <c:y val="0.15755782884071245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Senc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E9AE-4E9C-8EC4-0107C3B037C8}"/>
                </c:ext>
              </c:extLst>
            </c:dLbl>
            <c:dLbl>
              <c:idx val="7"/>
              <c:layout>
                <c:manualLayout>
                  <c:x val="2.1540118470652378E-3"/>
                  <c:y val="0.20088623177190837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Senc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E9AE-4E9C-8EC4-0107C3B037C8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r>
                      <a:rPr lang="en-US"/>
                      <a:t>Senc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E9AE-4E9C-8EC4-0107C3B037C8}"/>
                </c:ext>
              </c:extLst>
            </c:dLbl>
            <c:dLbl>
              <c:idx val="9"/>
              <c:layout>
                <c:manualLayout>
                  <c:x val="2.1540118470651588E-3"/>
                  <c:y val="0.11816837163053426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Senc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9AE-4E9C-8EC4-0107C3B037C8}"/>
                </c:ext>
              </c:extLst>
            </c:dLbl>
            <c:dLbl>
              <c:idx val="10"/>
              <c:layout>
                <c:manualLayout>
                  <c:x val="1.7232094776521271E-2"/>
                  <c:y val="9.45346973044274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Senc / Prot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E9AE-4E9C-8EC4-0107C3B037C8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E9AE-4E9C-8EC4-0107C3B037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'Estadísticas finales'!$A$2:$A$13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'Estadísticas finales'!$B$2:$B$13</c:f>
              <c:numCache>
                <c:formatCode>_("$"* #,##0.00_);_("$"* \(#,##0.00\);_("$"* "-"??_);_(@_)</c:formatCode>
                <c:ptCount val="12"/>
                <c:pt idx="0">
                  <c:v>73575.449999999983</c:v>
                </c:pt>
                <c:pt idx="1">
                  <c:v>41127.770000000011</c:v>
                </c:pt>
                <c:pt idx="2">
                  <c:v>100816.09000000001</c:v>
                </c:pt>
                <c:pt idx="3">
                  <c:v>90782.38</c:v>
                </c:pt>
                <c:pt idx="4">
                  <c:v>76138.070000000007</c:v>
                </c:pt>
                <c:pt idx="5">
                  <c:v>99291.18</c:v>
                </c:pt>
                <c:pt idx="6">
                  <c:v>110425.47000000002</c:v>
                </c:pt>
                <c:pt idx="7">
                  <c:v>126362.08</c:v>
                </c:pt>
                <c:pt idx="8">
                  <c:v>92531.60000000002</c:v>
                </c:pt>
                <c:pt idx="9">
                  <c:v>97264.27</c:v>
                </c:pt>
                <c:pt idx="10">
                  <c:v>86190.260000000009</c:v>
                </c:pt>
                <c:pt idx="11">
                  <c:v>91255.670000000013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datalabelsRange>
                <c15:f>'Estadísticas finales'!$M$2:$M$13</c15:f>
                <c15:dlblRangeCache>
                  <c:ptCount val="12"/>
                  <c:pt idx="0">
                    <c:v>Senc</c:v>
                  </c:pt>
                  <c:pt idx="1">
                    <c:v>Senc</c:v>
                  </c:pt>
                  <c:pt idx="2">
                    <c:v>Senc</c:v>
                  </c:pt>
                  <c:pt idx="3">
                    <c:v>Senc</c:v>
                  </c:pt>
                  <c:pt idx="4">
                    <c:v>Senc</c:v>
                  </c:pt>
                  <c:pt idx="5">
                    <c:v>Senc</c:v>
                  </c:pt>
                  <c:pt idx="6">
                    <c:v>Senc</c:v>
                  </c:pt>
                  <c:pt idx="7">
                    <c:v>Senc</c:v>
                  </c:pt>
                  <c:pt idx="8">
                    <c:v>Senc</c:v>
                  </c:pt>
                  <c:pt idx="9">
                    <c:v>Senc</c:v>
                  </c:pt>
                  <c:pt idx="10">
                    <c:v>Senc / Prot</c:v>
                  </c:pt>
                  <c:pt idx="11">
                    <c:v>Senc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E9AE-4E9C-8EC4-0107C3B037C8}"/>
            </c:ext>
          </c:extLst>
        </c:ser>
        <c:ser>
          <c:idx val="1"/>
          <c:order val="1"/>
          <c:tx>
            <c:v>Tipo de servicio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'Estadísticas finales'!$A$2:$A$13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'Estadísticas finales'!$M$2:$M$13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9AE-4E9C-8EC4-0107C3B037C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48169088"/>
        <c:axId val="148170624"/>
      </c:barChart>
      <c:lineChart>
        <c:grouping val="standard"/>
        <c:varyColors val="0"/>
        <c:ser>
          <c:idx val="2"/>
          <c:order val="2"/>
          <c:tx>
            <c:v>% de tipo de servicio</c:v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'Estadísticas finales'!$A$2:$A$13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'Estadísticas finales'!$N$2:$N$13</c:f>
              <c:numCache>
                <c:formatCode>0%</c:formatCode>
                <c:ptCount val="12"/>
                <c:pt idx="0">
                  <c:v>0.33</c:v>
                </c:pt>
                <c:pt idx="1">
                  <c:v>0.46</c:v>
                </c:pt>
                <c:pt idx="2">
                  <c:v>0.47</c:v>
                </c:pt>
                <c:pt idx="3">
                  <c:v>0.34</c:v>
                </c:pt>
                <c:pt idx="4">
                  <c:v>0.57999999999999996</c:v>
                </c:pt>
                <c:pt idx="5">
                  <c:v>0.49</c:v>
                </c:pt>
                <c:pt idx="6">
                  <c:v>0.36</c:v>
                </c:pt>
                <c:pt idx="7">
                  <c:v>0.41</c:v>
                </c:pt>
                <c:pt idx="8">
                  <c:v>0.38</c:v>
                </c:pt>
                <c:pt idx="9">
                  <c:v>0.37</c:v>
                </c:pt>
                <c:pt idx="10">
                  <c:v>0.31</c:v>
                </c:pt>
                <c:pt idx="11">
                  <c:v>0.38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E9AE-4E9C-8EC4-0107C3B037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255872"/>
        <c:axId val="148172160"/>
      </c:lineChart>
      <c:catAx>
        <c:axId val="14816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8170624"/>
        <c:crosses val="autoZero"/>
        <c:auto val="1"/>
        <c:lblAlgn val="ctr"/>
        <c:lblOffset val="100"/>
        <c:noMultiLvlLbl val="0"/>
      </c:catAx>
      <c:valAx>
        <c:axId val="14817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8169088"/>
        <c:crossesAt val="1"/>
        <c:crossBetween val="between"/>
      </c:valAx>
      <c:valAx>
        <c:axId val="148172160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8255872"/>
        <c:crosses val="max"/>
        <c:crossBetween val="between"/>
      </c:valAx>
      <c:catAx>
        <c:axId val="1482558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81721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% de satisfacción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'Estadísticas finales'!$A$2:$A$13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'Estadísticas finales'!$I$2:$I$13</c:f>
              <c:numCache>
                <c:formatCode>0%</c:formatCode>
                <c:ptCount val="12"/>
                <c:pt idx="0">
                  <c:v>0.78</c:v>
                </c:pt>
                <c:pt idx="1">
                  <c:v>0.78</c:v>
                </c:pt>
                <c:pt idx="2">
                  <c:v>0.79</c:v>
                </c:pt>
                <c:pt idx="3">
                  <c:v>0.63</c:v>
                </c:pt>
                <c:pt idx="4">
                  <c:v>0.8</c:v>
                </c:pt>
                <c:pt idx="5">
                  <c:v>0.75</c:v>
                </c:pt>
                <c:pt idx="6">
                  <c:v>0.82</c:v>
                </c:pt>
                <c:pt idx="7">
                  <c:v>0.76</c:v>
                </c:pt>
                <c:pt idx="8">
                  <c:v>0.71</c:v>
                </c:pt>
                <c:pt idx="9">
                  <c:v>0.88</c:v>
                </c:pt>
                <c:pt idx="10">
                  <c:v>0.84</c:v>
                </c:pt>
                <c:pt idx="11">
                  <c:v>0.79069767441860461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66B-4A59-8A1D-FA30943EFE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284928"/>
        <c:axId val="148286464"/>
      </c:barChart>
      <c:catAx>
        <c:axId val="148284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8286464"/>
        <c:crosses val="autoZero"/>
        <c:auto val="1"/>
        <c:lblAlgn val="ctr"/>
        <c:lblOffset val="100"/>
        <c:noMultiLvlLbl val="0"/>
      </c:catAx>
      <c:valAx>
        <c:axId val="148286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8284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'Estadísticas finales'!$B$1</c:f>
              <c:strCache>
                <c:ptCount val="1"/>
                <c:pt idx="0">
                  <c:v>Venta mensual bruta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'Estadísticas finales'!$A$2:$A$13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'Estadísticas finales'!$B$2:$B$13</c:f>
              <c:numCache>
                <c:formatCode>_("$"* #,##0.00_);_("$"* \(#,##0.00\);_("$"* "-"??_);_(@_)</c:formatCode>
                <c:ptCount val="12"/>
                <c:pt idx="0">
                  <c:v>73575.449999999983</c:v>
                </c:pt>
                <c:pt idx="1">
                  <c:v>41127.770000000011</c:v>
                </c:pt>
                <c:pt idx="2">
                  <c:v>100816.09000000001</c:v>
                </c:pt>
                <c:pt idx="3">
                  <c:v>90782.38</c:v>
                </c:pt>
                <c:pt idx="4">
                  <c:v>76138.070000000007</c:v>
                </c:pt>
                <c:pt idx="5">
                  <c:v>99291.18</c:v>
                </c:pt>
                <c:pt idx="6">
                  <c:v>110425.47000000002</c:v>
                </c:pt>
                <c:pt idx="7">
                  <c:v>126362.08</c:v>
                </c:pt>
                <c:pt idx="8">
                  <c:v>92531.60000000002</c:v>
                </c:pt>
                <c:pt idx="9">
                  <c:v>97264.27</c:v>
                </c:pt>
                <c:pt idx="10">
                  <c:v>86190.260000000009</c:v>
                </c:pt>
                <c:pt idx="11">
                  <c:v>91255.670000000013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27A-4C8A-9ABC-02707D8071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8303232"/>
        <c:axId val="148644992"/>
      </c:barChart>
      <c:catAx>
        <c:axId val="148303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8644992"/>
        <c:crosses val="autoZero"/>
        <c:auto val="1"/>
        <c:lblAlgn val="ctr"/>
        <c:lblOffset val="100"/>
        <c:noMultiLvlLbl val="0"/>
      </c:catAx>
      <c:valAx>
        <c:axId val="148644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8303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Tipo</a:t>
            </a:r>
            <a:r>
              <a:rPr lang="es-MX" baseline="0"/>
              <a:t> de mueble</a:t>
            </a:r>
            <a:endParaRPr lang="es-MX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'Estadísticas específicas'!$A$3</c:f>
              <c:strCache>
                <c:ptCount val="1"/>
                <c:pt idx="0">
                  <c:v>Alfombra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específicas'!$B$1:$M$2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específicas'!$B$3:$M$3</c:f>
              <c:numCache>
                <c:formatCode>0%</c:formatCode>
                <c:ptCount val="12"/>
                <c:pt idx="0">
                  <c:v>1.0526315789473684E-2</c:v>
                </c:pt>
                <c:pt idx="1">
                  <c:v>0.04</c:v>
                </c:pt>
                <c:pt idx="2">
                  <c:v>3.0927835051546393E-2</c:v>
                </c:pt>
                <c:pt idx="3">
                  <c:v>6.1728395061728392E-2</c:v>
                </c:pt>
                <c:pt idx="4">
                  <c:v>2.4390243902439025E-2</c:v>
                </c:pt>
                <c:pt idx="5">
                  <c:v>4.8192771084337352E-2</c:v>
                </c:pt>
                <c:pt idx="6">
                  <c:v>3.3057851239669422E-2</c:v>
                </c:pt>
                <c:pt idx="7">
                  <c:v>6.7567567567567571E-3</c:v>
                </c:pt>
                <c:pt idx="8">
                  <c:v>2.8571428571428571E-2</c:v>
                </c:pt>
                <c:pt idx="9">
                  <c:v>6.7567567567567571E-2</c:v>
                </c:pt>
                <c:pt idx="10">
                  <c:v>2.8037383177570093E-2</c:v>
                </c:pt>
                <c:pt idx="11">
                  <c:v>4.1237113402061855E-2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AA-4CB6-9FAD-67F985D14D26}"/>
            </c:ext>
          </c:extLst>
        </c:ser>
        <c:ser>
          <c:idx val="1"/>
          <c:order val="1"/>
          <c:tx>
            <c:strRef>
              <c:f>'Estadísticas específicas'!$A$4</c:f>
              <c:strCache>
                <c:ptCount val="1"/>
                <c:pt idx="0">
                  <c:v>Tapete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específicas'!$B$1:$M$2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específicas'!$B$4:$M$4</c:f>
              <c:numCache>
                <c:formatCode>0%</c:formatCode>
                <c:ptCount val="12"/>
                <c:pt idx="0">
                  <c:v>0.35789473684210527</c:v>
                </c:pt>
                <c:pt idx="1">
                  <c:v>0.2</c:v>
                </c:pt>
                <c:pt idx="2">
                  <c:v>0.27835051546391754</c:v>
                </c:pt>
                <c:pt idx="3">
                  <c:v>0.16049382716049382</c:v>
                </c:pt>
                <c:pt idx="4">
                  <c:v>0.17073170731707318</c:v>
                </c:pt>
                <c:pt idx="5">
                  <c:v>0.20481927710843373</c:v>
                </c:pt>
                <c:pt idx="6">
                  <c:v>0.23966942148760331</c:v>
                </c:pt>
                <c:pt idx="7">
                  <c:v>0.21621621621621623</c:v>
                </c:pt>
                <c:pt idx="8">
                  <c:v>0.15238095238095239</c:v>
                </c:pt>
                <c:pt idx="9">
                  <c:v>0.3108108108108108</c:v>
                </c:pt>
                <c:pt idx="10">
                  <c:v>0.23364485981308411</c:v>
                </c:pt>
                <c:pt idx="11">
                  <c:v>0.28865979381443296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3AA-4CB6-9FAD-67F985D14D26}"/>
            </c:ext>
          </c:extLst>
        </c:ser>
        <c:ser>
          <c:idx val="2"/>
          <c:order val="2"/>
          <c:tx>
            <c:strRef>
              <c:f>'Estadísticas específicas'!$A$5</c:f>
              <c:strCache>
                <c:ptCount val="1"/>
                <c:pt idx="0">
                  <c:v>Sala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específicas'!$B$1:$M$2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específicas'!$B$5:$M$5</c:f>
              <c:numCache>
                <c:formatCode>0%</c:formatCode>
                <c:ptCount val="12"/>
                <c:pt idx="0">
                  <c:v>0.27368421052631581</c:v>
                </c:pt>
                <c:pt idx="1">
                  <c:v>0.26</c:v>
                </c:pt>
                <c:pt idx="2">
                  <c:v>0.24742268041237114</c:v>
                </c:pt>
                <c:pt idx="3">
                  <c:v>0.38271604938271603</c:v>
                </c:pt>
                <c:pt idx="4">
                  <c:v>0.43902439024390244</c:v>
                </c:pt>
                <c:pt idx="5">
                  <c:v>0.39759036144578314</c:v>
                </c:pt>
                <c:pt idx="6">
                  <c:v>0.2975206611570248</c:v>
                </c:pt>
                <c:pt idx="7">
                  <c:v>0.39864864864864863</c:v>
                </c:pt>
                <c:pt idx="8">
                  <c:v>0.30476190476190479</c:v>
                </c:pt>
                <c:pt idx="9">
                  <c:v>0.1891891891891892</c:v>
                </c:pt>
                <c:pt idx="10">
                  <c:v>0.35514018691588783</c:v>
                </c:pt>
                <c:pt idx="11">
                  <c:v>0.28865979381443296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A3AA-4CB6-9FAD-67F985D14D26}"/>
            </c:ext>
          </c:extLst>
        </c:ser>
        <c:ser>
          <c:idx val="3"/>
          <c:order val="3"/>
          <c:tx>
            <c:strRef>
              <c:f>'Estadísticas específicas'!$A$6</c:f>
              <c:strCache>
                <c:ptCount val="1"/>
                <c:pt idx="0">
                  <c:v>Sala piel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específicas'!$B$1:$M$2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específicas'!$B$6:$M$6</c:f>
              <c:numCache>
                <c:formatCode>0%</c:formatCode>
                <c:ptCount val="12"/>
                <c:pt idx="0">
                  <c:v>0</c:v>
                </c:pt>
                <c:pt idx="1">
                  <c:v>0.04</c:v>
                </c:pt>
                <c:pt idx="2">
                  <c:v>0</c:v>
                </c:pt>
                <c:pt idx="3">
                  <c:v>4.9382716049382713E-2</c:v>
                </c:pt>
                <c:pt idx="4">
                  <c:v>0</c:v>
                </c:pt>
                <c:pt idx="5">
                  <c:v>0</c:v>
                </c:pt>
                <c:pt idx="6">
                  <c:v>1.6528925619834711E-2</c:v>
                </c:pt>
                <c:pt idx="7">
                  <c:v>0</c:v>
                </c:pt>
                <c:pt idx="8">
                  <c:v>1.9047619047619049E-2</c:v>
                </c:pt>
                <c:pt idx="9">
                  <c:v>0</c:v>
                </c:pt>
                <c:pt idx="10">
                  <c:v>9.3457943925233638E-3</c:v>
                </c:pt>
                <c:pt idx="11">
                  <c:v>2.0618556701030927E-2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A3AA-4CB6-9FAD-67F985D14D26}"/>
            </c:ext>
          </c:extLst>
        </c:ser>
        <c:ser>
          <c:idx val="4"/>
          <c:order val="4"/>
          <c:tx>
            <c:strRef>
              <c:f>'Estadísticas específicas'!$A$7</c:f>
              <c:strCache>
                <c:ptCount val="1"/>
                <c:pt idx="0">
                  <c:v>Sillas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específicas'!$B$1:$M$2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específicas'!$B$7:$M$7</c:f>
              <c:numCache>
                <c:formatCode>0%</c:formatCode>
                <c:ptCount val="12"/>
                <c:pt idx="0">
                  <c:v>6.3157894736842107E-2</c:v>
                </c:pt>
                <c:pt idx="1">
                  <c:v>0.16</c:v>
                </c:pt>
                <c:pt idx="2">
                  <c:v>0.22680412371134021</c:v>
                </c:pt>
                <c:pt idx="3">
                  <c:v>0.16049382716049382</c:v>
                </c:pt>
                <c:pt idx="4">
                  <c:v>0.18292682926829268</c:v>
                </c:pt>
                <c:pt idx="5">
                  <c:v>7.2289156626506021E-2</c:v>
                </c:pt>
                <c:pt idx="6">
                  <c:v>7.43801652892562E-2</c:v>
                </c:pt>
                <c:pt idx="7">
                  <c:v>7.4324324324324328E-2</c:v>
                </c:pt>
                <c:pt idx="8">
                  <c:v>0.12380952380952381</c:v>
                </c:pt>
                <c:pt idx="9">
                  <c:v>5.4054054054054057E-2</c:v>
                </c:pt>
                <c:pt idx="10">
                  <c:v>0.10280373831775701</c:v>
                </c:pt>
                <c:pt idx="11">
                  <c:v>8.247422680412371E-2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A3AA-4CB6-9FAD-67F985D14D26}"/>
            </c:ext>
          </c:extLst>
        </c:ser>
        <c:ser>
          <c:idx val="5"/>
          <c:order val="5"/>
          <c:tx>
            <c:strRef>
              <c:f>'Estadísticas específicas'!$A$8</c:f>
              <c:strCache>
                <c:ptCount val="1"/>
                <c:pt idx="0">
                  <c:v>Autos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específicas'!$B$1:$M$2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específicas'!$B$8:$M$8</c:f>
              <c:numCache>
                <c:formatCode>0%</c:formatCode>
                <c:ptCount val="12"/>
                <c:pt idx="0">
                  <c:v>4.2105263157894736E-2</c:v>
                </c:pt>
                <c:pt idx="1">
                  <c:v>0.1</c:v>
                </c:pt>
                <c:pt idx="2">
                  <c:v>3.0927835051546393E-2</c:v>
                </c:pt>
                <c:pt idx="3">
                  <c:v>1.2345679012345678E-2</c:v>
                </c:pt>
                <c:pt idx="4">
                  <c:v>1.2195121951219513E-2</c:v>
                </c:pt>
                <c:pt idx="5">
                  <c:v>4.8192771084337352E-2</c:v>
                </c:pt>
                <c:pt idx="6">
                  <c:v>4.1322314049586778E-2</c:v>
                </c:pt>
                <c:pt idx="7">
                  <c:v>1.3513513513513514E-2</c:v>
                </c:pt>
                <c:pt idx="8">
                  <c:v>1.9047619047619049E-2</c:v>
                </c:pt>
                <c:pt idx="9">
                  <c:v>2.7027027027027029E-2</c:v>
                </c:pt>
                <c:pt idx="10">
                  <c:v>9.3457943925233638E-3</c:v>
                </c:pt>
                <c:pt idx="11">
                  <c:v>1.0309278350515464E-2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A3AA-4CB6-9FAD-67F985D14D26}"/>
            </c:ext>
          </c:extLst>
        </c:ser>
        <c:ser>
          <c:idx val="6"/>
          <c:order val="6"/>
          <c:tx>
            <c:strRef>
              <c:f>'Estadísticas específicas'!$A$9</c:f>
              <c:strCache>
                <c:ptCount val="1"/>
                <c:pt idx="0">
                  <c:v>Colchones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específicas'!$B$1:$M$2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específicas'!$B$9:$M$9</c:f>
              <c:numCache>
                <c:formatCode>0%</c:formatCode>
                <c:ptCount val="12"/>
                <c:pt idx="0">
                  <c:v>0.15789473684210525</c:v>
                </c:pt>
                <c:pt idx="1">
                  <c:v>0.14000000000000001</c:v>
                </c:pt>
                <c:pt idx="2">
                  <c:v>0.12371134020618557</c:v>
                </c:pt>
                <c:pt idx="3">
                  <c:v>7.407407407407407E-2</c:v>
                </c:pt>
                <c:pt idx="4">
                  <c:v>0.10975609756097561</c:v>
                </c:pt>
                <c:pt idx="5">
                  <c:v>0.12048192771084337</c:v>
                </c:pt>
                <c:pt idx="6">
                  <c:v>0.16528925619834711</c:v>
                </c:pt>
                <c:pt idx="7">
                  <c:v>0.14864864864864866</c:v>
                </c:pt>
                <c:pt idx="8">
                  <c:v>0.16190476190476191</c:v>
                </c:pt>
                <c:pt idx="9">
                  <c:v>0.16216216216216217</c:v>
                </c:pt>
                <c:pt idx="10">
                  <c:v>8.4112149532710276E-2</c:v>
                </c:pt>
                <c:pt idx="11">
                  <c:v>0.16494845360824742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A3AA-4CB6-9FAD-67F985D14D26}"/>
            </c:ext>
          </c:extLst>
        </c:ser>
        <c:ser>
          <c:idx val="7"/>
          <c:order val="7"/>
          <c:tx>
            <c:strRef>
              <c:f>'Estadísticas específicas'!$A$10</c:f>
              <c:strCache>
                <c:ptCount val="1"/>
                <c:pt idx="0">
                  <c:v>Futón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específicas'!$B$1:$M$2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específicas'!$B$10:$M$10</c:f>
              <c:numCache>
                <c:formatCode>0%</c:formatCode>
                <c:ptCount val="12"/>
                <c:pt idx="0">
                  <c:v>0</c:v>
                </c:pt>
                <c:pt idx="1">
                  <c:v>0.02</c:v>
                </c:pt>
                <c:pt idx="2">
                  <c:v>1.0309278350515464E-2</c:v>
                </c:pt>
                <c:pt idx="3">
                  <c:v>1.2345679012345678E-2</c:v>
                </c:pt>
                <c:pt idx="4">
                  <c:v>0</c:v>
                </c:pt>
                <c:pt idx="5">
                  <c:v>0</c:v>
                </c:pt>
                <c:pt idx="6">
                  <c:v>8.2644628099173556E-3</c:v>
                </c:pt>
                <c:pt idx="7">
                  <c:v>2.0270270270270271E-2</c:v>
                </c:pt>
                <c:pt idx="8">
                  <c:v>3.8095238095238099E-2</c:v>
                </c:pt>
                <c:pt idx="9">
                  <c:v>1.3513513513513514E-2</c:v>
                </c:pt>
                <c:pt idx="10">
                  <c:v>9.3457943925233638E-3</c:v>
                </c:pt>
                <c:pt idx="11">
                  <c:v>2.0618556701030927E-2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A3AA-4CB6-9FAD-67F985D14D26}"/>
            </c:ext>
          </c:extLst>
        </c:ser>
        <c:ser>
          <c:idx val="8"/>
          <c:order val="8"/>
          <c:tx>
            <c:strRef>
              <c:f>'Estadísticas específicas'!$A$11</c:f>
              <c:strCache>
                <c:ptCount val="1"/>
                <c:pt idx="0">
                  <c:v>Otro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específicas'!$B$1:$M$2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específicas'!$B$11:$M$11</c:f>
              <c:numCache>
                <c:formatCode>0%</c:formatCode>
                <c:ptCount val="12"/>
                <c:pt idx="0">
                  <c:v>9.4736842105263161E-2</c:v>
                </c:pt>
                <c:pt idx="1">
                  <c:v>0.04</c:v>
                </c:pt>
                <c:pt idx="2">
                  <c:v>5.1546391752577317E-2</c:v>
                </c:pt>
                <c:pt idx="3">
                  <c:v>8.6419753086419748E-2</c:v>
                </c:pt>
                <c:pt idx="4">
                  <c:v>6.097560975609756E-2</c:v>
                </c:pt>
                <c:pt idx="5">
                  <c:v>0.10843373493975904</c:v>
                </c:pt>
                <c:pt idx="6">
                  <c:v>0.12396694214876033</c:v>
                </c:pt>
                <c:pt idx="7">
                  <c:v>0.12162162162162163</c:v>
                </c:pt>
                <c:pt idx="8">
                  <c:v>0.15238095238095239</c:v>
                </c:pt>
                <c:pt idx="9">
                  <c:v>0.17567567567567569</c:v>
                </c:pt>
                <c:pt idx="10">
                  <c:v>0.16822429906542055</c:v>
                </c:pt>
                <c:pt idx="11">
                  <c:v>8.247422680412371E-2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A3AA-4CB6-9FAD-67F985D14D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7668352"/>
        <c:axId val="147686528"/>
      </c:barChart>
      <c:catAx>
        <c:axId val="147668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7686528"/>
        <c:crosses val="autoZero"/>
        <c:auto val="1"/>
        <c:lblAlgn val="ctr"/>
        <c:lblOffset val="100"/>
        <c:noMultiLvlLbl val="0"/>
      </c:catAx>
      <c:valAx>
        <c:axId val="14768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7668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Tipo</a:t>
            </a:r>
            <a:r>
              <a:rPr lang="es-MX" baseline="0"/>
              <a:t> de servicio</a:t>
            </a:r>
            <a:endParaRPr lang="es-MX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'Estadísticas específicas'!$A$15</c:f>
              <c:strCache>
                <c:ptCount val="1"/>
                <c:pt idx="0">
                  <c:v>Senc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específicas'!$B$13:$M$14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específicas'!$B$15:$M$15</c:f>
              <c:numCache>
                <c:formatCode>0%</c:formatCode>
                <c:ptCount val="12"/>
                <c:pt idx="0">
                  <c:v>0.3300970873786408</c:v>
                </c:pt>
                <c:pt idx="1">
                  <c:v>0.46296296296296297</c:v>
                </c:pt>
                <c:pt idx="2">
                  <c:v>0.46728971962616822</c:v>
                </c:pt>
                <c:pt idx="3">
                  <c:v>0.33707865168539325</c:v>
                </c:pt>
                <c:pt idx="4">
                  <c:v>0.57608695652173914</c:v>
                </c:pt>
                <c:pt idx="5">
                  <c:v>0.4891304347826087</c:v>
                </c:pt>
                <c:pt idx="6">
                  <c:v>0.35971223021582732</c:v>
                </c:pt>
                <c:pt idx="7">
                  <c:v>0.40764331210191085</c:v>
                </c:pt>
                <c:pt idx="8">
                  <c:v>0.37606837606837606</c:v>
                </c:pt>
                <c:pt idx="9">
                  <c:v>0.36585365853658536</c:v>
                </c:pt>
                <c:pt idx="10">
                  <c:v>0.30909090909090908</c:v>
                </c:pt>
                <c:pt idx="11">
                  <c:v>0.38235294117647056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515-49C0-B0F5-55F7F887CFFB}"/>
            </c:ext>
          </c:extLst>
        </c:ser>
        <c:ser>
          <c:idx val="1"/>
          <c:order val="1"/>
          <c:tx>
            <c:strRef>
              <c:f>'Estadísticas específicas'!$A$16</c:f>
              <c:strCache>
                <c:ptCount val="1"/>
                <c:pt idx="0">
                  <c:v>Eco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específicas'!$B$13:$M$14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específicas'!$B$16:$M$16</c:f>
              <c:numCache>
                <c:formatCode>0%</c:formatCode>
                <c:ptCount val="12"/>
                <c:pt idx="0">
                  <c:v>0.25242718446601942</c:v>
                </c:pt>
                <c:pt idx="1">
                  <c:v>9.2592592592592587E-2</c:v>
                </c:pt>
                <c:pt idx="2">
                  <c:v>0.18691588785046728</c:v>
                </c:pt>
                <c:pt idx="3">
                  <c:v>0.15730337078651685</c:v>
                </c:pt>
                <c:pt idx="4">
                  <c:v>6.5217391304347824E-2</c:v>
                </c:pt>
                <c:pt idx="5">
                  <c:v>0.2391304347826087</c:v>
                </c:pt>
                <c:pt idx="6">
                  <c:v>0.17985611510791366</c:v>
                </c:pt>
                <c:pt idx="7">
                  <c:v>0.12101910828025478</c:v>
                </c:pt>
                <c:pt idx="8">
                  <c:v>0.15384615384615385</c:v>
                </c:pt>
                <c:pt idx="9">
                  <c:v>0.32926829268292684</c:v>
                </c:pt>
                <c:pt idx="10">
                  <c:v>8.1818181818181818E-2</c:v>
                </c:pt>
                <c:pt idx="11">
                  <c:v>0.11764705882352941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5515-49C0-B0F5-55F7F887CFFB}"/>
            </c:ext>
          </c:extLst>
        </c:ser>
        <c:ser>
          <c:idx val="2"/>
          <c:order val="2"/>
          <c:tx>
            <c:strRef>
              <c:f>'Estadísticas específicas'!$A$17</c:f>
              <c:strCache>
                <c:ptCount val="1"/>
                <c:pt idx="0">
                  <c:v>Prot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específicas'!$B$13:$M$14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específicas'!$B$17:$M$17</c:f>
              <c:numCache>
                <c:formatCode>0%</c:formatCode>
                <c:ptCount val="12"/>
                <c:pt idx="0">
                  <c:v>9.7087378640776698E-2</c:v>
                </c:pt>
                <c:pt idx="1">
                  <c:v>3.7037037037037035E-2</c:v>
                </c:pt>
                <c:pt idx="2">
                  <c:v>1.8691588785046728E-2</c:v>
                </c:pt>
                <c:pt idx="3">
                  <c:v>0.1797752808988764</c:v>
                </c:pt>
                <c:pt idx="4">
                  <c:v>0.13043478260869565</c:v>
                </c:pt>
                <c:pt idx="5">
                  <c:v>0.14130434782608695</c:v>
                </c:pt>
                <c:pt idx="6">
                  <c:v>0.15107913669064749</c:v>
                </c:pt>
                <c:pt idx="7">
                  <c:v>9.5541401273885357E-2</c:v>
                </c:pt>
                <c:pt idx="8">
                  <c:v>0.21367521367521367</c:v>
                </c:pt>
                <c:pt idx="9">
                  <c:v>7.3170731707317069E-2</c:v>
                </c:pt>
                <c:pt idx="10">
                  <c:v>0.30909090909090908</c:v>
                </c:pt>
                <c:pt idx="11">
                  <c:v>0.25490196078431371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5515-49C0-B0F5-55F7F887CFFB}"/>
            </c:ext>
          </c:extLst>
        </c:ser>
        <c:ser>
          <c:idx val="3"/>
          <c:order val="3"/>
          <c:tx>
            <c:strRef>
              <c:f>'Estadísticas específicas'!$A$18</c:f>
              <c:strCache>
                <c:ptCount val="1"/>
                <c:pt idx="0">
                  <c:v>Prem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específicas'!$B$13:$M$14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específicas'!$B$18:$M$18</c:f>
              <c:numCache>
                <c:formatCode>0%</c:formatCode>
                <c:ptCount val="12"/>
                <c:pt idx="0">
                  <c:v>0.10679611650485436</c:v>
                </c:pt>
                <c:pt idx="1">
                  <c:v>0.1111111111111111</c:v>
                </c:pt>
                <c:pt idx="2">
                  <c:v>0.14018691588785046</c:v>
                </c:pt>
                <c:pt idx="3">
                  <c:v>0.15730337078651685</c:v>
                </c:pt>
                <c:pt idx="4">
                  <c:v>7.6086956521739135E-2</c:v>
                </c:pt>
                <c:pt idx="5">
                  <c:v>2.1739130434782608E-2</c:v>
                </c:pt>
                <c:pt idx="6">
                  <c:v>0.12949640287769784</c:v>
                </c:pt>
                <c:pt idx="7">
                  <c:v>0.26751592356687898</c:v>
                </c:pt>
                <c:pt idx="8">
                  <c:v>5.9829059829059832E-2</c:v>
                </c:pt>
                <c:pt idx="9">
                  <c:v>4.878048780487805E-2</c:v>
                </c:pt>
                <c:pt idx="10">
                  <c:v>0.14545454545454545</c:v>
                </c:pt>
                <c:pt idx="11">
                  <c:v>9.8039215686274508E-2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5515-49C0-B0F5-55F7F887CFFB}"/>
            </c:ext>
          </c:extLst>
        </c:ser>
        <c:ser>
          <c:idx val="4"/>
          <c:order val="4"/>
          <c:tx>
            <c:strRef>
              <c:f>'Estadísticas específicas'!$A$19</c:f>
              <c:strCache>
                <c:ptCount val="1"/>
                <c:pt idx="0">
                  <c:v>Healty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específicas'!$B$13:$M$14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específicas'!$B$19:$M$19</c:f>
              <c:numCache>
                <c:formatCode>0%</c:formatCode>
                <c:ptCount val="12"/>
                <c:pt idx="0">
                  <c:v>0.12621359223300971</c:v>
                </c:pt>
                <c:pt idx="1">
                  <c:v>0.14814814814814814</c:v>
                </c:pt>
                <c:pt idx="2">
                  <c:v>3.7383177570093455E-2</c:v>
                </c:pt>
                <c:pt idx="3">
                  <c:v>2.247191011235955E-2</c:v>
                </c:pt>
                <c:pt idx="4">
                  <c:v>2.1739130434782608E-2</c:v>
                </c:pt>
                <c:pt idx="5">
                  <c:v>1.0869565217391304E-2</c:v>
                </c:pt>
                <c:pt idx="6">
                  <c:v>2.8776978417266189E-2</c:v>
                </c:pt>
                <c:pt idx="7">
                  <c:v>3.1847133757961783E-2</c:v>
                </c:pt>
                <c:pt idx="8">
                  <c:v>4.2735042735042736E-2</c:v>
                </c:pt>
                <c:pt idx="9">
                  <c:v>7.3170731707317069E-2</c:v>
                </c:pt>
                <c:pt idx="10">
                  <c:v>6.363636363636363E-2</c:v>
                </c:pt>
                <c:pt idx="11">
                  <c:v>6.8627450980392163E-2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515-49C0-B0F5-55F7F887CFFB}"/>
            </c:ext>
          </c:extLst>
        </c:ser>
        <c:ser>
          <c:idx val="5"/>
          <c:order val="5"/>
          <c:tx>
            <c:strRef>
              <c:f>'Estadísticas específicas'!$A$20</c:f>
              <c:strCache>
                <c:ptCount val="1"/>
                <c:pt idx="0">
                  <c:v>Protex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específicas'!$B$13:$M$14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específicas'!$B$20:$M$20</c:f>
              <c:numCache>
                <c:formatCode>0%</c:formatCode>
                <c:ptCount val="12"/>
                <c:pt idx="0">
                  <c:v>0</c:v>
                </c:pt>
                <c:pt idx="1">
                  <c:v>1.8518518518518517E-2</c:v>
                </c:pt>
                <c:pt idx="2">
                  <c:v>0</c:v>
                </c:pt>
                <c:pt idx="3">
                  <c:v>1.1235955056179775E-2</c:v>
                </c:pt>
                <c:pt idx="4">
                  <c:v>1.0869565217391304E-2</c:v>
                </c:pt>
                <c:pt idx="5">
                  <c:v>0</c:v>
                </c:pt>
                <c:pt idx="6">
                  <c:v>7.1942446043165471E-3</c:v>
                </c:pt>
                <c:pt idx="7">
                  <c:v>1.2738853503184714E-2</c:v>
                </c:pt>
                <c:pt idx="8">
                  <c:v>1.7094017094017096E-2</c:v>
                </c:pt>
                <c:pt idx="9">
                  <c:v>0</c:v>
                </c:pt>
                <c:pt idx="10">
                  <c:v>4.5454545454545456E-2</c:v>
                </c:pt>
                <c:pt idx="11">
                  <c:v>9.8039215686274508E-3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5515-49C0-B0F5-55F7F887CFFB}"/>
            </c:ext>
          </c:extLst>
        </c:ser>
        <c:ser>
          <c:idx val="6"/>
          <c:order val="6"/>
          <c:tx>
            <c:strRef>
              <c:f>'Estadísticas específicas'!$A$21</c:f>
              <c:strCache>
                <c:ptCount val="1"/>
                <c:pt idx="0">
                  <c:v>Aspirado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específicas'!$B$13:$M$14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específicas'!$B$21:$M$21</c:f>
              <c:numCache>
                <c:formatCode>0%</c:formatCode>
                <c:ptCount val="12"/>
                <c:pt idx="0">
                  <c:v>0</c:v>
                </c:pt>
                <c:pt idx="1">
                  <c:v>1.8518518518518517E-2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1.2738853503184714E-2</c:v>
                </c:pt>
                <c:pt idx="8">
                  <c:v>0</c:v>
                </c:pt>
                <c:pt idx="9">
                  <c:v>0</c:v>
                </c:pt>
                <c:pt idx="10">
                  <c:v>9.0909090909090905E-3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5515-49C0-B0F5-55F7F887CFFB}"/>
            </c:ext>
          </c:extLst>
        </c:ser>
        <c:ser>
          <c:idx val="7"/>
          <c:order val="7"/>
          <c:tx>
            <c:strRef>
              <c:f>'Estadísticas específicas'!$A$22</c:f>
              <c:strCache>
                <c:ptCount val="1"/>
                <c:pt idx="0">
                  <c:v>Extracción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específicas'!$B$13:$M$14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específicas'!$B$22:$M$22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9.3457943925233638E-3</c:v>
                </c:pt>
                <c:pt idx="3">
                  <c:v>4.49438202247191E-2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2.4390243902439025E-2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5515-49C0-B0F5-55F7F887CFFB}"/>
            </c:ext>
          </c:extLst>
        </c:ser>
        <c:ser>
          <c:idx val="8"/>
          <c:order val="8"/>
          <c:tx>
            <c:strRef>
              <c:f>'Estadísticas específicas'!$A$23</c:f>
              <c:strCache>
                <c:ptCount val="1"/>
                <c:pt idx="0">
                  <c:v>Piel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específicas'!$B$13:$M$14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específicas'!$B$23:$M$23</c:f>
              <c:numCache>
                <c:formatCode>0%</c:formatCode>
                <c:ptCount val="12"/>
                <c:pt idx="0">
                  <c:v>9.7087378640776691E-3</c:v>
                </c:pt>
                <c:pt idx="1">
                  <c:v>3.7037037037037035E-2</c:v>
                </c:pt>
                <c:pt idx="2">
                  <c:v>3.7383177570093455E-2</c:v>
                </c:pt>
                <c:pt idx="3">
                  <c:v>4.49438202247191E-2</c:v>
                </c:pt>
                <c:pt idx="4">
                  <c:v>1.0869565217391304E-2</c:v>
                </c:pt>
                <c:pt idx="5">
                  <c:v>0</c:v>
                </c:pt>
                <c:pt idx="6">
                  <c:v>1.4388489208633094E-2</c:v>
                </c:pt>
                <c:pt idx="7">
                  <c:v>0</c:v>
                </c:pt>
                <c:pt idx="8">
                  <c:v>3.4188034188034191E-2</c:v>
                </c:pt>
                <c:pt idx="9">
                  <c:v>1.2195121951219513E-2</c:v>
                </c:pt>
                <c:pt idx="10">
                  <c:v>9.0909090909090905E-3</c:v>
                </c:pt>
                <c:pt idx="11">
                  <c:v>1.9607843137254902E-2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5515-49C0-B0F5-55F7F887CFFB}"/>
            </c:ext>
          </c:extLst>
        </c:ser>
        <c:ser>
          <c:idx val="9"/>
          <c:order val="9"/>
          <c:tx>
            <c:strRef>
              <c:f>'Estadísticas específicas'!$A$24</c:f>
              <c:strCache>
                <c:ptCount val="1"/>
                <c:pt idx="0">
                  <c:v>PURT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específicas'!$B$13:$M$14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específicas'!$B$24:$M$24</c:f>
              <c:numCache>
                <c:formatCode>0%</c:formatCode>
                <c:ptCount val="12"/>
                <c:pt idx="0">
                  <c:v>7.7669902912621352E-2</c:v>
                </c:pt>
                <c:pt idx="1">
                  <c:v>7.407407407407407E-2</c:v>
                </c:pt>
                <c:pt idx="2">
                  <c:v>0.10280373831775701</c:v>
                </c:pt>
                <c:pt idx="3">
                  <c:v>4.49438202247191E-2</c:v>
                </c:pt>
                <c:pt idx="4">
                  <c:v>0.10869565217391304</c:v>
                </c:pt>
                <c:pt idx="5">
                  <c:v>9.7826086956521743E-2</c:v>
                </c:pt>
                <c:pt idx="6">
                  <c:v>0.12949640287769784</c:v>
                </c:pt>
                <c:pt idx="7">
                  <c:v>5.0955414012738856E-2</c:v>
                </c:pt>
                <c:pt idx="8">
                  <c:v>0.10256410256410256</c:v>
                </c:pt>
                <c:pt idx="9">
                  <c:v>7.3170731707317069E-2</c:v>
                </c:pt>
                <c:pt idx="10">
                  <c:v>2.7272727272727271E-2</c:v>
                </c:pt>
                <c:pt idx="11">
                  <c:v>4.9019607843137254E-2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5515-49C0-B0F5-55F7F887CF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7833216"/>
        <c:axId val="147834752"/>
      </c:barChart>
      <c:catAx>
        <c:axId val="147833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7834752"/>
        <c:crosses val="autoZero"/>
        <c:auto val="1"/>
        <c:lblAlgn val="ctr"/>
        <c:lblOffset val="100"/>
        <c:noMultiLvlLbl val="0"/>
      </c:catAx>
      <c:valAx>
        <c:axId val="14783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7833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Tipo</a:t>
            </a:r>
            <a:r>
              <a:rPr lang="es-MX" baseline="0"/>
              <a:t> de sala</a:t>
            </a:r>
            <a:endParaRPr lang="es-MX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'Estadísticas específicas'!$A$28</c:f>
              <c:strCache>
                <c:ptCount val="1"/>
                <c:pt idx="0">
                  <c:v>Todo fijo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específicas'!$B$26:$M$27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específicas'!$B$28:$M$28</c:f>
              <c:numCache>
                <c:formatCode>0%</c:formatCode>
                <c:ptCount val="12"/>
                <c:pt idx="0">
                  <c:v>0.5</c:v>
                </c:pt>
                <c:pt idx="1">
                  <c:v>1</c:v>
                </c:pt>
                <c:pt idx="2">
                  <c:v>0.58333333333333337</c:v>
                </c:pt>
                <c:pt idx="3">
                  <c:v>0.67741935483870963</c:v>
                </c:pt>
                <c:pt idx="4">
                  <c:v>0.52777777777777779</c:v>
                </c:pt>
                <c:pt idx="5">
                  <c:v>0.27272727272727271</c:v>
                </c:pt>
                <c:pt idx="6">
                  <c:v>0.47222222222222221</c:v>
                </c:pt>
                <c:pt idx="7">
                  <c:v>0.67796610169491522</c:v>
                </c:pt>
                <c:pt idx="8">
                  <c:v>0.46875</c:v>
                </c:pt>
                <c:pt idx="9">
                  <c:v>0.5</c:v>
                </c:pt>
                <c:pt idx="10">
                  <c:v>0.44736842105263158</c:v>
                </c:pt>
                <c:pt idx="11">
                  <c:v>0.5714285714285714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B95-4193-B01F-4F19492BBAF5}"/>
            </c:ext>
          </c:extLst>
        </c:ser>
        <c:ser>
          <c:idx val="1"/>
          <c:order val="1"/>
          <c:tx>
            <c:strRef>
              <c:f>'Estadísticas específicas'!$A$29</c:f>
              <c:strCache>
                <c:ptCount val="1"/>
                <c:pt idx="0">
                  <c:v>A o R removible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específicas'!$B$26:$M$27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específicas'!$B$29:$M$29</c:f>
              <c:numCache>
                <c:formatCode>0%</c:formatCode>
                <c:ptCount val="12"/>
                <c:pt idx="0">
                  <c:v>0.34615384615384615</c:v>
                </c:pt>
                <c:pt idx="1">
                  <c:v>0</c:v>
                </c:pt>
                <c:pt idx="2">
                  <c:v>0.125</c:v>
                </c:pt>
                <c:pt idx="3">
                  <c:v>0.12903225806451613</c:v>
                </c:pt>
                <c:pt idx="4">
                  <c:v>0.25</c:v>
                </c:pt>
                <c:pt idx="5">
                  <c:v>0.42424242424242425</c:v>
                </c:pt>
                <c:pt idx="6">
                  <c:v>0.3611111111111111</c:v>
                </c:pt>
                <c:pt idx="7">
                  <c:v>0.15254237288135594</c:v>
                </c:pt>
                <c:pt idx="8">
                  <c:v>0.4375</c:v>
                </c:pt>
                <c:pt idx="9">
                  <c:v>0.21428571428571427</c:v>
                </c:pt>
                <c:pt idx="10">
                  <c:v>0.42105263157894735</c:v>
                </c:pt>
                <c:pt idx="11">
                  <c:v>0.2857142857142857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9B95-4193-B01F-4F19492BBAF5}"/>
            </c:ext>
          </c:extLst>
        </c:ser>
        <c:ser>
          <c:idx val="2"/>
          <c:order val="2"/>
          <c:tx>
            <c:strRef>
              <c:f>'Estadísticas específicas'!$A$30</c:f>
              <c:strCache>
                <c:ptCount val="1"/>
                <c:pt idx="0">
                  <c:v>Todo Removible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específicas'!$B$26:$M$27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específicas'!$B$30:$M$30</c:f>
              <c:numCache>
                <c:formatCode>0%</c:formatCode>
                <c:ptCount val="12"/>
                <c:pt idx="0">
                  <c:v>0.15384615384615385</c:v>
                </c:pt>
                <c:pt idx="1">
                  <c:v>0</c:v>
                </c:pt>
                <c:pt idx="2">
                  <c:v>0.29166666666666669</c:v>
                </c:pt>
                <c:pt idx="3">
                  <c:v>0.19354838709677419</c:v>
                </c:pt>
                <c:pt idx="4">
                  <c:v>0.22222222222222221</c:v>
                </c:pt>
                <c:pt idx="5">
                  <c:v>0.30303030303030304</c:v>
                </c:pt>
                <c:pt idx="6">
                  <c:v>0.16666666666666666</c:v>
                </c:pt>
                <c:pt idx="7">
                  <c:v>0.16949152542372881</c:v>
                </c:pt>
                <c:pt idx="8">
                  <c:v>9.375E-2</c:v>
                </c:pt>
                <c:pt idx="9">
                  <c:v>0.2857142857142857</c:v>
                </c:pt>
                <c:pt idx="10">
                  <c:v>0.13157894736842105</c:v>
                </c:pt>
                <c:pt idx="11">
                  <c:v>0.14285714285714285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9B95-4193-B01F-4F19492BBA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7870464"/>
        <c:axId val="147872000"/>
      </c:barChart>
      <c:catAx>
        <c:axId val="147870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7872000"/>
        <c:crosses val="autoZero"/>
        <c:auto val="1"/>
        <c:lblAlgn val="ctr"/>
        <c:lblOffset val="100"/>
        <c:noMultiLvlLbl val="0"/>
      </c:catAx>
      <c:valAx>
        <c:axId val="147872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7870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Tamaño</a:t>
            </a:r>
            <a:r>
              <a:rPr lang="es-MX" baseline="0"/>
              <a:t> de sala</a:t>
            </a:r>
            <a:endParaRPr lang="es-MX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'Estadísticas específicas'!$A$34</c:f>
              <c:strCache>
                <c:ptCount val="1"/>
                <c:pt idx="0">
                  <c:v>1 Plaza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específicas'!$B$32:$M$33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específicas'!$B$34:$M$34</c:f>
              <c:numCache>
                <c:formatCode>0%</c:formatCode>
                <c:ptCount val="12"/>
                <c:pt idx="0">
                  <c:v>3.8461538461538464E-2</c:v>
                </c:pt>
                <c:pt idx="1">
                  <c:v>0.15384615384615385</c:v>
                </c:pt>
                <c:pt idx="2">
                  <c:v>8.3333333333333329E-2</c:v>
                </c:pt>
                <c:pt idx="3">
                  <c:v>0.19354838709677419</c:v>
                </c:pt>
                <c:pt idx="4">
                  <c:v>0.22222222222222221</c:v>
                </c:pt>
                <c:pt idx="5">
                  <c:v>0.36363636363636365</c:v>
                </c:pt>
                <c:pt idx="6">
                  <c:v>5.5555555555555552E-2</c:v>
                </c:pt>
                <c:pt idx="7">
                  <c:v>0.50847457627118642</c:v>
                </c:pt>
                <c:pt idx="8">
                  <c:v>9.375E-2</c:v>
                </c:pt>
                <c:pt idx="9">
                  <c:v>0</c:v>
                </c:pt>
                <c:pt idx="10">
                  <c:v>0.42105263157894735</c:v>
                </c:pt>
                <c:pt idx="11">
                  <c:v>0.21428571428571427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BC0-4900-96EE-A67E7D052759}"/>
            </c:ext>
          </c:extLst>
        </c:ser>
        <c:ser>
          <c:idx val="1"/>
          <c:order val="1"/>
          <c:tx>
            <c:strRef>
              <c:f>'Estadísticas específicas'!$A$35</c:f>
              <c:strCache>
                <c:ptCount val="1"/>
                <c:pt idx="0">
                  <c:v>2 Plazas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específicas'!$B$32:$M$33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específicas'!$B$35:$M$35</c:f>
              <c:numCache>
                <c:formatCode>0%</c:formatCode>
                <c:ptCount val="12"/>
                <c:pt idx="0">
                  <c:v>0.11538461538461539</c:v>
                </c:pt>
                <c:pt idx="1">
                  <c:v>7.6923076923076927E-2</c:v>
                </c:pt>
                <c:pt idx="2">
                  <c:v>4.1666666666666664E-2</c:v>
                </c:pt>
                <c:pt idx="3">
                  <c:v>9.6774193548387094E-2</c:v>
                </c:pt>
                <c:pt idx="4">
                  <c:v>0.19444444444444445</c:v>
                </c:pt>
                <c:pt idx="5">
                  <c:v>6.0606060606060608E-2</c:v>
                </c:pt>
                <c:pt idx="6">
                  <c:v>5.5555555555555552E-2</c:v>
                </c:pt>
                <c:pt idx="7">
                  <c:v>8.4745762711864403E-2</c:v>
                </c:pt>
                <c:pt idx="8">
                  <c:v>9.375E-2</c:v>
                </c:pt>
                <c:pt idx="9">
                  <c:v>0.21428571428571427</c:v>
                </c:pt>
                <c:pt idx="10">
                  <c:v>5.2631578947368418E-2</c:v>
                </c:pt>
                <c:pt idx="11">
                  <c:v>7.1428571428571425E-2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1BC0-4900-96EE-A67E7D052759}"/>
            </c:ext>
          </c:extLst>
        </c:ser>
        <c:ser>
          <c:idx val="2"/>
          <c:order val="2"/>
          <c:tx>
            <c:strRef>
              <c:f>'Estadísticas específicas'!$A$36</c:f>
              <c:strCache>
                <c:ptCount val="1"/>
                <c:pt idx="0">
                  <c:v>3 Plazas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específicas'!$B$32:$M$33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específicas'!$B$36:$M$36</c:f>
              <c:numCache>
                <c:formatCode>0%</c:formatCode>
                <c:ptCount val="12"/>
                <c:pt idx="0">
                  <c:v>0.11538461538461539</c:v>
                </c:pt>
                <c:pt idx="1">
                  <c:v>7.6923076923076927E-2</c:v>
                </c:pt>
                <c:pt idx="2">
                  <c:v>0.125</c:v>
                </c:pt>
                <c:pt idx="3">
                  <c:v>0.12903225806451613</c:v>
                </c:pt>
                <c:pt idx="4">
                  <c:v>0</c:v>
                </c:pt>
                <c:pt idx="5">
                  <c:v>0.15151515151515152</c:v>
                </c:pt>
                <c:pt idx="6">
                  <c:v>8.3333333333333329E-2</c:v>
                </c:pt>
                <c:pt idx="7">
                  <c:v>0.10169491525423729</c:v>
                </c:pt>
                <c:pt idx="8">
                  <c:v>0.15625</c:v>
                </c:pt>
                <c:pt idx="9">
                  <c:v>0.14285714285714285</c:v>
                </c:pt>
                <c:pt idx="10">
                  <c:v>5.2631578947368418E-2</c:v>
                </c:pt>
                <c:pt idx="11">
                  <c:v>0.10714285714285714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1BC0-4900-96EE-A67E7D052759}"/>
            </c:ext>
          </c:extLst>
        </c:ser>
        <c:ser>
          <c:idx val="3"/>
          <c:order val="3"/>
          <c:tx>
            <c:strRef>
              <c:f>'Estadísticas específicas'!$A$37</c:f>
              <c:strCache>
                <c:ptCount val="1"/>
                <c:pt idx="0">
                  <c:v>4 Plazas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específicas'!$B$32:$M$33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específicas'!$B$37:$M$37</c:f>
              <c:numCache>
                <c:formatCode>0%</c:formatCode>
                <c:ptCount val="12"/>
                <c:pt idx="0">
                  <c:v>0.23076923076923078</c:v>
                </c:pt>
                <c:pt idx="1">
                  <c:v>0</c:v>
                </c:pt>
                <c:pt idx="2">
                  <c:v>0.29166666666666669</c:v>
                </c:pt>
                <c:pt idx="3">
                  <c:v>0.12903225806451613</c:v>
                </c:pt>
                <c:pt idx="4">
                  <c:v>8.3333333333333329E-2</c:v>
                </c:pt>
                <c:pt idx="5">
                  <c:v>6.0606060606060608E-2</c:v>
                </c:pt>
                <c:pt idx="6">
                  <c:v>8.3333333333333329E-2</c:v>
                </c:pt>
                <c:pt idx="7">
                  <c:v>3.3898305084745763E-2</c:v>
                </c:pt>
                <c:pt idx="8">
                  <c:v>3.125E-2</c:v>
                </c:pt>
                <c:pt idx="9">
                  <c:v>0.14285714285714285</c:v>
                </c:pt>
                <c:pt idx="10">
                  <c:v>5.2631578947368418E-2</c:v>
                </c:pt>
                <c:pt idx="11">
                  <c:v>7.1428571428571425E-2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1BC0-4900-96EE-A67E7D052759}"/>
            </c:ext>
          </c:extLst>
        </c:ser>
        <c:ser>
          <c:idx val="4"/>
          <c:order val="4"/>
          <c:tx>
            <c:strRef>
              <c:f>'Estadísticas específicas'!$A$38</c:f>
              <c:strCache>
                <c:ptCount val="1"/>
                <c:pt idx="0">
                  <c:v>5 Plazas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específicas'!$B$32:$M$33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específicas'!$B$38:$M$38</c:f>
              <c:numCache>
                <c:formatCode>0%</c:formatCode>
                <c:ptCount val="12"/>
                <c:pt idx="0">
                  <c:v>0.23076923076923078</c:v>
                </c:pt>
                <c:pt idx="1">
                  <c:v>0.38461538461538464</c:v>
                </c:pt>
                <c:pt idx="2">
                  <c:v>0.125</c:v>
                </c:pt>
                <c:pt idx="3">
                  <c:v>0.25806451612903225</c:v>
                </c:pt>
                <c:pt idx="4">
                  <c:v>0.19444444444444445</c:v>
                </c:pt>
                <c:pt idx="5">
                  <c:v>0.12121212121212122</c:v>
                </c:pt>
                <c:pt idx="6">
                  <c:v>0.19444444444444445</c:v>
                </c:pt>
                <c:pt idx="7">
                  <c:v>0.11864406779661017</c:v>
                </c:pt>
                <c:pt idx="8">
                  <c:v>0.25</c:v>
                </c:pt>
                <c:pt idx="9">
                  <c:v>0.2857142857142857</c:v>
                </c:pt>
                <c:pt idx="10">
                  <c:v>0.13157894736842105</c:v>
                </c:pt>
                <c:pt idx="11">
                  <c:v>0.14285714285714285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1BC0-4900-96EE-A67E7D052759}"/>
            </c:ext>
          </c:extLst>
        </c:ser>
        <c:ser>
          <c:idx val="5"/>
          <c:order val="5"/>
          <c:tx>
            <c:strRef>
              <c:f>'Estadísticas específicas'!$A$39</c:f>
              <c:strCache>
                <c:ptCount val="1"/>
                <c:pt idx="0">
                  <c:v>6 Plazas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específicas'!$B$32:$M$33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específicas'!$B$39:$M$39</c:f>
              <c:numCache>
                <c:formatCode>0%</c:formatCode>
                <c:ptCount val="12"/>
                <c:pt idx="0">
                  <c:v>0.23076923076923078</c:v>
                </c:pt>
                <c:pt idx="1">
                  <c:v>0.23076923076923078</c:v>
                </c:pt>
                <c:pt idx="2">
                  <c:v>0.29166666666666669</c:v>
                </c:pt>
                <c:pt idx="3">
                  <c:v>0.16129032258064516</c:v>
                </c:pt>
                <c:pt idx="4">
                  <c:v>0.25</c:v>
                </c:pt>
                <c:pt idx="5">
                  <c:v>6.0606060606060608E-2</c:v>
                </c:pt>
                <c:pt idx="6">
                  <c:v>0.3611111111111111</c:v>
                </c:pt>
                <c:pt idx="7">
                  <c:v>8.4745762711864403E-2</c:v>
                </c:pt>
                <c:pt idx="8">
                  <c:v>0.25</c:v>
                </c:pt>
                <c:pt idx="9">
                  <c:v>0.14285714285714285</c:v>
                </c:pt>
                <c:pt idx="10">
                  <c:v>0.18421052631578946</c:v>
                </c:pt>
                <c:pt idx="11">
                  <c:v>0.21428571428571427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1BC0-4900-96EE-A67E7D052759}"/>
            </c:ext>
          </c:extLst>
        </c:ser>
        <c:ser>
          <c:idx val="6"/>
          <c:order val="6"/>
          <c:tx>
            <c:strRef>
              <c:f>'Estadísticas específicas'!$A$40</c:f>
              <c:strCache>
                <c:ptCount val="1"/>
                <c:pt idx="0">
                  <c:v>7 Plazas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específicas'!$B$32:$M$33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específicas'!$B$40:$M$40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2.7777777777777776E-2</c:v>
                </c:pt>
                <c:pt idx="5">
                  <c:v>9.0909090909090912E-2</c:v>
                </c:pt>
                <c:pt idx="6">
                  <c:v>0.1111111111111111</c:v>
                </c:pt>
                <c:pt idx="7">
                  <c:v>5.0847457627118647E-2</c:v>
                </c:pt>
                <c:pt idx="8">
                  <c:v>0.125</c:v>
                </c:pt>
                <c:pt idx="9">
                  <c:v>0</c:v>
                </c:pt>
                <c:pt idx="10">
                  <c:v>2.6315789473684209E-2</c:v>
                </c:pt>
                <c:pt idx="11">
                  <c:v>0.10714285714285714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1BC0-4900-96EE-A67E7D052759}"/>
            </c:ext>
          </c:extLst>
        </c:ser>
        <c:ser>
          <c:idx val="7"/>
          <c:order val="7"/>
          <c:tx>
            <c:strRef>
              <c:f>'Estadísticas específicas'!$A$41</c:f>
              <c:strCache>
                <c:ptCount val="1"/>
                <c:pt idx="0">
                  <c:v>8 Plazas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específicas'!$B$32:$M$33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específicas'!$B$41:$M$41</c:f>
              <c:numCache>
                <c:formatCode>0%</c:formatCode>
                <c:ptCount val="12"/>
                <c:pt idx="0">
                  <c:v>3.8461538461538464E-2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3.0303030303030304E-2</c:v>
                </c:pt>
                <c:pt idx="6">
                  <c:v>2.7777777777777776E-2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5.2631578947368418E-2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1BC0-4900-96EE-A67E7D052759}"/>
            </c:ext>
          </c:extLst>
        </c:ser>
        <c:ser>
          <c:idx val="8"/>
          <c:order val="8"/>
          <c:tx>
            <c:strRef>
              <c:f>'Estadísticas específicas'!$A$42</c:f>
              <c:strCache>
                <c:ptCount val="1"/>
                <c:pt idx="0">
                  <c:v>9 Plazas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específicas'!$B$32:$M$33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específicas'!$B$42:$M$42</c:f>
              <c:numCache>
                <c:formatCode>0%</c:formatCode>
                <c:ptCount val="12"/>
                <c:pt idx="0">
                  <c:v>0</c:v>
                </c:pt>
                <c:pt idx="1">
                  <c:v>7.6923076923076927E-2</c:v>
                </c:pt>
                <c:pt idx="2">
                  <c:v>4.1666666666666664E-2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1BC0-4900-96EE-A67E7D052759}"/>
            </c:ext>
          </c:extLst>
        </c:ser>
        <c:ser>
          <c:idx val="9"/>
          <c:order val="9"/>
          <c:tx>
            <c:strRef>
              <c:f>'Estadísticas específicas'!$A$43</c:f>
              <c:strCache>
                <c:ptCount val="1"/>
                <c:pt idx="0">
                  <c:v>10 Plazas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específicas'!$B$32:$M$33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específicas'!$B$43:$M$43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3.2258064516129031E-2</c:v>
                </c:pt>
                <c:pt idx="4">
                  <c:v>0</c:v>
                </c:pt>
                <c:pt idx="5">
                  <c:v>6.0606060606060608E-2</c:v>
                </c:pt>
                <c:pt idx="6">
                  <c:v>2.7777777777777776E-2</c:v>
                </c:pt>
                <c:pt idx="7">
                  <c:v>0</c:v>
                </c:pt>
                <c:pt idx="8">
                  <c:v>0</c:v>
                </c:pt>
                <c:pt idx="9">
                  <c:v>7.1428571428571425E-2</c:v>
                </c:pt>
                <c:pt idx="10">
                  <c:v>2.6315789473684209E-2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1BC0-4900-96EE-A67E7D052759}"/>
            </c:ext>
          </c:extLst>
        </c:ser>
        <c:ser>
          <c:idx val="10"/>
          <c:order val="10"/>
          <c:tx>
            <c:strRef>
              <c:f>'Estadísticas específicas'!$A$44</c:f>
              <c:strCache>
                <c:ptCount val="1"/>
                <c:pt idx="0">
                  <c:v>11 Plazas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específicas'!$B$32:$M$33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específicas'!$B$44:$M$44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2.7777777777777776E-2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1BC0-4900-96EE-A67E7D052759}"/>
            </c:ext>
          </c:extLst>
        </c:ser>
        <c:ser>
          <c:idx val="11"/>
          <c:order val="11"/>
          <c:tx>
            <c:strRef>
              <c:f>'Estadísticas específicas'!$A$45</c:f>
              <c:strCache>
                <c:ptCount val="1"/>
                <c:pt idx="0">
                  <c:v>12 Plazas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específicas'!$B$32:$M$33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específicas'!$B$45:$M$45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1.6949152542372881E-2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B-1BC0-4900-96EE-A67E7D0527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9020672"/>
        <c:axId val="149022208"/>
      </c:barChart>
      <c:catAx>
        <c:axId val="149020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9022208"/>
        <c:crosses val="autoZero"/>
        <c:auto val="1"/>
        <c:lblAlgn val="ctr"/>
        <c:lblOffset val="100"/>
        <c:noMultiLvlLbl val="0"/>
      </c:catAx>
      <c:valAx>
        <c:axId val="14902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9020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Tipo</a:t>
            </a:r>
            <a:r>
              <a:rPr lang="es-MX" baseline="0"/>
              <a:t> de tapete</a:t>
            </a:r>
            <a:endParaRPr lang="es-MX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'Estadísticas específicas'!$A$49</c:f>
              <c:strCache>
                <c:ptCount val="1"/>
                <c:pt idx="0">
                  <c:v>Lana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específicas'!$B$47:$M$48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específicas'!$B$49:$M$49</c:f>
              <c:numCache>
                <c:formatCode>0%</c:formatCode>
                <c:ptCount val="12"/>
                <c:pt idx="0">
                  <c:v>8.8235294117647065E-2</c:v>
                </c:pt>
                <c:pt idx="1">
                  <c:v>0.1</c:v>
                </c:pt>
                <c:pt idx="2">
                  <c:v>0.18518518518518517</c:v>
                </c:pt>
                <c:pt idx="3">
                  <c:v>0.46153846153846156</c:v>
                </c:pt>
                <c:pt idx="4">
                  <c:v>7.1428571428571425E-2</c:v>
                </c:pt>
                <c:pt idx="5">
                  <c:v>0.29411764705882354</c:v>
                </c:pt>
                <c:pt idx="6">
                  <c:v>3.4482758620689655E-2</c:v>
                </c:pt>
                <c:pt idx="7">
                  <c:v>0.1875</c:v>
                </c:pt>
                <c:pt idx="8">
                  <c:v>0.125</c:v>
                </c:pt>
                <c:pt idx="9">
                  <c:v>0.39130434782608697</c:v>
                </c:pt>
                <c:pt idx="10">
                  <c:v>0.36</c:v>
                </c:pt>
                <c:pt idx="11">
                  <c:v>0.32142857142857145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47-48FD-9C21-3426C98B9187}"/>
            </c:ext>
          </c:extLst>
        </c:ser>
        <c:ser>
          <c:idx val="1"/>
          <c:order val="1"/>
          <c:tx>
            <c:strRef>
              <c:f>'Estadísticas específicas'!$A$50</c:f>
              <c:strCache>
                <c:ptCount val="1"/>
                <c:pt idx="0">
                  <c:v>Sintético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específicas'!$B$47:$M$48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específicas'!$B$50:$M$50</c:f>
              <c:numCache>
                <c:formatCode>0%</c:formatCode>
                <c:ptCount val="12"/>
                <c:pt idx="0">
                  <c:v>0.88235294117647056</c:v>
                </c:pt>
                <c:pt idx="1">
                  <c:v>0.9</c:v>
                </c:pt>
                <c:pt idx="2">
                  <c:v>0.81481481481481477</c:v>
                </c:pt>
                <c:pt idx="3">
                  <c:v>0.53846153846153844</c:v>
                </c:pt>
                <c:pt idx="4">
                  <c:v>0.9285714285714286</c:v>
                </c:pt>
                <c:pt idx="5">
                  <c:v>0.70588235294117652</c:v>
                </c:pt>
                <c:pt idx="6">
                  <c:v>0.86206896551724133</c:v>
                </c:pt>
                <c:pt idx="7">
                  <c:v>0.78125</c:v>
                </c:pt>
                <c:pt idx="8">
                  <c:v>0.8125</c:v>
                </c:pt>
                <c:pt idx="9">
                  <c:v>0.52173913043478259</c:v>
                </c:pt>
                <c:pt idx="10">
                  <c:v>0.6</c:v>
                </c:pt>
                <c:pt idx="11">
                  <c:v>0.6071428571428571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BE47-48FD-9C21-3426C98B9187}"/>
            </c:ext>
          </c:extLst>
        </c:ser>
        <c:ser>
          <c:idx val="2"/>
          <c:order val="2"/>
          <c:tx>
            <c:strRef>
              <c:f>'Estadísticas específicas'!$A$51</c:f>
              <c:strCache>
                <c:ptCount val="1"/>
                <c:pt idx="0">
                  <c:v>Seda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específicas'!$B$47:$M$48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específicas'!$B$51:$M$51</c:f>
              <c:numCache>
                <c:formatCode>0%</c:formatCode>
                <c:ptCount val="12"/>
                <c:pt idx="0">
                  <c:v>2.9411764705882353E-2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0.10344827586206896</c:v>
                </c:pt>
                <c:pt idx="7">
                  <c:v>3.125E-2</c:v>
                </c:pt>
                <c:pt idx="8">
                  <c:v>6.25E-2</c:v>
                </c:pt>
                <c:pt idx="9">
                  <c:v>8.6956521739130432E-2</c:v>
                </c:pt>
                <c:pt idx="10">
                  <c:v>0.04</c:v>
                </c:pt>
                <c:pt idx="11">
                  <c:v>7.1428571428571425E-2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E47-48FD-9C21-3426C98B91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8738432"/>
        <c:axId val="148739968"/>
      </c:barChart>
      <c:catAx>
        <c:axId val="148738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8739968"/>
        <c:crosses val="autoZero"/>
        <c:auto val="1"/>
        <c:lblAlgn val="ctr"/>
        <c:lblOffset val="100"/>
        <c:noMultiLvlLbl val="0"/>
      </c:catAx>
      <c:valAx>
        <c:axId val="14873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8738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Tipo</a:t>
            </a:r>
            <a:r>
              <a:rPr lang="es-MX" baseline="0"/>
              <a:t> de silla</a:t>
            </a:r>
            <a:endParaRPr lang="es-MX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'Estadísticas específicas'!$A$55</c:f>
              <c:strCache>
                <c:ptCount val="1"/>
                <c:pt idx="0">
                  <c:v>Asiento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específicas'!$B$53:$M$54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específicas'!$B$55:$M$55</c:f>
              <c:numCache>
                <c:formatCode>0%</c:formatCode>
                <c:ptCount val="12"/>
                <c:pt idx="0">
                  <c:v>0.16666666666666666</c:v>
                </c:pt>
                <c:pt idx="1">
                  <c:v>0</c:v>
                </c:pt>
                <c:pt idx="2">
                  <c:v>4.5454545454545456E-2</c:v>
                </c:pt>
                <c:pt idx="3">
                  <c:v>7.6923076923076927E-2</c:v>
                </c:pt>
                <c:pt idx="4">
                  <c:v>0.14285714285714285</c:v>
                </c:pt>
                <c:pt idx="5">
                  <c:v>0</c:v>
                </c:pt>
                <c:pt idx="6">
                  <c:v>0.33333333333333331</c:v>
                </c:pt>
                <c:pt idx="7">
                  <c:v>0.18181818181818182</c:v>
                </c:pt>
                <c:pt idx="8">
                  <c:v>0.15384615384615385</c:v>
                </c:pt>
                <c:pt idx="9">
                  <c:v>0</c:v>
                </c:pt>
                <c:pt idx="10">
                  <c:v>0.27272727272727271</c:v>
                </c:pt>
                <c:pt idx="11">
                  <c:v>0.25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04F-4592-87F7-86C99C660049}"/>
            </c:ext>
          </c:extLst>
        </c:ser>
        <c:ser>
          <c:idx val="1"/>
          <c:order val="1"/>
          <c:tx>
            <c:strRef>
              <c:f>'Estadísticas específicas'!$A$56</c:f>
              <c:strCache>
                <c:ptCount val="1"/>
                <c:pt idx="0">
                  <c:v>Asiento y respaldo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específicas'!$B$53:$M$54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específicas'!$B$56:$M$56</c:f>
              <c:numCache>
                <c:formatCode>0%</c:formatCode>
                <c:ptCount val="12"/>
                <c:pt idx="0">
                  <c:v>0.83333333333333337</c:v>
                </c:pt>
                <c:pt idx="1">
                  <c:v>1</c:v>
                </c:pt>
                <c:pt idx="2">
                  <c:v>0.95454545454545459</c:v>
                </c:pt>
                <c:pt idx="3">
                  <c:v>0.92307692307692313</c:v>
                </c:pt>
                <c:pt idx="4">
                  <c:v>0.8571428571428571</c:v>
                </c:pt>
                <c:pt idx="5">
                  <c:v>1</c:v>
                </c:pt>
                <c:pt idx="6">
                  <c:v>0.66666666666666663</c:v>
                </c:pt>
                <c:pt idx="7">
                  <c:v>0.81818181818181823</c:v>
                </c:pt>
                <c:pt idx="8">
                  <c:v>0.84615384615384615</c:v>
                </c:pt>
                <c:pt idx="9">
                  <c:v>1</c:v>
                </c:pt>
                <c:pt idx="10">
                  <c:v>0.72727272727272729</c:v>
                </c:pt>
                <c:pt idx="11">
                  <c:v>0.75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04F-4592-87F7-86C99C660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8843904"/>
        <c:axId val="148849792"/>
      </c:barChart>
      <c:catAx>
        <c:axId val="148843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8849792"/>
        <c:crosses val="autoZero"/>
        <c:auto val="1"/>
        <c:lblAlgn val="ctr"/>
        <c:lblOffset val="100"/>
        <c:noMultiLvlLbl val="0"/>
      </c:catAx>
      <c:valAx>
        <c:axId val="14884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8843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Tipo</a:t>
            </a:r>
            <a:r>
              <a:rPr lang="es-MX" baseline="0"/>
              <a:t> de colchón</a:t>
            </a:r>
            <a:endParaRPr lang="es-MX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'Estadísticas específicas'!$A$60</c:f>
              <c:strCache>
                <c:ptCount val="1"/>
                <c:pt idx="0">
                  <c:v>Cuna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específicas'!$B$58:$M$59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específicas'!$B$60:$M$60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8.3333333333333329E-2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B0F-4DC0-B64A-97E339BF744E}"/>
            </c:ext>
          </c:extLst>
        </c:ser>
        <c:ser>
          <c:idx val="1"/>
          <c:order val="1"/>
          <c:tx>
            <c:strRef>
              <c:f>'Estadísticas específicas'!$A$61</c:f>
              <c:strCache>
                <c:ptCount val="1"/>
                <c:pt idx="0">
                  <c:v>Ind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específicas'!$B$58:$M$59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específicas'!$B$61:$M$61</c:f>
              <c:numCache>
                <c:formatCode>0%</c:formatCode>
                <c:ptCount val="12"/>
                <c:pt idx="0">
                  <c:v>0.2</c:v>
                </c:pt>
                <c:pt idx="1">
                  <c:v>0.14285714285714285</c:v>
                </c:pt>
                <c:pt idx="2">
                  <c:v>0.58333333333333337</c:v>
                </c:pt>
                <c:pt idx="3">
                  <c:v>0.33333333333333331</c:v>
                </c:pt>
                <c:pt idx="4">
                  <c:v>0.1111111111111111</c:v>
                </c:pt>
                <c:pt idx="5">
                  <c:v>0.1</c:v>
                </c:pt>
                <c:pt idx="6">
                  <c:v>0.2</c:v>
                </c:pt>
                <c:pt idx="7">
                  <c:v>0.31818181818181818</c:v>
                </c:pt>
                <c:pt idx="8">
                  <c:v>0.35294117647058826</c:v>
                </c:pt>
                <c:pt idx="9">
                  <c:v>0.33333333333333331</c:v>
                </c:pt>
                <c:pt idx="10">
                  <c:v>0.1111111111111111</c:v>
                </c:pt>
                <c:pt idx="11">
                  <c:v>0.25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1B0F-4DC0-B64A-97E339BF744E}"/>
            </c:ext>
          </c:extLst>
        </c:ser>
        <c:ser>
          <c:idx val="2"/>
          <c:order val="2"/>
          <c:tx>
            <c:strRef>
              <c:f>'Estadísticas específicas'!$A$62</c:f>
              <c:strCache>
                <c:ptCount val="1"/>
                <c:pt idx="0">
                  <c:v>Mat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específicas'!$B$58:$M$59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específicas'!$B$62:$M$62</c:f>
              <c:numCache>
                <c:formatCode>0%</c:formatCode>
                <c:ptCount val="12"/>
                <c:pt idx="0">
                  <c:v>0.2</c:v>
                </c:pt>
                <c:pt idx="1">
                  <c:v>0.8571428571428571</c:v>
                </c:pt>
                <c:pt idx="2">
                  <c:v>0.25</c:v>
                </c:pt>
                <c:pt idx="3">
                  <c:v>0</c:v>
                </c:pt>
                <c:pt idx="4">
                  <c:v>0.66666666666666663</c:v>
                </c:pt>
                <c:pt idx="5">
                  <c:v>0.2</c:v>
                </c:pt>
                <c:pt idx="6">
                  <c:v>0.4</c:v>
                </c:pt>
                <c:pt idx="7">
                  <c:v>0.36363636363636365</c:v>
                </c:pt>
                <c:pt idx="8">
                  <c:v>5.8823529411764705E-2</c:v>
                </c:pt>
                <c:pt idx="9">
                  <c:v>0.33333333333333331</c:v>
                </c:pt>
                <c:pt idx="10">
                  <c:v>0.44444444444444442</c:v>
                </c:pt>
                <c:pt idx="11">
                  <c:v>0.5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1B0F-4DC0-B64A-97E339BF744E}"/>
            </c:ext>
          </c:extLst>
        </c:ser>
        <c:ser>
          <c:idx val="3"/>
          <c:order val="3"/>
          <c:tx>
            <c:strRef>
              <c:f>'Estadísticas específicas'!$A$63</c:f>
              <c:strCache>
                <c:ptCount val="1"/>
                <c:pt idx="0">
                  <c:v>QS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específicas'!$B$58:$M$59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específicas'!$B$63:$M$63</c:f>
              <c:numCache>
                <c:formatCode>0%</c:formatCode>
                <c:ptCount val="12"/>
                <c:pt idx="0">
                  <c:v>6.6666666666666666E-2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0.2</c:v>
                </c:pt>
                <c:pt idx="6">
                  <c:v>0.15</c:v>
                </c:pt>
                <c:pt idx="7">
                  <c:v>0.13636363636363635</c:v>
                </c:pt>
                <c:pt idx="8">
                  <c:v>0</c:v>
                </c:pt>
                <c:pt idx="9">
                  <c:v>0.16666666666666666</c:v>
                </c:pt>
                <c:pt idx="10">
                  <c:v>0.33333333333333331</c:v>
                </c:pt>
                <c:pt idx="11">
                  <c:v>0.125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1B0F-4DC0-B64A-97E339BF744E}"/>
            </c:ext>
          </c:extLst>
        </c:ser>
        <c:ser>
          <c:idx val="4"/>
          <c:order val="4"/>
          <c:tx>
            <c:strRef>
              <c:f>'Estadísticas específicas'!$A$64</c:f>
              <c:strCache>
                <c:ptCount val="1"/>
                <c:pt idx="0">
                  <c:v>KS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específicas'!$B$58:$M$59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específicas'!$B$64:$M$64</c:f>
              <c:numCache>
                <c:formatCode>0%</c:formatCode>
                <c:ptCount val="12"/>
                <c:pt idx="0">
                  <c:v>0.53333333333333333</c:v>
                </c:pt>
                <c:pt idx="1">
                  <c:v>0</c:v>
                </c:pt>
                <c:pt idx="2">
                  <c:v>0.16666666666666666</c:v>
                </c:pt>
                <c:pt idx="3">
                  <c:v>0.66666666666666663</c:v>
                </c:pt>
                <c:pt idx="4">
                  <c:v>0.22222222222222221</c:v>
                </c:pt>
                <c:pt idx="5">
                  <c:v>0.5</c:v>
                </c:pt>
                <c:pt idx="6">
                  <c:v>0.25</c:v>
                </c:pt>
                <c:pt idx="7">
                  <c:v>0.18181818181818182</c:v>
                </c:pt>
                <c:pt idx="8">
                  <c:v>0.58823529411764708</c:v>
                </c:pt>
                <c:pt idx="9">
                  <c:v>8.3333333333333329E-2</c:v>
                </c:pt>
                <c:pt idx="10">
                  <c:v>0.1111111111111111</c:v>
                </c:pt>
                <c:pt idx="11">
                  <c:v>0.125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1B0F-4DC0-B64A-97E339BF74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8900096"/>
        <c:axId val="148910080"/>
      </c:barChart>
      <c:catAx>
        <c:axId val="148900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8910080"/>
        <c:crosses val="autoZero"/>
        <c:auto val="1"/>
        <c:lblAlgn val="ctr"/>
        <c:lblOffset val="100"/>
        <c:noMultiLvlLbl val="0"/>
      </c:catAx>
      <c:valAx>
        <c:axId val="14891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8900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Otro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'Estadísticas específicas'!$A$68</c:f>
              <c:strCache>
                <c:ptCount val="1"/>
                <c:pt idx="0">
                  <c:v>Taburete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específicas'!$B$66:$M$67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específicas'!$B$68:$M$68</c:f>
              <c:numCache>
                <c:formatCode>0%</c:formatCode>
                <c:ptCount val="12"/>
                <c:pt idx="0">
                  <c:v>0.33333333333333331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0.22222222222222221</c:v>
                </c:pt>
                <c:pt idx="6">
                  <c:v>0.33333333333333331</c:v>
                </c:pt>
                <c:pt idx="7">
                  <c:v>5.5555555555555552E-2</c:v>
                </c:pt>
                <c:pt idx="8">
                  <c:v>6.25E-2</c:v>
                </c:pt>
                <c:pt idx="9">
                  <c:v>7.6923076923076927E-2</c:v>
                </c:pt>
                <c:pt idx="10">
                  <c:v>0.16666666666666666</c:v>
                </c:pt>
                <c:pt idx="11">
                  <c:v>0.125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0A5-41E2-B268-3AAEF075DF57}"/>
            </c:ext>
          </c:extLst>
        </c:ser>
        <c:ser>
          <c:idx val="1"/>
          <c:order val="1"/>
          <c:tx>
            <c:strRef>
              <c:f>'Estadísticas específicas'!$A$69</c:f>
              <c:strCache>
                <c:ptCount val="1"/>
                <c:pt idx="0">
                  <c:v>Cabecera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específicas'!$B$66:$M$67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específicas'!$B$69:$M$69</c:f>
              <c:numCache>
                <c:formatCode>0%</c:formatCode>
                <c:ptCount val="12"/>
                <c:pt idx="0">
                  <c:v>0.1111111111111111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0.1111111111111111</c:v>
                </c:pt>
                <c:pt idx="6">
                  <c:v>6.6666666666666666E-2</c:v>
                </c:pt>
                <c:pt idx="7">
                  <c:v>0.22222222222222221</c:v>
                </c:pt>
                <c:pt idx="8">
                  <c:v>0.125</c:v>
                </c:pt>
                <c:pt idx="9">
                  <c:v>0.30769230769230771</c:v>
                </c:pt>
                <c:pt idx="10">
                  <c:v>0</c:v>
                </c:pt>
                <c:pt idx="11">
                  <c:v>0.25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50A5-41E2-B268-3AAEF075DF57}"/>
            </c:ext>
          </c:extLst>
        </c:ser>
        <c:ser>
          <c:idx val="2"/>
          <c:order val="2"/>
          <c:tx>
            <c:strRef>
              <c:f>'Estadísticas específicas'!$A$70</c:f>
              <c:strCache>
                <c:ptCount val="1"/>
                <c:pt idx="0">
                  <c:v>Carriola y porta bebé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específicas'!$B$66:$M$67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específicas'!$B$70:$M$70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0.25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6.6666666666666666E-2</c:v>
                </c:pt>
                <c:pt idx="7">
                  <c:v>0</c:v>
                </c:pt>
                <c:pt idx="8">
                  <c:v>0</c:v>
                </c:pt>
                <c:pt idx="9">
                  <c:v>7.6923076923076927E-2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50A5-41E2-B268-3AAEF075DF57}"/>
            </c:ext>
          </c:extLst>
        </c:ser>
        <c:ser>
          <c:idx val="3"/>
          <c:order val="3"/>
          <c:tx>
            <c:strRef>
              <c:f>'Estadísticas específicas'!$A$71</c:f>
              <c:strCache>
                <c:ptCount val="1"/>
                <c:pt idx="0">
                  <c:v>Piso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específicas'!$B$66:$M$67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específicas'!$B$71:$M$71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0.14285714285714285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50A5-41E2-B268-3AAEF075DF57}"/>
            </c:ext>
          </c:extLst>
        </c:ser>
        <c:ser>
          <c:idx val="4"/>
          <c:order val="4"/>
          <c:tx>
            <c:strRef>
              <c:f>'Estadísticas específicas'!$A$72</c:f>
              <c:strCache>
                <c:ptCount val="1"/>
                <c:pt idx="0">
                  <c:v>Cojines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específicas'!$B$66:$M$67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específicas'!$B$72:$M$72</c:f>
              <c:numCache>
                <c:formatCode>0%</c:formatCode>
                <c:ptCount val="12"/>
                <c:pt idx="0">
                  <c:v>0.44444444444444442</c:v>
                </c:pt>
                <c:pt idx="1">
                  <c:v>0.5</c:v>
                </c:pt>
                <c:pt idx="2">
                  <c:v>0.25</c:v>
                </c:pt>
                <c:pt idx="3">
                  <c:v>0.5714285714285714</c:v>
                </c:pt>
                <c:pt idx="4">
                  <c:v>0.4</c:v>
                </c:pt>
                <c:pt idx="5">
                  <c:v>0.33333333333333331</c:v>
                </c:pt>
                <c:pt idx="6">
                  <c:v>0.13333333333333333</c:v>
                </c:pt>
                <c:pt idx="7">
                  <c:v>0.33333333333333331</c:v>
                </c:pt>
                <c:pt idx="8">
                  <c:v>0.5</c:v>
                </c:pt>
                <c:pt idx="9">
                  <c:v>0.38461538461538464</c:v>
                </c:pt>
                <c:pt idx="10">
                  <c:v>0.27777777777777779</c:v>
                </c:pt>
                <c:pt idx="11">
                  <c:v>0.125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0A5-41E2-B268-3AAEF075DF57}"/>
            </c:ext>
          </c:extLst>
        </c:ser>
        <c:ser>
          <c:idx val="5"/>
          <c:order val="5"/>
          <c:tx>
            <c:strRef>
              <c:f>'Estadísticas específicas'!$A$73</c:f>
              <c:strCache>
                <c:ptCount val="1"/>
                <c:pt idx="0">
                  <c:v>Banca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específicas'!$B$66:$M$67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específicas'!$B$73:$M$73</c:f>
              <c:numCache>
                <c:formatCode>0%</c:formatCode>
                <c:ptCount val="12"/>
                <c:pt idx="0">
                  <c:v>0.1111111111111111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0.4</c:v>
                </c:pt>
                <c:pt idx="5">
                  <c:v>0</c:v>
                </c:pt>
                <c:pt idx="6">
                  <c:v>0.2</c:v>
                </c:pt>
                <c:pt idx="7">
                  <c:v>5.5555555555555552E-2</c:v>
                </c:pt>
                <c:pt idx="8">
                  <c:v>0.125</c:v>
                </c:pt>
                <c:pt idx="9">
                  <c:v>7.6923076923076927E-2</c:v>
                </c:pt>
                <c:pt idx="10">
                  <c:v>5.5555555555555552E-2</c:v>
                </c:pt>
                <c:pt idx="11">
                  <c:v>0.25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50A5-41E2-B268-3AAEF075DF57}"/>
            </c:ext>
          </c:extLst>
        </c:ser>
        <c:ser>
          <c:idx val="6"/>
          <c:order val="6"/>
          <c:tx>
            <c:strRef>
              <c:f>'Estadísticas específicas'!$A$74</c:f>
              <c:strCache>
                <c:ptCount val="1"/>
                <c:pt idx="0">
                  <c:v>Banco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específicas'!$B$66:$M$67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específicas'!$B$74:$M$74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</c:v>
                </c:pt>
                <c:pt idx="4">
                  <c:v>0.2</c:v>
                </c:pt>
                <c:pt idx="5">
                  <c:v>0</c:v>
                </c:pt>
                <c:pt idx="6">
                  <c:v>0</c:v>
                </c:pt>
                <c:pt idx="7">
                  <c:v>5.5555555555555552E-2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50A5-41E2-B268-3AAEF075DF57}"/>
            </c:ext>
          </c:extLst>
        </c:ser>
        <c:ser>
          <c:idx val="7"/>
          <c:order val="7"/>
          <c:tx>
            <c:strRef>
              <c:f>'Estadísticas específicas'!$A$75</c:f>
              <c:strCache>
                <c:ptCount val="1"/>
                <c:pt idx="0">
                  <c:v>Reposet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específicas'!$B$66:$M$67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específicas'!$B$75:$M$75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0.1111111111111111</c:v>
                </c:pt>
                <c:pt idx="6">
                  <c:v>6.6666666666666666E-2</c:v>
                </c:pt>
                <c:pt idx="7">
                  <c:v>0</c:v>
                </c:pt>
                <c:pt idx="8">
                  <c:v>0.1875</c:v>
                </c:pt>
                <c:pt idx="9">
                  <c:v>0</c:v>
                </c:pt>
                <c:pt idx="10">
                  <c:v>0.3888888888888889</c:v>
                </c:pt>
                <c:pt idx="11">
                  <c:v>0.125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50A5-41E2-B268-3AAEF075DF57}"/>
            </c:ext>
          </c:extLst>
        </c:ser>
        <c:ser>
          <c:idx val="8"/>
          <c:order val="8"/>
          <c:tx>
            <c:strRef>
              <c:f>'Estadísticas específicas'!$A$76</c:f>
              <c:strCache>
                <c:ptCount val="1"/>
                <c:pt idx="0">
                  <c:v>Colchón interno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específicas'!$B$66:$M$67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específicas'!$B$76:$M$76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6.6666666666666666E-2</c:v>
                </c:pt>
                <c:pt idx="7">
                  <c:v>0.1111111111111111</c:v>
                </c:pt>
                <c:pt idx="8">
                  <c:v>0</c:v>
                </c:pt>
                <c:pt idx="9">
                  <c:v>0</c:v>
                </c:pt>
                <c:pt idx="10">
                  <c:v>0.1111111111111111</c:v>
                </c:pt>
                <c:pt idx="11">
                  <c:v>0.125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50A5-41E2-B268-3AAEF075DF57}"/>
            </c:ext>
          </c:extLst>
        </c:ser>
        <c:ser>
          <c:idx val="9"/>
          <c:order val="9"/>
          <c:tx>
            <c:strRef>
              <c:f>'Estadísticas específicas'!$A$77</c:f>
              <c:strCache>
                <c:ptCount val="1"/>
                <c:pt idx="0">
                  <c:v>Torre de gatos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específicas'!$B$66:$M$67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específicas'!$B$77:$M$77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0.2857142857142857</c:v>
                </c:pt>
                <c:pt idx="4">
                  <c:v>0</c:v>
                </c:pt>
                <c:pt idx="5">
                  <c:v>0.1111111111111111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50A5-41E2-B268-3AAEF075D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9044224"/>
        <c:axId val="149054208"/>
      </c:barChart>
      <c:catAx>
        <c:axId val="149044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9054208"/>
        <c:crosses val="autoZero"/>
        <c:auto val="1"/>
        <c:lblAlgn val="ctr"/>
        <c:lblOffset val="100"/>
        <c:noMultiLvlLbl val="0"/>
      </c:catAx>
      <c:valAx>
        <c:axId val="14905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9044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'Estadísticas específicas'!$A$81</c:f>
              <c:strCache>
                <c:ptCount val="1"/>
                <c:pt idx="0">
                  <c:v>PURT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'Estadísticas específicas'!$B$80:$M$80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'Estadísticas específicas'!$B$81:$M$81</c:f>
              <c:numCache>
                <c:formatCode>0%</c:formatCode>
                <c:ptCount val="12"/>
                <c:pt idx="0">
                  <c:v>0.08</c:v>
                </c:pt>
                <c:pt idx="1">
                  <c:v>7.0000000000000007E-2</c:v>
                </c:pt>
                <c:pt idx="2">
                  <c:v>0.1</c:v>
                </c:pt>
                <c:pt idx="3">
                  <c:v>0.04</c:v>
                </c:pt>
                <c:pt idx="4">
                  <c:v>0.11</c:v>
                </c:pt>
                <c:pt idx="5">
                  <c:v>0.1</c:v>
                </c:pt>
                <c:pt idx="6">
                  <c:v>0.13</c:v>
                </c:pt>
                <c:pt idx="7">
                  <c:v>0.05</c:v>
                </c:pt>
                <c:pt idx="8">
                  <c:v>0.1</c:v>
                </c:pt>
                <c:pt idx="9">
                  <c:v>7.0000000000000007E-2</c:v>
                </c:pt>
                <c:pt idx="10">
                  <c:v>0.03</c:v>
                </c:pt>
                <c:pt idx="11">
                  <c:v>0.05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280-4061-853A-178E621DCCF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71377408"/>
        <c:axId val="171380096"/>
      </c:barChart>
      <c:catAx>
        <c:axId val="17137740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1380096"/>
        <c:crosses val="autoZero"/>
        <c:auto val="1"/>
        <c:lblAlgn val="ctr"/>
        <c:lblOffset val="100"/>
        <c:noMultiLvlLbl val="0"/>
      </c:catAx>
      <c:valAx>
        <c:axId val="17138009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1377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Tipo</a:t>
            </a:r>
            <a:r>
              <a:rPr lang="es-MX" baseline="0"/>
              <a:t> de mueble anual</a:t>
            </a:r>
            <a:endParaRPr lang="es-MX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7F2B-4CF8-BFB5-B4E789A153C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7F2B-4CF8-BFB5-B4E789A153C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7F2B-4CF8-BFB5-B4E789A153C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7F2B-4CF8-BFB5-B4E789A153C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7F2B-4CF8-BFB5-B4E789A153C3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7F2B-4CF8-BFB5-B4E789A153C3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7F2B-4CF8-BFB5-B4E789A153C3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7F2B-4CF8-BFB5-B4E789A153C3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7F2B-4CF8-BFB5-B4E789A153C3}"/>
              </c:ext>
            </c:extLst>
          </c:dPt>
          <c:cat>
            <c:strRef>
              <c:f>'Estadísticas específicas'!$N$3:$N$11</c:f>
              <c:strCache>
                <c:ptCount val="9"/>
                <c:pt idx="0">
                  <c:v>Alfombra</c:v>
                </c:pt>
                <c:pt idx="1">
                  <c:v>Tapete</c:v>
                </c:pt>
                <c:pt idx="2">
                  <c:v>Sala</c:v>
                </c:pt>
                <c:pt idx="3">
                  <c:v>Sala piel</c:v>
                </c:pt>
                <c:pt idx="4">
                  <c:v>Sillas</c:v>
                </c:pt>
                <c:pt idx="5">
                  <c:v>Autos</c:v>
                </c:pt>
                <c:pt idx="6">
                  <c:v>Colchones</c:v>
                </c:pt>
                <c:pt idx="7">
                  <c:v>Futón</c:v>
                </c:pt>
                <c:pt idx="8">
                  <c:v>Otro</c:v>
                </c:pt>
              </c:strCache>
            </c:strRef>
          </c:cat>
          <c:val>
            <c:numRef>
              <c:f>'Estadísticas específicas'!$O$3:$O$11</c:f>
              <c:numCache>
                <c:formatCode>0%</c:formatCode>
                <c:ptCount val="9"/>
                <c:pt idx="0">
                  <c:v>3.508280513371493E-2</c:v>
                </c:pt>
                <c:pt idx="1">
                  <c:v>0.23447267653459361</c:v>
                </c:pt>
                <c:pt idx="2">
                  <c:v>0.31952983970818133</c:v>
                </c:pt>
                <c:pt idx="3">
                  <c:v>1.291030098419923E-2</c:v>
                </c:pt>
                <c:pt idx="4">
                  <c:v>0.11479315534187616</c:v>
                </c:pt>
                <c:pt idx="5">
                  <c:v>3.0527684719844069E-2</c:v>
                </c:pt>
                <c:pt idx="6">
                  <c:v>0.13441530070408847</c:v>
                </c:pt>
                <c:pt idx="7">
                  <c:v>1.2730232762112889E-2</c:v>
                </c:pt>
                <c:pt idx="8">
                  <c:v>0.10553800411138925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9B4-471A-9A09-FEA640E7EF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Tipo</a:t>
            </a:r>
            <a:r>
              <a:rPr lang="es-MX" baseline="0"/>
              <a:t> de servicio anual</a:t>
            </a:r>
            <a:endParaRPr lang="es-MX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EFD-4B0A-B916-6334F3392D4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EFD-4B0A-B916-6334F3392D4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EFD-4B0A-B916-6334F3392D4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EFD-4B0A-B916-6334F3392D44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EFD-4B0A-B916-6334F3392D44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8EFD-4B0A-B916-6334F3392D44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8EFD-4B0A-B916-6334F3392D44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8EFD-4B0A-B916-6334F3392D44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8EFD-4B0A-B916-6334F3392D44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8EFD-4B0A-B916-6334F3392D44}"/>
              </c:ext>
            </c:extLst>
          </c:dPt>
          <c:cat>
            <c:strRef>
              <c:f>'Estadísticas específicas'!$N$15:$N$24</c:f>
              <c:strCache>
                <c:ptCount val="10"/>
                <c:pt idx="0">
                  <c:v>Senc</c:v>
                </c:pt>
                <c:pt idx="1">
                  <c:v>Eco</c:v>
                </c:pt>
                <c:pt idx="2">
                  <c:v>Prot</c:v>
                </c:pt>
                <c:pt idx="3">
                  <c:v>Prem</c:v>
                </c:pt>
                <c:pt idx="4">
                  <c:v>Healty</c:v>
                </c:pt>
                <c:pt idx="5">
                  <c:v>Protex</c:v>
                </c:pt>
                <c:pt idx="6">
                  <c:v>Aspirado</c:v>
                </c:pt>
                <c:pt idx="7">
                  <c:v>Extracción</c:v>
                </c:pt>
                <c:pt idx="8">
                  <c:v>Piel</c:v>
                </c:pt>
                <c:pt idx="9">
                  <c:v>PURT</c:v>
                </c:pt>
              </c:strCache>
            </c:strRef>
          </c:cat>
          <c:val>
            <c:numRef>
              <c:f>'Estadísticas específicas'!$O$15:$O$24</c:f>
              <c:numCache>
                <c:formatCode>0%</c:formatCode>
                <c:ptCount val="10"/>
                <c:pt idx="0">
                  <c:v>0.40528060334563271</c:v>
                </c:pt>
                <c:pt idx="1">
                  <c:v>0.16475348102845944</c:v>
                </c:pt>
                <c:pt idx="2">
                  <c:v>0.14181581408490049</c:v>
                </c:pt>
                <c:pt idx="3">
                  <c:v>0.11352826970551579</c:v>
                </c:pt>
                <c:pt idx="4">
                  <c:v>5.6301602079177358E-2</c:v>
                </c:pt>
                <c:pt idx="5">
                  <c:v>1.1075801751398405E-2</c:v>
                </c:pt>
                <c:pt idx="6">
                  <c:v>3.36235675938436E-3</c:v>
                </c:pt>
                <c:pt idx="7">
                  <c:v>6.5566548766401236E-3</c:v>
                </c:pt>
                <c:pt idx="8">
                  <c:v>1.9117727957447445E-2</c:v>
                </c:pt>
                <c:pt idx="9">
                  <c:v>7.8207688411443918E-2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135-49D3-AE9E-D62F6B88A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Tipo</a:t>
            </a:r>
            <a:r>
              <a:rPr lang="es-MX" baseline="0"/>
              <a:t> de sala anual</a:t>
            </a:r>
            <a:endParaRPr lang="es-MX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F7FB-4EB4-BEF8-B6C82A6B9C0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F7FB-4EB4-BEF8-B6C82A6B9C0A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F7FB-4EB4-BEF8-B6C82A6B9C0A}"/>
              </c:ext>
            </c:extLst>
          </c:dPt>
          <c:cat>
            <c:strRef>
              <c:f>'Estadísticas específicas'!$N$28:$N$30</c:f>
              <c:strCache>
                <c:ptCount val="3"/>
                <c:pt idx="0">
                  <c:v>Todo fijo</c:v>
                </c:pt>
                <c:pt idx="1">
                  <c:v>A o R removible</c:v>
                </c:pt>
                <c:pt idx="2">
                  <c:v>Todo Removible</c:v>
                </c:pt>
              </c:strCache>
            </c:strRef>
          </c:cat>
          <c:val>
            <c:numRef>
              <c:f>'Estadísticas específicas'!$O$28:$O$30</c:f>
              <c:numCache>
                <c:formatCode>0%</c:formatCode>
                <c:ptCount val="3"/>
                <c:pt idx="0">
                  <c:v>0.55824942125628618</c:v>
                </c:pt>
                <c:pt idx="1">
                  <c:v>0.26221955366935007</c:v>
                </c:pt>
                <c:pt idx="2">
                  <c:v>0.17953102507436378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954-4691-89A0-6713808C55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Tamaño</a:t>
            </a:r>
            <a:r>
              <a:rPr lang="es-MX" baseline="0"/>
              <a:t> de sala anual</a:t>
            </a:r>
            <a:endParaRPr lang="es-MX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5EBA-4AC3-B0E3-36A761912AF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5EBA-4AC3-B0E3-36A761912AF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5EBA-4AC3-B0E3-36A761912AF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5EBA-4AC3-B0E3-36A761912AF8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5EBA-4AC3-B0E3-36A761912AF8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5EBA-4AC3-B0E3-36A761912AF8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5EBA-4AC3-B0E3-36A761912AF8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5EBA-4AC3-B0E3-36A761912AF8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5EBA-4AC3-B0E3-36A761912AF8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5EBA-4AC3-B0E3-36A761912AF8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5EBA-4AC3-B0E3-36A761912AF8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5EBA-4AC3-B0E3-36A761912AF8}"/>
              </c:ext>
            </c:extLst>
          </c:dPt>
          <c:cat>
            <c:strRef>
              <c:f>'Estadísticas específicas'!$N$34:$N$45</c:f>
              <c:strCache>
                <c:ptCount val="12"/>
                <c:pt idx="0">
                  <c:v>1 Plaza</c:v>
                </c:pt>
                <c:pt idx="1">
                  <c:v>2 Plazas</c:v>
                </c:pt>
                <c:pt idx="2">
                  <c:v>3 Plazas</c:v>
                </c:pt>
                <c:pt idx="3">
                  <c:v>4 Plazas</c:v>
                </c:pt>
                <c:pt idx="4">
                  <c:v>5 Plazas</c:v>
                </c:pt>
                <c:pt idx="5">
                  <c:v>6 Plazas</c:v>
                </c:pt>
                <c:pt idx="6">
                  <c:v>7 Plazas</c:v>
                </c:pt>
                <c:pt idx="7">
                  <c:v>8 Plazas</c:v>
                </c:pt>
                <c:pt idx="8">
                  <c:v>9 Plazas</c:v>
                </c:pt>
                <c:pt idx="9">
                  <c:v>10 Plazas</c:v>
                </c:pt>
                <c:pt idx="10">
                  <c:v>11 Plazas</c:v>
                </c:pt>
                <c:pt idx="11">
                  <c:v>12 Plazas</c:v>
                </c:pt>
              </c:strCache>
            </c:strRef>
          </c:cat>
          <c:val>
            <c:numRef>
              <c:f>'Estadísticas específicas'!$O$34:$O$45</c:f>
              <c:numCache>
                <c:formatCode>0%</c:formatCode>
                <c:ptCount val="12"/>
                <c:pt idx="0">
                  <c:v>0.19568053969064914</c:v>
                </c:pt>
                <c:pt idx="1">
                  <c:v>9.651635337519375E-2</c:v>
                </c:pt>
                <c:pt idx="2">
                  <c:v>0.10348041078519159</c:v>
                </c:pt>
                <c:pt idx="3">
                  <c:v>0.10090054009091411</c:v>
                </c:pt>
                <c:pt idx="4">
                  <c:v>0.20311204877925979</c:v>
                </c:pt>
                <c:pt idx="5">
                  <c:v>0.20519264738945467</c:v>
                </c:pt>
                <c:pt idx="6">
                  <c:v>4.4925340336803309E-2</c:v>
                </c:pt>
                <c:pt idx="7">
                  <c:v>1.2431160457476248E-2</c:v>
                </c:pt>
                <c:pt idx="8">
                  <c:v>9.8824786324786321E-3</c:v>
                </c:pt>
                <c:pt idx="9">
                  <c:v>1.8198855316851923E-2</c:v>
                </c:pt>
                <c:pt idx="10">
                  <c:v>2.3148148148148147E-3</c:v>
                </c:pt>
                <c:pt idx="11">
                  <c:v>1.4124293785310734E-3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A97-4FF5-9401-74301DC332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Tipo</a:t>
            </a:r>
            <a:r>
              <a:rPr lang="es-MX" baseline="0"/>
              <a:t> de tapete anual</a:t>
            </a:r>
            <a:endParaRPr lang="es-MX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B437-47F1-A7C8-A2C4D5667D1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B437-47F1-A7C8-A2C4D5667D1A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B437-47F1-A7C8-A2C4D5667D1A}"/>
              </c:ext>
            </c:extLst>
          </c:dPt>
          <c:cat>
            <c:strRef>
              <c:f>'Estadísticas específicas'!$N$49:$N$51</c:f>
              <c:strCache>
                <c:ptCount val="3"/>
                <c:pt idx="0">
                  <c:v>Lana</c:v>
                </c:pt>
                <c:pt idx="1">
                  <c:v>Sintético</c:v>
                </c:pt>
                <c:pt idx="2">
                  <c:v>Seda</c:v>
                </c:pt>
              </c:strCache>
            </c:strRef>
          </c:cat>
          <c:val>
            <c:numRef>
              <c:f>'Estadísticas específicas'!$O$49:$O$51</c:f>
              <c:numCache>
                <c:formatCode>0%</c:formatCode>
                <c:ptCount val="3"/>
                <c:pt idx="0">
                  <c:v>0.21835173643366976</c:v>
                </c:pt>
                <c:pt idx="1">
                  <c:v>0.74623200242169252</c:v>
                </c:pt>
                <c:pt idx="2">
                  <c:v>3.5416261144637758E-2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A3-491B-B6BC-4D8449F484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Tipo</a:t>
            </a:r>
            <a:r>
              <a:rPr lang="es-MX" baseline="0"/>
              <a:t> de silla anual</a:t>
            </a:r>
            <a:endParaRPr lang="es-MX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595E-48A3-BECE-0B57CC3302F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595E-48A3-BECE-0B57CC3302F1}"/>
              </c:ext>
            </c:extLst>
          </c:dPt>
          <c:cat>
            <c:strRef>
              <c:f>'Estadísticas específicas'!$N$55:$N$56</c:f>
              <c:strCache>
                <c:ptCount val="2"/>
                <c:pt idx="0">
                  <c:v>Asiento</c:v>
                </c:pt>
                <c:pt idx="1">
                  <c:v>Asiento y respaldo</c:v>
                </c:pt>
              </c:strCache>
            </c:strRef>
          </c:cat>
          <c:val>
            <c:numRef>
              <c:f>'Estadísticas específicas'!$O$55:$O$56</c:f>
              <c:numCache>
                <c:formatCode>0%</c:formatCode>
                <c:ptCount val="2"/>
                <c:pt idx="0">
                  <c:v>0.13530219780219779</c:v>
                </c:pt>
                <c:pt idx="1">
                  <c:v>0.86469780219780212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C6-45E2-9558-C0F8EA0FB9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Tipo</a:t>
            </a:r>
            <a:r>
              <a:rPr lang="es-MX" baseline="0"/>
              <a:t> de colchón anual</a:t>
            </a:r>
            <a:endParaRPr lang="es-MX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2D4-4A54-A3EF-C976BE83DA3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2D4-4A54-A3EF-C976BE83DA3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2D4-4A54-A3EF-C976BE83DA3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2D4-4A54-A3EF-C976BE83DA35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2D4-4A54-A3EF-C976BE83DA35}"/>
              </c:ext>
            </c:extLst>
          </c:dPt>
          <c:cat>
            <c:strRef>
              <c:f>'Estadísticas específicas'!$N$60:$N$64</c:f>
              <c:strCache>
                <c:ptCount val="5"/>
                <c:pt idx="0">
                  <c:v>Cuna</c:v>
                </c:pt>
                <c:pt idx="1">
                  <c:v>Ind</c:v>
                </c:pt>
                <c:pt idx="2">
                  <c:v>Mat</c:v>
                </c:pt>
                <c:pt idx="3">
                  <c:v>QS</c:v>
                </c:pt>
                <c:pt idx="4">
                  <c:v>KS</c:v>
                </c:pt>
              </c:strCache>
            </c:strRef>
          </c:cat>
          <c:val>
            <c:numRef>
              <c:f>'Estadísticas específicas'!$O$60:$O$64</c:f>
              <c:numCache>
                <c:formatCode>0%</c:formatCode>
                <c:ptCount val="5"/>
                <c:pt idx="0">
                  <c:v>6.9444444444444441E-3</c:v>
                </c:pt>
                <c:pt idx="1">
                  <c:v>0.253016863310981</c:v>
                </c:pt>
                <c:pt idx="2">
                  <c:v>0.35617059955295249</c:v>
                </c:pt>
                <c:pt idx="3">
                  <c:v>9.816919191919192E-2</c:v>
                </c:pt>
                <c:pt idx="4">
                  <c:v>0.28569890077243021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45A-41DA-AD38-47E54C9872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Otro</a:t>
            </a:r>
            <a:r>
              <a:rPr lang="es-MX" baseline="0"/>
              <a:t> anual</a:t>
            </a:r>
            <a:endParaRPr lang="es-MX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60D9-4DFD-8AD4-CEEFE240648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60D9-4DFD-8AD4-CEEFE240648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60D9-4DFD-8AD4-CEEFE240648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60D9-4DFD-8AD4-CEEFE2406486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60D9-4DFD-8AD4-CEEFE2406486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60D9-4DFD-8AD4-CEEFE2406486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60D9-4DFD-8AD4-CEEFE2406486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60D9-4DFD-8AD4-CEEFE2406486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60D9-4DFD-8AD4-CEEFE2406486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60D9-4DFD-8AD4-CEEFE2406486}"/>
              </c:ext>
            </c:extLst>
          </c:dPt>
          <c:cat>
            <c:strRef>
              <c:f>'Estadísticas específicas'!$N$68:$N$77</c:f>
              <c:strCache>
                <c:ptCount val="10"/>
                <c:pt idx="0">
                  <c:v>Taburete</c:v>
                </c:pt>
                <c:pt idx="1">
                  <c:v>Cabecera</c:v>
                </c:pt>
                <c:pt idx="2">
                  <c:v>Carriola y porta bebé</c:v>
                </c:pt>
                <c:pt idx="3">
                  <c:v>Piso</c:v>
                </c:pt>
                <c:pt idx="4">
                  <c:v>Cojines</c:v>
                </c:pt>
                <c:pt idx="5">
                  <c:v>Banca</c:v>
                </c:pt>
                <c:pt idx="6">
                  <c:v>Banco</c:v>
                </c:pt>
                <c:pt idx="7">
                  <c:v>Reposet</c:v>
                </c:pt>
                <c:pt idx="8">
                  <c:v>Colchón interno</c:v>
                </c:pt>
                <c:pt idx="9">
                  <c:v>Torre de gatos</c:v>
                </c:pt>
              </c:strCache>
            </c:strRef>
          </c:cat>
          <c:val>
            <c:numRef>
              <c:f>'Estadísticas específicas'!$O$68:$O$77</c:f>
              <c:numCache>
                <c:formatCode>0%</c:formatCode>
                <c:ptCount val="10"/>
                <c:pt idx="0">
                  <c:v>0.114627849002849</c:v>
                </c:pt>
                <c:pt idx="1">
                  <c:v>9.9483618233618232E-2</c:v>
                </c:pt>
                <c:pt idx="2">
                  <c:v>3.2799145299145301E-2</c:v>
                </c:pt>
                <c:pt idx="3">
                  <c:v>1.1904761904761904E-2</c:v>
                </c:pt>
                <c:pt idx="4">
                  <c:v>0.35443884818884824</c:v>
                </c:pt>
                <c:pt idx="5">
                  <c:v>0.10617877492877492</c:v>
                </c:pt>
                <c:pt idx="6">
                  <c:v>6.2962962962962957E-2</c:v>
                </c:pt>
                <c:pt idx="7">
                  <c:v>7.3263888888888892E-2</c:v>
                </c:pt>
                <c:pt idx="8">
                  <c:v>3.4490740740740738E-2</c:v>
                </c:pt>
                <c:pt idx="9">
                  <c:v>3.3068783068783067E-2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F0D-4703-A928-FFC44C735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Tipo de venta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percentStacked"/>
        <c:varyColors val="0"/>
        <c:ser>
          <c:idx val="1"/>
          <c:order val="0"/>
          <c:tx>
            <c:strRef>
              <c:f>'Estadísticas específicas'!$A$86</c:f>
              <c:strCache>
                <c:ptCount val="1"/>
                <c:pt idx="0">
                  <c:v>Internet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específicas'!$B$83:$M$84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específicas'!$B$86:$M$86</c:f>
              <c:numCache>
                <c:formatCode>General</c:formatCode>
                <c:ptCount val="12"/>
                <c:pt idx="0">
                  <c:v>29</c:v>
                </c:pt>
                <c:pt idx="1">
                  <c:v>15</c:v>
                </c:pt>
                <c:pt idx="2">
                  <c:v>27</c:v>
                </c:pt>
                <c:pt idx="3">
                  <c:v>30</c:v>
                </c:pt>
                <c:pt idx="4">
                  <c:v>27</c:v>
                </c:pt>
                <c:pt idx="5">
                  <c:v>16</c:v>
                </c:pt>
                <c:pt idx="6" formatCode="0">
                  <c:v>32</c:v>
                </c:pt>
                <c:pt idx="7">
                  <c:v>23</c:v>
                </c:pt>
                <c:pt idx="8">
                  <c:v>28</c:v>
                </c:pt>
                <c:pt idx="9" formatCode="0%">
                  <c:v>0.39393939393939392</c:v>
                </c:pt>
                <c:pt idx="10" formatCode="0%">
                  <c:v>0.56818181818181823</c:v>
                </c:pt>
                <c:pt idx="11" formatCode="0%">
                  <c:v>0.58139534883720934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214-44ED-A34D-A12092480608}"/>
            </c:ext>
          </c:extLst>
        </c:ser>
        <c:ser>
          <c:idx val="2"/>
          <c:order val="1"/>
          <c:tx>
            <c:strRef>
              <c:f>'Estadísticas específicas'!$A$87</c:f>
              <c:strCache>
                <c:ptCount val="1"/>
                <c:pt idx="0">
                  <c:v>Recomendación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específicas'!$B$83:$M$84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específicas'!$B$87:$M$87</c:f>
              <c:numCache>
                <c:formatCode>General</c:formatCode>
                <c:ptCount val="12"/>
                <c:pt idx="0">
                  <c:v>3</c:v>
                </c:pt>
                <c:pt idx="1">
                  <c:v>1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1</c:v>
                </c:pt>
                <c:pt idx="6" formatCode="0">
                  <c:v>1</c:v>
                </c:pt>
                <c:pt idx="7">
                  <c:v>7</c:v>
                </c:pt>
                <c:pt idx="8">
                  <c:v>6</c:v>
                </c:pt>
                <c:pt idx="9" formatCode="0%">
                  <c:v>9.0909090909090912E-2</c:v>
                </c:pt>
                <c:pt idx="10" formatCode="0%">
                  <c:v>4.5454545454545456E-2</c:v>
                </c:pt>
                <c:pt idx="11" formatCode="0%">
                  <c:v>6.9767441860465115E-2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2214-44ED-A34D-A12092480608}"/>
            </c:ext>
          </c:extLst>
        </c:ser>
        <c:ser>
          <c:idx val="3"/>
          <c:order val="2"/>
          <c:tx>
            <c:strRef>
              <c:f>'Estadísticas específicas'!$A$88</c:f>
              <c:strCache>
                <c:ptCount val="1"/>
                <c:pt idx="0">
                  <c:v>Folletos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específicas'!$B$83:$M$84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específicas'!$B$88:$M$88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 formatCode="0">
                  <c:v>0</c:v>
                </c:pt>
                <c:pt idx="7">
                  <c:v>0</c:v>
                </c:pt>
                <c:pt idx="8">
                  <c:v>0</c:v>
                </c:pt>
                <c:pt idx="9" formatCode="0%">
                  <c:v>0</c:v>
                </c:pt>
                <c:pt idx="10" formatCode="0%">
                  <c:v>0</c:v>
                </c:pt>
                <c:pt idx="11" formatCode="0%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2214-44ED-A34D-A12092480608}"/>
            </c:ext>
          </c:extLst>
        </c:ser>
        <c:ser>
          <c:idx val="4"/>
          <c:order val="3"/>
          <c:tx>
            <c:strRef>
              <c:f>'Estadísticas específicas'!$A$89</c:f>
              <c:strCache>
                <c:ptCount val="1"/>
                <c:pt idx="0">
                  <c:v>Vendedores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específicas'!$B$83:$M$84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específicas'!$B$89:$M$89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 formatCode="0">
                  <c:v>0</c:v>
                </c:pt>
                <c:pt idx="7">
                  <c:v>0</c:v>
                </c:pt>
                <c:pt idx="8">
                  <c:v>0</c:v>
                </c:pt>
                <c:pt idx="9" formatCode="0%">
                  <c:v>0</c:v>
                </c:pt>
                <c:pt idx="10" formatCode="0%">
                  <c:v>0</c:v>
                </c:pt>
                <c:pt idx="11" formatCode="0%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2214-44ED-A34D-A12092480608}"/>
            </c:ext>
          </c:extLst>
        </c:ser>
        <c:ser>
          <c:idx val="5"/>
          <c:order val="4"/>
          <c:tx>
            <c:strRef>
              <c:f>'Estadísticas específicas'!$A$90</c:f>
              <c:strCache>
                <c:ptCount val="1"/>
                <c:pt idx="0">
                  <c:v>Repetición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específicas'!$B$83:$M$84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específicas'!$B$90:$M$90</c:f>
              <c:numCache>
                <c:formatCode>General</c:formatCode>
                <c:ptCount val="12"/>
                <c:pt idx="0">
                  <c:v>7</c:v>
                </c:pt>
                <c:pt idx="1">
                  <c:v>10</c:v>
                </c:pt>
                <c:pt idx="2">
                  <c:v>7</c:v>
                </c:pt>
                <c:pt idx="3">
                  <c:v>0</c:v>
                </c:pt>
                <c:pt idx="4">
                  <c:v>14</c:v>
                </c:pt>
                <c:pt idx="5">
                  <c:v>13</c:v>
                </c:pt>
                <c:pt idx="6" formatCode="0">
                  <c:v>27</c:v>
                </c:pt>
                <c:pt idx="7">
                  <c:v>19</c:v>
                </c:pt>
                <c:pt idx="8">
                  <c:v>13</c:v>
                </c:pt>
                <c:pt idx="9" formatCode="0%">
                  <c:v>0.51515151515151514</c:v>
                </c:pt>
                <c:pt idx="10" formatCode="0%">
                  <c:v>0.38636363636363635</c:v>
                </c:pt>
                <c:pt idx="11" formatCode="0%">
                  <c:v>0.32558139534883723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2214-44ED-A34D-A12092480608}"/>
            </c:ext>
          </c:extLst>
        </c:ser>
        <c:ser>
          <c:idx val="6"/>
          <c:order val="5"/>
          <c:tx>
            <c:strRef>
              <c:f>'Estadísticas específicas'!$A$91</c:f>
              <c:strCache>
                <c:ptCount val="1"/>
                <c:pt idx="0">
                  <c:v>Otro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específicas'!$B$83:$M$84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específicas'!$B$91:$M$91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5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 formatCode="0">
                  <c:v>0</c:v>
                </c:pt>
                <c:pt idx="7">
                  <c:v>2</c:v>
                </c:pt>
                <c:pt idx="8">
                  <c:v>1</c:v>
                </c:pt>
                <c:pt idx="9" formatCode="0%">
                  <c:v>0</c:v>
                </c:pt>
                <c:pt idx="10" formatCode="0%">
                  <c:v>0</c:v>
                </c:pt>
                <c:pt idx="11" formatCode="0%">
                  <c:v>2.3255813953488372E-2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2214-44ED-A34D-A120924806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5410176"/>
        <c:axId val="175424256"/>
        <c:extLst xmlns:c16r2="http://schemas.microsoft.com/office/drawing/2015/06/chart"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'Estadísticas específicas'!$A$85</c15:sqref>
                        </c15:formulaRef>
                      </c:ext>
                    </c:extLst>
                    <c:strCache>
                      <c:ptCount val="1"/>
                      <c:pt idx="0">
                        <c:v>num de Serv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multiLvlStrRef>
                    <c:extLst>
                      <c:ext uri="{02D57815-91ED-43cb-92C2-25804820EDAC}">
                        <c15:formulaRef>
                          <c15:sqref>'Estadísticas específicas'!$B$83:$M$84</c15:sqref>
                        </c15:formulaRef>
                      </c:ext>
                    </c:extLst>
                    <c:multiLvlStrCache>
                      <c:ptCount val="12"/>
                      <c:lvl>
                        <c:pt idx="0">
                          <c:v>Enero</c:v>
                        </c:pt>
                        <c:pt idx="1">
                          <c:v>Febrero</c:v>
                        </c:pt>
                        <c:pt idx="2">
                          <c:v>Marzo</c:v>
                        </c:pt>
                        <c:pt idx="3">
                          <c:v>Abril</c:v>
                        </c:pt>
                        <c:pt idx="4">
                          <c:v>Mayo</c:v>
                        </c:pt>
                        <c:pt idx="5">
                          <c:v>Junio</c:v>
                        </c:pt>
                        <c:pt idx="6">
                          <c:v>Julio</c:v>
                        </c:pt>
                        <c:pt idx="7">
                          <c:v>Agosto</c:v>
                        </c:pt>
                        <c:pt idx="8">
                          <c:v>Septiembre</c:v>
                        </c:pt>
                        <c:pt idx="9">
                          <c:v>Octubre</c:v>
                        </c:pt>
                        <c:pt idx="10">
                          <c:v>Noviembre</c:v>
                        </c:pt>
                        <c:pt idx="11">
                          <c:v>Diciembre</c:v>
                        </c:pt>
                      </c:lvl>
                      <c:lvl>
                        <c:pt idx="0">
                          <c:v>Mes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'Estadísticas específicas'!$B$85:$M$85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27</c:v>
                      </c:pt>
                      <c:pt idx="2">
                        <c:v>42</c:v>
                      </c:pt>
                      <c:pt idx="3">
                        <c:v>35</c:v>
                      </c:pt>
                      <c:pt idx="4">
                        <c:v>44</c:v>
                      </c:pt>
                      <c:pt idx="5">
                        <c:v>32</c:v>
                      </c:pt>
                      <c:pt idx="6">
                        <c:v>60</c:v>
                      </c:pt>
                      <c:pt idx="7">
                        <c:v>51</c:v>
                      </c:pt>
                      <c:pt idx="8">
                        <c:v>48</c:v>
                      </c:pt>
                      <c:pt idx="9">
                        <c:v>33</c:v>
                      </c:pt>
                      <c:pt idx="10">
                        <c:v>44</c:v>
                      </c:pt>
                      <c:pt idx="11">
                        <c:v>43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2214-44ED-A34D-A12092480608}"/>
                  </c:ext>
                </c:extLst>
              </c15:ser>
            </c15:filteredBarSeries>
          </c:ext>
        </c:extLst>
      </c:barChart>
      <c:catAx>
        <c:axId val="175410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5424256"/>
        <c:crosses val="autoZero"/>
        <c:auto val="1"/>
        <c:lblAlgn val="ctr"/>
        <c:lblOffset val="100"/>
        <c:noMultiLvlLbl val="0"/>
      </c:catAx>
      <c:valAx>
        <c:axId val="175424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5410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13" Type="http://schemas.openxmlformats.org/officeDocument/2006/relationships/chart" Target="../charts/chart21.xml"/><Relationship Id="rId18" Type="http://schemas.openxmlformats.org/officeDocument/2006/relationships/chart" Target="../charts/chart2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12" Type="http://schemas.openxmlformats.org/officeDocument/2006/relationships/chart" Target="../charts/chart20.xml"/><Relationship Id="rId17" Type="http://schemas.openxmlformats.org/officeDocument/2006/relationships/chart" Target="../charts/chart25.xml"/><Relationship Id="rId2" Type="http://schemas.openxmlformats.org/officeDocument/2006/relationships/chart" Target="../charts/chart10.xml"/><Relationship Id="rId16" Type="http://schemas.openxmlformats.org/officeDocument/2006/relationships/chart" Target="../charts/chart24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11" Type="http://schemas.openxmlformats.org/officeDocument/2006/relationships/chart" Target="../charts/chart19.xml"/><Relationship Id="rId5" Type="http://schemas.openxmlformats.org/officeDocument/2006/relationships/chart" Target="../charts/chart13.xml"/><Relationship Id="rId15" Type="http://schemas.openxmlformats.org/officeDocument/2006/relationships/chart" Target="../charts/chart23.xml"/><Relationship Id="rId10" Type="http://schemas.openxmlformats.org/officeDocument/2006/relationships/chart" Target="../charts/chart18.xml"/><Relationship Id="rId4" Type="http://schemas.openxmlformats.org/officeDocument/2006/relationships/chart" Target="../charts/chart12.xml"/><Relationship Id="rId9" Type="http://schemas.openxmlformats.org/officeDocument/2006/relationships/chart" Target="../charts/chart17.xml"/><Relationship Id="rId14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142875</xdr:colOff>
      <xdr:row>17</xdr:row>
      <xdr:rowOff>166686</xdr:rowOff>
    </xdr:from>
    <xdr:to>
      <xdr:col>15</xdr:col>
      <xdr:colOff>257174</xdr:colOff>
      <xdr:row>35</xdr:row>
      <xdr:rowOff>76199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37</xdr:row>
      <xdr:rowOff>4762</xdr:rowOff>
    </xdr:from>
    <xdr:to>
      <xdr:col>6</xdr:col>
      <xdr:colOff>762000</xdr:colOff>
      <xdr:row>54</xdr:row>
      <xdr:rowOff>114300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142874</xdr:colOff>
      <xdr:row>37</xdr:row>
      <xdr:rowOff>14287</xdr:rowOff>
    </xdr:from>
    <xdr:to>
      <xdr:col>14</xdr:col>
      <xdr:colOff>752474</xdr:colOff>
      <xdr:row>54</xdr:row>
      <xdr:rowOff>104775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56</xdr:row>
      <xdr:rowOff>23811</xdr:rowOff>
    </xdr:from>
    <xdr:to>
      <xdr:col>6</xdr:col>
      <xdr:colOff>800100</xdr:colOff>
      <xdr:row>73</xdr:row>
      <xdr:rowOff>104774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180974</xdr:colOff>
      <xdr:row>56</xdr:row>
      <xdr:rowOff>4761</xdr:rowOff>
    </xdr:from>
    <xdr:to>
      <xdr:col>15</xdr:col>
      <xdr:colOff>9524</xdr:colOff>
      <xdr:row>73</xdr:row>
      <xdr:rowOff>85724</xdr:rowOff>
    </xdr:to>
    <xdr:graphicFrame macro="">
      <xdr:nvGraphicFramePr>
        <xdr:cNvPr id="15" name="Gráfico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76</xdr:row>
      <xdr:rowOff>14286</xdr:rowOff>
    </xdr:from>
    <xdr:to>
      <xdr:col>6</xdr:col>
      <xdr:colOff>781050</xdr:colOff>
      <xdr:row>92</xdr:row>
      <xdr:rowOff>190499</xdr:rowOff>
    </xdr:to>
    <xdr:graphicFrame macro="">
      <xdr:nvGraphicFramePr>
        <xdr:cNvPr id="17" name="Gráfico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142875</xdr:colOff>
      <xdr:row>76</xdr:row>
      <xdr:rowOff>14286</xdr:rowOff>
    </xdr:from>
    <xdr:to>
      <xdr:col>15</xdr:col>
      <xdr:colOff>0</xdr:colOff>
      <xdr:row>92</xdr:row>
      <xdr:rowOff>190499</xdr:rowOff>
    </xdr:to>
    <xdr:graphicFrame macro="">
      <xdr:nvGraphicFramePr>
        <xdr:cNvPr id="18" name="Gráfico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17</xdr:row>
      <xdr:rowOff>147637</xdr:rowOff>
    </xdr:from>
    <xdr:to>
      <xdr:col>6</xdr:col>
      <xdr:colOff>419100</xdr:colOff>
      <xdr:row>35</xdr:row>
      <xdr:rowOff>66675</xdr:rowOff>
    </xdr:to>
    <xdr:graphicFrame macro="">
      <xdr:nvGraphicFramePr>
        <xdr:cNvPr id="7" name="Grá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92</xdr:row>
      <xdr:rowOff>185737</xdr:rowOff>
    </xdr:from>
    <xdr:to>
      <xdr:col>9</xdr:col>
      <xdr:colOff>0</xdr:colOff>
      <xdr:row>116</xdr:row>
      <xdr:rowOff>161925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228600</xdr:colOff>
      <xdr:row>93</xdr:row>
      <xdr:rowOff>4761</xdr:rowOff>
    </xdr:from>
    <xdr:to>
      <xdr:col>18</xdr:col>
      <xdr:colOff>0</xdr:colOff>
      <xdr:row>116</xdr:row>
      <xdr:rowOff>180974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118</xdr:row>
      <xdr:rowOff>157161</xdr:rowOff>
    </xdr:from>
    <xdr:to>
      <xdr:col>9</xdr:col>
      <xdr:colOff>19050</xdr:colOff>
      <xdr:row>141</xdr:row>
      <xdr:rowOff>180974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257175</xdr:colOff>
      <xdr:row>118</xdr:row>
      <xdr:rowOff>176212</xdr:rowOff>
    </xdr:from>
    <xdr:to>
      <xdr:col>17</xdr:col>
      <xdr:colOff>752475</xdr:colOff>
      <xdr:row>142</xdr:row>
      <xdr:rowOff>0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144</xdr:row>
      <xdr:rowOff>14286</xdr:rowOff>
    </xdr:from>
    <xdr:to>
      <xdr:col>9</xdr:col>
      <xdr:colOff>19050</xdr:colOff>
      <xdr:row>165</xdr:row>
      <xdr:rowOff>190499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314324</xdr:colOff>
      <xdr:row>143</xdr:row>
      <xdr:rowOff>185736</xdr:rowOff>
    </xdr:from>
    <xdr:to>
      <xdr:col>17</xdr:col>
      <xdr:colOff>761999</xdr:colOff>
      <xdr:row>165</xdr:row>
      <xdr:rowOff>190499</xdr:rowOff>
    </xdr:to>
    <xdr:graphicFrame macro="">
      <xdr:nvGraphicFramePr>
        <xdr:cNvPr id="7" name="Grá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168</xdr:row>
      <xdr:rowOff>14287</xdr:rowOff>
    </xdr:from>
    <xdr:to>
      <xdr:col>8</xdr:col>
      <xdr:colOff>742950</xdr:colOff>
      <xdr:row>191</xdr:row>
      <xdr:rowOff>180975</xdr:rowOff>
    </xdr:to>
    <xdr:graphicFrame macro="">
      <xdr:nvGraphicFramePr>
        <xdr:cNvPr id="8" name="Gráfico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295274</xdr:colOff>
      <xdr:row>168</xdr:row>
      <xdr:rowOff>4761</xdr:rowOff>
    </xdr:from>
    <xdr:to>
      <xdr:col>17</xdr:col>
      <xdr:colOff>761999</xdr:colOff>
      <xdr:row>191</xdr:row>
      <xdr:rowOff>180974</xdr:rowOff>
    </xdr:to>
    <xdr:graphicFrame macro="">
      <xdr:nvGraphicFramePr>
        <xdr:cNvPr id="9" name="Gráfico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194</xdr:row>
      <xdr:rowOff>4762</xdr:rowOff>
    </xdr:from>
    <xdr:to>
      <xdr:col>8</xdr:col>
      <xdr:colOff>752474</xdr:colOff>
      <xdr:row>217</xdr:row>
      <xdr:rowOff>0</xdr:rowOff>
    </xdr:to>
    <xdr:graphicFrame macro="">
      <xdr:nvGraphicFramePr>
        <xdr:cNvPr id="10" name="Gráfico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15</xdr:col>
      <xdr:colOff>228600</xdr:colOff>
      <xdr:row>0</xdr:row>
      <xdr:rowOff>0</xdr:rowOff>
    </xdr:from>
    <xdr:to>
      <xdr:col>21</xdr:col>
      <xdr:colOff>228600</xdr:colOff>
      <xdr:row>14</xdr:row>
      <xdr:rowOff>66675</xdr:rowOff>
    </xdr:to>
    <xdr:graphicFrame macro="">
      <xdr:nvGraphicFramePr>
        <xdr:cNvPr id="11" name="Gráfico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21</xdr:col>
      <xdr:colOff>657225</xdr:colOff>
      <xdr:row>11</xdr:row>
      <xdr:rowOff>157162</xdr:rowOff>
    </xdr:from>
    <xdr:to>
      <xdr:col>27</xdr:col>
      <xdr:colOff>657225</xdr:colOff>
      <xdr:row>26</xdr:row>
      <xdr:rowOff>33337</xdr:rowOff>
    </xdr:to>
    <xdr:graphicFrame macro="">
      <xdr:nvGraphicFramePr>
        <xdr:cNvPr id="12" name="Gráfico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15</xdr:col>
      <xdr:colOff>200025</xdr:colOff>
      <xdr:row>19</xdr:row>
      <xdr:rowOff>119062</xdr:rowOff>
    </xdr:from>
    <xdr:to>
      <xdr:col>21</xdr:col>
      <xdr:colOff>200025</xdr:colOff>
      <xdr:row>33</xdr:row>
      <xdr:rowOff>166687</xdr:rowOff>
    </xdr:to>
    <xdr:graphicFrame macro="">
      <xdr:nvGraphicFramePr>
        <xdr:cNvPr id="13" name="Gráfico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21</xdr:col>
      <xdr:colOff>409575</xdr:colOff>
      <xdr:row>32</xdr:row>
      <xdr:rowOff>14287</xdr:rowOff>
    </xdr:from>
    <xdr:to>
      <xdr:col>27</xdr:col>
      <xdr:colOff>409575</xdr:colOff>
      <xdr:row>46</xdr:row>
      <xdr:rowOff>71437</xdr:rowOff>
    </xdr:to>
    <xdr:graphicFrame macro="">
      <xdr:nvGraphicFramePr>
        <xdr:cNvPr id="14" name="Gráfico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15</xdr:col>
      <xdr:colOff>171450</xdr:colOff>
      <xdr:row>39</xdr:row>
      <xdr:rowOff>147637</xdr:rowOff>
    </xdr:from>
    <xdr:to>
      <xdr:col>21</xdr:col>
      <xdr:colOff>171450</xdr:colOff>
      <xdr:row>53</xdr:row>
      <xdr:rowOff>185737</xdr:rowOff>
    </xdr:to>
    <xdr:graphicFrame macro="">
      <xdr:nvGraphicFramePr>
        <xdr:cNvPr id="15" name="Gráfico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21</xdr:col>
      <xdr:colOff>495300</xdr:colOff>
      <xdr:row>48</xdr:row>
      <xdr:rowOff>4762</xdr:rowOff>
    </xdr:from>
    <xdr:to>
      <xdr:col>27</xdr:col>
      <xdr:colOff>495300</xdr:colOff>
      <xdr:row>62</xdr:row>
      <xdr:rowOff>42862</xdr:rowOff>
    </xdr:to>
    <xdr:graphicFrame macro="">
      <xdr:nvGraphicFramePr>
        <xdr:cNvPr id="16" name="Gráfico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15</xdr:col>
      <xdr:colOff>161925</xdr:colOff>
      <xdr:row>55</xdr:row>
      <xdr:rowOff>176212</xdr:rowOff>
    </xdr:from>
    <xdr:to>
      <xdr:col>21</xdr:col>
      <xdr:colOff>161925</xdr:colOff>
      <xdr:row>70</xdr:row>
      <xdr:rowOff>33337</xdr:rowOff>
    </xdr:to>
    <xdr:graphicFrame macro="">
      <xdr:nvGraphicFramePr>
        <xdr:cNvPr id="17" name="Gráfico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21</xdr:col>
      <xdr:colOff>485775</xdr:colOff>
      <xdr:row>65</xdr:row>
      <xdr:rowOff>23812</xdr:rowOff>
    </xdr:from>
    <xdr:to>
      <xdr:col>27</xdr:col>
      <xdr:colOff>485775</xdr:colOff>
      <xdr:row>79</xdr:row>
      <xdr:rowOff>90487</xdr:rowOff>
    </xdr:to>
    <xdr:graphicFrame macro="">
      <xdr:nvGraphicFramePr>
        <xdr:cNvPr id="18" name="Gráfico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9</xdr:col>
      <xdr:colOff>361950</xdr:colOff>
      <xdr:row>194</xdr:row>
      <xdr:rowOff>14287</xdr:rowOff>
    </xdr:from>
    <xdr:to>
      <xdr:col>17</xdr:col>
      <xdr:colOff>742950</xdr:colOff>
      <xdr:row>216</xdr:row>
      <xdr:rowOff>161925</xdr:rowOff>
    </xdr:to>
    <xdr:graphicFrame macro="">
      <xdr:nvGraphicFramePr>
        <xdr:cNvPr id="19" name="Gráfico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0"/>
  <sheetViews>
    <sheetView tabSelected="1" topLeftCell="I1" workbookViewId="0">
      <selection activeCell="U106" sqref="U67:U106"/>
    </sheetView>
  </sheetViews>
  <sheetFormatPr baseColWidth="10" defaultRowHeight="15" x14ac:dyDescent="0.25"/>
  <cols>
    <col min="1" max="1" width="6.28515625" customWidth="1"/>
    <col min="2" max="2" width="8.42578125" style="9" customWidth="1"/>
    <col min="4" max="4" width="36.7109375" customWidth="1"/>
    <col min="5" max="5" width="13.85546875" customWidth="1"/>
    <col min="6" max="6" width="45.85546875" customWidth="1"/>
    <col min="7" max="8" width="7.85546875" customWidth="1"/>
    <col min="9" max="9" width="11.42578125" style="11"/>
    <col min="10" max="10" width="11.42578125" style="47"/>
    <col min="11" max="11" width="45.85546875" customWidth="1"/>
    <col min="12" max="12" width="45.42578125" customWidth="1"/>
    <col min="13" max="13" width="7.5703125" customWidth="1"/>
    <col min="14" max="14" width="7.85546875" customWidth="1"/>
    <col min="15" max="15" width="5.7109375" customWidth="1"/>
  </cols>
  <sheetData>
    <row r="1" spans="1:21" ht="15" customHeight="1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1" t="s">
        <v>11</v>
      </c>
      <c r="M1" s="4" t="s">
        <v>12</v>
      </c>
      <c r="N1" s="4" t="s">
        <v>13</v>
      </c>
      <c r="O1" s="4" t="s">
        <v>14</v>
      </c>
      <c r="P1" s="4" t="s">
        <v>2582</v>
      </c>
      <c r="Q1" s="4" t="s">
        <v>2592</v>
      </c>
      <c r="R1" s="4" t="s">
        <v>2594</v>
      </c>
      <c r="S1" s="4" t="s">
        <v>2595</v>
      </c>
      <c r="T1" s="4" t="s">
        <v>2597</v>
      </c>
      <c r="U1" s="4" t="s">
        <v>2598</v>
      </c>
    </row>
    <row r="2" spans="1:21" x14ac:dyDescent="0.25">
      <c r="A2">
        <v>1</v>
      </c>
      <c r="B2" s="9" t="s">
        <v>164</v>
      </c>
      <c r="C2" s="10">
        <v>44566</v>
      </c>
      <c r="D2" t="s">
        <v>165</v>
      </c>
      <c r="E2" t="s">
        <v>166</v>
      </c>
      <c r="F2" t="s">
        <v>167</v>
      </c>
      <c r="G2" t="s">
        <v>168</v>
      </c>
      <c r="H2">
        <v>1</v>
      </c>
      <c r="I2" s="11">
        <v>1736.6</v>
      </c>
      <c r="J2" s="47">
        <f>I2/H2</f>
        <v>1736.6</v>
      </c>
      <c r="K2" t="s">
        <v>169</v>
      </c>
      <c r="L2" t="s">
        <v>170</v>
      </c>
      <c r="M2" t="s">
        <v>799</v>
      </c>
      <c r="N2" t="s">
        <v>961</v>
      </c>
      <c r="O2" t="s">
        <v>961</v>
      </c>
      <c r="P2" t="s">
        <v>961</v>
      </c>
      <c r="Q2" t="s">
        <v>2593</v>
      </c>
      <c r="R2" t="s">
        <v>961</v>
      </c>
      <c r="S2" t="s">
        <v>961</v>
      </c>
      <c r="T2" t="s">
        <v>961</v>
      </c>
      <c r="U2" t="s">
        <v>961</v>
      </c>
    </row>
    <row r="3" spans="1:21" x14ac:dyDescent="0.25">
      <c r="A3" s="64">
        <f>+A2+1</f>
        <v>2</v>
      </c>
      <c r="B3" s="9" t="s">
        <v>171</v>
      </c>
      <c r="C3" s="10">
        <v>44564</v>
      </c>
      <c r="D3" t="s">
        <v>172</v>
      </c>
      <c r="E3" t="s">
        <v>173</v>
      </c>
      <c r="F3" t="s">
        <v>174</v>
      </c>
      <c r="G3" t="s">
        <v>168</v>
      </c>
      <c r="H3">
        <v>1</v>
      </c>
      <c r="I3" s="11">
        <v>8352.84</v>
      </c>
      <c r="J3" s="47">
        <f t="shared" ref="J3:J66" si="0">I3/H3</f>
        <v>8352.84</v>
      </c>
      <c r="K3" t="s">
        <v>175</v>
      </c>
      <c r="L3" t="s">
        <v>176</v>
      </c>
      <c r="M3" t="s">
        <v>799</v>
      </c>
      <c r="N3" t="s">
        <v>961</v>
      </c>
      <c r="O3" t="s">
        <v>961</v>
      </c>
      <c r="P3" t="s">
        <v>961</v>
      </c>
      <c r="Q3" t="s">
        <v>2593</v>
      </c>
      <c r="R3" t="s">
        <v>961</v>
      </c>
      <c r="S3" t="s">
        <v>961</v>
      </c>
      <c r="T3" t="s">
        <v>961</v>
      </c>
      <c r="U3" t="s">
        <v>961</v>
      </c>
    </row>
    <row r="4" spans="1:21" x14ac:dyDescent="0.25">
      <c r="A4">
        <f t="shared" ref="A4:A67" si="1">+A3+1</f>
        <v>3</v>
      </c>
      <c r="B4" s="9" t="s">
        <v>177</v>
      </c>
      <c r="C4" s="10">
        <v>44567</v>
      </c>
      <c r="D4" t="s">
        <v>178</v>
      </c>
      <c r="E4" t="s">
        <v>179</v>
      </c>
      <c r="F4" t="s">
        <v>180</v>
      </c>
      <c r="G4" t="s">
        <v>168</v>
      </c>
      <c r="H4">
        <v>1</v>
      </c>
      <c r="I4" s="11">
        <v>1184.1500000000001</v>
      </c>
      <c r="J4" s="47">
        <f t="shared" si="0"/>
        <v>1184.1500000000001</v>
      </c>
      <c r="K4" t="s">
        <v>181</v>
      </c>
      <c r="L4" t="s">
        <v>192</v>
      </c>
      <c r="M4" t="s">
        <v>799</v>
      </c>
      <c r="N4" t="s">
        <v>961</v>
      </c>
      <c r="O4" t="s">
        <v>961</v>
      </c>
      <c r="P4" t="s">
        <v>961</v>
      </c>
      <c r="Q4" t="s">
        <v>2593</v>
      </c>
      <c r="R4" t="s">
        <v>961</v>
      </c>
      <c r="S4" t="s">
        <v>961</v>
      </c>
      <c r="T4" t="s">
        <v>961</v>
      </c>
      <c r="U4" t="s">
        <v>961</v>
      </c>
    </row>
    <row r="5" spans="1:21" x14ac:dyDescent="0.25">
      <c r="A5" s="65">
        <f t="shared" si="1"/>
        <v>4</v>
      </c>
      <c r="B5" s="9" t="s">
        <v>283</v>
      </c>
      <c r="C5" s="10">
        <v>44569</v>
      </c>
      <c r="D5" t="s">
        <v>182</v>
      </c>
      <c r="E5" t="s">
        <v>183</v>
      </c>
      <c r="F5" t="s">
        <v>184</v>
      </c>
      <c r="G5" t="s">
        <v>168</v>
      </c>
      <c r="H5">
        <v>1</v>
      </c>
      <c r="I5" s="11">
        <v>2192</v>
      </c>
      <c r="J5" s="47">
        <f t="shared" si="0"/>
        <v>2192</v>
      </c>
      <c r="K5" t="s">
        <v>185</v>
      </c>
      <c r="L5" t="s">
        <v>193</v>
      </c>
      <c r="M5" t="s">
        <v>799</v>
      </c>
      <c r="N5" t="s">
        <v>961</v>
      </c>
      <c r="O5" t="s">
        <v>961</v>
      </c>
      <c r="P5" t="s">
        <v>961</v>
      </c>
      <c r="Q5" t="s">
        <v>2593</v>
      </c>
      <c r="R5" t="s">
        <v>961</v>
      </c>
      <c r="S5" t="s">
        <v>961</v>
      </c>
      <c r="T5" t="s">
        <v>961</v>
      </c>
      <c r="U5" t="s">
        <v>961</v>
      </c>
    </row>
    <row r="6" spans="1:21" x14ac:dyDescent="0.25">
      <c r="A6">
        <f t="shared" si="1"/>
        <v>5</v>
      </c>
      <c r="B6" s="9" t="s">
        <v>186</v>
      </c>
      <c r="C6" s="10">
        <v>44571</v>
      </c>
      <c r="D6" t="s">
        <v>188</v>
      </c>
      <c r="E6" t="s">
        <v>189</v>
      </c>
      <c r="F6" t="s">
        <v>190</v>
      </c>
      <c r="G6" t="s">
        <v>168</v>
      </c>
      <c r="H6">
        <v>1</v>
      </c>
      <c r="I6" s="11">
        <v>1040.25</v>
      </c>
      <c r="J6" s="47">
        <f t="shared" si="0"/>
        <v>1040.25</v>
      </c>
      <c r="K6" t="s">
        <v>191</v>
      </c>
      <c r="L6" t="s">
        <v>192</v>
      </c>
      <c r="M6" t="s">
        <v>799</v>
      </c>
      <c r="N6" t="s">
        <v>961</v>
      </c>
      <c r="O6" t="s">
        <v>961</v>
      </c>
      <c r="P6" t="s">
        <v>961</v>
      </c>
      <c r="Q6" t="s">
        <v>2593</v>
      </c>
      <c r="R6" t="s">
        <v>961</v>
      </c>
      <c r="S6" t="s">
        <v>961</v>
      </c>
      <c r="T6" t="s">
        <v>961</v>
      </c>
      <c r="U6" t="s">
        <v>961</v>
      </c>
    </row>
    <row r="7" spans="1:21" x14ac:dyDescent="0.25">
      <c r="A7" s="64">
        <f t="shared" si="1"/>
        <v>6</v>
      </c>
      <c r="B7" s="9" t="s">
        <v>187</v>
      </c>
      <c r="C7" s="10">
        <v>44571</v>
      </c>
      <c r="D7" t="s">
        <v>194</v>
      </c>
      <c r="E7" t="s">
        <v>195</v>
      </c>
      <c r="F7" t="s">
        <v>196</v>
      </c>
      <c r="G7" t="s">
        <v>168</v>
      </c>
      <c r="H7">
        <v>1</v>
      </c>
      <c r="I7" s="11">
        <v>1700.67</v>
      </c>
      <c r="J7" s="47">
        <f t="shared" si="0"/>
        <v>1700.67</v>
      </c>
      <c r="K7" t="s">
        <v>197</v>
      </c>
      <c r="L7" t="s">
        <v>198</v>
      </c>
      <c r="M7" t="s">
        <v>799</v>
      </c>
      <c r="N7" t="s">
        <v>961</v>
      </c>
      <c r="O7" t="s">
        <v>961</v>
      </c>
      <c r="P7" t="s">
        <v>961</v>
      </c>
      <c r="Q7" t="s">
        <v>2593</v>
      </c>
      <c r="R7" t="s">
        <v>961</v>
      </c>
      <c r="S7" t="s">
        <v>961</v>
      </c>
      <c r="T7" t="s">
        <v>961</v>
      </c>
      <c r="U7" t="s">
        <v>961</v>
      </c>
    </row>
    <row r="8" spans="1:21" x14ac:dyDescent="0.25">
      <c r="A8">
        <f t="shared" si="1"/>
        <v>7</v>
      </c>
      <c r="B8" s="9" t="s">
        <v>199</v>
      </c>
      <c r="C8" s="10">
        <v>44566</v>
      </c>
      <c r="D8" t="s">
        <v>202</v>
      </c>
      <c r="E8" t="s">
        <v>203</v>
      </c>
      <c r="F8" t="s">
        <v>204</v>
      </c>
      <c r="G8" t="s">
        <v>168</v>
      </c>
      <c r="H8">
        <v>1</v>
      </c>
      <c r="I8" s="11">
        <v>1003.2</v>
      </c>
      <c r="J8" s="47">
        <f t="shared" si="0"/>
        <v>1003.2</v>
      </c>
      <c r="K8" t="s">
        <v>205</v>
      </c>
      <c r="L8" t="s">
        <v>206</v>
      </c>
      <c r="M8" t="s">
        <v>799</v>
      </c>
      <c r="N8" t="s">
        <v>961</v>
      </c>
      <c r="O8" t="s">
        <v>961</v>
      </c>
      <c r="P8" t="s">
        <v>961</v>
      </c>
      <c r="Q8" t="s">
        <v>2593</v>
      </c>
      <c r="R8" t="s">
        <v>961</v>
      </c>
      <c r="S8" t="s">
        <v>961</v>
      </c>
      <c r="T8" t="s">
        <v>961</v>
      </c>
      <c r="U8" t="s">
        <v>961</v>
      </c>
    </row>
    <row r="9" spans="1:21" x14ac:dyDescent="0.25">
      <c r="A9">
        <f t="shared" si="1"/>
        <v>8</v>
      </c>
      <c r="B9" s="9" t="s">
        <v>200</v>
      </c>
      <c r="C9" s="10">
        <v>44572</v>
      </c>
      <c r="D9" t="s">
        <v>207</v>
      </c>
      <c r="E9" t="s">
        <v>208</v>
      </c>
      <c r="F9" t="s">
        <v>209</v>
      </c>
      <c r="G9" t="s">
        <v>168</v>
      </c>
      <c r="H9">
        <v>1</v>
      </c>
      <c r="I9" s="11">
        <v>1482.95</v>
      </c>
      <c r="J9" s="47">
        <f t="shared" si="0"/>
        <v>1482.95</v>
      </c>
      <c r="K9" t="s">
        <v>210</v>
      </c>
      <c r="L9" t="s">
        <v>231</v>
      </c>
      <c r="M9" t="s">
        <v>799</v>
      </c>
      <c r="N9" t="s">
        <v>961</v>
      </c>
      <c r="O9" t="s">
        <v>961</v>
      </c>
      <c r="P9" t="s">
        <v>961</v>
      </c>
      <c r="Q9" t="s">
        <v>2593</v>
      </c>
      <c r="R9" t="s">
        <v>961</v>
      </c>
      <c r="S9" t="s">
        <v>961</v>
      </c>
      <c r="T9" t="s">
        <v>961</v>
      </c>
      <c r="U9" t="s">
        <v>961</v>
      </c>
    </row>
    <row r="10" spans="1:21" x14ac:dyDescent="0.25">
      <c r="A10">
        <f t="shared" si="1"/>
        <v>9</v>
      </c>
      <c r="B10" s="9" t="s">
        <v>201</v>
      </c>
      <c r="C10" s="10">
        <v>44572</v>
      </c>
      <c r="D10" t="s">
        <v>211</v>
      </c>
      <c r="E10" t="s">
        <v>212</v>
      </c>
      <c r="F10" t="s">
        <v>213</v>
      </c>
      <c r="G10" t="s">
        <v>168</v>
      </c>
      <c r="H10">
        <v>1</v>
      </c>
      <c r="I10" s="11">
        <v>1491.02</v>
      </c>
      <c r="J10" s="47">
        <f t="shared" si="0"/>
        <v>1491.02</v>
      </c>
      <c r="K10" t="s">
        <v>214</v>
      </c>
      <c r="L10" t="s">
        <v>215</v>
      </c>
      <c r="M10" t="s">
        <v>799</v>
      </c>
      <c r="N10" t="s">
        <v>961</v>
      </c>
      <c r="O10" t="s">
        <v>961</v>
      </c>
      <c r="P10" t="s">
        <v>961</v>
      </c>
      <c r="Q10" t="s">
        <v>2593</v>
      </c>
      <c r="R10" t="s">
        <v>961</v>
      </c>
      <c r="S10" t="s">
        <v>961</v>
      </c>
      <c r="T10" t="s">
        <v>961</v>
      </c>
      <c r="U10" t="s">
        <v>961</v>
      </c>
    </row>
    <row r="11" spans="1:21" x14ac:dyDescent="0.25">
      <c r="A11">
        <f t="shared" si="1"/>
        <v>10</v>
      </c>
      <c r="B11" s="9" t="s">
        <v>216</v>
      </c>
      <c r="C11" s="10">
        <v>44564</v>
      </c>
      <c r="D11" t="s">
        <v>223</v>
      </c>
      <c r="E11" t="s">
        <v>224</v>
      </c>
      <c r="F11" t="s">
        <v>225</v>
      </c>
      <c r="G11" t="s">
        <v>168</v>
      </c>
      <c r="H11">
        <v>1</v>
      </c>
      <c r="I11" s="11">
        <v>1798</v>
      </c>
      <c r="J11" s="47">
        <f t="shared" si="0"/>
        <v>1798</v>
      </c>
      <c r="K11" t="s">
        <v>226</v>
      </c>
      <c r="L11" t="s">
        <v>192</v>
      </c>
      <c r="M11" t="s">
        <v>799</v>
      </c>
      <c r="N11" t="s">
        <v>961</v>
      </c>
      <c r="O11" t="s">
        <v>961</v>
      </c>
      <c r="P11" t="s">
        <v>961</v>
      </c>
      <c r="Q11" t="s">
        <v>2593</v>
      </c>
      <c r="R11" t="s">
        <v>961</v>
      </c>
      <c r="S11" t="s">
        <v>961</v>
      </c>
      <c r="T11" t="s">
        <v>961</v>
      </c>
      <c r="U11" t="s">
        <v>961</v>
      </c>
    </row>
    <row r="12" spans="1:21" x14ac:dyDescent="0.25">
      <c r="A12">
        <f t="shared" si="1"/>
        <v>11</v>
      </c>
      <c r="B12" s="9" t="s">
        <v>217</v>
      </c>
      <c r="C12" s="103">
        <v>44568</v>
      </c>
      <c r="D12" t="s">
        <v>227</v>
      </c>
      <c r="E12" t="s">
        <v>228</v>
      </c>
      <c r="F12" t="s">
        <v>229</v>
      </c>
      <c r="G12" t="s">
        <v>168</v>
      </c>
      <c r="H12">
        <v>1</v>
      </c>
      <c r="I12" s="11">
        <v>4469.8999999999996</v>
      </c>
      <c r="J12" s="47">
        <f t="shared" si="0"/>
        <v>4469.8999999999996</v>
      </c>
      <c r="K12" t="s">
        <v>230</v>
      </c>
      <c r="L12" t="s">
        <v>272</v>
      </c>
      <c r="M12" t="s">
        <v>799</v>
      </c>
      <c r="N12" t="s">
        <v>961</v>
      </c>
      <c r="O12" t="s">
        <v>961</v>
      </c>
      <c r="P12" t="s">
        <v>961</v>
      </c>
      <c r="Q12" t="s">
        <v>2593</v>
      </c>
      <c r="R12" t="s">
        <v>961</v>
      </c>
      <c r="S12" t="s">
        <v>961</v>
      </c>
      <c r="T12" t="s">
        <v>961</v>
      </c>
      <c r="U12" t="s">
        <v>961</v>
      </c>
    </row>
    <row r="13" spans="1:21" x14ac:dyDescent="0.25">
      <c r="A13">
        <f t="shared" si="1"/>
        <v>12</v>
      </c>
      <c r="B13" s="9" t="s">
        <v>218</v>
      </c>
      <c r="C13" s="10">
        <v>44573</v>
      </c>
      <c r="D13" t="s">
        <v>232</v>
      </c>
      <c r="E13" t="s">
        <v>233</v>
      </c>
      <c r="F13" t="s">
        <v>234</v>
      </c>
      <c r="G13" t="s">
        <v>168</v>
      </c>
      <c r="H13">
        <v>1</v>
      </c>
      <c r="I13" s="11">
        <v>3067.2</v>
      </c>
      <c r="J13" s="47">
        <f t="shared" si="0"/>
        <v>3067.2</v>
      </c>
      <c r="K13" t="s">
        <v>235</v>
      </c>
      <c r="L13" t="s">
        <v>343</v>
      </c>
      <c r="M13" t="s">
        <v>799</v>
      </c>
      <c r="N13" t="s">
        <v>961</v>
      </c>
      <c r="O13" t="s">
        <v>961</v>
      </c>
      <c r="P13" t="s">
        <v>961</v>
      </c>
      <c r="Q13" t="s">
        <v>2593</v>
      </c>
      <c r="R13" t="s">
        <v>961</v>
      </c>
      <c r="S13" t="s">
        <v>961</v>
      </c>
      <c r="T13" t="s">
        <v>961</v>
      </c>
      <c r="U13" t="s">
        <v>961</v>
      </c>
    </row>
    <row r="14" spans="1:21" x14ac:dyDescent="0.25">
      <c r="A14" s="64">
        <f t="shared" si="1"/>
        <v>13</v>
      </c>
      <c r="B14" s="9" t="s">
        <v>219</v>
      </c>
      <c r="C14" s="103">
        <v>44574</v>
      </c>
      <c r="D14" t="s">
        <v>236</v>
      </c>
      <c r="E14" t="s">
        <v>237</v>
      </c>
      <c r="F14" t="s">
        <v>238</v>
      </c>
      <c r="G14" t="s">
        <v>168</v>
      </c>
      <c r="H14">
        <v>1</v>
      </c>
      <c r="I14" s="11">
        <v>1575.86</v>
      </c>
      <c r="J14" s="47">
        <f t="shared" si="0"/>
        <v>1575.86</v>
      </c>
      <c r="K14" t="s">
        <v>239</v>
      </c>
      <c r="L14" t="s">
        <v>240</v>
      </c>
      <c r="M14" t="s">
        <v>799</v>
      </c>
      <c r="N14" t="s">
        <v>961</v>
      </c>
      <c r="O14" t="s">
        <v>961</v>
      </c>
      <c r="P14" t="s">
        <v>961</v>
      </c>
      <c r="Q14" t="s">
        <v>2593</v>
      </c>
      <c r="R14" t="s">
        <v>961</v>
      </c>
      <c r="S14" t="s">
        <v>961</v>
      </c>
      <c r="T14" t="s">
        <v>961</v>
      </c>
      <c r="U14" t="s">
        <v>961</v>
      </c>
    </row>
    <row r="15" spans="1:21" x14ac:dyDescent="0.25">
      <c r="A15" s="65">
        <f t="shared" si="1"/>
        <v>14</v>
      </c>
      <c r="B15" s="9" t="s">
        <v>332</v>
      </c>
      <c r="C15" s="10">
        <v>44574</v>
      </c>
      <c r="D15" t="s">
        <v>241</v>
      </c>
      <c r="E15" t="s">
        <v>242</v>
      </c>
      <c r="F15" t="s">
        <v>243</v>
      </c>
      <c r="G15" t="s">
        <v>168</v>
      </c>
      <c r="H15">
        <v>1</v>
      </c>
      <c r="I15" s="11">
        <v>540</v>
      </c>
      <c r="J15" s="47">
        <f t="shared" si="0"/>
        <v>540</v>
      </c>
      <c r="K15" t="s">
        <v>244</v>
      </c>
      <c r="L15" t="s">
        <v>80</v>
      </c>
      <c r="M15" t="s">
        <v>799</v>
      </c>
      <c r="N15" t="s">
        <v>961</v>
      </c>
      <c r="O15" t="s">
        <v>961</v>
      </c>
      <c r="P15" t="s">
        <v>961</v>
      </c>
      <c r="Q15" t="s">
        <v>2593</v>
      </c>
      <c r="R15" t="s">
        <v>961</v>
      </c>
      <c r="S15" t="s">
        <v>961</v>
      </c>
      <c r="T15" t="s">
        <v>961</v>
      </c>
      <c r="U15" t="s">
        <v>961</v>
      </c>
    </row>
    <row r="16" spans="1:21" x14ac:dyDescent="0.25">
      <c r="A16" s="64">
        <f t="shared" si="1"/>
        <v>15</v>
      </c>
      <c r="B16" s="9" t="s">
        <v>220</v>
      </c>
      <c r="C16" s="10">
        <v>44575</v>
      </c>
      <c r="D16" t="s">
        <v>245</v>
      </c>
      <c r="E16" t="s">
        <v>246</v>
      </c>
      <c r="F16" t="s">
        <v>247</v>
      </c>
      <c r="G16" t="s">
        <v>168</v>
      </c>
      <c r="H16">
        <v>1</v>
      </c>
      <c r="I16" s="11">
        <v>1796.26</v>
      </c>
      <c r="J16" s="47">
        <f t="shared" si="0"/>
        <v>1796.26</v>
      </c>
      <c r="K16" t="s">
        <v>248</v>
      </c>
      <c r="L16" t="s">
        <v>264</v>
      </c>
      <c r="M16" t="s">
        <v>799</v>
      </c>
      <c r="N16" t="s">
        <v>961</v>
      </c>
      <c r="O16" t="s">
        <v>961</v>
      </c>
      <c r="P16" t="s">
        <v>961</v>
      </c>
      <c r="Q16" t="s">
        <v>2593</v>
      </c>
      <c r="R16" t="s">
        <v>961</v>
      </c>
      <c r="S16" t="s">
        <v>961</v>
      </c>
      <c r="T16" t="s">
        <v>961</v>
      </c>
      <c r="U16" t="s">
        <v>961</v>
      </c>
    </row>
    <row r="17" spans="1:21" x14ac:dyDescent="0.25">
      <c r="A17">
        <f t="shared" si="1"/>
        <v>16</v>
      </c>
      <c r="B17" s="9" t="s">
        <v>221</v>
      </c>
      <c r="C17" s="105">
        <v>44575</v>
      </c>
      <c r="D17" t="s">
        <v>249</v>
      </c>
      <c r="F17" t="s">
        <v>250</v>
      </c>
      <c r="G17" t="s">
        <v>251</v>
      </c>
      <c r="H17">
        <v>1</v>
      </c>
      <c r="I17" s="11">
        <v>1241.0999999999999</v>
      </c>
      <c r="J17" s="47">
        <f t="shared" si="0"/>
        <v>1241.0999999999999</v>
      </c>
      <c r="K17" t="s">
        <v>252</v>
      </c>
      <c r="L17" t="s">
        <v>253</v>
      </c>
      <c r="M17" t="s">
        <v>799</v>
      </c>
      <c r="N17" t="s">
        <v>961</v>
      </c>
      <c r="O17" t="s">
        <v>961</v>
      </c>
      <c r="P17" t="s">
        <v>961</v>
      </c>
      <c r="Q17" t="s">
        <v>2593</v>
      </c>
      <c r="R17" t="s">
        <v>961</v>
      </c>
      <c r="S17" t="s">
        <v>961</v>
      </c>
      <c r="T17" t="s">
        <v>961</v>
      </c>
      <c r="U17" t="s">
        <v>961</v>
      </c>
    </row>
    <row r="18" spans="1:21" x14ac:dyDescent="0.25">
      <c r="A18">
        <f t="shared" si="1"/>
        <v>17</v>
      </c>
      <c r="B18" s="9" t="s">
        <v>222</v>
      </c>
      <c r="C18" s="10">
        <v>44576</v>
      </c>
      <c r="D18" t="s">
        <v>254</v>
      </c>
      <c r="E18" t="s">
        <v>255</v>
      </c>
      <c r="F18" t="s">
        <v>256</v>
      </c>
      <c r="G18" t="s">
        <v>168</v>
      </c>
      <c r="H18">
        <v>1</v>
      </c>
      <c r="I18" s="11">
        <v>1068.75</v>
      </c>
      <c r="J18" s="47">
        <f t="shared" si="0"/>
        <v>1068.75</v>
      </c>
      <c r="K18" t="s">
        <v>257</v>
      </c>
      <c r="L18" t="s">
        <v>258</v>
      </c>
      <c r="M18" t="s">
        <v>799</v>
      </c>
      <c r="N18" t="s">
        <v>961</v>
      </c>
      <c r="O18" t="s">
        <v>961</v>
      </c>
      <c r="P18" t="s">
        <v>961</v>
      </c>
      <c r="Q18" t="s">
        <v>2593</v>
      </c>
      <c r="R18" t="s">
        <v>961</v>
      </c>
      <c r="S18" t="s">
        <v>961</v>
      </c>
      <c r="T18" t="s">
        <v>961</v>
      </c>
      <c r="U18" t="s">
        <v>961</v>
      </c>
    </row>
    <row r="19" spans="1:21" x14ac:dyDescent="0.25">
      <c r="A19">
        <f t="shared" si="1"/>
        <v>18</v>
      </c>
      <c r="B19" s="9" t="s">
        <v>259</v>
      </c>
      <c r="C19" s="10">
        <v>44578</v>
      </c>
      <c r="D19" t="s">
        <v>260</v>
      </c>
      <c r="E19" t="s">
        <v>261</v>
      </c>
      <c r="F19" t="s">
        <v>262</v>
      </c>
      <c r="G19" t="s">
        <v>168</v>
      </c>
      <c r="H19">
        <v>1</v>
      </c>
      <c r="I19" s="11">
        <v>1379</v>
      </c>
      <c r="J19" s="47">
        <f t="shared" si="0"/>
        <v>1379</v>
      </c>
      <c r="K19" t="s">
        <v>263</v>
      </c>
      <c r="L19" t="s">
        <v>278</v>
      </c>
      <c r="M19" t="s">
        <v>799</v>
      </c>
      <c r="N19" t="s">
        <v>961</v>
      </c>
      <c r="O19" t="s">
        <v>961</v>
      </c>
      <c r="P19" t="s">
        <v>961</v>
      </c>
      <c r="Q19" t="s">
        <v>2593</v>
      </c>
      <c r="R19" t="s">
        <v>961</v>
      </c>
      <c r="S19" t="s">
        <v>961</v>
      </c>
      <c r="T19" t="s">
        <v>961</v>
      </c>
      <c r="U19" t="s">
        <v>961</v>
      </c>
    </row>
    <row r="20" spans="1:21" x14ac:dyDescent="0.25">
      <c r="A20">
        <f t="shared" si="1"/>
        <v>19</v>
      </c>
      <c r="B20" s="9" t="s">
        <v>265</v>
      </c>
      <c r="C20" s="10">
        <v>44579</v>
      </c>
      <c r="D20" t="s">
        <v>267</v>
      </c>
      <c r="E20" t="s">
        <v>268</v>
      </c>
      <c r="F20" t="s">
        <v>269</v>
      </c>
      <c r="G20" t="s">
        <v>168</v>
      </c>
      <c r="H20">
        <v>1</v>
      </c>
      <c r="I20" s="11">
        <v>1167</v>
      </c>
      <c r="J20" s="47">
        <f t="shared" si="0"/>
        <v>1167</v>
      </c>
      <c r="K20" t="s">
        <v>270</v>
      </c>
      <c r="L20" t="s">
        <v>271</v>
      </c>
      <c r="M20" t="s">
        <v>799</v>
      </c>
      <c r="N20" t="s">
        <v>961</v>
      </c>
      <c r="O20" t="s">
        <v>961</v>
      </c>
      <c r="P20" t="s">
        <v>961</v>
      </c>
      <c r="Q20" t="s">
        <v>2593</v>
      </c>
      <c r="R20" t="s">
        <v>961</v>
      </c>
      <c r="S20" t="s">
        <v>961</v>
      </c>
      <c r="T20" t="s">
        <v>961</v>
      </c>
      <c r="U20" t="s">
        <v>961</v>
      </c>
    </row>
    <row r="21" spans="1:21" x14ac:dyDescent="0.25">
      <c r="A21">
        <f t="shared" si="1"/>
        <v>20</v>
      </c>
      <c r="B21" s="9" t="s">
        <v>266</v>
      </c>
      <c r="C21" s="10">
        <v>44579</v>
      </c>
      <c r="D21" t="s">
        <v>273</v>
      </c>
      <c r="E21" t="s">
        <v>274</v>
      </c>
      <c r="F21" t="s">
        <v>275</v>
      </c>
      <c r="G21" t="s">
        <v>168</v>
      </c>
      <c r="H21">
        <v>1</v>
      </c>
      <c r="I21" s="11">
        <v>860</v>
      </c>
      <c r="J21" s="47">
        <f t="shared" si="0"/>
        <v>860</v>
      </c>
      <c r="K21" t="s">
        <v>276</v>
      </c>
      <c r="L21" t="s">
        <v>277</v>
      </c>
      <c r="M21" t="s">
        <v>799</v>
      </c>
      <c r="N21" t="s">
        <v>961</v>
      </c>
      <c r="O21" t="s">
        <v>961</v>
      </c>
      <c r="P21" t="s">
        <v>961</v>
      </c>
      <c r="Q21" t="s">
        <v>2593</v>
      </c>
      <c r="R21" t="s">
        <v>961</v>
      </c>
      <c r="S21" t="s">
        <v>961</v>
      </c>
      <c r="T21" t="s">
        <v>961</v>
      </c>
      <c r="U21" t="s">
        <v>961</v>
      </c>
    </row>
    <row r="22" spans="1:21" x14ac:dyDescent="0.25">
      <c r="A22" s="65">
        <f t="shared" si="1"/>
        <v>21</v>
      </c>
      <c r="B22" s="9" t="s">
        <v>279</v>
      </c>
      <c r="C22" s="10">
        <v>44580</v>
      </c>
      <c r="D22" t="s">
        <v>182</v>
      </c>
      <c r="E22" t="s">
        <v>183</v>
      </c>
      <c r="F22" t="s">
        <v>184</v>
      </c>
      <c r="G22" t="s">
        <v>281</v>
      </c>
      <c r="H22">
        <v>2</v>
      </c>
      <c r="I22" s="11">
        <v>3518</v>
      </c>
      <c r="J22" s="47">
        <f t="shared" si="0"/>
        <v>1759</v>
      </c>
      <c r="K22" t="s">
        <v>282</v>
      </c>
      <c r="L22" t="s">
        <v>80</v>
      </c>
      <c r="M22" t="s">
        <v>799</v>
      </c>
      <c r="N22" t="s">
        <v>961</v>
      </c>
      <c r="O22" t="s">
        <v>961</v>
      </c>
      <c r="P22" t="s">
        <v>961</v>
      </c>
      <c r="Q22" t="s">
        <v>2593</v>
      </c>
      <c r="R22" t="s">
        <v>961</v>
      </c>
      <c r="S22" t="s">
        <v>961</v>
      </c>
      <c r="T22" t="s">
        <v>961</v>
      </c>
      <c r="U22" t="s">
        <v>961</v>
      </c>
    </row>
    <row r="23" spans="1:21" x14ac:dyDescent="0.25">
      <c r="A23">
        <f t="shared" si="1"/>
        <v>22</v>
      </c>
      <c r="B23" s="9" t="s">
        <v>280</v>
      </c>
      <c r="C23" s="10">
        <v>44580</v>
      </c>
      <c r="D23" t="s">
        <v>293</v>
      </c>
      <c r="E23" t="s">
        <v>284</v>
      </c>
      <c r="F23" t="s">
        <v>285</v>
      </c>
      <c r="G23" t="s">
        <v>168</v>
      </c>
      <c r="H23">
        <v>1</v>
      </c>
      <c r="I23" s="11">
        <v>1139.5999999999999</v>
      </c>
      <c r="J23" s="47">
        <f t="shared" si="0"/>
        <v>1139.5999999999999</v>
      </c>
      <c r="K23" t="s">
        <v>286</v>
      </c>
      <c r="L23" t="s">
        <v>277</v>
      </c>
      <c r="M23" t="s">
        <v>799</v>
      </c>
      <c r="N23" t="s">
        <v>961</v>
      </c>
      <c r="O23" t="s">
        <v>961</v>
      </c>
      <c r="P23" t="s">
        <v>961</v>
      </c>
      <c r="Q23" t="s">
        <v>2593</v>
      </c>
      <c r="R23" t="s">
        <v>961</v>
      </c>
      <c r="S23" t="s">
        <v>961</v>
      </c>
      <c r="T23" t="s">
        <v>961</v>
      </c>
      <c r="U23" t="s">
        <v>961</v>
      </c>
    </row>
    <row r="24" spans="1:21" x14ac:dyDescent="0.25">
      <c r="A24">
        <f t="shared" si="1"/>
        <v>23</v>
      </c>
      <c r="B24" s="9" t="s">
        <v>287</v>
      </c>
      <c r="C24" s="10">
        <v>44583</v>
      </c>
      <c r="D24" t="s">
        <v>288</v>
      </c>
      <c r="E24" t="s">
        <v>289</v>
      </c>
      <c r="F24" t="s">
        <v>290</v>
      </c>
      <c r="G24" t="s">
        <v>291</v>
      </c>
      <c r="H24">
        <v>1</v>
      </c>
      <c r="I24" s="11">
        <v>1482</v>
      </c>
      <c r="J24" s="47">
        <f t="shared" si="0"/>
        <v>1482</v>
      </c>
      <c r="K24" t="s">
        <v>292</v>
      </c>
      <c r="L24" t="s">
        <v>301</v>
      </c>
      <c r="M24" t="s">
        <v>799</v>
      </c>
      <c r="N24" t="s">
        <v>961</v>
      </c>
      <c r="O24" t="s">
        <v>961</v>
      </c>
      <c r="P24" t="s">
        <v>961</v>
      </c>
      <c r="Q24" t="s">
        <v>2593</v>
      </c>
      <c r="R24" t="s">
        <v>961</v>
      </c>
      <c r="S24" t="s">
        <v>961</v>
      </c>
      <c r="T24" t="s">
        <v>961</v>
      </c>
      <c r="U24" t="s">
        <v>961</v>
      </c>
    </row>
    <row r="25" spans="1:21" x14ac:dyDescent="0.25">
      <c r="A25">
        <f t="shared" si="1"/>
        <v>24</v>
      </c>
      <c r="B25" s="9" t="s">
        <v>294</v>
      </c>
      <c r="C25" s="10">
        <v>44585</v>
      </c>
      <c r="D25" t="s">
        <v>296</v>
      </c>
      <c r="E25" t="s">
        <v>297</v>
      </c>
      <c r="F25" t="s">
        <v>298</v>
      </c>
      <c r="G25" t="s">
        <v>168</v>
      </c>
      <c r="H25">
        <v>1</v>
      </c>
      <c r="I25" s="11">
        <v>1531.4</v>
      </c>
      <c r="J25" s="47">
        <f t="shared" si="0"/>
        <v>1531.4</v>
      </c>
      <c r="K25" t="s">
        <v>299</v>
      </c>
      <c r="L25" t="s">
        <v>300</v>
      </c>
      <c r="M25" t="s">
        <v>799</v>
      </c>
      <c r="N25" t="s">
        <v>961</v>
      </c>
      <c r="O25" t="s">
        <v>961</v>
      </c>
      <c r="P25" t="s">
        <v>961</v>
      </c>
      <c r="Q25" t="s">
        <v>2593</v>
      </c>
      <c r="R25" t="s">
        <v>961</v>
      </c>
      <c r="S25" t="s">
        <v>961</v>
      </c>
      <c r="T25" t="s">
        <v>961</v>
      </c>
      <c r="U25" t="s">
        <v>961</v>
      </c>
    </row>
    <row r="26" spans="1:21" x14ac:dyDescent="0.25">
      <c r="A26">
        <f t="shared" si="1"/>
        <v>25</v>
      </c>
      <c r="B26" s="9" t="s">
        <v>295</v>
      </c>
      <c r="C26" s="10">
        <v>44585</v>
      </c>
      <c r="D26" t="s">
        <v>302</v>
      </c>
      <c r="E26" t="s">
        <v>303</v>
      </c>
      <c r="F26" t="s">
        <v>304</v>
      </c>
      <c r="G26" t="s">
        <v>168</v>
      </c>
      <c r="H26">
        <v>1</v>
      </c>
      <c r="I26" s="11">
        <v>2723.65</v>
      </c>
      <c r="J26" s="47">
        <f t="shared" si="0"/>
        <v>2723.65</v>
      </c>
      <c r="K26" t="s">
        <v>305</v>
      </c>
      <c r="L26" t="s">
        <v>192</v>
      </c>
      <c r="M26" t="s">
        <v>799</v>
      </c>
      <c r="N26" t="s">
        <v>961</v>
      </c>
      <c r="O26" t="s">
        <v>961</v>
      </c>
      <c r="P26" t="s">
        <v>961</v>
      </c>
      <c r="Q26" t="s">
        <v>2593</v>
      </c>
      <c r="R26" t="s">
        <v>961</v>
      </c>
      <c r="S26" t="s">
        <v>961</v>
      </c>
      <c r="T26" t="s">
        <v>961</v>
      </c>
      <c r="U26" t="s">
        <v>961</v>
      </c>
    </row>
    <row r="27" spans="1:21" x14ac:dyDescent="0.25">
      <c r="A27">
        <f t="shared" si="1"/>
        <v>26</v>
      </c>
      <c r="B27" s="9" t="s">
        <v>306</v>
      </c>
      <c r="C27" s="10">
        <v>44586</v>
      </c>
      <c r="D27" t="s">
        <v>307</v>
      </c>
      <c r="E27" t="s">
        <v>308</v>
      </c>
      <c r="F27" t="s">
        <v>309</v>
      </c>
      <c r="G27" t="s">
        <v>291</v>
      </c>
      <c r="H27">
        <v>1</v>
      </c>
      <c r="I27" s="11">
        <v>1294.8499999999999</v>
      </c>
      <c r="J27" s="47">
        <f t="shared" si="0"/>
        <v>1294.8499999999999</v>
      </c>
      <c r="K27" t="s">
        <v>310</v>
      </c>
      <c r="L27" t="s">
        <v>322</v>
      </c>
      <c r="M27" t="s">
        <v>799</v>
      </c>
      <c r="N27" t="s">
        <v>961</v>
      </c>
      <c r="O27" t="s">
        <v>961</v>
      </c>
      <c r="P27" t="s">
        <v>961</v>
      </c>
      <c r="Q27" t="s">
        <v>2593</v>
      </c>
      <c r="R27" t="s">
        <v>961</v>
      </c>
      <c r="S27" t="s">
        <v>961</v>
      </c>
      <c r="T27" t="s">
        <v>961</v>
      </c>
      <c r="U27" t="s">
        <v>961</v>
      </c>
    </row>
    <row r="28" spans="1:21" x14ac:dyDescent="0.25">
      <c r="A28">
        <f t="shared" si="1"/>
        <v>27</v>
      </c>
      <c r="B28" s="9" t="s">
        <v>311</v>
      </c>
      <c r="C28" s="10">
        <v>44580</v>
      </c>
      <c r="D28" t="s">
        <v>314</v>
      </c>
      <c r="E28" t="s">
        <v>315</v>
      </c>
      <c r="F28" t="s">
        <v>316</v>
      </c>
      <c r="G28" t="s">
        <v>168</v>
      </c>
      <c r="H28">
        <v>1</v>
      </c>
      <c r="I28" s="11">
        <v>1091.8399999999999</v>
      </c>
      <c r="J28" s="47">
        <f t="shared" si="0"/>
        <v>1091.8399999999999</v>
      </c>
      <c r="K28" t="s">
        <v>317</v>
      </c>
      <c r="L28" t="s">
        <v>323</v>
      </c>
      <c r="M28" t="s">
        <v>799</v>
      </c>
      <c r="N28" t="s">
        <v>961</v>
      </c>
      <c r="O28" t="s">
        <v>961</v>
      </c>
      <c r="P28" t="s">
        <v>961</v>
      </c>
      <c r="Q28" t="s">
        <v>2593</v>
      </c>
      <c r="R28" t="s">
        <v>961</v>
      </c>
      <c r="S28" t="s">
        <v>961</v>
      </c>
      <c r="T28" t="s">
        <v>961</v>
      </c>
      <c r="U28" t="s">
        <v>961</v>
      </c>
    </row>
    <row r="29" spans="1:21" x14ac:dyDescent="0.25">
      <c r="A29">
        <f t="shared" si="1"/>
        <v>28</v>
      </c>
      <c r="B29" s="9" t="s">
        <v>312</v>
      </c>
      <c r="C29" s="10">
        <v>44583</v>
      </c>
      <c r="D29" t="s">
        <v>318</v>
      </c>
      <c r="E29" t="s">
        <v>319</v>
      </c>
      <c r="F29" t="s">
        <v>320</v>
      </c>
      <c r="G29" t="s">
        <v>168</v>
      </c>
      <c r="H29">
        <v>1</v>
      </c>
      <c r="I29" s="11">
        <v>1041.75</v>
      </c>
      <c r="J29" s="47">
        <f t="shared" si="0"/>
        <v>1041.75</v>
      </c>
      <c r="K29" t="s">
        <v>321</v>
      </c>
      <c r="L29" t="s">
        <v>324</v>
      </c>
      <c r="M29" t="s">
        <v>799</v>
      </c>
      <c r="N29" t="s">
        <v>961</v>
      </c>
      <c r="O29" t="s">
        <v>961</v>
      </c>
      <c r="P29" t="s">
        <v>961</v>
      </c>
      <c r="Q29" t="s">
        <v>2593</v>
      </c>
      <c r="R29" t="s">
        <v>961</v>
      </c>
      <c r="S29" t="s">
        <v>961</v>
      </c>
      <c r="T29" t="s">
        <v>961</v>
      </c>
      <c r="U29" t="s">
        <v>961</v>
      </c>
    </row>
    <row r="30" spans="1:21" x14ac:dyDescent="0.25">
      <c r="A30" s="65">
        <f t="shared" si="1"/>
        <v>29</v>
      </c>
      <c r="B30" s="9" t="s">
        <v>313</v>
      </c>
      <c r="C30" s="10">
        <v>44587</v>
      </c>
      <c r="D30" t="s">
        <v>325</v>
      </c>
      <c r="E30" t="s">
        <v>326</v>
      </c>
      <c r="F30" t="s">
        <v>327</v>
      </c>
      <c r="G30" t="s">
        <v>281</v>
      </c>
      <c r="H30">
        <v>1</v>
      </c>
      <c r="I30" s="11">
        <v>980.4</v>
      </c>
      <c r="J30" s="47">
        <f t="shared" si="0"/>
        <v>980.4</v>
      </c>
      <c r="K30" t="s">
        <v>328</v>
      </c>
      <c r="L30" t="s">
        <v>329</v>
      </c>
      <c r="M30" t="s">
        <v>799</v>
      </c>
      <c r="N30" t="s">
        <v>961</v>
      </c>
      <c r="O30" t="s">
        <v>961</v>
      </c>
      <c r="P30" t="s">
        <v>961</v>
      </c>
      <c r="Q30" t="s">
        <v>2593</v>
      </c>
      <c r="R30" t="s">
        <v>961</v>
      </c>
      <c r="S30" t="s">
        <v>961</v>
      </c>
      <c r="T30" t="s">
        <v>961</v>
      </c>
      <c r="U30" t="s">
        <v>961</v>
      </c>
    </row>
    <row r="31" spans="1:21" x14ac:dyDescent="0.25">
      <c r="A31" s="65">
        <f t="shared" si="1"/>
        <v>30</v>
      </c>
      <c r="B31" s="9" t="s">
        <v>330</v>
      </c>
      <c r="C31" s="10">
        <v>44581</v>
      </c>
      <c r="D31" t="s">
        <v>241</v>
      </c>
      <c r="E31" t="s">
        <v>242</v>
      </c>
      <c r="F31" t="s">
        <v>243</v>
      </c>
      <c r="G31" t="s">
        <v>281</v>
      </c>
      <c r="H31">
        <v>2</v>
      </c>
      <c r="I31" s="11">
        <v>5895.9</v>
      </c>
      <c r="J31" s="47">
        <f t="shared" si="0"/>
        <v>2947.95</v>
      </c>
      <c r="K31" t="s">
        <v>333</v>
      </c>
      <c r="L31" t="s">
        <v>80</v>
      </c>
      <c r="M31" t="s">
        <v>799</v>
      </c>
      <c r="N31" t="s">
        <v>961</v>
      </c>
      <c r="O31" t="s">
        <v>961</v>
      </c>
      <c r="P31" t="s">
        <v>961</v>
      </c>
      <c r="Q31" t="s">
        <v>2593</v>
      </c>
      <c r="R31" t="s">
        <v>961</v>
      </c>
      <c r="S31" t="s">
        <v>961</v>
      </c>
      <c r="T31" t="s">
        <v>961</v>
      </c>
      <c r="U31" t="s">
        <v>961</v>
      </c>
    </row>
    <row r="32" spans="1:21" x14ac:dyDescent="0.25">
      <c r="A32" s="65">
        <f t="shared" si="1"/>
        <v>31</v>
      </c>
      <c r="B32" s="9" t="s">
        <v>331</v>
      </c>
      <c r="C32" s="10">
        <v>44588</v>
      </c>
      <c r="D32" t="s">
        <v>334</v>
      </c>
      <c r="E32" t="s">
        <v>335</v>
      </c>
      <c r="F32" t="s">
        <v>336</v>
      </c>
      <c r="G32" t="s">
        <v>281</v>
      </c>
      <c r="H32">
        <v>1</v>
      </c>
      <c r="I32" s="11">
        <v>1574.15</v>
      </c>
      <c r="J32" s="47">
        <f t="shared" si="0"/>
        <v>1574.15</v>
      </c>
      <c r="K32" t="s">
        <v>337</v>
      </c>
      <c r="L32" t="s">
        <v>329</v>
      </c>
      <c r="M32" t="s">
        <v>799</v>
      </c>
      <c r="N32" t="s">
        <v>961</v>
      </c>
      <c r="O32" t="s">
        <v>961</v>
      </c>
      <c r="P32" t="s">
        <v>961</v>
      </c>
      <c r="Q32" t="s">
        <v>2593</v>
      </c>
      <c r="R32" t="s">
        <v>961</v>
      </c>
      <c r="S32" t="s">
        <v>961</v>
      </c>
      <c r="T32" t="s">
        <v>961</v>
      </c>
      <c r="U32" t="s">
        <v>961</v>
      </c>
    </row>
    <row r="33" spans="1:21" x14ac:dyDescent="0.25">
      <c r="A33" s="65">
        <f t="shared" si="1"/>
        <v>32</v>
      </c>
      <c r="B33" s="9" t="s">
        <v>338</v>
      </c>
      <c r="C33" s="10">
        <v>44585</v>
      </c>
      <c r="D33" t="s">
        <v>339</v>
      </c>
      <c r="E33" t="s">
        <v>340</v>
      </c>
      <c r="F33" t="s">
        <v>341</v>
      </c>
      <c r="G33" t="s">
        <v>281</v>
      </c>
      <c r="H33">
        <v>1</v>
      </c>
      <c r="I33" s="11">
        <v>480</v>
      </c>
      <c r="J33" s="47">
        <f t="shared" si="0"/>
        <v>480</v>
      </c>
      <c r="K33" t="s">
        <v>342</v>
      </c>
      <c r="L33" t="s">
        <v>329</v>
      </c>
      <c r="M33" t="s">
        <v>799</v>
      </c>
      <c r="N33" t="s">
        <v>961</v>
      </c>
      <c r="O33" t="s">
        <v>961</v>
      </c>
      <c r="P33" t="s">
        <v>961</v>
      </c>
      <c r="Q33" t="s">
        <v>2593</v>
      </c>
      <c r="R33" t="s">
        <v>961</v>
      </c>
      <c r="S33" t="s">
        <v>961</v>
      </c>
      <c r="T33" t="s">
        <v>961</v>
      </c>
      <c r="U33" t="s">
        <v>961</v>
      </c>
    </row>
    <row r="34" spans="1:21" x14ac:dyDescent="0.25">
      <c r="A34" s="65">
        <f t="shared" si="1"/>
        <v>33</v>
      </c>
      <c r="B34" s="9" t="s">
        <v>344</v>
      </c>
      <c r="C34" s="10">
        <v>44589</v>
      </c>
      <c r="D34" t="s">
        <v>347</v>
      </c>
      <c r="E34" t="s">
        <v>348</v>
      </c>
      <c r="F34" t="s">
        <v>349</v>
      </c>
      <c r="G34" t="s">
        <v>281</v>
      </c>
      <c r="H34">
        <v>1</v>
      </c>
      <c r="I34" s="11">
        <v>1470.6</v>
      </c>
      <c r="J34" s="47">
        <f t="shared" si="0"/>
        <v>1470.6</v>
      </c>
      <c r="K34" t="s">
        <v>350</v>
      </c>
      <c r="L34" t="s">
        <v>329</v>
      </c>
      <c r="M34" t="s">
        <v>799</v>
      </c>
      <c r="N34" t="s">
        <v>961</v>
      </c>
      <c r="O34" t="s">
        <v>961</v>
      </c>
      <c r="P34" t="s">
        <v>961</v>
      </c>
      <c r="Q34" t="s">
        <v>2593</v>
      </c>
      <c r="R34" t="s">
        <v>961</v>
      </c>
      <c r="S34" t="s">
        <v>961</v>
      </c>
      <c r="T34" t="s">
        <v>961</v>
      </c>
      <c r="U34" t="s">
        <v>961</v>
      </c>
    </row>
    <row r="35" spans="1:21" x14ac:dyDescent="0.25">
      <c r="A35">
        <f t="shared" si="1"/>
        <v>34</v>
      </c>
      <c r="B35" s="9" t="s">
        <v>345</v>
      </c>
      <c r="C35" s="10">
        <v>44589</v>
      </c>
      <c r="D35" t="s">
        <v>351</v>
      </c>
      <c r="E35" t="s">
        <v>352</v>
      </c>
      <c r="F35" t="s">
        <v>353</v>
      </c>
      <c r="G35" t="s">
        <v>168</v>
      </c>
      <c r="H35">
        <v>1</v>
      </c>
      <c r="I35" s="11">
        <v>1407.9</v>
      </c>
      <c r="J35" s="47">
        <f t="shared" si="0"/>
        <v>1407.9</v>
      </c>
      <c r="K35" t="s">
        <v>354</v>
      </c>
      <c r="L35" t="s">
        <v>387</v>
      </c>
      <c r="M35" t="s">
        <v>799</v>
      </c>
      <c r="N35" t="s">
        <v>961</v>
      </c>
      <c r="O35" t="s">
        <v>961</v>
      </c>
      <c r="P35" t="s">
        <v>961</v>
      </c>
      <c r="Q35" t="s">
        <v>2593</v>
      </c>
      <c r="R35" t="s">
        <v>961</v>
      </c>
      <c r="S35" t="s">
        <v>961</v>
      </c>
      <c r="T35" t="s">
        <v>961</v>
      </c>
      <c r="U35" t="s">
        <v>961</v>
      </c>
    </row>
    <row r="36" spans="1:21" x14ac:dyDescent="0.25">
      <c r="A36">
        <f t="shared" si="1"/>
        <v>35</v>
      </c>
      <c r="B36" s="9" t="s">
        <v>346</v>
      </c>
      <c r="C36" s="10">
        <v>44590</v>
      </c>
      <c r="D36" t="s">
        <v>356</v>
      </c>
      <c r="E36" t="s">
        <v>357</v>
      </c>
      <c r="F36" t="s">
        <v>358</v>
      </c>
      <c r="G36" t="s">
        <v>168</v>
      </c>
      <c r="H36">
        <v>1</v>
      </c>
      <c r="I36" s="11">
        <v>1099.8</v>
      </c>
      <c r="J36" s="47">
        <f t="shared" si="0"/>
        <v>1099.8</v>
      </c>
      <c r="K36" t="s">
        <v>359</v>
      </c>
      <c r="L36" t="s">
        <v>193</v>
      </c>
      <c r="M36" t="s">
        <v>799</v>
      </c>
      <c r="N36" t="s">
        <v>961</v>
      </c>
      <c r="O36" t="s">
        <v>961</v>
      </c>
      <c r="P36" t="s">
        <v>961</v>
      </c>
      <c r="Q36" t="s">
        <v>2593</v>
      </c>
      <c r="R36" t="s">
        <v>961</v>
      </c>
      <c r="S36" t="s">
        <v>961</v>
      </c>
      <c r="T36" t="s">
        <v>961</v>
      </c>
      <c r="U36" t="s">
        <v>961</v>
      </c>
    </row>
    <row r="37" spans="1:21" x14ac:dyDescent="0.25">
      <c r="A37">
        <f t="shared" si="1"/>
        <v>36</v>
      </c>
      <c r="B37" s="9" t="s">
        <v>377</v>
      </c>
      <c r="C37" s="103">
        <v>44581</v>
      </c>
      <c r="D37" t="s">
        <v>379</v>
      </c>
      <c r="F37" t="s">
        <v>380</v>
      </c>
      <c r="G37" t="s">
        <v>168</v>
      </c>
      <c r="H37">
        <v>1</v>
      </c>
      <c r="I37" s="11">
        <v>4530</v>
      </c>
      <c r="J37" s="47">
        <f t="shared" si="0"/>
        <v>4530</v>
      </c>
      <c r="K37" t="s">
        <v>381</v>
      </c>
      <c r="L37" t="s">
        <v>382</v>
      </c>
      <c r="M37" t="s">
        <v>799</v>
      </c>
      <c r="N37" t="s">
        <v>961</v>
      </c>
      <c r="O37" t="s">
        <v>961</v>
      </c>
      <c r="P37" t="s">
        <v>961</v>
      </c>
      <c r="Q37" t="s">
        <v>961</v>
      </c>
      <c r="R37" t="s">
        <v>961</v>
      </c>
      <c r="S37" t="s">
        <v>961</v>
      </c>
      <c r="T37" t="s">
        <v>961</v>
      </c>
      <c r="U37" t="s">
        <v>961</v>
      </c>
    </row>
    <row r="38" spans="1:21" x14ac:dyDescent="0.25">
      <c r="A38" s="79">
        <f t="shared" si="1"/>
        <v>37</v>
      </c>
      <c r="B38" s="9" t="s">
        <v>378</v>
      </c>
      <c r="C38" s="10">
        <v>44593</v>
      </c>
      <c r="D38" t="s">
        <v>383</v>
      </c>
      <c r="E38" t="s">
        <v>384</v>
      </c>
      <c r="F38" t="s">
        <v>385</v>
      </c>
      <c r="G38" t="s">
        <v>168</v>
      </c>
      <c r="H38">
        <v>1</v>
      </c>
      <c r="I38" s="11">
        <v>1296.9000000000001</v>
      </c>
      <c r="J38" s="47">
        <f t="shared" si="0"/>
        <v>1296.9000000000001</v>
      </c>
      <c r="K38" t="s">
        <v>386</v>
      </c>
      <c r="L38" t="s">
        <v>396</v>
      </c>
      <c r="M38" t="s">
        <v>961</v>
      </c>
      <c r="N38" t="s">
        <v>961</v>
      </c>
      <c r="O38" t="s">
        <v>961</v>
      </c>
      <c r="P38" t="s">
        <v>961</v>
      </c>
      <c r="Q38" t="s">
        <v>961</v>
      </c>
      <c r="R38" t="s">
        <v>961</v>
      </c>
      <c r="S38" t="s">
        <v>961</v>
      </c>
      <c r="T38" t="s">
        <v>961</v>
      </c>
      <c r="U38" t="s">
        <v>961</v>
      </c>
    </row>
    <row r="39" spans="1:21" x14ac:dyDescent="0.25">
      <c r="A39" s="65">
        <f t="shared" si="1"/>
        <v>38</v>
      </c>
      <c r="B39" s="9" t="s">
        <v>389</v>
      </c>
      <c r="C39" s="10">
        <v>44586</v>
      </c>
      <c r="D39" t="s">
        <v>392</v>
      </c>
      <c r="E39" t="s">
        <v>393</v>
      </c>
      <c r="F39" t="s">
        <v>394</v>
      </c>
      <c r="G39" t="s">
        <v>281</v>
      </c>
      <c r="H39">
        <v>1</v>
      </c>
      <c r="I39" s="11">
        <v>1351.98</v>
      </c>
      <c r="J39" s="47">
        <f t="shared" si="0"/>
        <v>1351.98</v>
      </c>
      <c r="K39" t="s">
        <v>395</v>
      </c>
      <c r="L39" t="s">
        <v>329</v>
      </c>
      <c r="M39" t="s">
        <v>961</v>
      </c>
      <c r="N39" t="s">
        <v>961</v>
      </c>
      <c r="O39" t="s">
        <v>961</v>
      </c>
      <c r="P39" t="s">
        <v>961</v>
      </c>
      <c r="Q39" t="s">
        <v>961</v>
      </c>
      <c r="R39" t="s">
        <v>961</v>
      </c>
      <c r="S39" t="s">
        <v>961</v>
      </c>
      <c r="T39" t="s">
        <v>961</v>
      </c>
      <c r="U39" t="s">
        <v>961</v>
      </c>
    </row>
    <row r="40" spans="1:21" x14ac:dyDescent="0.25">
      <c r="A40" s="64">
        <f t="shared" si="1"/>
        <v>39</v>
      </c>
      <c r="B40" s="9" t="s">
        <v>390</v>
      </c>
      <c r="C40" s="10">
        <v>44594</v>
      </c>
      <c r="D40" t="s">
        <v>397</v>
      </c>
      <c r="E40" t="s">
        <v>398</v>
      </c>
      <c r="F40" t="s">
        <v>399</v>
      </c>
      <c r="G40" t="s">
        <v>168</v>
      </c>
      <c r="H40">
        <v>1</v>
      </c>
      <c r="I40" s="11">
        <v>3486.96</v>
      </c>
      <c r="J40" s="47">
        <f t="shared" si="0"/>
        <v>3486.96</v>
      </c>
      <c r="K40" t="s">
        <v>400</v>
      </c>
      <c r="L40" t="s">
        <v>411</v>
      </c>
      <c r="M40" t="s">
        <v>961</v>
      </c>
      <c r="N40" t="s">
        <v>961</v>
      </c>
      <c r="O40" t="s">
        <v>961</v>
      </c>
      <c r="P40" t="s">
        <v>961</v>
      </c>
      <c r="Q40" t="s">
        <v>961</v>
      </c>
      <c r="R40" t="s">
        <v>961</v>
      </c>
      <c r="S40" t="s">
        <v>961</v>
      </c>
      <c r="T40" t="s">
        <v>961</v>
      </c>
      <c r="U40" t="s">
        <v>961</v>
      </c>
    </row>
    <row r="41" spans="1:21" x14ac:dyDescent="0.25">
      <c r="A41" s="65">
        <f t="shared" si="1"/>
        <v>40</v>
      </c>
      <c r="B41" s="9" t="s">
        <v>391</v>
      </c>
      <c r="C41" s="10">
        <v>44594</v>
      </c>
      <c r="D41" t="s">
        <v>401</v>
      </c>
      <c r="E41" t="s">
        <v>402</v>
      </c>
      <c r="F41" t="s">
        <v>403</v>
      </c>
      <c r="G41" t="s">
        <v>281</v>
      </c>
      <c r="H41">
        <v>1</v>
      </c>
      <c r="I41" s="11">
        <v>888</v>
      </c>
      <c r="J41" s="47">
        <f t="shared" si="0"/>
        <v>888</v>
      </c>
      <c r="K41" t="s">
        <v>404</v>
      </c>
      <c r="L41" t="s">
        <v>329</v>
      </c>
      <c r="M41" t="s">
        <v>961</v>
      </c>
      <c r="N41" t="s">
        <v>961</v>
      </c>
      <c r="O41" t="s">
        <v>961</v>
      </c>
      <c r="P41" t="s">
        <v>961</v>
      </c>
      <c r="Q41" t="s">
        <v>961</v>
      </c>
      <c r="R41" t="s">
        <v>961</v>
      </c>
      <c r="S41" t="s">
        <v>961</v>
      </c>
      <c r="T41" t="s">
        <v>961</v>
      </c>
      <c r="U41" t="s">
        <v>961</v>
      </c>
    </row>
    <row r="42" spans="1:21" x14ac:dyDescent="0.25">
      <c r="A42" s="79">
        <f t="shared" si="1"/>
        <v>41</v>
      </c>
      <c r="B42" s="9" t="s">
        <v>405</v>
      </c>
      <c r="C42" s="10">
        <v>44595</v>
      </c>
      <c r="D42" t="s">
        <v>407</v>
      </c>
      <c r="E42" t="s">
        <v>408</v>
      </c>
      <c r="F42" t="s">
        <v>409</v>
      </c>
      <c r="G42" t="s">
        <v>168</v>
      </c>
      <c r="H42">
        <v>1</v>
      </c>
      <c r="I42" s="11">
        <v>1982</v>
      </c>
      <c r="J42" s="47">
        <f t="shared" si="0"/>
        <v>1982</v>
      </c>
      <c r="K42" t="s">
        <v>410</v>
      </c>
      <c r="L42" t="s">
        <v>424</v>
      </c>
      <c r="M42" t="s">
        <v>961</v>
      </c>
      <c r="N42" t="s">
        <v>961</v>
      </c>
      <c r="O42" t="s">
        <v>961</v>
      </c>
      <c r="P42" t="s">
        <v>961</v>
      </c>
      <c r="Q42" t="s">
        <v>961</v>
      </c>
      <c r="R42" t="s">
        <v>961</v>
      </c>
      <c r="S42" t="s">
        <v>961</v>
      </c>
      <c r="T42" t="s">
        <v>961</v>
      </c>
      <c r="U42" t="s">
        <v>961</v>
      </c>
    </row>
    <row r="43" spans="1:21" x14ac:dyDescent="0.25">
      <c r="A43">
        <f t="shared" si="1"/>
        <v>42</v>
      </c>
      <c r="B43" s="102" t="s">
        <v>406</v>
      </c>
      <c r="C43" s="10">
        <v>44594</v>
      </c>
      <c r="D43" t="s">
        <v>412</v>
      </c>
      <c r="F43" t="s">
        <v>413</v>
      </c>
      <c r="G43" t="s">
        <v>291</v>
      </c>
      <c r="H43">
        <v>1</v>
      </c>
      <c r="I43" s="11">
        <v>1185</v>
      </c>
      <c r="J43" s="47">
        <f t="shared" si="0"/>
        <v>1185</v>
      </c>
      <c r="K43" t="s">
        <v>414</v>
      </c>
      <c r="L43" t="s">
        <v>415</v>
      </c>
      <c r="M43" t="s">
        <v>961</v>
      </c>
      <c r="N43" t="s">
        <v>961</v>
      </c>
      <c r="O43" t="s">
        <v>961</v>
      </c>
      <c r="P43" t="s">
        <v>961</v>
      </c>
      <c r="Q43" t="s">
        <v>961</v>
      </c>
      <c r="R43" t="s">
        <v>961</v>
      </c>
      <c r="S43" t="s">
        <v>961</v>
      </c>
      <c r="T43" t="s">
        <v>961</v>
      </c>
      <c r="U43" t="s">
        <v>961</v>
      </c>
    </row>
    <row r="44" spans="1:21" x14ac:dyDescent="0.25">
      <c r="A44">
        <f t="shared" si="1"/>
        <v>43</v>
      </c>
      <c r="B44" s="9" t="s">
        <v>416</v>
      </c>
      <c r="C44" s="10">
        <v>44590</v>
      </c>
      <c r="D44" t="s">
        <v>420</v>
      </c>
      <c r="E44" t="s">
        <v>421</v>
      </c>
      <c r="F44" t="s">
        <v>422</v>
      </c>
      <c r="G44" t="s">
        <v>168</v>
      </c>
      <c r="H44">
        <v>1</v>
      </c>
      <c r="I44" s="11">
        <v>1164.17</v>
      </c>
      <c r="J44" s="47">
        <f t="shared" si="0"/>
        <v>1164.17</v>
      </c>
      <c r="K44" t="s">
        <v>423</v>
      </c>
      <c r="L44" t="s">
        <v>426</v>
      </c>
      <c r="M44" t="s">
        <v>961</v>
      </c>
      <c r="N44" t="s">
        <v>961</v>
      </c>
      <c r="O44" t="s">
        <v>961</v>
      </c>
      <c r="P44" t="s">
        <v>961</v>
      </c>
      <c r="Q44" t="s">
        <v>961</v>
      </c>
      <c r="R44" t="s">
        <v>961</v>
      </c>
      <c r="S44" t="s">
        <v>961</v>
      </c>
      <c r="T44" t="s">
        <v>961</v>
      </c>
      <c r="U44" t="s">
        <v>961</v>
      </c>
    </row>
    <row r="45" spans="1:21" x14ac:dyDescent="0.25">
      <c r="A45" s="79">
        <f t="shared" si="1"/>
        <v>44</v>
      </c>
      <c r="B45" s="9" t="s">
        <v>417</v>
      </c>
      <c r="C45" s="10">
        <v>44596</v>
      </c>
      <c r="D45" t="s">
        <v>427</v>
      </c>
      <c r="E45" t="s">
        <v>428</v>
      </c>
      <c r="F45" t="s">
        <v>429</v>
      </c>
      <c r="G45" t="s">
        <v>168</v>
      </c>
      <c r="H45">
        <v>1</v>
      </c>
      <c r="I45" s="11">
        <v>1151</v>
      </c>
      <c r="J45" s="47">
        <f t="shared" si="0"/>
        <v>1151</v>
      </c>
      <c r="K45" t="s">
        <v>430</v>
      </c>
      <c r="L45" t="s">
        <v>192</v>
      </c>
      <c r="M45" t="s">
        <v>961</v>
      </c>
      <c r="N45" t="s">
        <v>961</v>
      </c>
      <c r="O45" t="s">
        <v>961</v>
      </c>
      <c r="P45" t="s">
        <v>961</v>
      </c>
      <c r="Q45" t="s">
        <v>961</v>
      </c>
      <c r="R45" t="s">
        <v>961</v>
      </c>
      <c r="S45" t="s">
        <v>961</v>
      </c>
      <c r="T45" t="s">
        <v>961</v>
      </c>
      <c r="U45" t="s">
        <v>961</v>
      </c>
    </row>
    <row r="46" spans="1:21" x14ac:dyDescent="0.25">
      <c r="A46">
        <f t="shared" si="1"/>
        <v>45</v>
      </c>
      <c r="B46" s="102" t="s">
        <v>418</v>
      </c>
      <c r="C46" s="10">
        <v>44596</v>
      </c>
      <c r="D46" t="s">
        <v>431</v>
      </c>
      <c r="E46" t="s">
        <v>432</v>
      </c>
      <c r="F46" t="s">
        <v>433</v>
      </c>
      <c r="G46" t="s">
        <v>168</v>
      </c>
      <c r="H46">
        <v>1</v>
      </c>
      <c r="I46" s="11">
        <v>3188.7</v>
      </c>
      <c r="J46" s="47">
        <f t="shared" si="0"/>
        <v>3188.7</v>
      </c>
      <c r="K46" t="s">
        <v>434</v>
      </c>
      <c r="L46" t="s">
        <v>193</v>
      </c>
      <c r="M46" t="s">
        <v>961</v>
      </c>
      <c r="N46" t="s">
        <v>961</v>
      </c>
      <c r="O46" t="s">
        <v>961</v>
      </c>
      <c r="P46" t="s">
        <v>961</v>
      </c>
      <c r="Q46" t="s">
        <v>961</v>
      </c>
      <c r="R46" t="s">
        <v>961</v>
      </c>
      <c r="S46" t="s">
        <v>961</v>
      </c>
      <c r="T46" t="s">
        <v>961</v>
      </c>
      <c r="U46" t="s">
        <v>961</v>
      </c>
    </row>
    <row r="47" spans="1:21" x14ac:dyDescent="0.25">
      <c r="A47" s="65">
        <f t="shared" si="1"/>
        <v>46</v>
      </c>
      <c r="B47" s="9" t="s">
        <v>419</v>
      </c>
      <c r="C47" s="10">
        <v>44597</v>
      </c>
      <c r="D47" t="s">
        <v>435</v>
      </c>
      <c r="E47" t="s">
        <v>436</v>
      </c>
      <c r="F47" t="s">
        <v>437</v>
      </c>
      <c r="G47" t="s">
        <v>281</v>
      </c>
      <c r="H47">
        <v>1</v>
      </c>
      <c r="I47" s="11">
        <v>2123.1</v>
      </c>
      <c r="J47" s="47">
        <f t="shared" si="0"/>
        <v>2123.1</v>
      </c>
      <c r="K47" t="s">
        <v>438</v>
      </c>
      <c r="L47" t="s">
        <v>329</v>
      </c>
      <c r="M47" t="s">
        <v>961</v>
      </c>
      <c r="N47" t="s">
        <v>961</v>
      </c>
      <c r="O47" t="s">
        <v>961</v>
      </c>
      <c r="P47" t="s">
        <v>961</v>
      </c>
      <c r="Q47" t="s">
        <v>961</v>
      </c>
      <c r="R47" t="s">
        <v>961</v>
      </c>
      <c r="S47" t="s">
        <v>961</v>
      </c>
      <c r="T47" t="s">
        <v>961</v>
      </c>
      <c r="U47" t="s">
        <v>961</v>
      </c>
    </row>
    <row r="48" spans="1:21" x14ac:dyDescent="0.25">
      <c r="A48">
        <f t="shared" si="1"/>
        <v>47</v>
      </c>
      <c r="B48" s="9" t="s">
        <v>439</v>
      </c>
      <c r="C48" s="10">
        <v>44580</v>
      </c>
      <c r="D48" t="s">
        <v>441</v>
      </c>
      <c r="E48" t="s">
        <v>442</v>
      </c>
      <c r="F48" t="s">
        <v>443</v>
      </c>
      <c r="G48" t="s">
        <v>168</v>
      </c>
      <c r="H48">
        <v>1</v>
      </c>
      <c r="I48" s="11">
        <v>1415.31</v>
      </c>
      <c r="J48" s="47">
        <f t="shared" si="0"/>
        <v>1415.31</v>
      </c>
      <c r="K48" t="s">
        <v>444</v>
      </c>
      <c r="L48" t="s">
        <v>192</v>
      </c>
      <c r="M48" t="s">
        <v>961</v>
      </c>
      <c r="N48" t="s">
        <v>961</v>
      </c>
      <c r="O48" t="s">
        <v>961</v>
      </c>
      <c r="P48" t="s">
        <v>961</v>
      </c>
      <c r="Q48" t="s">
        <v>961</v>
      </c>
      <c r="R48" t="s">
        <v>961</v>
      </c>
      <c r="S48" t="s">
        <v>961</v>
      </c>
      <c r="T48" t="s">
        <v>961</v>
      </c>
      <c r="U48" t="s">
        <v>961</v>
      </c>
    </row>
    <row r="49" spans="1:21" x14ac:dyDescent="0.25">
      <c r="A49">
        <f t="shared" si="1"/>
        <v>48</v>
      </c>
      <c r="B49" s="104" t="s">
        <v>440</v>
      </c>
      <c r="C49" s="10">
        <v>44599</v>
      </c>
      <c r="D49" t="s">
        <v>445</v>
      </c>
      <c r="E49" t="s">
        <v>446</v>
      </c>
      <c r="F49" t="s">
        <v>447</v>
      </c>
      <c r="G49" t="s">
        <v>251</v>
      </c>
      <c r="H49">
        <v>1</v>
      </c>
      <c r="I49" s="11">
        <v>592</v>
      </c>
      <c r="J49" s="47">
        <f t="shared" si="0"/>
        <v>592</v>
      </c>
      <c r="K49" t="s">
        <v>448</v>
      </c>
      <c r="L49" t="s">
        <v>449</v>
      </c>
      <c r="M49" t="s">
        <v>961</v>
      </c>
      <c r="N49" t="s">
        <v>961</v>
      </c>
      <c r="O49" t="s">
        <v>961</v>
      </c>
      <c r="P49" t="s">
        <v>961</v>
      </c>
      <c r="Q49" t="s">
        <v>961</v>
      </c>
      <c r="R49" t="s">
        <v>961</v>
      </c>
      <c r="S49" t="s">
        <v>961</v>
      </c>
      <c r="T49" t="s">
        <v>961</v>
      </c>
      <c r="U49" t="s">
        <v>961</v>
      </c>
    </row>
    <row r="50" spans="1:21" x14ac:dyDescent="0.25">
      <c r="A50">
        <f t="shared" si="1"/>
        <v>49</v>
      </c>
      <c r="B50" s="9" t="s">
        <v>453</v>
      </c>
      <c r="C50" s="10">
        <v>44600</v>
      </c>
      <c r="D50" t="s">
        <v>454</v>
      </c>
      <c r="E50" t="s">
        <v>455</v>
      </c>
      <c r="F50" t="s">
        <v>456</v>
      </c>
      <c r="G50" t="s">
        <v>168</v>
      </c>
      <c r="H50">
        <v>1</v>
      </c>
      <c r="I50" s="11">
        <v>1688.15</v>
      </c>
      <c r="J50" s="47">
        <f t="shared" si="0"/>
        <v>1688.15</v>
      </c>
      <c r="K50" t="s">
        <v>457</v>
      </c>
      <c r="L50" t="s">
        <v>465</v>
      </c>
      <c r="M50" t="s">
        <v>961</v>
      </c>
      <c r="N50" t="s">
        <v>961</v>
      </c>
      <c r="O50" t="s">
        <v>961</v>
      </c>
      <c r="P50" t="s">
        <v>961</v>
      </c>
      <c r="Q50" t="s">
        <v>961</v>
      </c>
      <c r="R50" t="s">
        <v>961</v>
      </c>
      <c r="S50" t="s">
        <v>961</v>
      </c>
      <c r="T50" t="s">
        <v>961</v>
      </c>
      <c r="U50" t="s">
        <v>961</v>
      </c>
    </row>
    <row r="51" spans="1:21" x14ac:dyDescent="0.25">
      <c r="A51">
        <f t="shared" si="1"/>
        <v>50</v>
      </c>
      <c r="B51" s="9" t="s">
        <v>459</v>
      </c>
      <c r="C51" s="10">
        <v>44599</v>
      </c>
      <c r="D51" t="s">
        <v>461</v>
      </c>
      <c r="E51" t="s">
        <v>462</v>
      </c>
      <c r="F51" t="s">
        <v>463</v>
      </c>
      <c r="G51" t="s">
        <v>168</v>
      </c>
      <c r="H51">
        <v>1</v>
      </c>
      <c r="I51" s="11">
        <v>599.79999999999995</v>
      </c>
      <c r="J51" s="47">
        <f t="shared" si="0"/>
        <v>599.79999999999995</v>
      </c>
      <c r="K51" t="s">
        <v>464</v>
      </c>
      <c r="L51" t="s">
        <v>475</v>
      </c>
      <c r="M51" t="s">
        <v>961</v>
      </c>
      <c r="N51" t="s">
        <v>961</v>
      </c>
      <c r="O51" t="s">
        <v>961</v>
      </c>
      <c r="P51" t="s">
        <v>961</v>
      </c>
      <c r="Q51" t="s">
        <v>961</v>
      </c>
      <c r="R51" t="s">
        <v>961</v>
      </c>
      <c r="S51" t="s">
        <v>961</v>
      </c>
      <c r="T51" t="s">
        <v>961</v>
      </c>
      <c r="U51" t="s">
        <v>961</v>
      </c>
    </row>
    <row r="52" spans="1:21" x14ac:dyDescent="0.25">
      <c r="A52">
        <f t="shared" si="1"/>
        <v>51</v>
      </c>
      <c r="B52" s="9" t="s">
        <v>460</v>
      </c>
      <c r="C52" s="10">
        <v>44599</v>
      </c>
      <c r="D52" t="s">
        <v>466</v>
      </c>
      <c r="E52" t="s">
        <v>467</v>
      </c>
      <c r="F52" t="s">
        <v>468</v>
      </c>
      <c r="G52" t="s">
        <v>168</v>
      </c>
      <c r="H52">
        <v>1</v>
      </c>
      <c r="I52" s="11">
        <v>1047.73</v>
      </c>
      <c r="J52" s="47">
        <f t="shared" si="0"/>
        <v>1047.73</v>
      </c>
      <c r="K52" t="s">
        <v>469</v>
      </c>
      <c r="L52" t="s">
        <v>193</v>
      </c>
      <c r="M52" t="s">
        <v>961</v>
      </c>
      <c r="N52" t="s">
        <v>961</v>
      </c>
      <c r="O52" t="s">
        <v>961</v>
      </c>
      <c r="P52" t="s">
        <v>961</v>
      </c>
      <c r="Q52" t="s">
        <v>961</v>
      </c>
      <c r="R52" t="s">
        <v>961</v>
      </c>
      <c r="S52" t="s">
        <v>961</v>
      </c>
      <c r="T52" t="s">
        <v>961</v>
      </c>
      <c r="U52" t="s">
        <v>961</v>
      </c>
    </row>
    <row r="53" spans="1:21" x14ac:dyDescent="0.25">
      <c r="A53" s="65">
        <f t="shared" si="1"/>
        <v>52</v>
      </c>
      <c r="B53" s="9" t="s">
        <v>470</v>
      </c>
      <c r="C53" s="10">
        <v>44603</v>
      </c>
      <c r="D53" t="s">
        <v>471</v>
      </c>
      <c r="E53" t="s">
        <v>472</v>
      </c>
      <c r="F53" t="s">
        <v>473</v>
      </c>
      <c r="G53" t="s">
        <v>281</v>
      </c>
      <c r="H53">
        <v>1</v>
      </c>
      <c r="I53" s="11">
        <v>1446</v>
      </c>
      <c r="J53" s="47">
        <f t="shared" si="0"/>
        <v>1446</v>
      </c>
      <c r="K53" t="s">
        <v>474</v>
      </c>
      <c r="L53" t="s">
        <v>329</v>
      </c>
      <c r="M53" t="s">
        <v>961</v>
      </c>
      <c r="N53" t="s">
        <v>961</v>
      </c>
      <c r="O53" t="s">
        <v>961</v>
      </c>
      <c r="P53" t="s">
        <v>961</v>
      </c>
      <c r="Q53" t="s">
        <v>961</v>
      </c>
      <c r="R53" t="s">
        <v>961</v>
      </c>
      <c r="S53" t="s">
        <v>961</v>
      </c>
      <c r="T53" t="s">
        <v>961</v>
      </c>
      <c r="U53" t="s">
        <v>961</v>
      </c>
    </row>
    <row r="54" spans="1:21" x14ac:dyDescent="0.25">
      <c r="A54">
        <f t="shared" si="1"/>
        <v>53</v>
      </c>
      <c r="B54" s="9" t="s">
        <v>476</v>
      </c>
      <c r="C54" s="10">
        <v>44595</v>
      </c>
      <c r="D54" t="s">
        <v>477</v>
      </c>
      <c r="E54" t="s">
        <v>478</v>
      </c>
      <c r="F54" t="s">
        <v>479</v>
      </c>
      <c r="G54" t="s">
        <v>168</v>
      </c>
      <c r="H54">
        <v>1</v>
      </c>
      <c r="I54" s="11">
        <v>2287.23</v>
      </c>
      <c r="J54" s="47">
        <f t="shared" si="0"/>
        <v>2287.23</v>
      </c>
      <c r="K54" t="s">
        <v>480</v>
      </c>
      <c r="L54" t="s">
        <v>482</v>
      </c>
      <c r="M54" t="s">
        <v>961</v>
      </c>
      <c r="N54" t="s">
        <v>961</v>
      </c>
      <c r="O54" t="s">
        <v>961</v>
      </c>
      <c r="P54" t="s">
        <v>961</v>
      </c>
      <c r="Q54" t="s">
        <v>961</v>
      </c>
      <c r="R54" t="s">
        <v>961</v>
      </c>
      <c r="S54" t="s">
        <v>961</v>
      </c>
      <c r="T54" t="s">
        <v>961</v>
      </c>
      <c r="U54" t="s">
        <v>961</v>
      </c>
    </row>
    <row r="55" spans="1:21" x14ac:dyDescent="0.25">
      <c r="A55" s="65">
        <f t="shared" si="1"/>
        <v>54</v>
      </c>
      <c r="B55" s="9" t="s">
        <v>481</v>
      </c>
      <c r="C55" s="10">
        <v>44603</v>
      </c>
      <c r="D55" t="s">
        <v>471</v>
      </c>
      <c r="E55" t="s">
        <v>472</v>
      </c>
      <c r="F55" t="s">
        <v>473</v>
      </c>
      <c r="G55" t="s">
        <v>281</v>
      </c>
      <c r="H55">
        <v>2</v>
      </c>
      <c r="I55" s="11">
        <v>2171</v>
      </c>
      <c r="J55" s="47">
        <f t="shared" si="0"/>
        <v>1085.5</v>
      </c>
      <c r="K55" t="s">
        <v>205</v>
      </c>
      <c r="L55" t="s">
        <v>80</v>
      </c>
      <c r="M55" t="s">
        <v>961</v>
      </c>
      <c r="N55" t="s">
        <v>961</v>
      </c>
      <c r="O55" t="s">
        <v>961</v>
      </c>
      <c r="P55" t="s">
        <v>961</v>
      </c>
      <c r="Q55" t="s">
        <v>961</v>
      </c>
      <c r="R55" t="s">
        <v>961</v>
      </c>
      <c r="S55" t="s">
        <v>961</v>
      </c>
      <c r="T55" t="s">
        <v>961</v>
      </c>
      <c r="U55" t="s">
        <v>961</v>
      </c>
    </row>
    <row r="56" spans="1:21" x14ac:dyDescent="0.25">
      <c r="A56">
        <f t="shared" si="1"/>
        <v>55</v>
      </c>
      <c r="B56" s="9" t="s">
        <v>483</v>
      </c>
      <c r="C56" s="10">
        <v>44607</v>
      </c>
      <c r="D56" t="s">
        <v>485</v>
      </c>
      <c r="E56" t="s">
        <v>486</v>
      </c>
      <c r="F56" t="s">
        <v>487</v>
      </c>
      <c r="G56" t="s">
        <v>168</v>
      </c>
      <c r="H56">
        <v>1</v>
      </c>
      <c r="I56" s="11">
        <v>1665</v>
      </c>
      <c r="J56" s="47">
        <f t="shared" si="0"/>
        <v>1665</v>
      </c>
      <c r="K56" t="s">
        <v>488</v>
      </c>
      <c r="L56" t="s">
        <v>301</v>
      </c>
      <c r="M56" t="s">
        <v>961</v>
      </c>
      <c r="N56" t="s">
        <v>961</v>
      </c>
      <c r="O56" t="s">
        <v>961</v>
      </c>
      <c r="P56" t="s">
        <v>961</v>
      </c>
      <c r="Q56" t="s">
        <v>961</v>
      </c>
      <c r="R56" t="s">
        <v>961</v>
      </c>
      <c r="S56" t="s">
        <v>961</v>
      </c>
      <c r="T56" t="s">
        <v>961</v>
      </c>
      <c r="U56" t="s">
        <v>961</v>
      </c>
    </row>
    <row r="57" spans="1:21" x14ac:dyDescent="0.25">
      <c r="A57" s="65">
        <f t="shared" si="1"/>
        <v>56</v>
      </c>
      <c r="B57" s="9" t="s">
        <v>484</v>
      </c>
      <c r="C57" s="10">
        <v>44607</v>
      </c>
      <c r="D57" t="s">
        <v>489</v>
      </c>
      <c r="E57" t="s">
        <v>490</v>
      </c>
      <c r="F57" t="s">
        <v>491</v>
      </c>
      <c r="G57" t="s">
        <v>168</v>
      </c>
      <c r="H57">
        <v>1</v>
      </c>
      <c r="I57" s="11">
        <v>500</v>
      </c>
      <c r="J57" s="47">
        <f t="shared" si="0"/>
        <v>500</v>
      </c>
      <c r="K57" t="s">
        <v>492</v>
      </c>
      <c r="L57" t="s">
        <v>329</v>
      </c>
      <c r="M57" t="s">
        <v>961</v>
      </c>
      <c r="N57" t="s">
        <v>961</v>
      </c>
      <c r="O57" t="s">
        <v>961</v>
      </c>
      <c r="P57" t="s">
        <v>961</v>
      </c>
      <c r="Q57" t="s">
        <v>961</v>
      </c>
      <c r="R57" t="s">
        <v>961</v>
      </c>
      <c r="S57" t="s">
        <v>961</v>
      </c>
      <c r="T57" t="s">
        <v>961</v>
      </c>
      <c r="U57" t="s">
        <v>961</v>
      </c>
    </row>
    <row r="58" spans="1:21" x14ac:dyDescent="0.25">
      <c r="A58" s="65">
        <f t="shared" si="1"/>
        <v>57</v>
      </c>
      <c r="B58" s="9" t="s">
        <v>493</v>
      </c>
      <c r="C58" s="10">
        <v>44611</v>
      </c>
      <c r="D58" t="s">
        <v>397</v>
      </c>
      <c r="E58" t="s">
        <v>398</v>
      </c>
      <c r="F58" t="s">
        <v>399</v>
      </c>
      <c r="G58" t="s">
        <v>281</v>
      </c>
      <c r="H58">
        <v>2</v>
      </c>
      <c r="I58" s="11">
        <v>5916.13</v>
      </c>
      <c r="J58" s="47">
        <f t="shared" si="0"/>
        <v>2958.0650000000001</v>
      </c>
      <c r="K58" t="s">
        <v>494</v>
      </c>
      <c r="L58" t="s">
        <v>80</v>
      </c>
      <c r="M58" t="s">
        <v>961</v>
      </c>
      <c r="N58" t="s">
        <v>961</v>
      </c>
      <c r="O58" t="s">
        <v>961</v>
      </c>
      <c r="P58" t="s">
        <v>961</v>
      </c>
      <c r="Q58" t="s">
        <v>961</v>
      </c>
      <c r="R58" t="s">
        <v>961</v>
      </c>
      <c r="S58" t="s">
        <v>961</v>
      </c>
      <c r="T58" t="s">
        <v>961</v>
      </c>
      <c r="U58" t="s">
        <v>961</v>
      </c>
    </row>
    <row r="59" spans="1:21" x14ac:dyDescent="0.25">
      <c r="A59" s="65">
        <f t="shared" si="1"/>
        <v>58</v>
      </c>
      <c r="B59" s="9" t="s">
        <v>495</v>
      </c>
      <c r="C59" s="10">
        <v>44606</v>
      </c>
      <c r="D59" t="s">
        <v>497</v>
      </c>
      <c r="E59" t="s">
        <v>498</v>
      </c>
      <c r="F59" t="s">
        <v>499</v>
      </c>
      <c r="G59" t="s">
        <v>281</v>
      </c>
      <c r="H59">
        <v>1</v>
      </c>
      <c r="I59" s="11">
        <v>1206.9000000000001</v>
      </c>
      <c r="J59" s="47">
        <f t="shared" si="0"/>
        <v>1206.9000000000001</v>
      </c>
      <c r="K59" t="s">
        <v>500</v>
      </c>
      <c r="L59" t="s">
        <v>329</v>
      </c>
      <c r="M59" t="s">
        <v>961</v>
      </c>
      <c r="N59" t="s">
        <v>961</v>
      </c>
      <c r="O59" t="s">
        <v>961</v>
      </c>
      <c r="P59" t="s">
        <v>961</v>
      </c>
      <c r="Q59" t="s">
        <v>961</v>
      </c>
      <c r="R59" t="s">
        <v>961</v>
      </c>
      <c r="S59" t="s">
        <v>961</v>
      </c>
      <c r="T59" t="s">
        <v>961</v>
      </c>
      <c r="U59" t="s">
        <v>961</v>
      </c>
    </row>
    <row r="60" spans="1:21" x14ac:dyDescent="0.25">
      <c r="A60" s="65">
        <f t="shared" si="1"/>
        <v>59</v>
      </c>
      <c r="B60" s="9" t="s">
        <v>496</v>
      </c>
      <c r="C60" s="10">
        <v>44613</v>
      </c>
      <c r="D60" t="s">
        <v>501</v>
      </c>
      <c r="E60" t="s">
        <v>502</v>
      </c>
      <c r="F60" t="s">
        <v>503</v>
      </c>
      <c r="G60" t="s">
        <v>281</v>
      </c>
      <c r="H60">
        <v>1</v>
      </c>
      <c r="I60" s="11">
        <v>863</v>
      </c>
      <c r="J60" s="47">
        <f t="shared" si="0"/>
        <v>863</v>
      </c>
      <c r="K60" t="s">
        <v>504</v>
      </c>
      <c r="L60" t="s">
        <v>329</v>
      </c>
      <c r="M60" t="s">
        <v>961</v>
      </c>
      <c r="N60" t="s">
        <v>961</v>
      </c>
      <c r="O60" t="s">
        <v>961</v>
      </c>
      <c r="P60" t="s">
        <v>961</v>
      </c>
      <c r="Q60" t="s">
        <v>961</v>
      </c>
      <c r="R60" t="s">
        <v>961</v>
      </c>
      <c r="S60" t="s">
        <v>961</v>
      </c>
      <c r="T60" t="s">
        <v>961</v>
      </c>
      <c r="U60" t="s">
        <v>961</v>
      </c>
    </row>
    <row r="61" spans="1:21" x14ac:dyDescent="0.25">
      <c r="A61">
        <f t="shared" si="1"/>
        <v>60</v>
      </c>
      <c r="B61" s="9" t="s">
        <v>538</v>
      </c>
      <c r="C61" s="10">
        <v>44615</v>
      </c>
      <c r="D61" t="s">
        <v>539</v>
      </c>
      <c r="E61" t="s">
        <v>540</v>
      </c>
      <c r="F61" t="s">
        <v>541</v>
      </c>
      <c r="G61" t="s">
        <v>168</v>
      </c>
      <c r="H61">
        <v>1</v>
      </c>
      <c r="I61" s="11">
        <v>2753.73</v>
      </c>
      <c r="J61" s="47">
        <f t="shared" si="0"/>
        <v>2753.73</v>
      </c>
      <c r="K61" t="s">
        <v>542</v>
      </c>
      <c r="L61" t="s">
        <v>192</v>
      </c>
      <c r="M61" t="s">
        <v>961</v>
      </c>
      <c r="N61" t="s">
        <v>961</v>
      </c>
      <c r="O61" t="s">
        <v>961</v>
      </c>
      <c r="P61" t="s">
        <v>961</v>
      </c>
      <c r="Q61" t="s">
        <v>961</v>
      </c>
      <c r="R61" t="s">
        <v>961</v>
      </c>
      <c r="S61" t="s">
        <v>961</v>
      </c>
      <c r="T61" t="s">
        <v>961</v>
      </c>
      <c r="U61" t="s">
        <v>961</v>
      </c>
    </row>
    <row r="62" spans="1:21" x14ac:dyDescent="0.25">
      <c r="A62">
        <f t="shared" si="1"/>
        <v>61</v>
      </c>
      <c r="B62" s="9" t="s">
        <v>544</v>
      </c>
      <c r="C62" s="10">
        <v>44616</v>
      </c>
      <c r="D62" t="s">
        <v>546</v>
      </c>
      <c r="E62" t="s">
        <v>547</v>
      </c>
      <c r="F62" t="s">
        <v>548</v>
      </c>
      <c r="G62" t="s">
        <v>168</v>
      </c>
      <c r="H62">
        <v>1</v>
      </c>
      <c r="I62" s="11">
        <v>1250</v>
      </c>
      <c r="J62" s="47">
        <f t="shared" si="0"/>
        <v>1250</v>
      </c>
      <c r="K62" t="s">
        <v>549</v>
      </c>
      <c r="L62" t="s">
        <v>277</v>
      </c>
      <c r="M62" t="s">
        <v>961</v>
      </c>
      <c r="N62" t="s">
        <v>961</v>
      </c>
      <c r="O62" t="s">
        <v>961</v>
      </c>
      <c r="P62" t="s">
        <v>961</v>
      </c>
      <c r="Q62" t="s">
        <v>961</v>
      </c>
      <c r="R62" t="s">
        <v>961</v>
      </c>
      <c r="S62" t="s">
        <v>961</v>
      </c>
      <c r="T62" t="s">
        <v>961</v>
      </c>
      <c r="U62" t="s">
        <v>961</v>
      </c>
    </row>
    <row r="63" spans="1:21" x14ac:dyDescent="0.25">
      <c r="A63">
        <f t="shared" si="1"/>
        <v>62</v>
      </c>
      <c r="B63" s="9" t="s">
        <v>545</v>
      </c>
      <c r="C63" s="10">
        <v>44585</v>
      </c>
      <c r="D63" t="s">
        <v>550</v>
      </c>
      <c r="E63" t="s">
        <v>551</v>
      </c>
      <c r="F63" t="s">
        <v>552</v>
      </c>
      <c r="G63" t="s">
        <v>168</v>
      </c>
      <c r="H63">
        <v>1</v>
      </c>
      <c r="I63" s="11">
        <v>1290</v>
      </c>
      <c r="J63" s="47">
        <f t="shared" si="0"/>
        <v>1290</v>
      </c>
      <c r="K63" t="s">
        <v>553</v>
      </c>
      <c r="L63" t="s">
        <v>272</v>
      </c>
      <c r="M63" t="s">
        <v>961</v>
      </c>
      <c r="N63" t="s">
        <v>961</v>
      </c>
      <c r="O63" t="s">
        <v>961</v>
      </c>
      <c r="P63" t="s">
        <v>961</v>
      </c>
      <c r="Q63" t="s">
        <v>961</v>
      </c>
      <c r="R63" t="s">
        <v>961</v>
      </c>
      <c r="S63" t="s">
        <v>961</v>
      </c>
      <c r="T63" t="s">
        <v>961</v>
      </c>
      <c r="U63" t="s">
        <v>961</v>
      </c>
    </row>
    <row r="64" spans="1:21" x14ac:dyDescent="0.25">
      <c r="A64">
        <f t="shared" si="1"/>
        <v>63</v>
      </c>
      <c r="B64" s="9" t="s">
        <v>557</v>
      </c>
      <c r="C64" s="10">
        <v>44618</v>
      </c>
      <c r="D64" t="s">
        <v>559</v>
      </c>
      <c r="E64" t="s">
        <v>560</v>
      </c>
      <c r="F64" t="s">
        <v>561</v>
      </c>
      <c r="G64" t="s">
        <v>168</v>
      </c>
      <c r="H64">
        <v>1</v>
      </c>
      <c r="I64" s="11">
        <v>776</v>
      </c>
      <c r="J64" s="47">
        <f t="shared" si="0"/>
        <v>776</v>
      </c>
      <c r="K64" t="s">
        <v>562</v>
      </c>
      <c r="L64" t="s">
        <v>563</v>
      </c>
      <c r="M64" t="s">
        <v>961</v>
      </c>
      <c r="N64" t="s">
        <v>961</v>
      </c>
      <c r="O64" t="s">
        <v>961</v>
      </c>
      <c r="P64" t="s">
        <v>961</v>
      </c>
      <c r="Q64" t="s">
        <v>961</v>
      </c>
      <c r="R64" t="s">
        <v>961</v>
      </c>
      <c r="S64" t="s">
        <v>961</v>
      </c>
      <c r="T64" t="s">
        <v>961</v>
      </c>
      <c r="U64" t="s">
        <v>961</v>
      </c>
    </row>
    <row r="65" spans="1:21" x14ac:dyDescent="0.25">
      <c r="A65">
        <f t="shared" si="1"/>
        <v>64</v>
      </c>
      <c r="B65" s="9" t="s">
        <v>558</v>
      </c>
      <c r="C65" s="10">
        <v>44618</v>
      </c>
      <c r="D65" t="s">
        <v>564</v>
      </c>
      <c r="E65" t="s">
        <v>565</v>
      </c>
      <c r="F65" t="s">
        <v>566</v>
      </c>
      <c r="G65" t="s">
        <v>168</v>
      </c>
      <c r="H65">
        <v>1</v>
      </c>
      <c r="I65" s="11">
        <v>2247.0500000000002</v>
      </c>
      <c r="J65" s="47">
        <f t="shared" si="0"/>
        <v>2247.0500000000002</v>
      </c>
      <c r="K65" t="s">
        <v>567</v>
      </c>
      <c r="L65" t="s">
        <v>569</v>
      </c>
      <c r="M65" t="s">
        <v>961</v>
      </c>
      <c r="N65" t="s">
        <v>961</v>
      </c>
      <c r="O65" t="s">
        <v>961</v>
      </c>
      <c r="P65" t="s">
        <v>961</v>
      </c>
      <c r="Q65" t="s">
        <v>961</v>
      </c>
      <c r="R65" t="s">
        <v>961</v>
      </c>
      <c r="S65" t="s">
        <v>961</v>
      </c>
      <c r="T65" t="s">
        <v>961</v>
      </c>
      <c r="U65" t="s">
        <v>961</v>
      </c>
    </row>
    <row r="66" spans="1:21" x14ac:dyDescent="0.25">
      <c r="A66" s="64">
        <f t="shared" si="1"/>
        <v>65</v>
      </c>
      <c r="B66" s="102" t="s">
        <v>570</v>
      </c>
      <c r="C66" s="10">
        <v>44620</v>
      </c>
      <c r="D66" t="s">
        <v>571</v>
      </c>
      <c r="E66" t="s">
        <v>572</v>
      </c>
      <c r="F66" t="s">
        <v>573</v>
      </c>
      <c r="G66" t="s">
        <v>168</v>
      </c>
      <c r="H66">
        <v>1</v>
      </c>
      <c r="I66" s="11">
        <v>1044</v>
      </c>
      <c r="J66" s="47">
        <f t="shared" si="0"/>
        <v>1044</v>
      </c>
      <c r="K66" t="s">
        <v>244</v>
      </c>
      <c r="L66" t="s">
        <v>277</v>
      </c>
      <c r="M66" t="s">
        <v>961</v>
      </c>
      <c r="N66" t="s">
        <v>961</v>
      </c>
      <c r="O66" t="s">
        <v>961</v>
      </c>
      <c r="P66" t="s">
        <v>961</v>
      </c>
      <c r="Q66" t="s">
        <v>961</v>
      </c>
      <c r="R66" t="s">
        <v>961</v>
      </c>
      <c r="S66" t="s">
        <v>961</v>
      </c>
      <c r="T66" t="s">
        <v>961</v>
      </c>
      <c r="U66" t="s">
        <v>961</v>
      </c>
    </row>
    <row r="67" spans="1:21" x14ac:dyDescent="0.25">
      <c r="A67" s="64">
        <f t="shared" si="1"/>
        <v>66</v>
      </c>
      <c r="B67" s="9" t="s">
        <v>576</v>
      </c>
      <c r="C67" s="10">
        <v>44621</v>
      </c>
      <c r="D67" t="s">
        <v>577</v>
      </c>
      <c r="E67" t="s">
        <v>578</v>
      </c>
      <c r="F67" t="s">
        <v>579</v>
      </c>
      <c r="G67" t="s">
        <v>168</v>
      </c>
      <c r="H67">
        <v>1</v>
      </c>
      <c r="I67" s="11">
        <v>4290.8</v>
      </c>
      <c r="J67" s="47">
        <f t="shared" ref="J67:J130" si="2">I67/H67</f>
        <v>4290.8</v>
      </c>
      <c r="K67" t="s">
        <v>244</v>
      </c>
      <c r="L67" t="s">
        <v>587</v>
      </c>
      <c r="M67" t="s">
        <v>961</v>
      </c>
      <c r="N67" t="s">
        <v>961</v>
      </c>
      <c r="O67" t="s">
        <v>961</v>
      </c>
      <c r="P67" t="s">
        <v>961</v>
      </c>
      <c r="Q67" t="s">
        <v>961</v>
      </c>
      <c r="R67" t="s">
        <v>961</v>
      </c>
      <c r="S67" t="s">
        <v>961</v>
      </c>
      <c r="T67" t="s">
        <v>961</v>
      </c>
      <c r="U67" t="s">
        <v>961</v>
      </c>
    </row>
    <row r="68" spans="1:21" x14ac:dyDescent="0.25">
      <c r="A68">
        <f t="shared" ref="A68:A131" si="3">+A67+1</f>
        <v>67</v>
      </c>
      <c r="B68" s="9" t="s">
        <v>582</v>
      </c>
      <c r="C68" s="10">
        <v>44622</v>
      </c>
      <c r="D68" t="s">
        <v>583</v>
      </c>
      <c r="E68" t="s">
        <v>584</v>
      </c>
      <c r="F68" t="s">
        <v>585</v>
      </c>
      <c r="G68" t="s">
        <v>168</v>
      </c>
      <c r="H68">
        <v>1</v>
      </c>
      <c r="I68" s="11">
        <v>925</v>
      </c>
      <c r="J68" s="47">
        <f t="shared" si="2"/>
        <v>925</v>
      </c>
      <c r="K68" t="s">
        <v>586</v>
      </c>
      <c r="L68" t="s">
        <v>595</v>
      </c>
      <c r="M68" t="s">
        <v>961</v>
      </c>
      <c r="N68" t="s">
        <v>961</v>
      </c>
      <c r="O68" t="s">
        <v>961</v>
      </c>
      <c r="P68" t="s">
        <v>961</v>
      </c>
      <c r="Q68" t="s">
        <v>961</v>
      </c>
      <c r="R68" t="s">
        <v>961</v>
      </c>
      <c r="S68" t="s">
        <v>961</v>
      </c>
      <c r="T68" t="s">
        <v>961</v>
      </c>
      <c r="U68" t="s">
        <v>961</v>
      </c>
    </row>
    <row r="69" spans="1:21" x14ac:dyDescent="0.25">
      <c r="A69">
        <f t="shared" si="3"/>
        <v>68</v>
      </c>
      <c r="B69" s="104" t="s">
        <v>588</v>
      </c>
      <c r="C69" s="10">
        <v>44623</v>
      </c>
      <c r="D69" t="s">
        <v>590</v>
      </c>
      <c r="E69" t="s">
        <v>591</v>
      </c>
      <c r="F69" t="s">
        <v>592</v>
      </c>
      <c r="G69" t="s">
        <v>593</v>
      </c>
      <c r="H69">
        <v>1</v>
      </c>
      <c r="I69" s="11">
        <v>824.83</v>
      </c>
      <c r="J69" s="47">
        <f t="shared" si="2"/>
        <v>824.83</v>
      </c>
      <c r="K69" t="s">
        <v>594</v>
      </c>
      <c r="L69" t="s">
        <v>606</v>
      </c>
      <c r="M69" t="s">
        <v>961</v>
      </c>
      <c r="N69" t="s">
        <v>961</v>
      </c>
      <c r="O69" t="s">
        <v>961</v>
      </c>
      <c r="P69" t="s">
        <v>961</v>
      </c>
      <c r="Q69" t="s">
        <v>961</v>
      </c>
      <c r="R69" t="s">
        <v>961</v>
      </c>
      <c r="S69" t="s">
        <v>961</v>
      </c>
      <c r="T69" t="s">
        <v>961</v>
      </c>
      <c r="U69" t="s">
        <v>961</v>
      </c>
    </row>
    <row r="70" spans="1:21" x14ac:dyDescent="0.25">
      <c r="A70">
        <f t="shared" si="3"/>
        <v>69</v>
      </c>
      <c r="B70" s="9" t="s">
        <v>589</v>
      </c>
      <c r="C70" s="10">
        <v>44623</v>
      </c>
      <c r="D70" t="s">
        <v>596</v>
      </c>
      <c r="E70" t="s">
        <v>597</v>
      </c>
      <c r="F70" t="s">
        <v>598</v>
      </c>
      <c r="G70" t="s">
        <v>168</v>
      </c>
      <c r="H70">
        <v>1</v>
      </c>
      <c r="I70" s="11">
        <v>900</v>
      </c>
      <c r="J70" s="47">
        <f t="shared" si="2"/>
        <v>900</v>
      </c>
      <c r="K70" t="s">
        <v>244</v>
      </c>
      <c r="L70" t="s">
        <v>605</v>
      </c>
      <c r="M70" t="s">
        <v>961</v>
      </c>
      <c r="N70" t="s">
        <v>961</v>
      </c>
      <c r="O70" t="s">
        <v>961</v>
      </c>
      <c r="P70" t="s">
        <v>961</v>
      </c>
      <c r="Q70" t="s">
        <v>961</v>
      </c>
      <c r="R70" t="s">
        <v>961</v>
      </c>
      <c r="S70" t="s">
        <v>961</v>
      </c>
      <c r="T70" t="s">
        <v>961</v>
      </c>
      <c r="U70" t="s">
        <v>961</v>
      </c>
    </row>
    <row r="71" spans="1:21" x14ac:dyDescent="0.25">
      <c r="A71">
        <f t="shared" si="3"/>
        <v>70</v>
      </c>
      <c r="B71" s="104" t="s">
        <v>599</v>
      </c>
      <c r="C71" s="10">
        <v>44625</v>
      </c>
      <c r="D71" t="s">
        <v>600</v>
      </c>
      <c r="F71" t="s">
        <v>601</v>
      </c>
      <c r="G71" t="s">
        <v>602</v>
      </c>
      <c r="H71">
        <v>1</v>
      </c>
      <c r="I71" s="11">
        <v>3575</v>
      </c>
      <c r="J71" s="47">
        <f t="shared" si="2"/>
        <v>3575</v>
      </c>
      <c r="K71" t="s">
        <v>603</v>
      </c>
      <c r="L71" t="s">
        <v>604</v>
      </c>
      <c r="M71" t="s">
        <v>961</v>
      </c>
      <c r="N71" t="s">
        <v>961</v>
      </c>
      <c r="O71" t="s">
        <v>961</v>
      </c>
      <c r="P71" t="s">
        <v>961</v>
      </c>
      <c r="Q71" t="s">
        <v>961</v>
      </c>
      <c r="R71" t="s">
        <v>961</v>
      </c>
      <c r="S71" t="s">
        <v>961</v>
      </c>
      <c r="T71" t="s">
        <v>961</v>
      </c>
      <c r="U71" t="s">
        <v>961</v>
      </c>
    </row>
    <row r="72" spans="1:21" x14ac:dyDescent="0.25">
      <c r="A72">
        <f t="shared" si="3"/>
        <v>71</v>
      </c>
      <c r="B72" s="9" t="s">
        <v>607</v>
      </c>
      <c r="C72" s="10">
        <v>44623</v>
      </c>
      <c r="D72" t="s">
        <v>611</v>
      </c>
      <c r="E72" t="s">
        <v>612</v>
      </c>
      <c r="F72" t="s">
        <v>613</v>
      </c>
      <c r="G72" t="s">
        <v>168</v>
      </c>
      <c r="H72">
        <v>1</v>
      </c>
      <c r="I72" s="11">
        <v>1592.99</v>
      </c>
      <c r="J72" s="47">
        <f t="shared" si="2"/>
        <v>1592.99</v>
      </c>
      <c r="K72" t="s">
        <v>614</v>
      </c>
      <c r="L72" t="s">
        <v>623</v>
      </c>
      <c r="M72" t="s">
        <v>961</v>
      </c>
      <c r="N72" t="s">
        <v>961</v>
      </c>
      <c r="O72" t="s">
        <v>961</v>
      </c>
      <c r="P72" t="s">
        <v>961</v>
      </c>
      <c r="Q72" t="s">
        <v>961</v>
      </c>
      <c r="R72" t="s">
        <v>961</v>
      </c>
      <c r="S72" t="s">
        <v>961</v>
      </c>
      <c r="T72" t="s">
        <v>961</v>
      </c>
      <c r="U72" t="s">
        <v>961</v>
      </c>
    </row>
    <row r="73" spans="1:21" x14ac:dyDescent="0.25">
      <c r="A73" s="65">
        <f t="shared" si="3"/>
        <v>72</v>
      </c>
      <c r="B73" s="9" t="s">
        <v>608</v>
      </c>
      <c r="C73" s="10">
        <v>44627</v>
      </c>
      <c r="D73" t="s">
        <v>535</v>
      </c>
      <c r="E73" t="s">
        <v>498</v>
      </c>
      <c r="F73" t="s">
        <v>499</v>
      </c>
      <c r="G73" t="s">
        <v>281</v>
      </c>
      <c r="H73">
        <v>2</v>
      </c>
      <c r="I73" s="11">
        <v>2413.8000000000002</v>
      </c>
      <c r="J73" s="47">
        <f t="shared" si="2"/>
        <v>1206.9000000000001</v>
      </c>
      <c r="K73" t="s">
        <v>536</v>
      </c>
      <c r="L73" t="s">
        <v>80</v>
      </c>
      <c r="M73" t="s">
        <v>961</v>
      </c>
      <c r="N73" t="s">
        <v>961</v>
      </c>
      <c r="O73" t="s">
        <v>961</v>
      </c>
      <c r="P73" t="s">
        <v>961</v>
      </c>
      <c r="Q73" t="s">
        <v>961</v>
      </c>
      <c r="R73" t="s">
        <v>961</v>
      </c>
      <c r="S73" t="s">
        <v>961</v>
      </c>
      <c r="T73" t="s">
        <v>961</v>
      </c>
      <c r="U73" t="s">
        <v>961</v>
      </c>
    </row>
    <row r="74" spans="1:21" x14ac:dyDescent="0.25">
      <c r="A74" s="64">
        <f t="shared" si="3"/>
        <v>73</v>
      </c>
      <c r="B74" s="9" t="s">
        <v>609</v>
      </c>
      <c r="C74" s="10">
        <v>44629</v>
      </c>
      <c r="D74" t="s">
        <v>615</v>
      </c>
      <c r="E74" t="s">
        <v>616</v>
      </c>
      <c r="F74" t="s">
        <v>617</v>
      </c>
      <c r="G74" t="s">
        <v>168</v>
      </c>
      <c r="H74">
        <v>1</v>
      </c>
      <c r="I74" s="11">
        <v>2154.6</v>
      </c>
      <c r="J74" s="47">
        <f t="shared" si="2"/>
        <v>2154.6</v>
      </c>
      <c r="K74" t="s">
        <v>618</v>
      </c>
      <c r="L74" t="s">
        <v>192</v>
      </c>
      <c r="M74" t="s">
        <v>961</v>
      </c>
      <c r="N74" t="s">
        <v>961</v>
      </c>
      <c r="O74" t="s">
        <v>961</v>
      </c>
      <c r="P74" t="s">
        <v>961</v>
      </c>
      <c r="Q74" t="s">
        <v>961</v>
      </c>
      <c r="R74" t="s">
        <v>961</v>
      </c>
      <c r="S74" t="s">
        <v>961</v>
      </c>
      <c r="T74" t="s">
        <v>961</v>
      </c>
      <c r="U74" t="s">
        <v>961</v>
      </c>
    </row>
    <row r="75" spans="1:21" x14ac:dyDescent="0.25">
      <c r="A75">
        <f t="shared" si="3"/>
        <v>74</v>
      </c>
      <c r="B75" s="9" t="s">
        <v>610</v>
      </c>
      <c r="C75" s="10">
        <v>44632</v>
      </c>
      <c r="D75" t="s">
        <v>619</v>
      </c>
      <c r="E75" t="s">
        <v>620</v>
      </c>
      <c r="F75" t="s">
        <v>621</v>
      </c>
      <c r="G75" t="s">
        <v>168</v>
      </c>
      <c r="H75">
        <v>1</v>
      </c>
      <c r="I75" s="11">
        <v>1338</v>
      </c>
      <c r="J75" s="47">
        <f t="shared" si="2"/>
        <v>1338</v>
      </c>
      <c r="K75" t="s">
        <v>622</v>
      </c>
      <c r="L75" t="s">
        <v>624</v>
      </c>
      <c r="M75" t="s">
        <v>961</v>
      </c>
      <c r="N75" t="s">
        <v>961</v>
      </c>
      <c r="O75" t="s">
        <v>961</v>
      </c>
      <c r="P75" t="s">
        <v>961</v>
      </c>
      <c r="Q75" t="s">
        <v>961</v>
      </c>
      <c r="R75" t="s">
        <v>961</v>
      </c>
      <c r="S75" t="s">
        <v>961</v>
      </c>
      <c r="T75" t="s">
        <v>961</v>
      </c>
      <c r="U75" t="s">
        <v>961</v>
      </c>
    </row>
    <row r="76" spans="1:21" x14ac:dyDescent="0.25">
      <c r="A76" s="65">
        <f t="shared" si="3"/>
        <v>75</v>
      </c>
      <c r="B76" s="9" t="s">
        <v>625</v>
      </c>
      <c r="C76" s="10">
        <v>44634</v>
      </c>
      <c r="D76" t="s">
        <v>627</v>
      </c>
      <c r="E76" t="s">
        <v>628</v>
      </c>
      <c r="F76" t="s">
        <v>629</v>
      </c>
      <c r="G76" t="s">
        <v>281</v>
      </c>
      <c r="H76">
        <v>1</v>
      </c>
      <c r="I76" s="11">
        <v>1917</v>
      </c>
      <c r="J76" s="47">
        <f t="shared" si="2"/>
        <v>1917</v>
      </c>
      <c r="K76" t="s">
        <v>630</v>
      </c>
      <c r="L76" t="s">
        <v>329</v>
      </c>
      <c r="M76" t="s">
        <v>961</v>
      </c>
      <c r="N76" t="s">
        <v>961</v>
      </c>
      <c r="O76" t="s">
        <v>961</v>
      </c>
      <c r="P76" t="s">
        <v>961</v>
      </c>
      <c r="Q76" t="s">
        <v>961</v>
      </c>
      <c r="R76" t="s">
        <v>961</v>
      </c>
      <c r="S76" t="s">
        <v>961</v>
      </c>
      <c r="T76" t="s">
        <v>961</v>
      </c>
      <c r="U76" t="s">
        <v>961</v>
      </c>
    </row>
    <row r="77" spans="1:21" x14ac:dyDescent="0.25">
      <c r="A77" s="64">
        <f t="shared" si="3"/>
        <v>76</v>
      </c>
      <c r="B77" s="9" t="s">
        <v>626</v>
      </c>
      <c r="C77" s="10">
        <v>44635</v>
      </c>
      <c r="D77" t="s">
        <v>631</v>
      </c>
      <c r="E77" t="s">
        <v>632</v>
      </c>
      <c r="F77" t="s">
        <v>633</v>
      </c>
      <c r="G77" t="s">
        <v>168</v>
      </c>
      <c r="H77">
        <v>1</v>
      </c>
      <c r="I77" s="11">
        <v>1733.04</v>
      </c>
      <c r="J77" s="47">
        <f t="shared" si="2"/>
        <v>1733.04</v>
      </c>
      <c r="K77" t="s">
        <v>634</v>
      </c>
      <c r="L77" t="s">
        <v>642</v>
      </c>
      <c r="M77" t="s">
        <v>961</v>
      </c>
      <c r="N77" t="s">
        <v>961</v>
      </c>
      <c r="O77" t="s">
        <v>961</v>
      </c>
      <c r="P77" t="s">
        <v>961</v>
      </c>
      <c r="Q77" t="s">
        <v>961</v>
      </c>
      <c r="R77" t="s">
        <v>961</v>
      </c>
      <c r="S77" t="s">
        <v>961</v>
      </c>
      <c r="T77" t="s">
        <v>961</v>
      </c>
      <c r="U77" t="s">
        <v>961</v>
      </c>
    </row>
    <row r="78" spans="1:21" x14ac:dyDescent="0.25">
      <c r="A78">
        <f t="shared" si="3"/>
        <v>77</v>
      </c>
      <c r="B78" s="104" t="s">
        <v>635</v>
      </c>
      <c r="C78" s="10">
        <v>44628</v>
      </c>
      <c r="D78" t="s">
        <v>638</v>
      </c>
      <c r="F78" t="s">
        <v>639</v>
      </c>
      <c r="G78" t="s">
        <v>251</v>
      </c>
      <c r="H78">
        <v>1</v>
      </c>
      <c r="I78" s="11">
        <v>2463.65</v>
      </c>
      <c r="J78" s="47">
        <f t="shared" si="2"/>
        <v>2463.65</v>
      </c>
      <c r="K78" t="s">
        <v>640</v>
      </c>
      <c r="L78" t="s">
        <v>641</v>
      </c>
      <c r="M78" t="s">
        <v>961</v>
      </c>
      <c r="N78" t="s">
        <v>961</v>
      </c>
      <c r="O78" t="s">
        <v>961</v>
      </c>
      <c r="P78" t="s">
        <v>961</v>
      </c>
      <c r="Q78" t="s">
        <v>961</v>
      </c>
      <c r="R78" t="s">
        <v>961</v>
      </c>
      <c r="S78" t="s">
        <v>961</v>
      </c>
      <c r="T78" t="s">
        <v>961</v>
      </c>
      <c r="U78" t="s">
        <v>961</v>
      </c>
    </row>
    <row r="79" spans="1:21" x14ac:dyDescent="0.25">
      <c r="A79">
        <f t="shared" si="3"/>
        <v>78</v>
      </c>
      <c r="B79" s="9" t="s">
        <v>636</v>
      </c>
      <c r="C79" s="10">
        <v>44629</v>
      </c>
      <c r="D79" t="s">
        <v>643</v>
      </c>
      <c r="E79" t="s">
        <v>644</v>
      </c>
      <c r="F79" t="s">
        <v>645</v>
      </c>
      <c r="G79" t="s">
        <v>168</v>
      </c>
      <c r="H79">
        <v>1</v>
      </c>
      <c r="I79" s="11">
        <v>1063</v>
      </c>
      <c r="J79" s="47">
        <f t="shared" si="2"/>
        <v>1063</v>
      </c>
      <c r="K79" t="s">
        <v>646</v>
      </c>
      <c r="L79" t="s">
        <v>192</v>
      </c>
      <c r="M79" t="s">
        <v>961</v>
      </c>
      <c r="N79" t="s">
        <v>961</v>
      </c>
      <c r="O79" t="s">
        <v>961</v>
      </c>
      <c r="P79" t="s">
        <v>961</v>
      </c>
      <c r="Q79" t="s">
        <v>961</v>
      </c>
      <c r="R79" t="s">
        <v>961</v>
      </c>
      <c r="S79" t="s">
        <v>961</v>
      </c>
      <c r="T79" t="s">
        <v>961</v>
      </c>
      <c r="U79" t="s">
        <v>961</v>
      </c>
    </row>
    <row r="80" spans="1:21" x14ac:dyDescent="0.25">
      <c r="A80" s="65">
        <f t="shared" si="3"/>
        <v>79</v>
      </c>
      <c r="B80" s="9" t="s">
        <v>637</v>
      </c>
      <c r="C80" s="10">
        <v>44636</v>
      </c>
      <c r="D80" t="s">
        <v>647</v>
      </c>
      <c r="E80" t="s">
        <v>648</v>
      </c>
      <c r="F80" t="s">
        <v>649</v>
      </c>
      <c r="G80" t="s">
        <v>281</v>
      </c>
      <c r="H80">
        <v>1</v>
      </c>
      <c r="I80" s="11">
        <v>1777</v>
      </c>
      <c r="J80" s="47">
        <f t="shared" si="2"/>
        <v>1777</v>
      </c>
      <c r="K80" t="s">
        <v>650</v>
      </c>
      <c r="L80" t="s">
        <v>329</v>
      </c>
      <c r="M80" t="s">
        <v>961</v>
      </c>
      <c r="N80" t="s">
        <v>961</v>
      </c>
      <c r="O80" t="s">
        <v>961</v>
      </c>
      <c r="P80" t="s">
        <v>961</v>
      </c>
      <c r="Q80" t="s">
        <v>961</v>
      </c>
      <c r="R80" t="s">
        <v>961</v>
      </c>
      <c r="S80" t="s">
        <v>961</v>
      </c>
      <c r="T80" t="s">
        <v>961</v>
      </c>
      <c r="U80" t="s">
        <v>961</v>
      </c>
    </row>
    <row r="81" spans="1:21" x14ac:dyDescent="0.25">
      <c r="A81">
        <f t="shared" si="3"/>
        <v>80</v>
      </c>
      <c r="B81" s="104" t="s">
        <v>651</v>
      </c>
      <c r="C81" s="10">
        <v>44634</v>
      </c>
      <c r="D81" t="s">
        <v>653</v>
      </c>
      <c r="F81" t="s">
        <v>654</v>
      </c>
      <c r="G81" t="s">
        <v>291</v>
      </c>
      <c r="H81">
        <v>1</v>
      </c>
      <c r="I81" s="11">
        <v>4361.45</v>
      </c>
      <c r="J81" s="47">
        <f t="shared" si="2"/>
        <v>4361.45</v>
      </c>
      <c r="K81" t="s">
        <v>655</v>
      </c>
      <c r="L81" t="s">
        <v>656</v>
      </c>
      <c r="M81" t="s">
        <v>961</v>
      </c>
      <c r="N81" t="s">
        <v>961</v>
      </c>
      <c r="O81" t="s">
        <v>961</v>
      </c>
      <c r="P81" t="s">
        <v>961</v>
      </c>
      <c r="Q81" t="s">
        <v>961</v>
      </c>
      <c r="R81" t="s">
        <v>961</v>
      </c>
      <c r="S81" t="s">
        <v>961</v>
      </c>
      <c r="T81" t="s">
        <v>961</v>
      </c>
      <c r="U81" t="s">
        <v>961</v>
      </c>
    </row>
    <row r="82" spans="1:21" x14ac:dyDescent="0.25">
      <c r="A82">
        <f t="shared" si="3"/>
        <v>81</v>
      </c>
      <c r="B82" s="104" t="s">
        <v>652</v>
      </c>
      <c r="C82" s="10">
        <v>44636</v>
      </c>
      <c r="D82" t="s">
        <v>657</v>
      </c>
      <c r="F82" t="s">
        <v>658</v>
      </c>
      <c r="G82" t="s">
        <v>291</v>
      </c>
      <c r="H82">
        <v>1</v>
      </c>
      <c r="I82" s="11">
        <v>5190.8</v>
      </c>
      <c r="J82" s="47">
        <f t="shared" si="2"/>
        <v>5190.8</v>
      </c>
      <c r="K82" t="s">
        <v>655</v>
      </c>
      <c r="L82" t="s">
        <v>656</v>
      </c>
      <c r="M82" t="s">
        <v>961</v>
      </c>
      <c r="N82" t="s">
        <v>961</v>
      </c>
      <c r="O82" t="s">
        <v>961</v>
      </c>
      <c r="P82" t="s">
        <v>961</v>
      </c>
      <c r="Q82" t="s">
        <v>961</v>
      </c>
      <c r="R82" t="s">
        <v>961</v>
      </c>
      <c r="S82" t="s">
        <v>961</v>
      </c>
      <c r="T82" t="s">
        <v>961</v>
      </c>
      <c r="U82" t="s">
        <v>961</v>
      </c>
    </row>
    <row r="83" spans="1:21" x14ac:dyDescent="0.25">
      <c r="A83" s="65">
        <f t="shared" si="3"/>
        <v>82</v>
      </c>
      <c r="B83" s="9" t="s">
        <v>659</v>
      </c>
      <c r="C83" s="10">
        <v>44638</v>
      </c>
      <c r="D83" t="s">
        <v>647</v>
      </c>
      <c r="E83" t="s">
        <v>648</v>
      </c>
      <c r="F83" t="s">
        <v>649</v>
      </c>
      <c r="G83" t="s">
        <v>281</v>
      </c>
      <c r="H83">
        <v>2</v>
      </c>
      <c r="I83" s="11">
        <v>2949.15</v>
      </c>
      <c r="J83" s="47">
        <f t="shared" si="2"/>
        <v>1474.575</v>
      </c>
      <c r="K83" t="s">
        <v>252</v>
      </c>
      <c r="L83" t="s">
        <v>80</v>
      </c>
      <c r="M83" t="s">
        <v>961</v>
      </c>
      <c r="N83" t="s">
        <v>961</v>
      </c>
      <c r="O83" t="s">
        <v>961</v>
      </c>
      <c r="P83" t="s">
        <v>961</v>
      </c>
      <c r="Q83" t="s">
        <v>961</v>
      </c>
      <c r="R83" t="s">
        <v>961</v>
      </c>
      <c r="S83" t="s">
        <v>961</v>
      </c>
      <c r="T83" t="s">
        <v>961</v>
      </c>
      <c r="U83" t="s">
        <v>961</v>
      </c>
    </row>
    <row r="84" spans="1:21" x14ac:dyDescent="0.25">
      <c r="A84" s="65">
        <f t="shared" si="3"/>
        <v>83</v>
      </c>
      <c r="B84" s="9" t="s">
        <v>660</v>
      </c>
      <c r="C84" s="10">
        <v>44639</v>
      </c>
      <c r="D84" t="s">
        <v>662</v>
      </c>
      <c r="E84" t="s">
        <v>663</v>
      </c>
      <c r="F84" t="s">
        <v>664</v>
      </c>
      <c r="G84" t="s">
        <v>281</v>
      </c>
      <c r="H84">
        <v>1</v>
      </c>
      <c r="I84" s="11">
        <v>888</v>
      </c>
      <c r="J84" s="47">
        <f t="shared" si="2"/>
        <v>888</v>
      </c>
      <c r="K84" t="s">
        <v>665</v>
      </c>
      <c r="L84" t="s">
        <v>329</v>
      </c>
      <c r="M84" t="s">
        <v>961</v>
      </c>
      <c r="N84" t="s">
        <v>961</v>
      </c>
      <c r="O84" t="s">
        <v>961</v>
      </c>
      <c r="P84" t="s">
        <v>961</v>
      </c>
      <c r="Q84" t="s">
        <v>961</v>
      </c>
      <c r="R84" t="s">
        <v>961</v>
      </c>
      <c r="S84" t="s">
        <v>961</v>
      </c>
      <c r="T84" t="s">
        <v>961</v>
      </c>
      <c r="U84" t="s">
        <v>961</v>
      </c>
    </row>
    <row r="85" spans="1:21" x14ac:dyDescent="0.25">
      <c r="A85">
        <f t="shared" si="3"/>
        <v>84</v>
      </c>
      <c r="B85" s="9" t="s">
        <v>661</v>
      </c>
      <c r="C85" s="10">
        <v>44639</v>
      </c>
      <c r="D85" t="s">
        <v>666</v>
      </c>
      <c r="E85" t="s">
        <v>667</v>
      </c>
      <c r="F85" t="s">
        <v>668</v>
      </c>
      <c r="G85" t="s">
        <v>291</v>
      </c>
      <c r="H85">
        <v>1</v>
      </c>
      <c r="I85" s="11">
        <v>2130</v>
      </c>
      <c r="J85" s="47">
        <f t="shared" si="2"/>
        <v>2130</v>
      </c>
      <c r="K85" t="s">
        <v>669</v>
      </c>
      <c r="L85" t="s">
        <v>192</v>
      </c>
      <c r="M85" t="s">
        <v>961</v>
      </c>
      <c r="N85" t="s">
        <v>961</v>
      </c>
      <c r="O85" t="s">
        <v>961</v>
      </c>
      <c r="P85" t="s">
        <v>961</v>
      </c>
      <c r="Q85" t="s">
        <v>961</v>
      </c>
      <c r="R85" t="s">
        <v>961</v>
      </c>
      <c r="S85" t="s">
        <v>961</v>
      </c>
      <c r="T85" t="s">
        <v>961</v>
      </c>
      <c r="U85" t="s">
        <v>961</v>
      </c>
    </row>
    <row r="86" spans="1:21" x14ac:dyDescent="0.25">
      <c r="A86">
        <f t="shared" si="3"/>
        <v>85</v>
      </c>
      <c r="B86" s="104" t="s">
        <v>670</v>
      </c>
      <c r="C86" s="10">
        <v>44641</v>
      </c>
      <c r="D86" t="s">
        <v>672</v>
      </c>
      <c r="E86" t="s">
        <v>673</v>
      </c>
      <c r="F86" t="s">
        <v>674</v>
      </c>
      <c r="G86" t="s">
        <v>168</v>
      </c>
      <c r="H86">
        <v>1</v>
      </c>
      <c r="I86" s="11">
        <v>904</v>
      </c>
      <c r="J86" s="47">
        <f t="shared" si="2"/>
        <v>904</v>
      </c>
      <c r="K86" t="s">
        <v>675</v>
      </c>
      <c r="L86" t="s">
        <v>676</v>
      </c>
      <c r="M86" t="s">
        <v>961</v>
      </c>
      <c r="N86" t="s">
        <v>961</v>
      </c>
      <c r="O86" t="s">
        <v>961</v>
      </c>
      <c r="P86" t="s">
        <v>961</v>
      </c>
      <c r="Q86" t="s">
        <v>961</v>
      </c>
      <c r="R86" t="s">
        <v>961</v>
      </c>
      <c r="S86" t="s">
        <v>961</v>
      </c>
      <c r="T86" t="s">
        <v>961</v>
      </c>
      <c r="U86" t="s">
        <v>961</v>
      </c>
    </row>
    <row r="87" spans="1:21" x14ac:dyDescent="0.25">
      <c r="A87">
        <f t="shared" si="3"/>
        <v>86</v>
      </c>
      <c r="B87" s="9" t="s">
        <v>671</v>
      </c>
      <c r="C87" s="10">
        <v>44636</v>
      </c>
      <c r="D87" t="s">
        <v>677</v>
      </c>
      <c r="E87" t="s">
        <v>678</v>
      </c>
      <c r="F87" t="s">
        <v>679</v>
      </c>
      <c r="G87" t="s">
        <v>168</v>
      </c>
      <c r="H87">
        <v>1</v>
      </c>
      <c r="I87" s="11">
        <v>4258.1000000000004</v>
      </c>
      <c r="J87" s="47">
        <f t="shared" si="2"/>
        <v>4258.1000000000004</v>
      </c>
      <c r="K87" t="s">
        <v>680</v>
      </c>
      <c r="L87" t="s">
        <v>355</v>
      </c>
      <c r="M87" t="s">
        <v>961</v>
      </c>
      <c r="N87" t="s">
        <v>961</v>
      </c>
      <c r="O87" t="s">
        <v>961</v>
      </c>
      <c r="P87" t="s">
        <v>961</v>
      </c>
      <c r="Q87" t="s">
        <v>961</v>
      </c>
      <c r="R87" t="s">
        <v>961</v>
      </c>
      <c r="S87" t="s">
        <v>961</v>
      </c>
      <c r="T87" t="s">
        <v>961</v>
      </c>
      <c r="U87" t="s">
        <v>961</v>
      </c>
    </row>
    <row r="88" spans="1:21" x14ac:dyDescent="0.25">
      <c r="A88" s="64">
        <f t="shared" si="3"/>
        <v>87</v>
      </c>
      <c r="B88" s="104" t="s">
        <v>681</v>
      </c>
      <c r="C88" s="10">
        <v>44642</v>
      </c>
      <c r="D88" t="s">
        <v>683</v>
      </c>
      <c r="E88" t="s">
        <v>684</v>
      </c>
      <c r="F88" t="s">
        <v>685</v>
      </c>
      <c r="G88" t="s">
        <v>281</v>
      </c>
      <c r="H88">
        <v>1</v>
      </c>
      <c r="I88" s="11">
        <v>1125.71</v>
      </c>
      <c r="J88" s="47">
        <f t="shared" si="2"/>
        <v>1125.71</v>
      </c>
      <c r="K88" t="s">
        <v>686</v>
      </c>
      <c r="L88" t="s">
        <v>329</v>
      </c>
      <c r="M88" t="s">
        <v>961</v>
      </c>
      <c r="N88" t="s">
        <v>961</v>
      </c>
      <c r="O88" t="s">
        <v>961</v>
      </c>
      <c r="P88" t="s">
        <v>961</v>
      </c>
      <c r="Q88" t="s">
        <v>961</v>
      </c>
      <c r="R88" t="s">
        <v>961</v>
      </c>
      <c r="S88" t="s">
        <v>961</v>
      </c>
      <c r="T88" t="s">
        <v>961</v>
      </c>
      <c r="U88" t="s">
        <v>961</v>
      </c>
    </row>
    <row r="89" spans="1:21" x14ac:dyDescent="0.25">
      <c r="A89">
        <f t="shared" si="3"/>
        <v>88</v>
      </c>
      <c r="B89" s="9" t="s">
        <v>682</v>
      </c>
      <c r="C89" s="10">
        <v>44642</v>
      </c>
      <c r="D89" t="s">
        <v>687</v>
      </c>
      <c r="E89" t="s">
        <v>688</v>
      </c>
      <c r="F89" t="s">
        <v>689</v>
      </c>
      <c r="G89" t="s">
        <v>168</v>
      </c>
      <c r="H89">
        <v>1</v>
      </c>
      <c r="I89" s="11">
        <v>2152.5</v>
      </c>
      <c r="J89" s="47">
        <f t="shared" si="2"/>
        <v>2152.5</v>
      </c>
      <c r="K89" t="s">
        <v>690</v>
      </c>
      <c r="L89" t="s">
        <v>277</v>
      </c>
      <c r="M89" t="s">
        <v>961</v>
      </c>
      <c r="N89" t="s">
        <v>961</v>
      </c>
      <c r="O89" t="s">
        <v>961</v>
      </c>
      <c r="P89" t="s">
        <v>961</v>
      </c>
      <c r="Q89" t="s">
        <v>961</v>
      </c>
      <c r="R89" t="s">
        <v>961</v>
      </c>
      <c r="S89" t="s">
        <v>961</v>
      </c>
      <c r="T89" t="s">
        <v>961</v>
      </c>
      <c r="U89" t="s">
        <v>961</v>
      </c>
    </row>
    <row r="90" spans="1:21" x14ac:dyDescent="0.25">
      <c r="A90">
        <f>+A89+1</f>
        <v>89</v>
      </c>
      <c r="B90" s="104" t="s">
        <v>691</v>
      </c>
      <c r="C90" s="10">
        <v>44586</v>
      </c>
      <c r="D90" t="s">
        <v>692</v>
      </c>
      <c r="E90" t="s">
        <v>693</v>
      </c>
      <c r="F90" t="s">
        <v>694</v>
      </c>
      <c r="G90" t="s">
        <v>291</v>
      </c>
      <c r="H90">
        <v>1</v>
      </c>
      <c r="I90" s="11">
        <v>1967.4</v>
      </c>
      <c r="J90" s="47">
        <f t="shared" si="2"/>
        <v>1967.4</v>
      </c>
      <c r="K90" t="s">
        <v>695</v>
      </c>
      <c r="L90" t="s">
        <v>240</v>
      </c>
      <c r="M90" t="s">
        <v>961</v>
      </c>
      <c r="N90" t="s">
        <v>961</v>
      </c>
      <c r="O90" t="s">
        <v>961</v>
      </c>
      <c r="P90" t="s">
        <v>961</v>
      </c>
      <c r="Q90" t="s">
        <v>961</v>
      </c>
      <c r="R90" t="s">
        <v>961</v>
      </c>
      <c r="S90" t="s">
        <v>961</v>
      </c>
      <c r="T90" t="s">
        <v>961</v>
      </c>
      <c r="U90" t="s">
        <v>961</v>
      </c>
    </row>
    <row r="91" spans="1:21" x14ac:dyDescent="0.25">
      <c r="A91" s="76">
        <f t="shared" si="3"/>
        <v>90</v>
      </c>
      <c r="B91" s="104" t="s">
        <v>696</v>
      </c>
      <c r="C91" s="10">
        <v>44644</v>
      </c>
      <c r="D91" t="s">
        <v>698</v>
      </c>
      <c r="F91" t="s">
        <v>699</v>
      </c>
      <c r="G91" t="s">
        <v>291</v>
      </c>
      <c r="H91">
        <v>1</v>
      </c>
      <c r="I91" s="11">
        <v>5319.05</v>
      </c>
      <c r="J91" s="47">
        <f t="shared" si="2"/>
        <v>5319.05</v>
      </c>
      <c r="K91" t="s">
        <v>655</v>
      </c>
      <c r="L91" t="s">
        <v>656</v>
      </c>
      <c r="M91" t="s">
        <v>961</v>
      </c>
      <c r="N91" t="s">
        <v>961</v>
      </c>
      <c r="O91" t="s">
        <v>961</v>
      </c>
      <c r="P91" t="s">
        <v>961</v>
      </c>
      <c r="Q91" t="s">
        <v>961</v>
      </c>
      <c r="R91" t="s">
        <v>961</v>
      </c>
      <c r="S91" t="s">
        <v>961</v>
      </c>
      <c r="T91" t="s">
        <v>961</v>
      </c>
      <c r="U91" t="s">
        <v>961</v>
      </c>
    </row>
    <row r="92" spans="1:21" x14ac:dyDescent="0.25">
      <c r="A92" s="76">
        <f t="shared" si="3"/>
        <v>91</v>
      </c>
      <c r="B92" s="104" t="s">
        <v>697</v>
      </c>
      <c r="C92" s="10">
        <v>44645</v>
      </c>
      <c r="D92" t="s">
        <v>700</v>
      </c>
      <c r="F92" t="s">
        <v>701</v>
      </c>
      <c r="G92" t="s">
        <v>291</v>
      </c>
      <c r="H92">
        <v>1</v>
      </c>
      <c r="I92" s="11">
        <v>5921.35</v>
      </c>
      <c r="J92" s="47">
        <f t="shared" si="2"/>
        <v>5921.35</v>
      </c>
      <c r="K92" t="s">
        <v>655</v>
      </c>
      <c r="L92" t="s">
        <v>656</v>
      </c>
      <c r="M92" t="s">
        <v>961</v>
      </c>
      <c r="N92" t="s">
        <v>961</v>
      </c>
      <c r="O92" t="s">
        <v>961</v>
      </c>
      <c r="P92" t="s">
        <v>961</v>
      </c>
      <c r="Q92" t="s">
        <v>961</v>
      </c>
      <c r="R92" t="s">
        <v>961</v>
      </c>
      <c r="S92" t="s">
        <v>961</v>
      </c>
      <c r="T92" t="s">
        <v>961</v>
      </c>
      <c r="U92" t="s">
        <v>961</v>
      </c>
    </row>
    <row r="93" spans="1:21" x14ac:dyDescent="0.25">
      <c r="A93" s="65">
        <f t="shared" si="3"/>
        <v>92</v>
      </c>
      <c r="B93" s="9" t="s">
        <v>704</v>
      </c>
      <c r="C93" s="10">
        <v>44645</v>
      </c>
      <c r="D93" t="s">
        <v>687</v>
      </c>
      <c r="E93" t="s">
        <v>688</v>
      </c>
      <c r="F93" t="s">
        <v>705</v>
      </c>
      <c r="G93" t="s">
        <v>281</v>
      </c>
      <c r="H93">
        <v>2</v>
      </c>
      <c r="I93" s="11">
        <v>4425.5</v>
      </c>
      <c r="J93" s="47">
        <f t="shared" si="2"/>
        <v>2212.75</v>
      </c>
      <c r="K93" t="s">
        <v>706</v>
      </c>
      <c r="L93" t="s">
        <v>80</v>
      </c>
      <c r="M93" t="s">
        <v>961</v>
      </c>
      <c r="N93" t="s">
        <v>961</v>
      </c>
      <c r="O93" t="s">
        <v>961</v>
      </c>
      <c r="P93" t="s">
        <v>961</v>
      </c>
      <c r="Q93" t="s">
        <v>961</v>
      </c>
      <c r="R93" t="s">
        <v>961</v>
      </c>
      <c r="S93" t="s">
        <v>961</v>
      </c>
      <c r="T93" t="s">
        <v>961</v>
      </c>
      <c r="U93" t="s">
        <v>961</v>
      </c>
    </row>
    <row r="94" spans="1:21" x14ac:dyDescent="0.25">
      <c r="A94" s="65">
        <f t="shared" si="3"/>
        <v>93</v>
      </c>
      <c r="B94" s="9" t="s">
        <v>707</v>
      </c>
      <c r="C94" s="10">
        <v>44645</v>
      </c>
      <c r="D94" t="s">
        <v>692</v>
      </c>
      <c r="E94" t="s">
        <v>693</v>
      </c>
      <c r="F94" t="s">
        <v>694</v>
      </c>
      <c r="G94" t="s">
        <v>281</v>
      </c>
      <c r="H94">
        <v>2</v>
      </c>
      <c r="I94" s="11">
        <v>3587.68</v>
      </c>
      <c r="J94" s="47">
        <f t="shared" si="2"/>
        <v>1793.84</v>
      </c>
      <c r="K94" t="s">
        <v>709</v>
      </c>
      <c r="L94" t="s">
        <v>80</v>
      </c>
      <c r="M94" t="s">
        <v>961</v>
      </c>
      <c r="N94" t="s">
        <v>961</v>
      </c>
      <c r="O94" t="s">
        <v>961</v>
      </c>
      <c r="P94" t="s">
        <v>961</v>
      </c>
      <c r="Q94" t="s">
        <v>961</v>
      </c>
      <c r="R94" t="s">
        <v>961</v>
      </c>
      <c r="S94" t="s">
        <v>961</v>
      </c>
      <c r="T94" t="s">
        <v>961</v>
      </c>
      <c r="U94" t="s">
        <v>961</v>
      </c>
    </row>
    <row r="95" spans="1:21" x14ac:dyDescent="0.25">
      <c r="A95">
        <f t="shared" si="3"/>
        <v>94</v>
      </c>
      <c r="B95" s="9" t="s">
        <v>708</v>
      </c>
      <c r="C95" s="10">
        <v>44646</v>
      </c>
      <c r="D95" t="s">
        <v>710</v>
      </c>
      <c r="E95" t="s">
        <v>711</v>
      </c>
      <c r="F95" t="s">
        <v>712</v>
      </c>
      <c r="G95" t="s">
        <v>168</v>
      </c>
      <c r="H95">
        <v>1</v>
      </c>
      <c r="I95" s="11">
        <v>3099</v>
      </c>
      <c r="J95" s="47">
        <f t="shared" si="2"/>
        <v>3099</v>
      </c>
      <c r="K95" t="s">
        <v>713</v>
      </c>
      <c r="L95" t="s">
        <v>277</v>
      </c>
      <c r="M95" t="s">
        <v>961</v>
      </c>
      <c r="N95" t="s">
        <v>961</v>
      </c>
      <c r="O95" t="s">
        <v>961</v>
      </c>
      <c r="P95" t="s">
        <v>961</v>
      </c>
      <c r="Q95" t="s">
        <v>961</v>
      </c>
      <c r="R95" t="s">
        <v>961</v>
      </c>
      <c r="S95" t="s">
        <v>961</v>
      </c>
      <c r="T95" t="s">
        <v>961</v>
      </c>
      <c r="U95" t="s">
        <v>961</v>
      </c>
    </row>
    <row r="96" spans="1:21" x14ac:dyDescent="0.25">
      <c r="A96" s="64">
        <f t="shared" si="3"/>
        <v>95</v>
      </c>
      <c r="B96" s="9" t="s">
        <v>714</v>
      </c>
      <c r="C96" s="10">
        <v>44643</v>
      </c>
      <c r="D96" t="s">
        <v>716</v>
      </c>
      <c r="E96" t="s">
        <v>717</v>
      </c>
      <c r="F96" t="s">
        <v>718</v>
      </c>
      <c r="G96" t="s">
        <v>168</v>
      </c>
      <c r="H96">
        <v>1</v>
      </c>
      <c r="I96" s="11">
        <v>7717.87</v>
      </c>
      <c r="J96" s="47">
        <f t="shared" si="2"/>
        <v>7717.87</v>
      </c>
      <c r="K96" t="s">
        <v>719</v>
      </c>
      <c r="L96" t="s">
        <v>732</v>
      </c>
      <c r="M96" t="s">
        <v>961</v>
      </c>
      <c r="N96" t="s">
        <v>961</v>
      </c>
      <c r="O96" t="s">
        <v>961</v>
      </c>
      <c r="P96" t="s">
        <v>961</v>
      </c>
      <c r="Q96" t="s">
        <v>961</v>
      </c>
      <c r="R96" t="s">
        <v>961</v>
      </c>
      <c r="S96" t="s">
        <v>961</v>
      </c>
      <c r="T96" t="s">
        <v>961</v>
      </c>
      <c r="U96" t="s">
        <v>961</v>
      </c>
    </row>
    <row r="97" spans="1:21" x14ac:dyDescent="0.25">
      <c r="A97">
        <f t="shared" si="3"/>
        <v>96</v>
      </c>
      <c r="B97" s="9" t="s">
        <v>715</v>
      </c>
      <c r="C97" s="10">
        <v>44643</v>
      </c>
      <c r="D97" t="s">
        <v>720</v>
      </c>
      <c r="E97" t="s">
        <v>721</v>
      </c>
      <c r="F97" t="s">
        <v>722</v>
      </c>
      <c r="G97" t="s">
        <v>168</v>
      </c>
      <c r="H97">
        <v>1</v>
      </c>
      <c r="I97" s="11">
        <v>932.4</v>
      </c>
      <c r="J97" s="47">
        <f t="shared" si="2"/>
        <v>932.4</v>
      </c>
      <c r="K97" t="s">
        <v>723</v>
      </c>
      <c r="L97" t="s">
        <v>277</v>
      </c>
      <c r="M97" t="s">
        <v>961</v>
      </c>
      <c r="N97" t="s">
        <v>961</v>
      </c>
      <c r="O97" t="s">
        <v>961</v>
      </c>
      <c r="P97" t="s">
        <v>961</v>
      </c>
      <c r="Q97" t="s">
        <v>961</v>
      </c>
      <c r="R97" t="s">
        <v>961</v>
      </c>
      <c r="S97" t="s">
        <v>961</v>
      </c>
      <c r="T97" t="s">
        <v>961</v>
      </c>
      <c r="U97" t="s">
        <v>961</v>
      </c>
    </row>
    <row r="98" spans="1:21" x14ac:dyDescent="0.25">
      <c r="A98">
        <f t="shared" si="3"/>
        <v>97</v>
      </c>
      <c r="B98" s="9" t="s">
        <v>724</v>
      </c>
      <c r="C98" s="10">
        <v>44641</v>
      </c>
      <c r="D98" t="s">
        <v>728</v>
      </c>
      <c r="E98" t="s">
        <v>729</v>
      </c>
      <c r="F98" t="s">
        <v>730</v>
      </c>
      <c r="G98" t="s">
        <v>168</v>
      </c>
      <c r="H98">
        <v>1</v>
      </c>
      <c r="I98" s="11">
        <v>1868</v>
      </c>
      <c r="J98" s="47">
        <f t="shared" si="2"/>
        <v>1868</v>
      </c>
      <c r="K98" t="s">
        <v>731</v>
      </c>
      <c r="L98" t="s">
        <v>277</v>
      </c>
      <c r="M98" t="s">
        <v>961</v>
      </c>
      <c r="N98" t="s">
        <v>961</v>
      </c>
      <c r="O98" t="s">
        <v>961</v>
      </c>
      <c r="P98" t="s">
        <v>961</v>
      </c>
      <c r="Q98" t="s">
        <v>961</v>
      </c>
      <c r="R98" t="s">
        <v>961</v>
      </c>
      <c r="S98" t="s">
        <v>961</v>
      </c>
      <c r="T98" t="s">
        <v>961</v>
      </c>
      <c r="U98" t="s">
        <v>961</v>
      </c>
    </row>
    <row r="99" spans="1:21" x14ac:dyDescent="0.25">
      <c r="A99">
        <f t="shared" si="3"/>
        <v>98</v>
      </c>
      <c r="B99" s="104" t="s">
        <v>725</v>
      </c>
      <c r="C99" s="10">
        <v>44649</v>
      </c>
      <c r="D99" t="s">
        <v>733</v>
      </c>
      <c r="E99" t="s">
        <v>734</v>
      </c>
      <c r="F99" t="s">
        <v>735</v>
      </c>
      <c r="G99" t="s">
        <v>168</v>
      </c>
      <c r="H99">
        <v>1</v>
      </c>
      <c r="I99" s="11">
        <v>1759</v>
      </c>
      <c r="J99" s="47">
        <f t="shared" si="2"/>
        <v>1759</v>
      </c>
      <c r="K99" t="s">
        <v>736</v>
      </c>
      <c r="L99" t="s">
        <v>741</v>
      </c>
      <c r="M99" t="s">
        <v>961</v>
      </c>
      <c r="N99" t="s">
        <v>961</v>
      </c>
      <c r="O99" t="s">
        <v>961</v>
      </c>
      <c r="P99" t="s">
        <v>961</v>
      </c>
      <c r="Q99" t="s">
        <v>961</v>
      </c>
      <c r="R99" t="s">
        <v>961</v>
      </c>
      <c r="S99" t="s">
        <v>961</v>
      </c>
      <c r="T99" t="s">
        <v>961</v>
      </c>
      <c r="U99" t="s">
        <v>961</v>
      </c>
    </row>
    <row r="100" spans="1:21" x14ac:dyDescent="0.25">
      <c r="A100">
        <f t="shared" si="3"/>
        <v>99</v>
      </c>
      <c r="B100" s="9" t="s">
        <v>726</v>
      </c>
      <c r="C100" s="10">
        <v>44649</v>
      </c>
      <c r="D100" t="s">
        <v>737</v>
      </c>
      <c r="E100" t="s">
        <v>738</v>
      </c>
      <c r="F100" t="s">
        <v>739</v>
      </c>
      <c r="G100" t="s">
        <v>168</v>
      </c>
      <c r="H100">
        <v>1</v>
      </c>
      <c r="I100" s="11">
        <v>784</v>
      </c>
      <c r="J100" s="47">
        <f t="shared" si="2"/>
        <v>784</v>
      </c>
      <c r="K100" t="s">
        <v>740</v>
      </c>
      <c r="L100" t="s">
        <v>752</v>
      </c>
      <c r="M100" t="s">
        <v>961</v>
      </c>
      <c r="N100" t="s">
        <v>961</v>
      </c>
      <c r="O100" t="s">
        <v>961</v>
      </c>
      <c r="P100" t="s">
        <v>961</v>
      </c>
      <c r="Q100" t="s">
        <v>961</v>
      </c>
      <c r="R100" t="s">
        <v>961</v>
      </c>
      <c r="S100" t="s">
        <v>961</v>
      </c>
      <c r="T100" t="s">
        <v>961</v>
      </c>
      <c r="U100" t="s">
        <v>961</v>
      </c>
    </row>
    <row r="101" spans="1:21" x14ac:dyDescent="0.25">
      <c r="A101">
        <f t="shared" si="3"/>
        <v>100</v>
      </c>
      <c r="B101" s="9" t="s">
        <v>727</v>
      </c>
      <c r="C101" s="10">
        <v>44649</v>
      </c>
      <c r="D101" t="s">
        <v>742</v>
      </c>
      <c r="E101" t="s">
        <v>743</v>
      </c>
      <c r="F101" t="s">
        <v>744</v>
      </c>
      <c r="G101" t="s">
        <v>168</v>
      </c>
      <c r="H101">
        <v>1</v>
      </c>
      <c r="I101" s="11">
        <v>2267</v>
      </c>
      <c r="J101" s="47">
        <f t="shared" si="2"/>
        <v>2267</v>
      </c>
      <c r="K101" t="s">
        <v>745</v>
      </c>
      <c r="L101" t="s">
        <v>753</v>
      </c>
      <c r="M101" t="s">
        <v>961</v>
      </c>
      <c r="N101" t="s">
        <v>961</v>
      </c>
      <c r="O101" t="s">
        <v>961</v>
      </c>
      <c r="P101" t="s">
        <v>961</v>
      </c>
      <c r="Q101" t="s">
        <v>961</v>
      </c>
      <c r="R101" t="s">
        <v>961</v>
      </c>
      <c r="S101" t="s">
        <v>961</v>
      </c>
      <c r="T101" t="s">
        <v>961</v>
      </c>
      <c r="U101" t="s">
        <v>961</v>
      </c>
    </row>
    <row r="102" spans="1:21" x14ac:dyDescent="0.25">
      <c r="A102">
        <f t="shared" si="3"/>
        <v>101</v>
      </c>
      <c r="B102" s="9" t="s">
        <v>746</v>
      </c>
      <c r="C102" s="10">
        <v>44650</v>
      </c>
      <c r="D102" t="s">
        <v>748</v>
      </c>
      <c r="E102" t="s">
        <v>749</v>
      </c>
      <c r="F102" t="s">
        <v>750</v>
      </c>
      <c r="G102" t="s">
        <v>291</v>
      </c>
      <c r="H102">
        <v>1</v>
      </c>
      <c r="I102" s="11">
        <v>2065</v>
      </c>
      <c r="J102" s="47">
        <f t="shared" si="2"/>
        <v>2065</v>
      </c>
      <c r="K102" t="s">
        <v>751</v>
      </c>
      <c r="L102" t="s">
        <v>192</v>
      </c>
      <c r="M102" t="s">
        <v>961</v>
      </c>
      <c r="N102" t="s">
        <v>961</v>
      </c>
      <c r="O102" t="s">
        <v>961</v>
      </c>
      <c r="P102" t="s">
        <v>961</v>
      </c>
      <c r="Q102" t="s">
        <v>961</v>
      </c>
      <c r="R102" t="s">
        <v>961</v>
      </c>
      <c r="S102" t="s">
        <v>961</v>
      </c>
      <c r="T102" t="s">
        <v>961</v>
      </c>
      <c r="U102" t="s">
        <v>961</v>
      </c>
    </row>
    <row r="103" spans="1:21" x14ac:dyDescent="0.25">
      <c r="A103">
        <f t="shared" si="3"/>
        <v>102</v>
      </c>
      <c r="B103" s="9" t="s">
        <v>747</v>
      </c>
      <c r="C103" s="10">
        <v>44650</v>
      </c>
      <c r="D103" t="s">
        <v>754</v>
      </c>
      <c r="E103" t="s">
        <v>755</v>
      </c>
      <c r="F103" t="s">
        <v>756</v>
      </c>
      <c r="G103" t="s">
        <v>168</v>
      </c>
      <c r="H103">
        <v>1</v>
      </c>
      <c r="I103" s="11">
        <v>2493</v>
      </c>
      <c r="J103" s="47">
        <f t="shared" si="2"/>
        <v>2493</v>
      </c>
      <c r="K103" t="s">
        <v>757</v>
      </c>
      <c r="L103" t="s">
        <v>774</v>
      </c>
      <c r="M103" t="s">
        <v>961</v>
      </c>
      <c r="N103" t="s">
        <v>961</v>
      </c>
      <c r="O103" t="s">
        <v>961</v>
      </c>
      <c r="P103" t="s">
        <v>961</v>
      </c>
      <c r="Q103" t="s">
        <v>961</v>
      </c>
      <c r="R103" t="s">
        <v>961</v>
      </c>
      <c r="S103" t="s">
        <v>961</v>
      </c>
      <c r="T103" t="s">
        <v>961</v>
      </c>
      <c r="U103" t="s">
        <v>961</v>
      </c>
    </row>
    <row r="104" spans="1:21" x14ac:dyDescent="0.25">
      <c r="A104">
        <f t="shared" si="3"/>
        <v>103</v>
      </c>
      <c r="B104" s="9" t="s">
        <v>761</v>
      </c>
      <c r="C104" s="10">
        <v>44651</v>
      </c>
      <c r="D104" t="s">
        <v>762</v>
      </c>
      <c r="E104" t="s">
        <v>763</v>
      </c>
      <c r="F104" t="s">
        <v>764</v>
      </c>
      <c r="G104" t="s">
        <v>168</v>
      </c>
      <c r="H104">
        <v>1</v>
      </c>
      <c r="I104" s="11">
        <v>852</v>
      </c>
      <c r="J104" s="47">
        <f t="shared" si="2"/>
        <v>852</v>
      </c>
      <c r="K104" t="s">
        <v>765</v>
      </c>
      <c r="L104" t="s">
        <v>192</v>
      </c>
      <c r="M104" t="s">
        <v>961</v>
      </c>
      <c r="N104" t="s">
        <v>961</v>
      </c>
      <c r="O104" t="s">
        <v>961</v>
      </c>
      <c r="P104" t="s">
        <v>961</v>
      </c>
      <c r="Q104" t="s">
        <v>961</v>
      </c>
      <c r="R104" t="s">
        <v>961</v>
      </c>
      <c r="S104" t="s">
        <v>961</v>
      </c>
      <c r="T104" t="s">
        <v>961</v>
      </c>
      <c r="U104" t="s">
        <v>961</v>
      </c>
    </row>
    <row r="105" spans="1:21" x14ac:dyDescent="0.25">
      <c r="A105">
        <f t="shared" si="3"/>
        <v>104</v>
      </c>
      <c r="B105" s="9" t="s">
        <v>767</v>
      </c>
      <c r="C105" s="10">
        <v>44642</v>
      </c>
      <c r="D105" t="s">
        <v>771</v>
      </c>
      <c r="E105" t="s">
        <v>772</v>
      </c>
      <c r="F105" t="s">
        <v>773</v>
      </c>
      <c r="G105" t="s">
        <v>168</v>
      </c>
      <c r="H105">
        <v>1</v>
      </c>
      <c r="I105" s="11">
        <v>1115.8800000000001</v>
      </c>
      <c r="J105" s="47">
        <f t="shared" si="2"/>
        <v>1115.8800000000001</v>
      </c>
      <c r="K105" t="s">
        <v>536</v>
      </c>
      <c r="L105" t="s">
        <v>775</v>
      </c>
      <c r="M105" t="s">
        <v>961</v>
      </c>
      <c r="N105" t="s">
        <v>961</v>
      </c>
      <c r="O105" t="s">
        <v>961</v>
      </c>
      <c r="P105" t="s">
        <v>961</v>
      </c>
      <c r="Q105" t="s">
        <v>961</v>
      </c>
      <c r="R105" t="s">
        <v>961</v>
      </c>
      <c r="S105" t="s">
        <v>961</v>
      </c>
      <c r="T105" t="s">
        <v>961</v>
      </c>
      <c r="U105" t="s">
        <v>961</v>
      </c>
    </row>
    <row r="106" spans="1:21" x14ac:dyDescent="0.25">
      <c r="A106" s="78">
        <f t="shared" si="3"/>
        <v>105</v>
      </c>
      <c r="B106" s="9" t="s">
        <v>768</v>
      </c>
      <c r="C106" s="10">
        <v>44646</v>
      </c>
      <c r="D106" t="s">
        <v>172</v>
      </c>
      <c r="E106" t="s">
        <v>173</v>
      </c>
      <c r="F106" t="s">
        <v>174</v>
      </c>
      <c r="G106" t="s">
        <v>281</v>
      </c>
      <c r="H106">
        <v>2</v>
      </c>
      <c r="I106" s="11">
        <v>9981.2000000000007</v>
      </c>
      <c r="J106" s="47">
        <f t="shared" si="2"/>
        <v>4990.6000000000004</v>
      </c>
      <c r="K106" t="s">
        <v>205</v>
      </c>
      <c r="L106" t="s">
        <v>80</v>
      </c>
      <c r="M106" t="s">
        <v>961</v>
      </c>
      <c r="N106" t="s">
        <v>961</v>
      </c>
      <c r="O106" t="s">
        <v>961</v>
      </c>
      <c r="P106" t="s">
        <v>961</v>
      </c>
      <c r="Q106" t="s">
        <v>961</v>
      </c>
      <c r="R106" t="s">
        <v>961</v>
      </c>
      <c r="S106" t="s">
        <v>961</v>
      </c>
      <c r="T106" t="s">
        <v>961</v>
      </c>
      <c r="U106" t="s">
        <v>961</v>
      </c>
    </row>
    <row r="107" spans="1:21" x14ac:dyDescent="0.25">
      <c r="A107">
        <f t="shared" si="3"/>
        <v>106</v>
      </c>
      <c r="B107" s="9" t="s">
        <v>769</v>
      </c>
      <c r="C107" s="10">
        <v>44652</v>
      </c>
      <c r="D107" t="s">
        <v>776</v>
      </c>
      <c r="E107" t="s">
        <v>777</v>
      </c>
      <c r="F107" t="s">
        <v>778</v>
      </c>
      <c r="G107" t="s">
        <v>168</v>
      </c>
      <c r="H107">
        <v>1</v>
      </c>
      <c r="I107" s="11">
        <v>984</v>
      </c>
      <c r="J107" s="47">
        <f t="shared" si="2"/>
        <v>984</v>
      </c>
      <c r="K107" t="s">
        <v>779</v>
      </c>
      <c r="L107" t="s">
        <v>796</v>
      </c>
      <c r="M107" t="s">
        <v>961</v>
      </c>
      <c r="N107" t="s">
        <v>961</v>
      </c>
      <c r="O107" t="s">
        <v>961</v>
      </c>
      <c r="P107" t="s">
        <v>961</v>
      </c>
      <c r="Q107" t="s">
        <v>961</v>
      </c>
      <c r="R107" t="s">
        <v>961</v>
      </c>
      <c r="S107" t="s">
        <v>961</v>
      </c>
      <c r="T107" t="s">
        <v>961</v>
      </c>
    </row>
    <row r="108" spans="1:21" x14ac:dyDescent="0.25">
      <c r="A108" s="64">
        <f t="shared" si="3"/>
        <v>107</v>
      </c>
      <c r="B108" s="9" t="s">
        <v>770</v>
      </c>
      <c r="C108" s="10">
        <v>44651</v>
      </c>
      <c r="D108" t="s">
        <v>780</v>
      </c>
      <c r="E108" t="s">
        <v>781</v>
      </c>
      <c r="F108" t="s">
        <v>782</v>
      </c>
      <c r="G108" t="s">
        <v>168</v>
      </c>
      <c r="H108">
        <v>1</v>
      </c>
      <c r="I108" s="11">
        <v>7200.46</v>
      </c>
      <c r="J108" s="47">
        <f t="shared" si="2"/>
        <v>7200.46</v>
      </c>
      <c r="K108" t="s">
        <v>783</v>
      </c>
      <c r="L108" t="s">
        <v>784</v>
      </c>
      <c r="M108" t="s">
        <v>961</v>
      </c>
      <c r="N108" t="s">
        <v>961</v>
      </c>
      <c r="O108" t="s">
        <v>961</v>
      </c>
      <c r="P108" t="s">
        <v>961</v>
      </c>
      <c r="Q108" t="s">
        <v>961</v>
      </c>
      <c r="R108" t="s">
        <v>961</v>
      </c>
      <c r="S108" t="s">
        <v>961</v>
      </c>
      <c r="T108" t="s">
        <v>961</v>
      </c>
    </row>
    <row r="109" spans="1:21" x14ac:dyDescent="0.25">
      <c r="A109">
        <f t="shared" si="3"/>
        <v>108</v>
      </c>
      <c r="B109" s="9" t="s">
        <v>791</v>
      </c>
      <c r="C109" s="10">
        <v>44648</v>
      </c>
      <c r="D109" t="s">
        <v>792</v>
      </c>
      <c r="E109" t="s">
        <v>793</v>
      </c>
      <c r="F109" t="s">
        <v>794</v>
      </c>
      <c r="G109" t="s">
        <v>168</v>
      </c>
      <c r="H109">
        <v>1</v>
      </c>
      <c r="I109" s="11">
        <v>1988</v>
      </c>
      <c r="J109" s="47">
        <f t="shared" si="2"/>
        <v>1988</v>
      </c>
      <c r="K109" t="s">
        <v>795</v>
      </c>
      <c r="L109" t="s">
        <v>72</v>
      </c>
      <c r="M109" t="s">
        <v>961</v>
      </c>
      <c r="N109" t="s">
        <v>961</v>
      </c>
      <c r="O109" t="s">
        <v>961</v>
      </c>
      <c r="P109" t="s">
        <v>961</v>
      </c>
      <c r="Q109" t="s">
        <v>961</v>
      </c>
      <c r="R109" t="s">
        <v>961</v>
      </c>
      <c r="S109" t="s">
        <v>961</v>
      </c>
      <c r="T109" t="s">
        <v>961</v>
      </c>
    </row>
    <row r="110" spans="1:21" x14ac:dyDescent="0.25">
      <c r="A110" s="78">
        <f t="shared" si="3"/>
        <v>109</v>
      </c>
      <c r="B110" s="9" t="s">
        <v>800</v>
      </c>
      <c r="C110" s="10">
        <v>44658</v>
      </c>
      <c r="D110" t="s">
        <v>780</v>
      </c>
      <c r="E110" t="s">
        <v>781</v>
      </c>
      <c r="F110" t="s">
        <v>782</v>
      </c>
      <c r="G110" t="s">
        <v>281</v>
      </c>
      <c r="H110">
        <v>2</v>
      </c>
      <c r="I110" s="11">
        <v>14318.22</v>
      </c>
      <c r="J110" s="47">
        <f t="shared" si="2"/>
        <v>7159.11</v>
      </c>
      <c r="K110" t="s">
        <v>801</v>
      </c>
      <c r="L110" t="s">
        <v>80</v>
      </c>
      <c r="M110" t="s">
        <v>961</v>
      </c>
      <c r="N110" t="s">
        <v>961</v>
      </c>
      <c r="O110" t="s">
        <v>961</v>
      </c>
      <c r="P110" t="s">
        <v>961</v>
      </c>
      <c r="Q110" t="s">
        <v>961</v>
      </c>
      <c r="R110" t="s">
        <v>961</v>
      </c>
      <c r="S110" t="s">
        <v>961</v>
      </c>
      <c r="T110" t="s">
        <v>961</v>
      </c>
    </row>
    <row r="111" spans="1:21" x14ac:dyDescent="0.25">
      <c r="A111" s="65">
        <f t="shared" si="3"/>
        <v>110</v>
      </c>
      <c r="B111" s="9" t="s">
        <v>802</v>
      </c>
      <c r="C111" s="10">
        <v>44655</v>
      </c>
      <c r="D111" t="s">
        <v>792</v>
      </c>
      <c r="E111" t="s">
        <v>793</v>
      </c>
      <c r="F111" t="s">
        <v>794</v>
      </c>
      <c r="G111" t="s">
        <v>281</v>
      </c>
      <c r="H111">
        <v>2</v>
      </c>
      <c r="I111" s="11">
        <v>4713.5</v>
      </c>
      <c r="J111" s="47">
        <f t="shared" si="2"/>
        <v>2356.75</v>
      </c>
      <c r="K111" t="s">
        <v>807</v>
      </c>
      <c r="L111" t="s">
        <v>80</v>
      </c>
      <c r="M111" t="s">
        <v>961</v>
      </c>
      <c r="N111" t="s">
        <v>961</v>
      </c>
      <c r="O111" t="s">
        <v>961</v>
      </c>
      <c r="P111" t="s">
        <v>961</v>
      </c>
      <c r="Q111" t="s">
        <v>961</v>
      </c>
      <c r="R111" t="s">
        <v>961</v>
      </c>
      <c r="S111" t="s">
        <v>961</v>
      </c>
      <c r="T111" t="s">
        <v>961</v>
      </c>
    </row>
    <row r="112" spans="1:21" x14ac:dyDescent="0.25">
      <c r="A112">
        <f t="shared" si="3"/>
        <v>111</v>
      </c>
      <c r="B112" s="9" t="s">
        <v>803</v>
      </c>
      <c r="C112" s="10">
        <v>44656</v>
      </c>
      <c r="D112" t="s">
        <v>808</v>
      </c>
      <c r="E112" t="s">
        <v>809</v>
      </c>
      <c r="F112" t="s">
        <v>810</v>
      </c>
      <c r="G112" t="s">
        <v>291</v>
      </c>
      <c r="H112">
        <v>1</v>
      </c>
      <c r="I112" s="11">
        <v>2219.4</v>
      </c>
      <c r="J112" s="47">
        <f t="shared" si="2"/>
        <v>2219.4</v>
      </c>
      <c r="K112" t="s">
        <v>811</v>
      </c>
      <c r="L112" t="s">
        <v>816</v>
      </c>
      <c r="M112" t="s">
        <v>961</v>
      </c>
      <c r="N112" t="s">
        <v>961</v>
      </c>
      <c r="O112" t="s">
        <v>961</v>
      </c>
      <c r="P112" t="s">
        <v>961</v>
      </c>
      <c r="Q112" t="s">
        <v>961</v>
      </c>
      <c r="R112" t="s">
        <v>961</v>
      </c>
      <c r="S112" t="s">
        <v>961</v>
      </c>
      <c r="T112" t="s">
        <v>961</v>
      </c>
    </row>
    <row r="113" spans="1:20" x14ac:dyDescent="0.25">
      <c r="A113" s="65">
        <f t="shared" si="3"/>
        <v>112</v>
      </c>
      <c r="B113" s="9" t="s">
        <v>804</v>
      </c>
      <c r="C113" s="10">
        <v>44657</v>
      </c>
      <c r="D113" t="s">
        <v>812</v>
      </c>
      <c r="E113" t="s">
        <v>813</v>
      </c>
      <c r="F113" t="s">
        <v>814</v>
      </c>
      <c r="G113" t="s">
        <v>281</v>
      </c>
      <c r="H113">
        <v>1</v>
      </c>
      <c r="I113" s="11">
        <v>738.3</v>
      </c>
      <c r="J113" s="47">
        <f t="shared" si="2"/>
        <v>738.3</v>
      </c>
      <c r="K113" t="s">
        <v>815</v>
      </c>
      <c r="L113" t="s">
        <v>329</v>
      </c>
      <c r="M113" t="s">
        <v>961</v>
      </c>
      <c r="N113" t="s">
        <v>961</v>
      </c>
      <c r="O113" t="s">
        <v>961</v>
      </c>
      <c r="P113" t="s">
        <v>961</v>
      </c>
      <c r="Q113" t="s">
        <v>961</v>
      </c>
      <c r="R113" t="s">
        <v>961</v>
      </c>
      <c r="S113" t="s">
        <v>961</v>
      </c>
      <c r="T113" t="s">
        <v>961</v>
      </c>
    </row>
    <row r="114" spans="1:20" x14ac:dyDescent="0.25">
      <c r="A114" s="65">
        <f t="shared" si="3"/>
        <v>113</v>
      </c>
      <c r="B114" s="9" t="s">
        <v>805</v>
      </c>
      <c r="C114" s="10">
        <v>44660</v>
      </c>
      <c r="D114" t="s">
        <v>817</v>
      </c>
      <c r="E114" t="s">
        <v>818</v>
      </c>
      <c r="F114" t="s">
        <v>819</v>
      </c>
      <c r="G114" t="s">
        <v>291</v>
      </c>
      <c r="H114">
        <v>1</v>
      </c>
      <c r="I114" s="11">
        <v>800</v>
      </c>
      <c r="J114" s="47">
        <f t="shared" si="2"/>
        <v>800</v>
      </c>
      <c r="K114" t="s">
        <v>820</v>
      </c>
      <c r="L114" t="s">
        <v>192</v>
      </c>
      <c r="M114" t="s">
        <v>961</v>
      </c>
      <c r="N114" t="s">
        <v>961</v>
      </c>
      <c r="O114" t="s">
        <v>961</v>
      </c>
      <c r="P114" t="s">
        <v>961</v>
      </c>
      <c r="Q114" t="s">
        <v>961</v>
      </c>
      <c r="R114" t="s">
        <v>961</v>
      </c>
      <c r="S114" t="s">
        <v>961</v>
      </c>
      <c r="T114" t="s">
        <v>961</v>
      </c>
    </row>
    <row r="115" spans="1:20" x14ac:dyDescent="0.25">
      <c r="A115" s="65">
        <f t="shared" si="3"/>
        <v>114</v>
      </c>
      <c r="B115" s="9" t="s">
        <v>806</v>
      </c>
      <c r="C115" s="10">
        <v>44662</v>
      </c>
      <c r="D115" t="s">
        <v>627</v>
      </c>
      <c r="E115" t="s">
        <v>821</v>
      </c>
      <c r="F115" t="s">
        <v>822</v>
      </c>
      <c r="G115" t="s">
        <v>168</v>
      </c>
      <c r="H115">
        <v>1</v>
      </c>
      <c r="I115" s="11">
        <v>2200</v>
      </c>
      <c r="J115" s="47">
        <f t="shared" si="2"/>
        <v>2200</v>
      </c>
      <c r="K115" t="s">
        <v>823</v>
      </c>
      <c r="L115" t="s">
        <v>192</v>
      </c>
      <c r="M115" t="s">
        <v>961</v>
      </c>
      <c r="N115" t="s">
        <v>961</v>
      </c>
      <c r="O115" t="s">
        <v>961</v>
      </c>
      <c r="P115" t="s">
        <v>961</v>
      </c>
      <c r="Q115" t="s">
        <v>961</v>
      </c>
      <c r="R115" t="s">
        <v>961</v>
      </c>
      <c r="S115" t="s">
        <v>961</v>
      </c>
      <c r="T115" t="s">
        <v>961</v>
      </c>
    </row>
    <row r="116" spans="1:20" x14ac:dyDescent="0.25">
      <c r="A116">
        <f t="shared" si="3"/>
        <v>115</v>
      </c>
      <c r="B116" s="9" t="s">
        <v>824</v>
      </c>
      <c r="C116" s="10">
        <v>44662</v>
      </c>
      <c r="D116" t="s">
        <v>829</v>
      </c>
      <c r="E116" t="s">
        <v>830</v>
      </c>
      <c r="F116" t="s">
        <v>831</v>
      </c>
      <c r="G116" t="s">
        <v>168</v>
      </c>
      <c r="H116">
        <v>1</v>
      </c>
      <c r="I116" s="11">
        <v>1060</v>
      </c>
      <c r="J116" s="47">
        <f t="shared" si="2"/>
        <v>1060</v>
      </c>
      <c r="K116" t="s">
        <v>276</v>
      </c>
      <c r="L116" t="s">
        <v>832</v>
      </c>
      <c r="M116" t="s">
        <v>961</v>
      </c>
      <c r="N116" t="s">
        <v>961</v>
      </c>
      <c r="O116" t="s">
        <v>961</v>
      </c>
      <c r="P116" t="s">
        <v>961</v>
      </c>
      <c r="Q116" t="s">
        <v>961</v>
      </c>
      <c r="R116" t="s">
        <v>961</v>
      </c>
      <c r="S116" t="s">
        <v>961</v>
      </c>
      <c r="T116" t="s">
        <v>961</v>
      </c>
    </row>
    <row r="117" spans="1:20" x14ac:dyDescent="0.25">
      <c r="A117">
        <f t="shared" si="3"/>
        <v>116</v>
      </c>
      <c r="B117" s="9" t="s">
        <v>825</v>
      </c>
      <c r="C117" s="10">
        <v>44663</v>
      </c>
      <c r="D117" t="s">
        <v>833</v>
      </c>
      <c r="E117" t="s">
        <v>834</v>
      </c>
      <c r="F117" t="s">
        <v>835</v>
      </c>
      <c r="G117" t="s">
        <v>168</v>
      </c>
      <c r="H117">
        <v>1</v>
      </c>
      <c r="I117" s="11">
        <v>1500</v>
      </c>
      <c r="J117" s="47">
        <f t="shared" si="2"/>
        <v>1500</v>
      </c>
      <c r="K117" t="s">
        <v>836</v>
      </c>
      <c r="L117" t="s">
        <v>277</v>
      </c>
      <c r="M117" t="s">
        <v>961</v>
      </c>
      <c r="N117" t="s">
        <v>961</v>
      </c>
      <c r="O117" t="s">
        <v>961</v>
      </c>
      <c r="P117" t="s">
        <v>961</v>
      </c>
      <c r="Q117" t="s">
        <v>961</v>
      </c>
      <c r="R117" t="s">
        <v>961</v>
      </c>
      <c r="S117" t="s">
        <v>961</v>
      </c>
      <c r="T117" t="s">
        <v>961</v>
      </c>
    </row>
    <row r="118" spans="1:20" x14ac:dyDescent="0.25">
      <c r="A118" s="79">
        <f t="shared" si="3"/>
        <v>117</v>
      </c>
      <c r="B118" s="9" t="s">
        <v>826</v>
      </c>
      <c r="C118" s="10">
        <v>44663</v>
      </c>
      <c r="D118" t="s">
        <v>837</v>
      </c>
      <c r="E118" t="s">
        <v>838</v>
      </c>
      <c r="F118" t="s">
        <v>839</v>
      </c>
      <c r="G118" t="s">
        <v>168</v>
      </c>
      <c r="H118">
        <v>1</v>
      </c>
      <c r="I118" s="11">
        <v>1470</v>
      </c>
      <c r="J118" s="47">
        <f t="shared" si="2"/>
        <v>1470</v>
      </c>
      <c r="K118" t="s">
        <v>840</v>
      </c>
      <c r="L118" t="s">
        <v>841</v>
      </c>
      <c r="M118" t="s">
        <v>961</v>
      </c>
      <c r="N118" t="s">
        <v>961</v>
      </c>
      <c r="O118" t="s">
        <v>961</v>
      </c>
      <c r="P118" t="s">
        <v>961</v>
      </c>
      <c r="Q118" t="s">
        <v>961</v>
      </c>
      <c r="R118" t="s">
        <v>961</v>
      </c>
      <c r="S118" t="s">
        <v>961</v>
      </c>
      <c r="T118" t="s">
        <v>961</v>
      </c>
    </row>
    <row r="119" spans="1:20" x14ac:dyDescent="0.25">
      <c r="A119">
        <f t="shared" si="3"/>
        <v>118</v>
      </c>
      <c r="B119" s="9" t="s">
        <v>827</v>
      </c>
      <c r="C119" s="10">
        <v>44664</v>
      </c>
      <c r="D119" t="s">
        <v>842</v>
      </c>
      <c r="E119" t="s">
        <v>843</v>
      </c>
      <c r="F119" t="s">
        <v>844</v>
      </c>
      <c r="G119" t="s">
        <v>168</v>
      </c>
      <c r="H119">
        <v>1</v>
      </c>
      <c r="I119" s="11">
        <v>1075</v>
      </c>
      <c r="J119" s="47">
        <f t="shared" si="2"/>
        <v>1075</v>
      </c>
      <c r="K119" t="s">
        <v>845</v>
      </c>
      <c r="L119" t="s">
        <v>192</v>
      </c>
      <c r="M119" t="s">
        <v>961</v>
      </c>
      <c r="N119" t="s">
        <v>961</v>
      </c>
      <c r="O119" t="s">
        <v>961</v>
      </c>
      <c r="P119" t="s">
        <v>961</v>
      </c>
      <c r="Q119" t="s">
        <v>961</v>
      </c>
      <c r="R119" t="s">
        <v>961</v>
      </c>
      <c r="S119" t="s">
        <v>961</v>
      </c>
      <c r="T119" t="s">
        <v>961</v>
      </c>
    </row>
    <row r="120" spans="1:20" x14ac:dyDescent="0.25">
      <c r="A120">
        <f t="shared" si="3"/>
        <v>119</v>
      </c>
      <c r="B120" s="9" t="s">
        <v>828</v>
      </c>
      <c r="C120" s="10">
        <v>44665</v>
      </c>
      <c r="D120" t="s">
        <v>846</v>
      </c>
      <c r="E120" t="s">
        <v>847</v>
      </c>
      <c r="F120" t="s">
        <v>848</v>
      </c>
      <c r="G120" t="s">
        <v>168</v>
      </c>
      <c r="H120">
        <v>1</v>
      </c>
      <c r="I120" s="11">
        <v>1800</v>
      </c>
      <c r="J120" s="47">
        <f t="shared" si="2"/>
        <v>1800</v>
      </c>
      <c r="K120" t="s">
        <v>849</v>
      </c>
      <c r="L120" t="s">
        <v>606</v>
      </c>
      <c r="M120" t="s">
        <v>961</v>
      </c>
      <c r="N120" t="s">
        <v>961</v>
      </c>
      <c r="O120" t="s">
        <v>961</v>
      </c>
      <c r="P120" t="s">
        <v>961</v>
      </c>
      <c r="Q120" t="s">
        <v>961</v>
      </c>
      <c r="R120" t="s">
        <v>961</v>
      </c>
      <c r="S120" t="s">
        <v>961</v>
      </c>
      <c r="T120" t="s">
        <v>961</v>
      </c>
    </row>
    <row r="121" spans="1:20" x14ac:dyDescent="0.25">
      <c r="A121">
        <f t="shared" si="3"/>
        <v>120</v>
      </c>
      <c r="B121" s="9" t="s">
        <v>850</v>
      </c>
      <c r="C121" s="10">
        <v>44669</v>
      </c>
      <c r="D121" t="s">
        <v>853</v>
      </c>
      <c r="E121" t="s">
        <v>854</v>
      </c>
      <c r="F121" t="s">
        <v>855</v>
      </c>
      <c r="G121" t="s">
        <v>168</v>
      </c>
      <c r="H121">
        <v>1</v>
      </c>
      <c r="I121" s="11">
        <v>1335</v>
      </c>
      <c r="J121" s="47">
        <f t="shared" si="2"/>
        <v>1335</v>
      </c>
      <c r="K121" t="s">
        <v>856</v>
      </c>
      <c r="L121" t="s">
        <v>872</v>
      </c>
      <c r="M121" t="s">
        <v>961</v>
      </c>
      <c r="N121" t="s">
        <v>961</v>
      </c>
      <c r="O121" t="s">
        <v>961</v>
      </c>
      <c r="P121" t="s">
        <v>961</v>
      </c>
      <c r="Q121" t="s">
        <v>961</v>
      </c>
      <c r="R121" t="s">
        <v>961</v>
      </c>
      <c r="S121" t="s">
        <v>961</v>
      </c>
      <c r="T121" t="s">
        <v>961</v>
      </c>
    </row>
    <row r="122" spans="1:20" x14ac:dyDescent="0.25">
      <c r="A122">
        <f t="shared" si="3"/>
        <v>121</v>
      </c>
      <c r="B122" s="9" t="s">
        <v>851</v>
      </c>
      <c r="C122" s="10">
        <v>44669</v>
      </c>
      <c r="D122" t="s">
        <v>857</v>
      </c>
      <c r="E122" t="s">
        <v>858</v>
      </c>
      <c r="F122" t="s">
        <v>859</v>
      </c>
      <c r="G122" t="s">
        <v>168</v>
      </c>
      <c r="H122">
        <v>1</v>
      </c>
      <c r="I122" s="11">
        <v>836</v>
      </c>
      <c r="J122" s="47">
        <f t="shared" si="2"/>
        <v>836</v>
      </c>
      <c r="K122" t="s">
        <v>860</v>
      </c>
      <c r="L122" t="s">
        <v>193</v>
      </c>
      <c r="M122" t="s">
        <v>961</v>
      </c>
      <c r="N122" t="s">
        <v>961</v>
      </c>
      <c r="O122" t="s">
        <v>961</v>
      </c>
      <c r="P122" t="s">
        <v>961</v>
      </c>
      <c r="Q122" t="s">
        <v>961</v>
      </c>
      <c r="R122" t="s">
        <v>961</v>
      </c>
      <c r="S122" t="s">
        <v>961</v>
      </c>
      <c r="T122" t="s">
        <v>961</v>
      </c>
    </row>
    <row r="123" spans="1:20" x14ac:dyDescent="0.25">
      <c r="A123">
        <f t="shared" si="3"/>
        <v>122</v>
      </c>
      <c r="B123" s="9" t="s">
        <v>852</v>
      </c>
      <c r="C123" s="10">
        <v>44669</v>
      </c>
      <c r="D123" t="s">
        <v>861</v>
      </c>
      <c r="E123" t="s">
        <v>862</v>
      </c>
      <c r="F123" t="s">
        <v>863</v>
      </c>
      <c r="G123" t="s">
        <v>168</v>
      </c>
      <c r="H123">
        <v>1</v>
      </c>
      <c r="I123" s="11">
        <v>1953</v>
      </c>
      <c r="J123" s="47">
        <f t="shared" si="2"/>
        <v>1953</v>
      </c>
      <c r="K123" t="s">
        <v>864</v>
      </c>
      <c r="L123" t="s">
        <v>676</v>
      </c>
      <c r="M123" t="s">
        <v>961</v>
      </c>
      <c r="N123" t="s">
        <v>961</v>
      </c>
      <c r="O123" t="s">
        <v>961</v>
      </c>
      <c r="P123" t="s">
        <v>961</v>
      </c>
      <c r="Q123" t="s">
        <v>961</v>
      </c>
      <c r="R123" t="s">
        <v>961</v>
      </c>
      <c r="S123" t="s">
        <v>961</v>
      </c>
      <c r="T123" t="s">
        <v>961</v>
      </c>
    </row>
    <row r="124" spans="1:20" x14ac:dyDescent="0.25">
      <c r="A124">
        <f t="shared" si="3"/>
        <v>123</v>
      </c>
      <c r="B124" s="9" t="s">
        <v>865</v>
      </c>
      <c r="C124" s="10">
        <v>44670</v>
      </c>
      <c r="D124" t="s">
        <v>868</v>
      </c>
      <c r="E124" t="s">
        <v>869</v>
      </c>
      <c r="F124" t="s">
        <v>870</v>
      </c>
      <c r="G124" t="s">
        <v>168</v>
      </c>
      <c r="H124">
        <v>1</v>
      </c>
      <c r="I124" s="11">
        <v>1300</v>
      </c>
      <c r="J124" s="47">
        <f t="shared" si="2"/>
        <v>1300</v>
      </c>
      <c r="K124" t="s">
        <v>871</v>
      </c>
      <c r="L124" t="s">
        <v>193</v>
      </c>
      <c r="M124" t="s">
        <v>961</v>
      </c>
      <c r="N124" t="s">
        <v>961</v>
      </c>
      <c r="O124" t="s">
        <v>961</v>
      </c>
      <c r="P124" t="s">
        <v>961</v>
      </c>
      <c r="Q124" t="s">
        <v>961</v>
      </c>
      <c r="R124" t="s">
        <v>961</v>
      </c>
      <c r="S124" t="s">
        <v>961</v>
      </c>
      <c r="T124" t="s">
        <v>961</v>
      </c>
    </row>
    <row r="125" spans="1:20" x14ac:dyDescent="0.25">
      <c r="A125">
        <f t="shared" si="3"/>
        <v>124</v>
      </c>
      <c r="B125" s="9" t="s">
        <v>866</v>
      </c>
      <c r="C125" s="10">
        <v>44670</v>
      </c>
      <c r="D125" t="s">
        <v>873</v>
      </c>
      <c r="E125" t="s">
        <v>874</v>
      </c>
      <c r="F125" t="s">
        <v>875</v>
      </c>
      <c r="G125" t="s">
        <v>168</v>
      </c>
      <c r="H125">
        <v>1</v>
      </c>
      <c r="I125" s="11">
        <v>1290</v>
      </c>
      <c r="J125" s="47">
        <f t="shared" si="2"/>
        <v>1290</v>
      </c>
      <c r="K125" t="s">
        <v>876</v>
      </c>
      <c r="L125" t="s">
        <v>193</v>
      </c>
      <c r="M125" t="s">
        <v>961</v>
      </c>
      <c r="N125" t="s">
        <v>961</v>
      </c>
      <c r="O125" t="s">
        <v>961</v>
      </c>
      <c r="P125" t="s">
        <v>961</v>
      </c>
      <c r="Q125" t="s">
        <v>961</v>
      </c>
      <c r="R125" t="s">
        <v>961</v>
      </c>
      <c r="S125" t="s">
        <v>961</v>
      </c>
      <c r="T125" t="s">
        <v>961</v>
      </c>
    </row>
    <row r="126" spans="1:20" x14ac:dyDescent="0.25">
      <c r="A126">
        <f t="shared" si="3"/>
        <v>125</v>
      </c>
      <c r="B126" s="104" t="s">
        <v>867</v>
      </c>
      <c r="C126" s="10">
        <v>44670</v>
      </c>
      <c r="D126" t="s">
        <v>877</v>
      </c>
      <c r="F126" t="s">
        <v>878</v>
      </c>
      <c r="G126" t="s">
        <v>168</v>
      </c>
      <c r="H126">
        <v>1</v>
      </c>
      <c r="I126" s="11">
        <v>3651</v>
      </c>
      <c r="J126" s="47">
        <f t="shared" si="2"/>
        <v>3651</v>
      </c>
      <c r="K126" t="s">
        <v>879</v>
      </c>
      <c r="L126" t="s">
        <v>382</v>
      </c>
      <c r="M126" t="s">
        <v>961</v>
      </c>
      <c r="N126" t="s">
        <v>961</v>
      </c>
      <c r="O126" t="s">
        <v>961</v>
      </c>
      <c r="P126" t="s">
        <v>961</v>
      </c>
      <c r="Q126" t="s">
        <v>961</v>
      </c>
      <c r="R126" t="s">
        <v>961</v>
      </c>
      <c r="S126" t="s">
        <v>961</v>
      </c>
      <c r="T126" t="s">
        <v>961</v>
      </c>
    </row>
    <row r="127" spans="1:20" x14ac:dyDescent="0.25">
      <c r="A127" s="65">
        <f t="shared" si="3"/>
        <v>126</v>
      </c>
      <c r="B127" s="9" t="s">
        <v>880</v>
      </c>
      <c r="C127" s="10">
        <v>44663</v>
      </c>
      <c r="D127" t="s">
        <v>884</v>
      </c>
      <c r="E127" t="s">
        <v>885</v>
      </c>
      <c r="F127" t="s">
        <v>886</v>
      </c>
      <c r="G127" t="s">
        <v>281</v>
      </c>
      <c r="H127">
        <v>1</v>
      </c>
      <c r="I127" s="11">
        <v>1025.55</v>
      </c>
      <c r="J127" s="47">
        <f t="shared" si="2"/>
        <v>1025.55</v>
      </c>
      <c r="K127" t="s">
        <v>444</v>
      </c>
      <c r="L127" t="s">
        <v>887</v>
      </c>
      <c r="M127" t="s">
        <v>961</v>
      </c>
      <c r="N127" t="s">
        <v>961</v>
      </c>
      <c r="O127" t="s">
        <v>961</v>
      </c>
      <c r="P127" t="s">
        <v>961</v>
      </c>
      <c r="Q127" t="s">
        <v>961</v>
      </c>
      <c r="R127" t="s">
        <v>961</v>
      </c>
      <c r="S127" t="s">
        <v>961</v>
      </c>
      <c r="T127" t="s">
        <v>961</v>
      </c>
    </row>
    <row r="128" spans="1:20" x14ac:dyDescent="0.25">
      <c r="A128">
        <f t="shared" si="3"/>
        <v>127</v>
      </c>
      <c r="B128" s="9" t="s">
        <v>881</v>
      </c>
      <c r="C128" s="10">
        <v>44671</v>
      </c>
      <c r="D128" t="s">
        <v>888</v>
      </c>
      <c r="E128" t="s">
        <v>889</v>
      </c>
      <c r="F128" t="s">
        <v>890</v>
      </c>
      <c r="G128" t="s">
        <v>291</v>
      </c>
      <c r="H128">
        <v>1</v>
      </c>
      <c r="I128" s="11">
        <v>727</v>
      </c>
      <c r="J128" s="47">
        <f t="shared" si="2"/>
        <v>727</v>
      </c>
      <c r="K128" t="s">
        <v>891</v>
      </c>
      <c r="L128" t="s">
        <v>192</v>
      </c>
      <c r="M128" t="s">
        <v>961</v>
      </c>
      <c r="N128" t="s">
        <v>961</v>
      </c>
      <c r="O128" t="s">
        <v>961</v>
      </c>
      <c r="P128" t="s">
        <v>961</v>
      </c>
      <c r="Q128" t="s">
        <v>961</v>
      </c>
      <c r="R128" t="s">
        <v>961</v>
      </c>
      <c r="S128" t="s">
        <v>961</v>
      </c>
      <c r="T128" t="s">
        <v>961</v>
      </c>
    </row>
    <row r="129" spans="1:20" x14ac:dyDescent="0.25">
      <c r="A129">
        <f t="shared" si="3"/>
        <v>128</v>
      </c>
      <c r="B129" s="9" t="s">
        <v>882</v>
      </c>
      <c r="C129" s="10">
        <v>44671</v>
      </c>
      <c r="D129" t="s">
        <v>892</v>
      </c>
      <c r="E129" t="s">
        <v>893</v>
      </c>
      <c r="F129" t="s">
        <v>894</v>
      </c>
      <c r="G129" t="s">
        <v>168</v>
      </c>
      <c r="H129">
        <v>1</v>
      </c>
      <c r="I129" s="11">
        <v>1364</v>
      </c>
      <c r="J129" s="47">
        <f t="shared" si="2"/>
        <v>1364</v>
      </c>
      <c r="K129" t="s">
        <v>895</v>
      </c>
      <c r="L129" t="s">
        <v>896</v>
      </c>
      <c r="M129" t="s">
        <v>961</v>
      </c>
      <c r="N129" t="s">
        <v>961</v>
      </c>
      <c r="O129" t="s">
        <v>961</v>
      </c>
      <c r="P129" t="s">
        <v>961</v>
      </c>
      <c r="Q129" t="s">
        <v>961</v>
      </c>
      <c r="R129" t="s">
        <v>961</v>
      </c>
      <c r="S129" t="s">
        <v>961</v>
      </c>
      <c r="T129" t="s">
        <v>961</v>
      </c>
    </row>
    <row r="130" spans="1:20" x14ac:dyDescent="0.25">
      <c r="A130" s="65">
        <f t="shared" si="3"/>
        <v>129</v>
      </c>
      <c r="B130" s="9" t="s">
        <v>883</v>
      </c>
      <c r="C130" s="10">
        <v>44671</v>
      </c>
      <c r="D130" t="s">
        <v>853</v>
      </c>
      <c r="E130" t="s">
        <v>854</v>
      </c>
      <c r="F130" t="s">
        <v>897</v>
      </c>
      <c r="G130" t="s">
        <v>281</v>
      </c>
      <c r="H130">
        <v>2</v>
      </c>
      <c r="I130" s="11">
        <v>2218</v>
      </c>
      <c r="J130" s="47">
        <f t="shared" si="2"/>
        <v>1109</v>
      </c>
      <c r="K130" t="s">
        <v>898</v>
      </c>
      <c r="L130" t="s">
        <v>80</v>
      </c>
      <c r="M130" t="s">
        <v>961</v>
      </c>
      <c r="N130" t="s">
        <v>961</v>
      </c>
      <c r="O130" t="s">
        <v>961</v>
      </c>
      <c r="P130" t="s">
        <v>961</v>
      </c>
      <c r="Q130" t="s">
        <v>961</v>
      </c>
      <c r="R130" t="s">
        <v>961</v>
      </c>
      <c r="S130" t="s">
        <v>961</v>
      </c>
      <c r="T130" t="s">
        <v>961</v>
      </c>
    </row>
    <row r="131" spans="1:20" x14ac:dyDescent="0.25">
      <c r="A131">
        <f t="shared" si="3"/>
        <v>130</v>
      </c>
      <c r="B131" s="102" t="s">
        <v>899</v>
      </c>
      <c r="C131" s="10">
        <v>44672</v>
      </c>
      <c r="D131" t="s">
        <v>911</v>
      </c>
      <c r="E131" t="s">
        <v>912</v>
      </c>
      <c r="F131" t="s">
        <v>913</v>
      </c>
      <c r="G131" t="s">
        <v>168</v>
      </c>
      <c r="H131">
        <v>1</v>
      </c>
      <c r="I131" s="11">
        <v>1190</v>
      </c>
      <c r="J131" s="47">
        <f t="shared" ref="J131:J194" si="4">I131/H131</f>
        <v>1190</v>
      </c>
      <c r="K131" t="s">
        <v>914</v>
      </c>
      <c r="L131" t="s">
        <v>518</v>
      </c>
      <c r="M131" t="s">
        <v>961</v>
      </c>
      <c r="N131" t="s">
        <v>961</v>
      </c>
      <c r="O131" t="s">
        <v>961</v>
      </c>
      <c r="P131" t="s">
        <v>961</v>
      </c>
      <c r="Q131" t="s">
        <v>961</v>
      </c>
      <c r="R131" t="s">
        <v>961</v>
      </c>
      <c r="S131" t="s">
        <v>961</v>
      </c>
      <c r="T131" t="s">
        <v>961</v>
      </c>
    </row>
    <row r="132" spans="1:20" x14ac:dyDescent="0.25">
      <c r="A132" s="64">
        <f t="shared" ref="A132:A195" si="5">+A131+1</f>
        <v>131</v>
      </c>
      <c r="B132" s="9" t="s">
        <v>900</v>
      </c>
      <c r="C132" s="10">
        <v>44672</v>
      </c>
      <c r="D132" t="s">
        <v>915</v>
      </c>
      <c r="E132" t="s">
        <v>916</v>
      </c>
      <c r="F132" t="s">
        <v>917</v>
      </c>
      <c r="G132" t="s">
        <v>281</v>
      </c>
      <c r="H132">
        <v>1</v>
      </c>
      <c r="I132" s="11">
        <v>1408.14</v>
      </c>
      <c r="J132" s="47">
        <f t="shared" si="4"/>
        <v>1408.14</v>
      </c>
      <c r="K132" t="s">
        <v>918</v>
      </c>
      <c r="L132" t="s">
        <v>80</v>
      </c>
      <c r="M132" t="s">
        <v>961</v>
      </c>
      <c r="N132" t="s">
        <v>961</v>
      </c>
      <c r="O132" t="s">
        <v>961</v>
      </c>
      <c r="P132" t="s">
        <v>961</v>
      </c>
      <c r="Q132" t="s">
        <v>961</v>
      </c>
      <c r="R132" t="s">
        <v>961</v>
      </c>
      <c r="S132" t="s">
        <v>961</v>
      </c>
      <c r="T132" t="s">
        <v>961</v>
      </c>
    </row>
    <row r="133" spans="1:20" x14ac:dyDescent="0.25">
      <c r="A133">
        <f t="shared" si="5"/>
        <v>132</v>
      </c>
      <c r="B133" s="104" t="s">
        <v>901</v>
      </c>
      <c r="C133" s="10">
        <v>44664</v>
      </c>
      <c r="D133" t="s">
        <v>1648</v>
      </c>
      <c r="E133" t="s">
        <v>920</v>
      </c>
      <c r="F133" t="s">
        <v>921</v>
      </c>
      <c r="G133" t="s">
        <v>291</v>
      </c>
      <c r="H133">
        <v>1</v>
      </c>
      <c r="I133" s="11">
        <v>5512.81</v>
      </c>
      <c r="J133" s="47">
        <f t="shared" si="4"/>
        <v>5512.81</v>
      </c>
      <c r="K133" t="s">
        <v>922</v>
      </c>
      <c r="L133" t="s">
        <v>518</v>
      </c>
      <c r="M133" t="s">
        <v>961</v>
      </c>
      <c r="N133" t="s">
        <v>961</v>
      </c>
      <c r="O133" t="s">
        <v>961</v>
      </c>
      <c r="P133" t="s">
        <v>961</v>
      </c>
      <c r="Q133" t="s">
        <v>961</v>
      </c>
      <c r="R133" t="s">
        <v>961</v>
      </c>
      <c r="S133" t="s">
        <v>961</v>
      </c>
      <c r="T133" t="s">
        <v>961</v>
      </c>
    </row>
    <row r="134" spans="1:20" x14ac:dyDescent="0.25">
      <c r="A134">
        <f t="shared" si="5"/>
        <v>133</v>
      </c>
      <c r="B134" s="102" t="s">
        <v>902</v>
      </c>
      <c r="C134" s="10">
        <v>44673</v>
      </c>
      <c r="D134" t="s">
        <v>923</v>
      </c>
      <c r="E134" t="s">
        <v>924</v>
      </c>
      <c r="F134" t="s">
        <v>925</v>
      </c>
      <c r="G134" t="s">
        <v>168</v>
      </c>
      <c r="H134">
        <v>1</v>
      </c>
      <c r="I134" s="11">
        <v>2200</v>
      </c>
      <c r="J134" s="47">
        <f t="shared" si="4"/>
        <v>2200</v>
      </c>
      <c r="K134" t="s">
        <v>926</v>
      </c>
      <c r="L134" t="s">
        <v>192</v>
      </c>
      <c r="M134" t="s">
        <v>961</v>
      </c>
      <c r="N134" t="s">
        <v>961</v>
      </c>
      <c r="O134" t="s">
        <v>961</v>
      </c>
      <c r="P134" t="s">
        <v>961</v>
      </c>
      <c r="Q134" t="s">
        <v>961</v>
      </c>
      <c r="R134" t="s">
        <v>961</v>
      </c>
      <c r="S134" t="s">
        <v>961</v>
      </c>
      <c r="T134" t="s">
        <v>961</v>
      </c>
    </row>
    <row r="135" spans="1:20" x14ac:dyDescent="0.25">
      <c r="A135" s="79">
        <f t="shared" si="5"/>
        <v>134</v>
      </c>
      <c r="B135" s="9" t="s">
        <v>903</v>
      </c>
      <c r="C135" s="10">
        <v>44673</v>
      </c>
      <c r="D135" t="s">
        <v>927</v>
      </c>
      <c r="E135" t="s">
        <v>928</v>
      </c>
      <c r="F135" t="s">
        <v>929</v>
      </c>
      <c r="G135" t="s">
        <v>168</v>
      </c>
      <c r="H135">
        <v>1</v>
      </c>
      <c r="I135" s="11">
        <v>1300</v>
      </c>
      <c r="J135" s="47">
        <f t="shared" si="4"/>
        <v>1300</v>
      </c>
      <c r="K135" t="s">
        <v>930</v>
      </c>
      <c r="L135" t="s">
        <v>935</v>
      </c>
      <c r="M135" t="s">
        <v>961</v>
      </c>
      <c r="N135" t="s">
        <v>961</v>
      </c>
      <c r="O135" t="s">
        <v>961</v>
      </c>
      <c r="P135" t="s">
        <v>961</v>
      </c>
      <c r="Q135" t="s">
        <v>961</v>
      </c>
      <c r="R135" t="s">
        <v>961</v>
      </c>
      <c r="S135" t="s">
        <v>961</v>
      </c>
      <c r="T135" t="s">
        <v>961</v>
      </c>
    </row>
    <row r="136" spans="1:20" x14ac:dyDescent="0.25">
      <c r="A136" s="64">
        <f t="shared" si="5"/>
        <v>135</v>
      </c>
      <c r="B136" s="9" t="s">
        <v>904</v>
      </c>
      <c r="C136" s="10">
        <v>44673</v>
      </c>
      <c r="D136" t="s">
        <v>931</v>
      </c>
      <c r="E136" t="s">
        <v>932</v>
      </c>
      <c r="F136" t="s">
        <v>933</v>
      </c>
      <c r="G136" t="s">
        <v>168</v>
      </c>
      <c r="H136">
        <v>1</v>
      </c>
      <c r="I136" s="11">
        <v>1468.56</v>
      </c>
      <c r="J136" s="47">
        <f t="shared" si="4"/>
        <v>1468.56</v>
      </c>
      <c r="K136" t="s">
        <v>934</v>
      </c>
      <c r="L136" t="s">
        <v>192</v>
      </c>
      <c r="M136" t="s">
        <v>961</v>
      </c>
      <c r="N136" t="s">
        <v>961</v>
      </c>
      <c r="O136" t="s">
        <v>961</v>
      </c>
      <c r="P136" t="s">
        <v>961</v>
      </c>
      <c r="Q136" t="s">
        <v>961</v>
      </c>
      <c r="R136" t="s">
        <v>961</v>
      </c>
      <c r="S136" t="s">
        <v>961</v>
      </c>
      <c r="T136" t="s">
        <v>961</v>
      </c>
    </row>
    <row r="137" spans="1:20" x14ac:dyDescent="0.25">
      <c r="A137">
        <f t="shared" si="5"/>
        <v>136</v>
      </c>
      <c r="B137" s="9" t="s">
        <v>905</v>
      </c>
      <c r="C137" s="10">
        <v>44674</v>
      </c>
      <c r="D137" t="s">
        <v>936</v>
      </c>
      <c r="E137" t="s">
        <v>937</v>
      </c>
      <c r="F137" t="s">
        <v>938</v>
      </c>
      <c r="G137" t="s">
        <v>168</v>
      </c>
      <c r="H137">
        <v>1</v>
      </c>
      <c r="I137" s="11">
        <v>860</v>
      </c>
      <c r="J137" s="47">
        <f t="shared" si="4"/>
        <v>860</v>
      </c>
      <c r="K137" t="s">
        <v>939</v>
      </c>
      <c r="L137" t="s">
        <v>193</v>
      </c>
      <c r="M137" t="s">
        <v>961</v>
      </c>
      <c r="N137" t="s">
        <v>961</v>
      </c>
      <c r="O137" t="s">
        <v>961</v>
      </c>
      <c r="P137" t="s">
        <v>961</v>
      </c>
      <c r="Q137" t="s">
        <v>961</v>
      </c>
      <c r="R137" t="s">
        <v>961</v>
      </c>
      <c r="S137" t="s">
        <v>961</v>
      </c>
      <c r="T137" t="s">
        <v>961</v>
      </c>
    </row>
    <row r="138" spans="1:20" x14ac:dyDescent="0.25">
      <c r="A138">
        <f t="shared" si="5"/>
        <v>137</v>
      </c>
      <c r="B138" s="9" t="s">
        <v>906</v>
      </c>
      <c r="C138" s="10">
        <v>44674</v>
      </c>
      <c r="D138" t="s">
        <v>940</v>
      </c>
      <c r="E138" t="s">
        <v>941</v>
      </c>
      <c r="F138" t="s">
        <v>942</v>
      </c>
      <c r="G138" t="s">
        <v>168</v>
      </c>
      <c r="H138">
        <v>1</v>
      </c>
      <c r="I138" s="11">
        <v>2325</v>
      </c>
      <c r="J138" s="47">
        <f t="shared" si="4"/>
        <v>2325</v>
      </c>
      <c r="K138" t="s">
        <v>943</v>
      </c>
      <c r="L138" t="s">
        <v>518</v>
      </c>
      <c r="M138" t="s">
        <v>961</v>
      </c>
      <c r="N138" t="s">
        <v>961</v>
      </c>
      <c r="O138" t="s">
        <v>961</v>
      </c>
      <c r="P138" t="s">
        <v>961</v>
      </c>
      <c r="Q138" t="s">
        <v>961</v>
      </c>
      <c r="R138" t="s">
        <v>961</v>
      </c>
      <c r="S138" t="s">
        <v>961</v>
      </c>
      <c r="T138" t="s">
        <v>961</v>
      </c>
    </row>
    <row r="139" spans="1:20" x14ac:dyDescent="0.25">
      <c r="A139" s="65">
        <f t="shared" si="5"/>
        <v>138</v>
      </c>
      <c r="B139" s="9" t="s">
        <v>907</v>
      </c>
      <c r="C139" s="10">
        <v>44676</v>
      </c>
      <c r="D139" t="s">
        <v>944</v>
      </c>
      <c r="E139" t="s">
        <v>847</v>
      </c>
      <c r="F139" t="s">
        <v>848</v>
      </c>
      <c r="G139" t="s">
        <v>281</v>
      </c>
      <c r="H139">
        <v>2</v>
      </c>
      <c r="I139" s="11">
        <v>3533.4</v>
      </c>
      <c r="J139" s="47">
        <f t="shared" si="4"/>
        <v>1766.7</v>
      </c>
      <c r="K139" t="s">
        <v>945</v>
      </c>
      <c r="L139" t="s">
        <v>80</v>
      </c>
      <c r="M139" t="s">
        <v>961</v>
      </c>
      <c r="N139" t="s">
        <v>961</v>
      </c>
      <c r="O139" t="s">
        <v>961</v>
      </c>
      <c r="P139" t="s">
        <v>961</v>
      </c>
      <c r="Q139" t="s">
        <v>961</v>
      </c>
      <c r="R139" t="s">
        <v>961</v>
      </c>
      <c r="S139" t="s">
        <v>961</v>
      </c>
      <c r="T139" t="s">
        <v>961</v>
      </c>
    </row>
    <row r="140" spans="1:20" x14ac:dyDescent="0.25">
      <c r="A140">
        <f t="shared" si="5"/>
        <v>139</v>
      </c>
      <c r="B140" s="9" t="s">
        <v>908</v>
      </c>
      <c r="C140" s="10">
        <v>44676</v>
      </c>
      <c r="D140" t="s">
        <v>946</v>
      </c>
      <c r="E140" t="s">
        <v>947</v>
      </c>
      <c r="F140" t="s">
        <v>948</v>
      </c>
      <c r="G140" t="s">
        <v>949</v>
      </c>
      <c r="H140">
        <v>1</v>
      </c>
      <c r="I140" s="11">
        <v>3484</v>
      </c>
      <c r="J140" s="47">
        <f t="shared" si="4"/>
        <v>3484</v>
      </c>
      <c r="K140" t="s">
        <v>950</v>
      </c>
      <c r="L140" t="s">
        <v>606</v>
      </c>
      <c r="M140" t="s">
        <v>961</v>
      </c>
      <c r="N140" t="s">
        <v>961</v>
      </c>
      <c r="O140" t="s">
        <v>961</v>
      </c>
      <c r="P140" t="s">
        <v>961</v>
      </c>
      <c r="Q140" t="s">
        <v>961</v>
      </c>
      <c r="R140" t="s">
        <v>961</v>
      </c>
      <c r="S140" t="s">
        <v>961</v>
      </c>
      <c r="T140" t="s">
        <v>961</v>
      </c>
    </row>
    <row r="141" spans="1:20" x14ac:dyDescent="0.25">
      <c r="A141" s="65">
        <f t="shared" si="5"/>
        <v>140</v>
      </c>
      <c r="B141" s="102" t="s">
        <v>909</v>
      </c>
      <c r="C141" s="10">
        <v>44676</v>
      </c>
      <c r="D141" t="s">
        <v>951</v>
      </c>
      <c r="E141" t="s">
        <v>952</v>
      </c>
      <c r="F141" t="s">
        <v>953</v>
      </c>
      <c r="G141" t="s">
        <v>281</v>
      </c>
      <c r="H141">
        <v>1</v>
      </c>
      <c r="I141" s="11">
        <v>1250</v>
      </c>
      <c r="J141" s="47">
        <f t="shared" si="4"/>
        <v>1250</v>
      </c>
      <c r="K141" t="s">
        <v>836</v>
      </c>
      <c r="L141" t="s">
        <v>80</v>
      </c>
      <c r="M141" t="s">
        <v>961</v>
      </c>
      <c r="N141" t="s">
        <v>961</v>
      </c>
      <c r="O141" t="s">
        <v>961</v>
      </c>
      <c r="P141" t="s">
        <v>961</v>
      </c>
      <c r="Q141" t="s">
        <v>961</v>
      </c>
      <c r="R141" t="s">
        <v>961</v>
      </c>
      <c r="S141" t="s">
        <v>961</v>
      </c>
      <c r="T141" t="s">
        <v>961</v>
      </c>
    </row>
    <row r="142" spans="1:20" x14ac:dyDescent="0.25">
      <c r="A142" s="64">
        <f t="shared" si="5"/>
        <v>141</v>
      </c>
      <c r="B142" s="104" t="s">
        <v>910</v>
      </c>
      <c r="C142" s="10">
        <v>44677</v>
      </c>
      <c r="D142" t="s">
        <v>955</v>
      </c>
      <c r="G142" t="s">
        <v>291</v>
      </c>
      <c r="H142">
        <v>1</v>
      </c>
      <c r="I142" s="11">
        <v>25761.96</v>
      </c>
      <c r="J142" s="47">
        <f t="shared" si="4"/>
        <v>25761.96</v>
      </c>
      <c r="K142" t="s">
        <v>575</v>
      </c>
      <c r="L142" t="s">
        <v>253</v>
      </c>
      <c r="M142" t="s">
        <v>961</v>
      </c>
      <c r="N142" t="s">
        <v>961</v>
      </c>
      <c r="O142" t="s">
        <v>961</v>
      </c>
      <c r="P142" t="s">
        <v>961</v>
      </c>
      <c r="Q142" t="s">
        <v>961</v>
      </c>
      <c r="R142" t="s">
        <v>961</v>
      </c>
      <c r="S142" t="s">
        <v>961</v>
      </c>
      <c r="T142" t="s">
        <v>961</v>
      </c>
    </row>
    <row r="143" spans="1:20" x14ac:dyDescent="0.25">
      <c r="A143">
        <f t="shared" si="5"/>
        <v>142</v>
      </c>
      <c r="B143" s="9" t="s">
        <v>954</v>
      </c>
      <c r="C143" s="10">
        <v>44680</v>
      </c>
      <c r="D143" t="s">
        <v>957</v>
      </c>
      <c r="E143" t="s">
        <v>959</v>
      </c>
      <c r="F143" t="s">
        <v>960</v>
      </c>
      <c r="G143" t="s">
        <v>168</v>
      </c>
      <c r="H143">
        <v>1</v>
      </c>
      <c r="I143" s="11">
        <v>4254</v>
      </c>
      <c r="J143" s="47">
        <f t="shared" si="4"/>
        <v>4254</v>
      </c>
      <c r="K143" t="s">
        <v>958</v>
      </c>
      <c r="L143" t="s">
        <v>968</v>
      </c>
      <c r="M143" t="s">
        <v>961</v>
      </c>
      <c r="N143" t="s">
        <v>961</v>
      </c>
      <c r="O143" t="s">
        <v>961</v>
      </c>
      <c r="P143" t="s">
        <v>961</v>
      </c>
      <c r="Q143" t="s">
        <v>961</v>
      </c>
      <c r="R143" t="s">
        <v>961</v>
      </c>
      <c r="S143" t="s">
        <v>961</v>
      </c>
      <c r="T143" t="s">
        <v>961</v>
      </c>
    </row>
    <row r="144" spans="1:20" x14ac:dyDescent="0.25">
      <c r="A144">
        <f t="shared" si="5"/>
        <v>143</v>
      </c>
      <c r="B144" s="9" t="s">
        <v>963</v>
      </c>
      <c r="C144" s="10">
        <v>44683</v>
      </c>
      <c r="D144" t="s">
        <v>964</v>
      </c>
      <c r="E144" t="s">
        <v>965</v>
      </c>
      <c r="F144" t="s">
        <v>966</v>
      </c>
      <c r="G144" t="s">
        <v>291</v>
      </c>
      <c r="H144">
        <v>1</v>
      </c>
      <c r="I144" s="11">
        <v>1452</v>
      </c>
      <c r="J144" s="47">
        <f t="shared" si="4"/>
        <v>1452</v>
      </c>
      <c r="K144" t="s">
        <v>967</v>
      </c>
      <c r="L144" t="s">
        <v>980</v>
      </c>
      <c r="M144" t="s">
        <v>961</v>
      </c>
      <c r="N144" t="s">
        <v>961</v>
      </c>
      <c r="O144" t="s">
        <v>961</v>
      </c>
      <c r="P144" t="s">
        <v>961</v>
      </c>
      <c r="Q144" t="s">
        <v>961</v>
      </c>
      <c r="R144" t="s">
        <v>961</v>
      </c>
      <c r="S144" t="s">
        <v>961</v>
      </c>
      <c r="T144" t="s">
        <v>961</v>
      </c>
    </row>
    <row r="145" spans="1:20" x14ac:dyDescent="0.25">
      <c r="A145">
        <f t="shared" si="5"/>
        <v>144</v>
      </c>
      <c r="B145" s="9" t="s">
        <v>970</v>
      </c>
      <c r="C145" s="10">
        <v>44684</v>
      </c>
      <c r="D145" t="s">
        <v>976</v>
      </c>
      <c r="E145" t="s">
        <v>977</v>
      </c>
      <c r="F145" t="s">
        <v>978</v>
      </c>
      <c r="G145" t="s">
        <v>168</v>
      </c>
      <c r="H145">
        <v>1</v>
      </c>
      <c r="I145" s="11">
        <v>1200</v>
      </c>
      <c r="J145" s="47">
        <f t="shared" si="4"/>
        <v>1200</v>
      </c>
      <c r="K145" t="s">
        <v>979</v>
      </c>
      <c r="L145" t="s">
        <v>569</v>
      </c>
      <c r="M145" t="s">
        <v>961</v>
      </c>
      <c r="N145" t="s">
        <v>961</v>
      </c>
      <c r="O145" t="s">
        <v>961</v>
      </c>
      <c r="P145" t="s">
        <v>961</v>
      </c>
      <c r="Q145" t="s">
        <v>961</v>
      </c>
      <c r="R145" t="s">
        <v>961</v>
      </c>
      <c r="S145" t="s">
        <v>961</v>
      </c>
      <c r="T145" t="s">
        <v>961</v>
      </c>
    </row>
    <row r="146" spans="1:20" x14ac:dyDescent="0.25">
      <c r="A146">
        <f t="shared" si="5"/>
        <v>145</v>
      </c>
      <c r="B146" s="9" t="s">
        <v>971</v>
      </c>
      <c r="C146" s="10">
        <v>36283</v>
      </c>
      <c r="D146" t="s">
        <v>981</v>
      </c>
      <c r="E146" t="s">
        <v>982</v>
      </c>
      <c r="F146" t="s">
        <v>983</v>
      </c>
      <c r="G146" t="s">
        <v>168</v>
      </c>
      <c r="H146">
        <v>1</v>
      </c>
      <c r="I146" s="11">
        <v>1441</v>
      </c>
      <c r="J146" s="47">
        <f t="shared" si="4"/>
        <v>1441</v>
      </c>
      <c r="K146" t="s">
        <v>386</v>
      </c>
      <c r="L146" t="s">
        <v>192</v>
      </c>
      <c r="M146" t="s">
        <v>961</v>
      </c>
      <c r="N146" t="s">
        <v>961</v>
      </c>
      <c r="O146" t="s">
        <v>961</v>
      </c>
      <c r="P146" t="s">
        <v>961</v>
      </c>
      <c r="Q146" t="s">
        <v>961</v>
      </c>
      <c r="R146" t="s">
        <v>961</v>
      </c>
      <c r="S146" t="s">
        <v>961</v>
      </c>
      <c r="T146" t="s">
        <v>961</v>
      </c>
    </row>
    <row r="147" spans="1:20" x14ac:dyDescent="0.25">
      <c r="A147">
        <f t="shared" si="5"/>
        <v>146</v>
      </c>
      <c r="B147" s="9" t="s">
        <v>972</v>
      </c>
      <c r="C147" s="10">
        <v>44684</v>
      </c>
      <c r="D147" t="s">
        <v>984</v>
      </c>
      <c r="E147" t="s">
        <v>985</v>
      </c>
      <c r="F147" t="s">
        <v>986</v>
      </c>
      <c r="G147" t="s">
        <v>168</v>
      </c>
      <c r="H147">
        <v>1</v>
      </c>
      <c r="I147" s="11">
        <v>1441</v>
      </c>
      <c r="J147" s="47">
        <f t="shared" si="4"/>
        <v>1441</v>
      </c>
      <c r="K147" t="s">
        <v>386</v>
      </c>
      <c r="L147" t="s">
        <v>989</v>
      </c>
      <c r="M147" t="s">
        <v>961</v>
      </c>
      <c r="N147" t="s">
        <v>961</v>
      </c>
      <c r="O147" t="s">
        <v>961</v>
      </c>
      <c r="P147" t="s">
        <v>961</v>
      </c>
      <c r="Q147" t="s">
        <v>961</v>
      </c>
      <c r="R147" t="s">
        <v>961</v>
      </c>
      <c r="S147" t="s">
        <v>961</v>
      </c>
      <c r="T147" t="s">
        <v>961</v>
      </c>
    </row>
    <row r="148" spans="1:20" x14ac:dyDescent="0.25">
      <c r="A148" s="65">
        <f t="shared" si="5"/>
        <v>147</v>
      </c>
      <c r="B148" s="9" t="s">
        <v>973</v>
      </c>
      <c r="C148" s="10">
        <v>44685</v>
      </c>
      <c r="D148" t="s">
        <v>987</v>
      </c>
      <c r="E148" t="s">
        <v>809</v>
      </c>
      <c r="F148" t="s">
        <v>810</v>
      </c>
      <c r="G148" t="s">
        <v>281</v>
      </c>
      <c r="H148">
        <v>2</v>
      </c>
      <c r="I148" s="11">
        <v>3901.16</v>
      </c>
      <c r="J148" s="47">
        <f t="shared" si="4"/>
        <v>1950.58</v>
      </c>
      <c r="K148" t="s">
        <v>988</v>
      </c>
      <c r="L148" t="s">
        <v>80</v>
      </c>
      <c r="M148" t="s">
        <v>961</v>
      </c>
      <c r="N148" t="s">
        <v>961</v>
      </c>
      <c r="O148" t="s">
        <v>961</v>
      </c>
      <c r="P148" t="s">
        <v>961</v>
      </c>
      <c r="Q148" t="s">
        <v>961</v>
      </c>
      <c r="R148" t="s">
        <v>961</v>
      </c>
      <c r="S148" t="s">
        <v>961</v>
      </c>
      <c r="T148" t="s">
        <v>961</v>
      </c>
    </row>
    <row r="149" spans="1:20" x14ac:dyDescent="0.25">
      <c r="A149">
        <f t="shared" si="5"/>
        <v>148</v>
      </c>
      <c r="B149" s="9" t="s">
        <v>974</v>
      </c>
      <c r="C149" s="10">
        <v>36650</v>
      </c>
      <c r="D149" t="s">
        <v>990</v>
      </c>
      <c r="E149" t="s">
        <v>991</v>
      </c>
      <c r="F149" t="s">
        <v>992</v>
      </c>
      <c r="G149" t="s">
        <v>168</v>
      </c>
      <c r="H149">
        <v>1</v>
      </c>
      <c r="I149" s="11">
        <v>1425</v>
      </c>
      <c r="J149" s="47">
        <f t="shared" si="4"/>
        <v>1425</v>
      </c>
      <c r="K149" t="s">
        <v>993</v>
      </c>
      <c r="L149" t="s">
        <v>513</v>
      </c>
      <c r="M149" t="s">
        <v>961</v>
      </c>
      <c r="N149" t="s">
        <v>961</v>
      </c>
      <c r="O149" t="s">
        <v>961</v>
      </c>
      <c r="P149" t="s">
        <v>961</v>
      </c>
      <c r="Q149" t="s">
        <v>961</v>
      </c>
      <c r="R149" t="s">
        <v>961</v>
      </c>
      <c r="S149" t="s">
        <v>961</v>
      </c>
      <c r="T149" t="s">
        <v>961</v>
      </c>
    </row>
    <row r="150" spans="1:20" x14ac:dyDescent="0.25">
      <c r="A150" s="65">
        <f t="shared" si="5"/>
        <v>149</v>
      </c>
      <c r="B150" s="9" t="s">
        <v>975</v>
      </c>
      <c r="C150" s="10">
        <v>44685</v>
      </c>
      <c r="D150" t="s">
        <v>994</v>
      </c>
      <c r="E150" t="s">
        <v>995</v>
      </c>
      <c r="F150" t="s">
        <v>996</v>
      </c>
      <c r="G150" t="s">
        <v>281</v>
      </c>
      <c r="H150">
        <v>1</v>
      </c>
      <c r="I150" s="11">
        <v>1530</v>
      </c>
      <c r="J150" s="47">
        <f t="shared" si="4"/>
        <v>1530</v>
      </c>
      <c r="K150" t="s">
        <v>997</v>
      </c>
      <c r="L150" t="s">
        <v>329</v>
      </c>
      <c r="M150" t="s">
        <v>961</v>
      </c>
      <c r="N150" t="s">
        <v>961</v>
      </c>
      <c r="O150" t="s">
        <v>961</v>
      </c>
      <c r="P150" t="s">
        <v>961</v>
      </c>
      <c r="Q150" t="s">
        <v>961</v>
      </c>
      <c r="R150" t="s">
        <v>961</v>
      </c>
      <c r="S150" t="s">
        <v>961</v>
      </c>
      <c r="T150" t="s">
        <v>961</v>
      </c>
    </row>
    <row r="151" spans="1:20" x14ac:dyDescent="0.25">
      <c r="A151">
        <f t="shared" si="5"/>
        <v>150</v>
      </c>
      <c r="B151" s="9" t="s">
        <v>998</v>
      </c>
      <c r="C151" s="10">
        <v>44686</v>
      </c>
      <c r="D151" t="s">
        <v>1006</v>
      </c>
      <c r="E151" t="s">
        <v>1007</v>
      </c>
      <c r="F151" t="s">
        <v>1008</v>
      </c>
      <c r="G151" t="s">
        <v>168</v>
      </c>
      <c r="H151">
        <v>1</v>
      </c>
      <c r="I151" s="11">
        <v>2046</v>
      </c>
      <c r="J151" s="47">
        <f t="shared" si="4"/>
        <v>2046</v>
      </c>
      <c r="K151" t="s">
        <v>1009</v>
      </c>
      <c r="L151" t="s">
        <v>1014</v>
      </c>
      <c r="M151" t="s">
        <v>961</v>
      </c>
      <c r="N151" t="s">
        <v>961</v>
      </c>
      <c r="O151" t="s">
        <v>961</v>
      </c>
      <c r="P151" t="s">
        <v>961</v>
      </c>
      <c r="Q151" t="s">
        <v>961</v>
      </c>
      <c r="R151" t="s">
        <v>961</v>
      </c>
      <c r="S151" t="s">
        <v>961</v>
      </c>
      <c r="T151" t="s">
        <v>961</v>
      </c>
    </row>
    <row r="152" spans="1:20" x14ac:dyDescent="0.25">
      <c r="A152" s="65">
        <f t="shared" si="5"/>
        <v>151</v>
      </c>
      <c r="B152" s="9" t="s">
        <v>999</v>
      </c>
      <c r="C152" s="10">
        <v>44686</v>
      </c>
      <c r="D152" t="s">
        <v>2205</v>
      </c>
      <c r="E152" t="s">
        <v>1011</v>
      </c>
      <c r="F152" t="s">
        <v>1012</v>
      </c>
      <c r="G152" t="s">
        <v>168</v>
      </c>
      <c r="H152">
        <v>1</v>
      </c>
      <c r="I152" s="11">
        <v>1656</v>
      </c>
      <c r="J152" s="47">
        <f t="shared" si="4"/>
        <v>1656</v>
      </c>
      <c r="K152" t="s">
        <v>1013</v>
      </c>
      <c r="L152" t="s">
        <v>1029</v>
      </c>
      <c r="M152" t="s">
        <v>961</v>
      </c>
      <c r="N152" t="s">
        <v>961</v>
      </c>
      <c r="O152" t="s">
        <v>961</v>
      </c>
      <c r="P152" t="s">
        <v>961</v>
      </c>
      <c r="Q152" t="s">
        <v>961</v>
      </c>
      <c r="R152" t="s">
        <v>961</v>
      </c>
      <c r="S152" t="s">
        <v>961</v>
      </c>
      <c r="T152" t="s">
        <v>961</v>
      </c>
    </row>
    <row r="153" spans="1:20" x14ac:dyDescent="0.25">
      <c r="A153" s="79">
        <f t="shared" si="5"/>
        <v>152</v>
      </c>
      <c r="B153" s="9" t="s">
        <v>1000</v>
      </c>
      <c r="C153" s="10">
        <v>44687</v>
      </c>
      <c r="D153" t="s">
        <v>1015</v>
      </c>
      <c r="E153" t="s">
        <v>1016</v>
      </c>
      <c r="F153" t="s">
        <v>1017</v>
      </c>
      <c r="G153" t="s">
        <v>168</v>
      </c>
      <c r="H153">
        <v>1</v>
      </c>
      <c r="I153" s="11">
        <v>1075</v>
      </c>
      <c r="J153" s="47">
        <f t="shared" si="4"/>
        <v>1075</v>
      </c>
      <c r="K153" t="s">
        <v>1018</v>
      </c>
      <c r="L153" t="s">
        <v>1023</v>
      </c>
      <c r="M153" t="s">
        <v>961</v>
      </c>
      <c r="N153" t="s">
        <v>961</v>
      </c>
      <c r="O153" t="s">
        <v>961</v>
      </c>
      <c r="P153" t="s">
        <v>961</v>
      </c>
      <c r="Q153" t="s">
        <v>961</v>
      </c>
      <c r="R153" t="s">
        <v>961</v>
      </c>
      <c r="S153" t="s">
        <v>961</v>
      </c>
      <c r="T153" t="s">
        <v>961</v>
      </c>
    </row>
    <row r="154" spans="1:20" x14ac:dyDescent="0.25">
      <c r="A154" s="65">
        <f t="shared" si="5"/>
        <v>153</v>
      </c>
      <c r="B154" s="9" t="s">
        <v>1001</v>
      </c>
      <c r="C154" s="10">
        <v>44687</v>
      </c>
      <c r="D154" t="s">
        <v>1019</v>
      </c>
      <c r="E154" t="s">
        <v>1020</v>
      </c>
      <c r="F154" t="s">
        <v>1021</v>
      </c>
      <c r="G154" t="s">
        <v>281</v>
      </c>
      <c r="H154">
        <v>1</v>
      </c>
      <c r="I154" s="11">
        <v>860</v>
      </c>
      <c r="J154" s="47">
        <f t="shared" si="4"/>
        <v>860</v>
      </c>
      <c r="K154" t="s">
        <v>1022</v>
      </c>
      <c r="L154" t="s">
        <v>329</v>
      </c>
      <c r="M154" t="s">
        <v>961</v>
      </c>
      <c r="N154" t="s">
        <v>961</v>
      </c>
      <c r="O154" t="s">
        <v>961</v>
      </c>
      <c r="P154" t="s">
        <v>961</v>
      </c>
      <c r="Q154" t="s">
        <v>961</v>
      </c>
      <c r="R154" t="s">
        <v>961</v>
      </c>
      <c r="S154" t="s">
        <v>961</v>
      </c>
      <c r="T154" t="s">
        <v>961</v>
      </c>
    </row>
    <row r="155" spans="1:20" x14ac:dyDescent="0.25">
      <c r="A155" s="65">
        <f t="shared" si="5"/>
        <v>154</v>
      </c>
      <c r="B155" s="9" t="s">
        <v>1002</v>
      </c>
      <c r="C155" s="10">
        <v>44687</v>
      </c>
      <c r="D155" t="s">
        <v>1024</v>
      </c>
      <c r="E155" t="s">
        <v>1025</v>
      </c>
      <c r="F155" t="s">
        <v>1026</v>
      </c>
      <c r="G155" t="s">
        <v>281</v>
      </c>
      <c r="H155">
        <v>1</v>
      </c>
      <c r="I155" s="11">
        <v>322.56</v>
      </c>
      <c r="J155" s="47">
        <f t="shared" si="4"/>
        <v>322.56</v>
      </c>
      <c r="K155" t="s">
        <v>1027</v>
      </c>
      <c r="L155" t="s">
        <v>329</v>
      </c>
      <c r="M155" t="s">
        <v>961</v>
      </c>
      <c r="N155" t="s">
        <v>961</v>
      </c>
      <c r="O155" t="s">
        <v>961</v>
      </c>
      <c r="P155" t="s">
        <v>961</v>
      </c>
      <c r="Q155" t="s">
        <v>961</v>
      </c>
      <c r="R155" t="s">
        <v>961</v>
      </c>
      <c r="S155" t="s">
        <v>961</v>
      </c>
      <c r="T155" t="s">
        <v>961</v>
      </c>
    </row>
    <row r="156" spans="1:20" x14ac:dyDescent="0.25">
      <c r="A156" s="78">
        <f t="shared" si="5"/>
        <v>155</v>
      </c>
      <c r="B156" s="9" t="s">
        <v>1003</v>
      </c>
      <c r="C156" s="10">
        <v>44687</v>
      </c>
      <c r="D156" t="s">
        <v>915</v>
      </c>
      <c r="E156" t="s">
        <v>916</v>
      </c>
      <c r="F156" t="s">
        <v>917</v>
      </c>
      <c r="G156" t="s">
        <v>281</v>
      </c>
      <c r="H156">
        <v>2</v>
      </c>
      <c r="I156" s="11">
        <v>1682.69</v>
      </c>
      <c r="J156" s="47">
        <f t="shared" si="4"/>
        <v>841.34500000000003</v>
      </c>
      <c r="K156" t="s">
        <v>1028</v>
      </c>
      <c r="L156" t="s">
        <v>80</v>
      </c>
      <c r="M156" t="s">
        <v>961</v>
      </c>
      <c r="N156" t="s">
        <v>961</v>
      </c>
      <c r="O156" t="s">
        <v>961</v>
      </c>
      <c r="P156" t="s">
        <v>961</v>
      </c>
      <c r="Q156" t="s">
        <v>961</v>
      </c>
      <c r="R156" t="s">
        <v>961</v>
      </c>
      <c r="S156" t="s">
        <v>961</v>
      </c>
      <c r="T156" t="s">
        <v>961</v>
      </c>
    </row>
    <row r="157" spans="1:20" x14ac:dyDescent="0.25">
      <c r="A157" s="64">
        <f t="shared" si="5"/>
        <v>156</v>
      </c>
      <c r="B157" s="9" t="s">
        <v>1004</v>
      </c>
      <c r="C157" s="10">
        <v>44690</v>
      </c>
      <c r="D157" t="s">
        <v>1030</v>
      </c>
      <c r="E157" t="s">
        <v>1031</v>
      </c>
      <c r="F157" t="s">
        <v>1032</v>
      </c>
      <c r="G157" t="s">
        <v>168</v>
      </c>
      <c r="H157">
        <v>1</v>
      </c>
      <c r="I157" s="11">
        <v>7536.98</v>
      </c>
      <c r="J157" s="47">
        <f t="shared" si="4"/>
        <v>7536.98</v>
      </c>
      <c r="K157" t="s">
        <v>1033</v>
      </c>
      <c r="L157" t="s">
        <v>1042</v>
      </c>
      <c r="M157" t="s">
        <v>961</v>
      </c>
      <c r="N157" t="s">
        <v>961</v>
      </c>
      <c r="O157" t="s">
        <v>961</v>
      </c>
      <c r="P157" t="s">
        <v>961</v>
      </c>
      <c r="Q157" t="s">
        <v>961</v>
      </c>
      <c r="R157" t="s">
        <v>961</v>
      </c>
      <c r="S157" t="s">
        <v>961</v>
      </c>
      <c r="T157" t="s">
        <v>961</v>
      </c>
    </row>
    <row r="158" spans="1:20" x14ac:dyDescent="0.25">
      <c r="A158">
        <f t="shared" si="5"/>
        <v>157</v>
      </c>
      <c r="B158" s="9" t="s">
        <v>1005</v>
      </c>
      <c r="C158" s="10">
        <v>44691</v>
      </c>
      <c r="D158" t="s">
        <v>1038</v>
      </c>
      <c r="E158" t="s">
        <v>1039</v>
      </c>
      <c r="F158" t="s">
        <v>1040</v>
      </c>
      <c r="G158" t="s">
        <v>168</v>
      </c>
      <c r="H158">
        <v>1</v>
      </c>
      <c r="I158" s="11">
        <v>905</v>
      </c>
      <c r="J158" s="47">
        <f t="shared" si="4"/>
        <v>905</v>
      </c>
      <c r="K158" t="s">
        <v>1041</v>
      </c>
      <c r="L158" t="s">
        <v>192</v>
      </c>
      <c r="M158" t="s">
        <v>961</v>
      </c>
      <c r="N158" t="s">
        <v>961</v>
      </c>
      <c r="O158" t="s">
        <v>961</v>
      </c>
      <c r="P158" t="s">
        <v>961</v>
      </c>
      <c r="Q158" t="s">
        <v>961</v>
      </c>
      <c r="R158" t="s">
        <v>961</v>
      </c>
      <c r="S158" t="s">
        <v>961</v>
      </c>
      <c r="T158" t="s">
        <v>961</v>
      </c>
    </row>
    <row r="159" spans="1:20" x14ac:dyDescent="0.25">
      <c r="A159">
        <f t="shared" si="5"/>
        <v>158</v>
      </c>
      <c r="B159" s="9" t="s">
        <v>1034</v>
      </c>
      <c r="C159" s="10">
        <v>44692</v>
      </c>
      <c r="D159" t="s">
        <v>1043</v>
      </c>
      <c r="E159" t="s">
        <v>1045</v>
      </c>
      <c r="F159" t="s">
        <v>1044</v>
      </c>
      <c r="G159" t="s">
        <v>168</v>
      </c>
      <c r="H159">
        <v>1</v>
      </c>
      <c r="I159" s="11">
        <v>2135</v>
      </c>
      <c r="J159" s="47">
        <f t="shared" si="4"/>
        <v>2135</v>
      </c>
      <c r="K159" t="s">
        <v>1046</v>
      </c>
      <c r="L159" t="s">
        <v>193</v>
      </c>
      <c r="M159" t="s">
        <v>961</v>
      </c>
      <c r="N159" t="s">
        <v>961</v>
      </c>
      <c r="O159" t="s">
        <v>961</v>
      </c>
      <c r="P159" t="s">
        <v>961</v>
      </c>
      <c r="Q159" t="s">
        <v>961</v>
      </c>
      <c r="R159" t="s">
        <v>961</v>
      </c>
      <c r="S159" t="s">
        <v>961</v>
      </c>
      <c r="T159" t="s">
        <v>961</v>
      </c>
    </row>
    <row r="160" spans="1:20" x14ac:dyDescent="0.25">
      <c r="A160" s="64">
        <f t="shared" si="5"/>
        <v>159</v>
      </c>
      <c r="B160" s="102" t="s">
        <v>1035</v>
      </c>
      <c r="C160" s="10">
        <v>44694</v>
      </c>
      <c r="D160" t="s">
        <v>955</v>
      </c>
      <c r="G160" t="s">
        <v>281</v>
      </c>
      <c r="H160">
        <v>2</v>
      </c>
      <c r="I160" s="11">
        <v>31951.72</v>
      </c>
      <c r="J160" s="47">
        <f t="shared" si="4"/>
        <v>15975.86</v>
      </c>
      <c r="K160" t="s">
        <v>1047</v>
      </c>
      <c r="L160" t="s">
        <v>80</v>
      </c>
      <c r="M160" t="s">
        <v>961</v>
      </c>
      <c r="N160" t="s">
        <v>961</v>
      </c>
      <c r="O160" t="s">
        <v>961</v>
      </c>
      <c r="P160" t="s">
        <v>961</v>
      </c>
      <c r="Q160" t="s">
        <v>961</v>
      </c>
      <c r="R160" t="s">
        <v>961</v>
      </c>
      <c r="S160" t="s">
        <v>961</v>
      </c>
      <c r="T160" t="s">
        <v>961</v>
      </c>
    </row>
    <row r="161" spans="1:20" x14ac:dyDescent="0.25">
      <c r="A161">
        <f t="shared" si="5"/>
        <v>160</v>
      </c>
      <c r="B161" s="9" t="s">
        <v>1036</v>
      </c>
      <c r="C161" s="10">
        <v>44695</v>
      </c>
      <c r="D161" t="s">
        <v>1048</v>
      </c>
      <c r="E161" t="s">
        <v>1049</v>
      </c>
      <c r="F161" t="s">
        <v>1050</v>
      </c>
      <c r="G161" t="s">
        <v>168</v>
      </c>
      <c r="H161">
        <v>1</v>
      </c>
      <c r="I161" s="11">
        <v>2430</v>
      </c>
      <c r="J161" s="47">
        <f t="shared" si="4"/>
        <v>2430</v>
      </c>
      <c r="K161" t="s">
        <v>1051</v>
      </c>
      <c r="L161" t="s">
        <v>1061</v>
      </c>
      <c r="M161" t="s">
        <v>961</v>
      </c>
      <c r="N161" t="s">
        <v>961</v>
      </c>
      <c r="O161" t="s">
        <v>961</v>
      </c>
      <c r="P161" t="s">
        <v>961</v>
      </c>
      <c r="Q161" t="s">
        <v>961</v>
      </c>
      <c r="R161" t="s">
        <v>961</v>
      </c>
      <c r="S161" t="s">
        <v>961</v>
      </c>
      <c r="T161" t="s">
        <v>961</v>
      </c>
    </row>
    <row r="162" spans="1:20" x14ac:dyDescent="0.25">
      <c r="A162">
        <f t="shared" si="5"/>
        <v>161</v>
      </c>
      <c r="B162" s="9" t="s">
        <v>1037</v>
      </c>
      <c r="C162" s="10">
        <v>44695</v>
      </c>
      <c r="D162" t="s">
        <v>1052</v>
      </c>
      <c r="E162" t="s">
        <v>1053</v>
      </c>
      <c r="F162" t="s">
        <v>1054</v>
      </c>
      <c r="G162" t="s">
        <v>168</v>
      </c>
      <c r="H162">
        <v>1</v>
      </c>
      <c r="I162" s="11">
        <v>1284</v>
      </c>
      <c r="J162" s="47">
        <f t="shared" si="4"/>
        <v>1284</v>
      </c>
      <c r="K162" t="s">
        <v>1055</v>
      </c>
      <c r="L162" t="s">
        <v>1062</v>
      </c>
      <c r="M162" t="s">
        <v>961</v>
      </c>
      <c r="N162" t="s">
        <v>961</v>
      </c>
      <c r="O162" t="s">
        <v>961</v>
      </c>
      <c r="P162" t="s">
        <v>961</v>
      </c>
      <c r="Q162" t="s">
        <v>961</v>
      </c>
      <c r="R162" t="s">
        <v>961</v>
      </c>
      <c r="S162" t="s">
        <v>961</v>
      </c>
      <c r="T162" t="s">
        <v>961</v>
      </c>
    </row>
    <row r="163" spans="1:20" x14ac:dyDescent="0.25">
      <c r="A163" s="65">
        <f t="shared" si="5"/>
        <v>162</v>
      </c>
      <c r="B163" s="9" t="s">
        <v>1056</v>
      </c>
      <c r="C163" s="10">
        <v>44692</v>
      </c>
      <c r="D163" t="s">
        <v>1058</v>
      </c>
      <c r="E163" t="s">
        <v>1059</v>
      </c>
      <c r="F163" t="s">
        <v>1060</v>
      </c>
      <c r="G163" t="s">
        <v>281</v>
      </c>
      <c r="H163">
        <v>1</v>
      </c>
      <c r="I163" s="11">
        <v>1008</v>
      </c>
      <c r="J163" s="47">
        <f t="shared" si="4"/>
        <v>1008</v>
      </c>
      <c r="K163" t="s">
        <v>1027</v>
      </c>
      <c r="L163" t="s">
        <v>329</v>
      </c>
      <c r="M163" t="s">
        <v>961</v>
      </c>
      <c r="N163" t="s">
        <v>961</v>
      </c>
      <c r="O163" t="s">
        <v>961</v>
      </c>
      <c r="P163" t="s">
        <v>961</v>
      </c>
      <c r="Q163" t="s">
        <v>961</v>
      </c>
      <c r="R163" t="s">
        <v>961</v>
      </c>
      <c r="S163" t="s">
        <v>961</v>
      </c>
      <c r="T163" t="s">
        <v>961</v>
      </c>
    </row>
    <row r="164" spans="1:20" x14ac:dyDescent="0.25">
      <c r="A164">
        <f t="shared" si="5"/>
        <v>163</v>
      </c>
      <c r="B164" s="9" t="s">
        <v>1063</v>
      </c>
      <c r="C164" s="10">
        <v>44697</v>
      </c>
      <c r="D164" t="s">
        <v>1072</v>
      </c>
      <c r="E164" t="s">
        <v>1073</v>
      </c>
      <c r="F164" t="s">
        <v>1074</v>
      </c>
      <c r="G164" t="s">
        <v>168</v>
      </c>
      <c r="H164">
        <v>1</v>
      </c>
      <c r="I164" s="11">
        <v>991</v>
      </c>
      <c r="J164" s="47">
        <f t="shared" si="4"/>
        <v>991</v>
      </c>
      <c r="K164" t="s">
        <v>386</v>
      </c>
      <c r="L164" t="s">
        <v>1082</v>
      </c>
      <c r="M164" t="s">
        <v>961</v>
      </c>
      <c r="N164" t="s">
        <v>961</v>
      </c>
      <c r="O164" t="s">
        <v>961</v>
      </c>
      <c r="P164" t="s">
        <v>961</v>
      </c>
      <c r="Q164" t="s">
        <v>961</v>
      </c>
      <c r="R164" t="s">
        <v>961</v>
      </c>
      <c r="S164" t="s">
        <v>961</v>
      </c>
      <c r="T164" t="s">
        <v>961</v>
      </c>
    </row>
    <row r="165" spans="1:20" x14ac:dyDescent="0.25">
      <c r="A165" s="64">
        <f t="shared" si="5"/>
        <v>164</v>
      </c>
      <c r="B165" s="102" t="s">
        <v>1064</v>
      </c>
      <c r="C165" s="10">
        <v>44697</v>
      </c>
      <c r="D165" t="s">
        <v>1075</v>
      </c>
      <c r="F165" t="s">
        <v>1076</v>
      </c>
      <c r="G165" t="s">
        <v>291</v>
      </c>
      <c r="H165">
        <v>1</v>
      </c>
      <c r="I165" s="11">
        <v>4079.3</v>
      </c>
      <c r="J165" s="47">
        <f t="shared" si="4"/>
        <v>4079.3</v>
      </c>
      <c r="K165" t="s">
        <v>1077</v>
      </c>
      <c r="L165" t="s">
        <v>80</v>
      </c>
      <c r="M165" t="s">
        <v>961</v>
      </c>
      <c r="N165" t="s">
        <v>961</v>
      </c>
      <c r="O165" t="s">
        <v>961</v>
      </c>
      <c r="P165" t="s">
        <v>961</v>
      </c>
      <c r="Q165" t="s">
        <v>961</v>
      </c>
      <c r="R165" t="s">
        <v>961</v>
      </c>
      <c r="S165" t="s">
        <v>961</v>
      </c>
      <c r="T165" t="s">
        <v>961</v>
      </c>
    </row>
    <row r="166" spans="1:20" x14ac:dyDescent="0.25">
      <c r="A166" s="65">
        <f t="shared" si="5"/>
        <v>165</v>
      </c>
      <c r="B166" s="9" t="s">
        <v>1065</v>
      </c>
      <c r="C166" s="10">
        <v>44698</v>
      </c>
      <c r="D166" t="s">
        <v>1078</v>
      </c>
      <c r="E166" t="s">
        <v>1039</v>
      </c>
      <c r="F166" t="s">
        <v>1079</v>
      </c>
      <c r="G166" t="s">
        <v>291</v>
      </c>
      <c r="H166">
        <v>1</v>
      </c>
      <c r="I166" s="11">
        <v>1740</v>
      </c>
      <c r="J166" s="47">
        <f t="shared" si="4"/>
        <v>1740</v>
      </c>
      <c r="K166" t="s">
        <v>1080</v>
      </c>
      <c r="L166" t="s">
        <v>1081</v>
      </c>
      <c r="M166" t="s">
        <v>961</v>
      </c>
      <c r="N166" t="s">
        <v>961</v>
      </c>
      <c r="O166" t="s">
        <v>961</v>
      </c>
      <c r="P166" t="s">
        <v>961</v>
      </c>
      <c r="Q166" t="s">
        <v>961</v>
      </c>
      <c r="R166" t="s">
        <v>961</v>
      </c>
      <c r="S166" t="s">
        <v>961</v>
      </c>
      <c r="T166" t="s">
        <v>961</v>
      </c>
    </row>
    <row r="167" spans="1:20" x14ac:dyDescent="0.25">
      <c r="A167">
        <f t="shared" si="5"/>
        <v>166</v>
      </c>
      <c r="B167" s="9" t="s">
        <v>1066</v>
      </c>
      <c r="C167" s="10">
        <v>44698</v>
      </c>
      <c r="D167" t="s">
        <v>1083</v>
      </c>
      <c r="E167" t="s">
        <v>1084</v>
      </c>
      <c r="F167" t="s">
        <v>1085</v>
      </c>
      <c r="G167" t="s">
        <v>168</v>
      </c>
      <c r="H167">
        <v>1</v>
      </c>
      <c r="I167" s="11">
        <v>894</v>
      </c>
      <c r="J167" s="47">
        <f t="shared" si="4"/>
        <v>894</v>
      </c>
      <c r="K167" t="s">
        <v>1086</v>
      </c>
      <c r="L167" t="s">
        <v>569</v>
      </c>
      <c r="M167" t="s">
        <v>961</v>
      </c>
      <c r="N167" t="s">
        <v>961</v>
      </c>
      <c r="O167" t="s">
        <v>961</v>
      </c>
      <c r="P167" t="s">
        <v>961</v>
      </c>
      <c r="Q167" t="s">
        <v>961</v>
      </c>
      <c r="R167" t="s">
        <v>961</v>
      </c>
      <c r="S167" t="s">
        <v>961</v>
      </c>
      <c r="T167" t="s">
        <v>961</v>
      </c>
    </row>
    <row r="168" spans="1:20" x14ac:dyDescent="0.25">
      <c r="A168">
        <f t="shared" si="5"/>
        <v>167</v>
      </c>
      <c r="B168" s="9" t="s">
        <v>1067</v>
      </c>
      <c r="C168" s="10">
        <v>44699</v>
      </c>
      <c r="D168" t="s">
        <v>1087</v>
      </c>
      <c r="E168" t="s">
        <v>1088</v>
      </c>
      <c r="F168" t="s">
        <v>1089</v>
      </c>
      <c r="G168" t="s">
        <v>168</v>
      </c>
      <c r="H168">
        <v>1</v>
      </c>
      <c r="I168" s="11">
        <v>888</v>
      </c>
      <c r="J168" s="47">
        <f t="shared" si="4"/>
        <v>888</v>
      </c>
      <c r="K168" t="s">
        <v>404</v>
      </c>
      <c r="L168" t="s">
        <v>277</v>
      </c>
      <c r="M168" t="s">
        <v>961</v>
      </c>
      <c r="N168" t="s">
        <v>961</v>
      </c>
      <c r="O168" t="s">
        <v>961</v>
      </c>
      <c r="P168" t="s">
        <v>961</v>
      </c>
      <c r="Q168" t="s">
        <v>961</v>
      </c>
      <c r="R168" t="s">
        <v>961</v>
      </c>
      <c r="S168" t="s">
        <v>961</v>
      </c>
      <c r="T168" t="s">
        <v>961</v>
      </c>
    </row>
    <row r="169" spans="1:20" x14ac:dyDescent="0.25">
      <c r="A169">
        <f t="shared" si="5"/>
        <v>168</v>
      </c>
      <c r="B169" s="9" t="s">
        <v>1068</v>
      </c>
      <c r="C169" s="10">
        <v>44699</v>
      </c>
      <c r="D169" t="s">
        <v>1093</v>
      </c>
      <c r="E169" t="s">
        <v>1090</v>
      </c>
      <c r="F169" t="s">
        <v>1091</v>
      </c>
      <c r="G169" t="s">
        <v>168</v>
      </c>
      <c r="H169">
        <v>1</v>
      </c>
      <c r="I169" s="11">
        <v>1736</v>
      </c>
      <c r="J169" s="47">
        <f t="shared" si="4"/>
        <v>1736</v>
      </c>
      <c r="K169" t="s">
        <v>1092</v>
      </c>
      <c r="L169" t="s">
        <v>1102</v>
      </c>
      <c r="M169" t="s">
        <v>961</v>
      </c>
      <c r="N169" t="s">
        <v>961</v>
      </c>
      <c r="O169" t="s">
        <v>961</v>
      </c>
      <c r="P169" t="s">
        <v>961</v>
      </c>
      <c r="Q169" t="s">
        <v>961</v>
      </c>
      <c r="R169" t="s">
        <v>961</v>
      </c>
      <c r="S169" t="s">
        <v>961</v>
      </c>
      <c r="T169" t="s">
        <v>961</v>
      </c>
    </row>
    <row r="170" spans="1:20" x14ac:dyDescent="0.25">
      <c r="A170" s="65">
        <f t="shared" si="5"/>
        <v>169</v>
      </c>
      <c r="B170" s="9" t="s">
        <v>1069</v>
      </c>
      <c r="C170" s="10">
        <v>44699</v>
      </c>
      <c r="D170" t="s">
        <v>1094</v>
      </c>
      <c r="E170" t="s">
        <v>1095</v>
      </c>
      <c r="F170" t="s">
        <v>1096</v>
      </c>
      <c r="G170" t="s">
        <v>281</v>
      </c>
      <c r="H170">
        <v>1</v>
      </c>
      <c r="I170" s="11">
        <v>1036</v>
      </c>
      <c r="J170" s="47">
        <f t="shared" si="4"/>
        <v>1036</v>
      </c>
      <c r="K170" t="s">
        <v>1097</v>
      </c>
      <c r="L170" t="s">
        <v>329</v>
      </c>
      <c r="M170" t="s">
        <v>961</v>
      </c>
      <c r="N170" t="s">
        <v>961</v>
      </c>
      <c r="O170" t="s">
        <v>961</v>
      </c>
      <c r="P170" t="s">
        <v>961</v>
      </c>
      <c r="Q170" t="s">
        <v>961</v>
      </c>
      <c r="R170" t="s">
        <v>961</v>
      </c>
      <c r="S170" t="s">
        <v>961</v>
      </c>
      <c r="T170" t="s">
        <v>961</v>
      </c>
    </row>
    <row r="171" spans="1:20" x14ac:dyDescent="0.25">
      <c r="A171">
        <f t="shared" si="5"/>
        <v>170</v>
      </c>
      <c r="B171" s="9" t="s">
        <v>1070</v>
      </c>
      <c r="C171" s="10">
        <v>44690</v>
      </c>
      <c r="D171" t="s">
        <v>1098</v>
      </c>
      <c r="E171" t="s">
        <v>1099</v>
      </c>
      <c r="F171" t="s">
        <v>1100</v>
      </c>
      <c r="G171" t="s">
        <v>168</v>
      </c>
      <c r="H171">
        <v>1</v>
      </c>
      <c r="I171" s="11">
        <v>1676.2</v>
      </c>
      <c r="J171" s="47">
        <f t="shared" si="4"/>
        <v>1676.2</v>
      </c>
      <c r="K171" t="s">
        <v>1101</v>
      </c>
      <c r="L171" t="s">
        <v>1111</v>
      </c>
      <c r="M171" t="s">
        <v>961</v>
      </c>
      <c r="N171" t="s">
        <v>961</v>
      </c>
      <c r="O171" t="s">
        <v>961</v>
      </c>
      <c r="P171" t="s">
        <v>961</v>
      </c>
      <c r="Q171" t="s">
        <v>961</v>
      </c>
      <c r="R171" t="s">
        <v>961</v>
      </c>
      <c r="S171" t="s">
        <v>961</v>
      </c>
      <c r="T171" t="s">
        <v>961</v>
      </c>
    </row>
    <row r="172" spans="1:20" x14ac:dyDescent="0.25">
      <c r="A172">
        <f t="shared" si="5"/>
        <v>171</v>
      </c>
      <c r="B172" s="9" t="s">
        <v>1071</v>
      </c>
      <c r="C172" s="10">
        <v>44700</v>
      </c>
      <c r="D172" t="s">
        <v>1103</v>
      </c>
      <c r="E172" t="s">
        <v>1104</v>
      </c>
      <c r="F172" t="s">
        <v>1105</v>
      </c>
      <c r="G172" t="s">
        <v>168</v>
      </c>
      <c r="H172">
        <v>1</v>
      </c>
      <c r="I172" s="11">
        <v>1452</v>
      </c>
      <c r="J172" s="47">
        <f t="shared" si="4"/>
        <v>1452</v>
      </c>
      <c r="K172" t="s">
        <v>1106</v>
      </c>
      <c r="L172" t="s">
        <v>569</v>
      </c>
      <c r="M172" t="s">
        <v>961</v>
      </c>
      <c r="N172" t="s">
        <v>961</v>
      </c>
      <c r="O172" t="s">
        <v>961</v>
      </c>
      <c r="P172" t="s">
        <v>961</v>
      </c>
      <c r="Q172" t="s">
        <v>961</v>
      </c>
      <c r="R172" t="s">
        <v>961</v>
      </c>
      <c r="S172" t="s">
        <v>961</v>
      </c>
      <c r="T172" t="s">
        <v>961</v>
      </c>
    </row>
    <row r="173" spans="1:20" x14ac:dyDescent="0.25">
      <c r="A173">
        <f t="shared" si="5"/>
        <v>172</v>
      </c>
      <c r="B173" s="102" t="s">
        <v>1057</v>
      </c>
      <c r="C173" s="10">
        <v>44701</v>
      </c>
      <c r="D173" t="s">
        <v>1107</v>
      </c>
      <c r="E173" t="s">
        <v>1108</v>
      </c>
      <c r="F173" t="s">
        <v>1109</v>
      </c>
      <c r="G173" t="s">
        <v>168</v>
      </c>
      <c r="H173">
        <v>1</v>
      </c>
      <c r="I173" s="11">
        <v>1338</v>
      </c>
      <c r="J173" s="47">
        <f t="shared" si="4"/>
        <v>1338</v>
      </c>
      <c r="K173" t="s">
        <v>1110</v>
      </c>
      <c r="L173" t="s">
        <v>1135</v>
      </c>
      <c r="M173" t="s">
        <v>961</v>
      </c>
      <c r="N173" t="s">
        <v>961</v>
      </c>
      <c r="O173" t="s">
        <v>961</v>
      </c>
      <c r="P173" t="s">
        <v>961</v>
      </c>
      <c r="Q173" t="s">
        <v>961</v>
      </c>
      <c r="R173" t="s">
        <v>961</v>
      </c>
      <c r="S173" t="s">
        <v>961</v>
      </c>
      <c r="T173" t="s">
        <v>961</v>
      </c>
    </row>
    <row r="174" spans="1:20" x14ac:dyDescent="0.25">
      <c r="A174" s="78">
        <f t="shared" si="5"/>
        <v>173</v>
      </c>
      <c r="B174" s="9" t="s">
        <v>1112</v>
      </c>
      <c r="C174" s="10">
        <v>44702</v>
      </c>
      <c r="D174" t="s">
        <v>1126</v>
      </c>
      <c r="E174" t="s">
        <v>1127</v>
      </c>
      <c r="F174" t="s">
        <v>1128</v>
      </c>
      <c r="G174" t="s">
        <v>281</v>
      </c>
      <c r="H174">
        <v>1</v>
      </c>
      <c r="I174" s="11">
        <v>2071.7600000000002</v>
      </c>
      <c r="J174" s="47">
        <f t="shared" si="4"/>
        <v>2071.7600000000002</v>
      </c>
      <c r="K174" t="s">
        <v>1129</v>
      </c>
      <c r="L174" t="s">
        <v>329</v>
      </c>
      <c r="M174" t="s">
        <v>961</v>
      </c>
      <c r="N174" t="s">
        <v>961</v>
      </c>
      <c r="O174" t="s">
        <v>961</v>
      </c>
      <c r="P174" t="s">
        <v>961</v>
      </c>
      <c r="Q174" t="s">
        <v>961</v>
      </c>
      <c r="R174" t="s">
        <v>961</v>
      </c>
      <c r="S174" t="s">
        <v>961</v>
      </c>
      <c r="T174" t="s">
        <v>961</v>
      </c>
    </row>
    <row r="175" spans="1:20" x14ac:dyDescent="0.25">
      <c r="A175" s="64">
        <f t="shared" si="5"/>
        <v>174</v>
      </c>
      <c r="B175" s="9" t="s">
        <v>1113</v>
      </c>
      <c r="C175" s="10">
        <v>44702</v>
      </c>
      <c r="D175" t="s">
        <v>1130</v>
      </c>
      <c r="E175" t="s">
        <v>1131</v>
      </c>
      <c r="F175" t="s">
        <v>1132</v>
      </c>
      <c r="G175" t="s">
        <v>168</v>
      </c>
      <c r="H175">
        <v>1</v>
      </c>
      <c r="I175" s="11">
        <v>1049.8</v>
      </c>
      <c r="J175" s="47">
        <f t="shared" si="4"/>
        <v>1049.8</v>
      </c>
      <c r="K175" t="s">
        <v>1133</v>
      </c>
      <c r="L175" t="s">
        <v>1134</v>
      </c>
      <c r="M175" t="s">
        <v>961</v>
      </c>
      <c r="N175" t="s">
        <v>961</v>
      </c>
      <c r="O175" t="s">
        <v>961</v>
      </c>
      <c r="P175" t="s">
        <v>961</v>
      </c>
      <c r="Q175" t="s">
        <v>961</v>
      </c>
      <c r="R175" t="s">
        <v>961</v>
      </c>
      <c r="S175" t="s">
        <v>961</v>
      </c>
      <c r="T175" t="s">
        <v>961</v>
      </c>
    </row>
    <row r="176" spans="1:20" x14ac:dyDescent="0.25">
      <c r="A176">
        <f t="shared" si="5"/>
        <v>175</v>
      </c>
      <c r="B176" s="102" t="s">
        <v>1114</v>
      </c>
      <c r="C176" s="10">
        <v>44700</v>
      </c>
      <c r="D176" t="s">
        <v>1136</v>
      </c>
      <c r="E176" t="s">
        <v>1137</v>
      </c>
      <c r="F176" t="s">
        <v>1138</v>
      </c>
      <c r="G176" t="s">
        <v>168</v>
      </c>
      <c r="H176">
        <v>1</v>
      </c>
      <c r="I176" s="11">
        <v>750</v>
      </c>
      <c r="J176" s="47">
        <f t="shared" si="4"/>
        <v>750</v>
      </c>
      <c r="K176" t="s">
        <v>1139</v>
      </c>
      <c r="L176" t="s">
        <v>518</v>
      </c>
      <c r="M176" t="s">
        <v>961</v>
      </c>
      <c r="N176" t="s">
        <v>961</v>
      </c>
      <c r="O176" t="s">
        <v>961</v>
      </c>
      <c r="P176" t="s">
        <v>961</v>
      </c>
      <c r="Q176" t="s">
        <v>961</v>
      </c>
      <c r="R176" t="s">
        <v>961</v>
      </c>
      <c r="S176" t="s">
        <v>961</v>
      </c>
      <c r="T176" t="s">
        <v>961</v>
      </c>
    </row>
    <row r="177" spans="1:20" x14ac:dyDescent="0.25">
      <c r="A177">
        <f t="shared" si="5"/>
        <v>176</v>
      </c>
      <c r="B177" s="9" t="s">
        <v>1115</v>
      </c>
      <c r="C177" s="10">
        <v>44701</v>
      </c>
      <c r="D177" t="s">
        <v>1140</v>
      </c>
      <c r="E177" t="s">
        <v>1141</v>
      </c>
      <c r="F177" t="s">
        <v>1142</v>
      </c>
      <c r="G177" t="s">
        <v>168</v>
      </c>
      <c r="H177">
        <v>1</v>
      </c>
      <c r="I177" s="11">
        <v>1227.5</v>
      </c>
      <c r="J177" s="47">
        <f t="shared" si="4"/>
        <v>1227.5</v>
      </c>
      <c r="K177" t="s">
        <v>1143</v>
      </c>
      <c r="L177" t="s">
        <v>192</v>
      </c>
      <c r="M177" t="s">
        <v>961</v>
      </c>
      <c r="N177" t="s">
        <v>961</v>
      </c>
      <c r="O177" t="s">
        <v>961</v>
      </c>
      <c r="P177" t="s">
        <v>961</v>
      </c>
      <c r="Q177" t="s">
        <v>961</v>
      </c>
      <c r="R177" t="s">
        <v>961</v>
      </c>
      <c r="S177" t="s">
        <v>961</v>
      </c>
      <c r="T177" t="s">
        <v>961</v>
      </c>
    </row>
    <row r="178" spans="1:20" x14ac:dyDescent="0.25">
      <c r="A178">
        <f t="shared" si="5"/>
        <v>177</v>
      </c>
      <c r="B178" s="9" t="s">
        <v>1116</v>
      </c>
      <c r="C178" s="10">
        <v>44705</v>
      </c>
      <c r="D178" t="s">
        <v>1144</v>
      </c>
      <c r="E178" t="s">
        <v>1145</v>
      </c>
      <c r="F178" t="s">
        <v>1146</v>
      </c>
      <c r="G178" t="s">
        <v>168</v>
      </c>
      <c r="H178">
        <v>1</v>
      </c>
      <c r="I178" s="11">
        <v>1542.8</v>
      </c>
      <c r="J178" s="47">
        <f t="shared" si="4"/>
        <v>1542.8</v>
      </c>
      <c r="K178" t="s">
        <v>1147</v>
      </c>
      <c r="L178" t="s">
        <v>606</v>
      </c>
      <c r="M178" t="s">
        <v>961</v>
      </c>
      <c r="N178" t="s">
        <v>961</v>
      </c>
      <c r="O178" t="s">
        <v>961</v>
      </c>
      <c r="P178" t="s">
        <v>961</v>
      </c>
      <c r="Q178" t="s">
        <v>961</v>
      </c>
      <c r="R178" t="s">
        <v>961</v>
      </c>
      <c r="S178" t="s">
        <v>961</v>
      </c>
      <c r="T178" t="s">
        <v>961</v>
      </c>
    </row>
    <row r="179" spans="1:20" x14ac:dyDescent="0.25">
      <c r="A179">
        <f t="shared" si="5"/>
        <v>178</v>
      </c>
      <c r="B179" s="9" t="s">
        <v>1117</v>
      </c>
      <c r="C179" s="10">
        <v>44705</v>
      </c>
      <c r="D179" t="s">
        <v>1148</v>
      </c>
      <c r="E179" t="s">
        <v>1149</v>
      </c>
      <c r="F179" t="s">
        <v>1150</v>
      </c>
      <c r="G179" t="s">
        <v>168</v>
      </c>
      <c r="H179">
        <v>1</v>
      </c>
      <c r="I179" s="11">
        <v>1497.8</v>
      </c>
      <c r="J179" s="47">
        <f t="shared" si="4"/>
        <v>1497.8</v>
      </c>
      <c r="K179" t="s">
        <v>1151</v>
      </c>
      <c r="L179" t="s">
        <v>277</v>
      </c>
      <c r="M179" t="s">
        <v>961</v>
      </c>
      <c r="N179" t="s">
        <v>961</v>
      </c>
      <c r="O179" t="s">
        <v>961</v>
      </c>
      <c r="P179" t="s">
        <v>961</v>
      </c>
      <c r="Q179" t="s">
        <v>961</v>
      </c>
      <c r="R179" t="s">
        <v>961</v>
      </c>
      <c r="S179" t="s">
        <v>961</v>
      </c>
      <c r="T179" t="s">
        <v>961</v>
      </c>
    </row>
    <row r="180" spans="1:20" x14ac:dyDescent="0.25">
      <c r="A180" s="65">
        <f t="shared" si="5"/>
        <v>179</v>
      </c>
      <c r="B180" s="9" t="s">
        <v>1118</v>
      </c>
      <c r="C180" s="10">
        <v>44706</v>
      </c>
      <c r="D180" t="s">
        <v>1152</v>
      </c>
      <c r="E180" t="s">
        <v>1153</v>
      </c>
      <c r="F180" t="s">
        <v>1154</v>
      </c>
      <c r="G180" t="s">
        <v>281</v>
      </c>
      <c r="H180">
        <v>1</v>
      </c>
      <c r="I180" s="11">
        <v>1618</v>
      </c>
      <c r="J180" s="47">
        <f t="shared" si="4"/>
        <v>1618</v>
      </c>
      <c r="K180" t="s">
        <v>1155</v>
      </c>
      <c r="L180" t="s">
        <v>329</v>
      </c>
      <c r="M180" t="s">
        <v>961</v>
      </c>
      <c r="N180" t="s">
        <v>961</v>
      </c>
      <c r="O180" t="s">
        <v>961</v>
      </c>
      <c r="P180" t="s">
        <v>961</v>
      </c>
      <c r="Q180" t="s">
        <v>961</v>
      </c>
      <c r="R180" t="s">
        <v>961</v>
      </c>
      <c r="S180" t="s">
        <v>961</v>
      </c>
      <c r="T180" t="s">
        <v>961</v>
      </c>
    </row>
    <row r="181" spans="1:20" x14ac:dyDescent="0.25">
      <c r="A181">
        <f t="shared" si="5"/>
        <v>180</v>
      </c>
      <c r="B181" s="9" t="s">
        <v>1119</v>
      </c>
      <c r="C181" s="10">
        <v>44704</v>
      </c>
      <c r="D181" t="s">
        <v>1156</v>
      </c>
      <c r="E181" t="s">
        <v>1157</v>
      </c>
      <c r="F181" t="s">
        <v>1158</v>
      </c>
      <c r="G181" t="s">
        <v>168</v>
      </c>
      <c r="H181">
        <v>1</v>
      </c>
      <c r="I181" s="11">
        <v>2523.3000000000002</v>
      </c>
      <c r="J181" s="47">
        <f t="shared" si="4"/>
        <v>2523.3000000000002</v>
      </c>
      <c r="K181" t="s">
        <v>1159</v>
      </c>
      <c r="L181" t="s">
        <v>1111</v>
      </c>
      <c r="M181" t="s">
        <v>961</v>
      </c>
      <c r="N181" t="s">
        <v>961</v>
      </c>
      <c r="O181" t="s">
        <v>961</v>
      </c>
      <c r="P181" t="s">
        <v>961</v>
      </c>
      <c r="Q181" t="s">
        <v>961</v>
      </c>
      <c r="R181" t="s">
        <v>961</v>
      </c>
      <c r="S181" t="s">
        <v>961</v>
      </c>
      <c r="T181" t="s">
        <v>961</v>
      </c>
    </row>
    <row r="182" spans="1:20" x14ac:dyDescent="0.25">
      <c r="A182" s="65">
        <f t="shared" si="5"/>
        <v>181</v>
      </c>
      <c r="B182" s="9" t="s">
        <v>1120</v>
      </c>
      <c r="C182" s="10">
        <v>44708</v>
      </c>
      <c r="D182" t="s">
        <v>182</v>
      </c>
      <c r="E182" t="s">
        <v>1160</v>
      </c>
      <c r="F182" t="s">
        <v>184</v>
      </c>
      <c r="G182" t="s">
        <v>281</v>
      </c>
      <c r="H182">
        <v>3</v>
      </c>
      <c r="I182" s="11">
        <v>5710</v>
      </c>
      <c r="J182" s="47">
        <f t="shared" si="4"/>
        <v>1903.3333333333333</v>
      </c>
      <c r="K182" t="s">
        <v>1161</v>
      </c>
      <c r="L182" t="s">
        <v>80</v>
      </c>
      <c r="M182" t="s">
        <v>961</v>
      </c>
      <c r="N182" t="s">
        <v>961</v>
      </c>
      <c r="O182" t="s">
        <v>961</v>
      </c>
      <c r="P182" t="s">
        <v>961</v>
      </c>
      <c r="Q182" t="s">
        <v>961</v>
      </c>
      <c r="R182" t="s">
        <v>961</v>
      </c>
      <c r="S182" t="s">
        <v>961</v>
      </c>
      <c r="T182" t="s">
        <v>961</v>
      </c>
    </row>
    <row r="183" spans="1:20" x14ac:dyDescent="0.25">
      <c r="A183">
        <f t="shared" si="5"/>
        <v>182</v>
      </c>
      <c r="B183" s="9" t="s">
        <v>1121</v>
      </c>
      <c r="C183" s="10">
        <v>44709</v>
      </c>
      <c r="D183" t="s">
        <v>1162</v>
      </c>
      <c r="E183" t="s">
        <v>1163</v>
      </c>
      <c r="F183" t="s">
        <v>1164</v>
      </c>
      <c r="G183" t="s">
        <v>168</v>
      </c>
      <c r="H183">
        <v>1</v>
      </c>
      <c r="I183" s="11">
        <v>1100</v>
      </c>
      <c r="J183" s="47">
        <f t="shared" si="4"/>
        <v>1100</v>
      </c>
      <c r="K183" t="s">
        <v>1165</v>
      </c>
      <c r="L183" t="s">
        <v>515</v>
      </c>
      <c r="M183" t="s">
        <v>961</v>
      </c>
      <c r="N183" t="s">
        <v>961</v>
      </c>
      <c r="O183" t="s">
        <v>961</v>
      </c>
      <c r="P183" t="s">
        <v>961</v>
      </c>
      <c r="Q183" t="s">
        <v>961</v>
      </c>
      <c r="R183" t="s">
        <v>961</v>
      </c>
      <c r="S183" t="s">
        <v>961</v>
      </c>
      <c r="T183" t="s">
        <v>961</v>
      </c>
    </row>
    <row r="184" spans="1:20" x14ac:dyDescent="0.25">
      <c r="A184" s="65">
        <f t="shared" si="5"/>
        <v>183</v>
      </c>
      <c r="B184" s="9" t="s">
        <v>1122</v>
      </c>
      <c r="C184" s="10">
        <v>44711</v>
      </c>
      <c r="D184" t="s">
        <v>1144</v>
      </c>
      <c r="E184" t="s">
        <v>1145</v>
      </c>
      <c r="F184" t="s">
        <v>1146</v>
      </c>
      <c r="G184" t="s">
        <v>281</v>
      </c>
      <c r="H184">
        <v>2</v>
      </c>
      <c r="I184" s="11">
        <v>3533.8</v>
      </c>
      <c r="J184" s="47">
        <f t="shared" si="4"/>
        <v>1766.9</v>
      </c>
      <c r="K184" t="s">
        <v>1169</v>
      </c>
      <c r="L184" t="s">
        <v>80</v>
      </c>
      <c r="M184" t="s">
        <v>961</v>
      </c>
      <c r="N184" t="s">
        <v>961</v>
      </c>
      <c r="O184" t="s">
        <v>961</v>
      </c>
      <c r="P184" t="s">
        <v>961</v>
      </c>
      <c r="Q184" t="s">
        <v>961</v>
      </c>
      <c r="R184" t="s">
        <v>961</v>
      </c>
      <c r="S184" t="s">
        <v>961</v>
      </c>
      <c r="T184" t="s">
        <v>961</v>
      </c>
    </row>
    <row r="185" spans="1:20" x14ac:dyDescent="0.25">
      <c r="A185">
        <f t="shared" si="5"/>
        <v>184</v>
      </c>
      <c r="B185" s="9" t="s">
        <v>1123</v>
      </c>
      <c r="C185" s="10">
        <v>44711</v>
      </c>
      <c r="D185" t="s">
        <v>1170</v>
      </c>
      <c r="E185" t="s">
        <v>1171</v>
      </c>
      <c r="F185" t="s">
        <v>1172</v>
      </c>
      <c r="G185" t="s">
        <v>168</v>
      </c>
      <c r="H185">
        <v>1</v>
      </c>
      <c r="I185" s="11">
        <v>2250</v>
      </c>
      <c r="J185" s="47">
        <f t="shared" si="4"/>
        <v>2250</v>
      </c>
      <c r="K185" t="s">
        <v>1173</v>
      </c>
      <c r="L185" t="s">
        <v>355</v>
      </c>
      <c r="M185" t="s">
        <v>961</v>
      </c>
      <c r="N185" t="s">
        <v>961</v>
      </c>
      <c r="O185" t="s">
        <v>961</v>
      </c>
      <c r="P185" t="s">
        <v>961</v>
      </c>
      <c r="Q185" t="s">
        <v>961</v>
      </c>
      <c r="R185" t="s">
        <v>961</v>
      </c>
      <c r="S185" t="s">
        <v>961</v>
      </c>
      <c r="T185" t="s">
        <v>961</v>
      </c>
    </row>
    <row r="186" spans="1:20" x14ac:dyDescent="0.25">
      <c r="A186" s="65">
        <f t="shared" si="5"/>
        <v>185</v>
      </c>
      <c r="B186" s="9" t="s">
        <v>1124</v>
      </c>
      <c r="C186" s="10">
        <v>44712</v>
      </c>
      <c r="D186" t="s">
        <v>1174</v>
      </c>
      <c r="E186" t="s">
        <v>2596</v>
      </c>
      <c r="F186" t="s">
        <v>1175</v>
      </c>
      <c r="G186" t="s">
        <v>281</v>
      </c>
      <c r="H186">
        <v>1</v>
      </c>
      <c r="I186" s="11">
        <v>1300</v>
      </c>
      <c r="J186" s="47">
        <f t="shared" si="4"/>
        <v>1300</v>
      </c>
      <c r="K186" t="s">
        <v>1176</v>
      </c>
      <c r="L186" t="s">
        <v>329</v>
      </c>
      <c r="M186" t="s">
        <v>961</v>
      </c>
      <c r="N186" t="s">
        <v>961</v>
      </c>
      <c r="O186" t="s">
        <v>961</v>
      </c>
      <c r="P186" t="s">
        <v>961</v>
      </c>
      <c r="Q186" t="s">
        <v>961</v>
      </c>
      <c r="R186" t="s">
        <v>961</v>
      </c>
      <c r="S186" t="s">
        <v>961</v>
      </c>
      <c r="T186" t="s">
        <v>961</v>
      </c>
    </row>
    <row r="187" spans="1:20" x14ac:dyDescent="0.25">
      <c r="A187" s="65">
        <f t="shared" si="5"/>
        <v>186</v>
      </c>
      <c r="B187" s="9" t="s">
        <v>1125</v>
      </c>
      <c r="C187" s="10">
        <v>44712</v>
      </c>
      <c r="D187" t="s">
        <v>846</v>
      </c>
      <c r="E187" t="s">
        <v>847</v>
      </c>
      <c r="F187" t="s">
        <v>848</v>
      </c>
      <c r="G187" t="s">
        <v>281</v>
      </c>
      <c r="H187">
        <v>3</v>
      </c>
      <c r="I187" s="11">
        <v>4833.3999999999996</v>
      </c>
      <c r="J187" s="47">
        <f t="shared" si="4"/>
        <v>1611.1333333333332</v>
      </c>
      <c r="K187" t="s">
        <v>244</v>
      </c>
      <c r="L187" t="s">
        <v>80</v>
      </c>
      <c r="M187" t="s">
        <v>961</v>
      </c>
      <c r="N187" t="s">
        <v>961</v>
      </c>
      <c r="O187" t="s">
        <v>961</v>
      </c>
      <c r="P187" t="s">
        <v>961</v>
      </c>
      <c r="Q187" t="s">
        <v>961</v>
      </c>
      <c r="R187" t="s">
        <v>961</v>
      </c>
      <c r="S187" t="s">
        <v>961</v>
      </c>
      <c r="T187" t="s">
        <v>961</v>
      </c>
    </row>
    <row r="188" spans="1:20" x14ac:dyDescent="0.25">
      <c r="A188">
        <f t="shared" si="5"/>
        <v>187</v>
      </c>
      <c r="B188" s="9" t="s">
        <v>1178</v>
      </c>
      <c r="C188" s="10">
        <v>44713</v>
      </c>
      <c r="D188" t="s">
        <v>1179</v>
      </c>
      <c r="E188" t="s">
        <v>1180</v>
      </c>
      <c r="F188" t="s">
        <v>1181</v>
      </c>
      <c r="G188" t="s">
        <v>168</v>
      </c>
      <c r="H188">
        <v>1</v>
      </c>
      <c r="I188" s="11">
        <v>1178.5999999999999</v>
      </c>
      <c r="J188" s="47">
        <f t="shared" si="4"/>
        <v>1178.5999999999999</v>
      </c>
      <c r="K188" t="s">
        <v>1182</v>
      </c>
      <c r="L188" t="s">
        <v>1208</v>
      </c>
      <c r="M188" t="s">
        <v>961</v>
      </c>
      <c r="N188" t="s">
        <v>961</v>
      </c>
      <c r="O188" t="s">
        <v>961</v>
      </c>
      <c r="P188" t="s">
        <v>961</v>
      </c>
      <c r="Q188" t="s">
        <v>961</v>
      </c>
      <c r="R188" t="s">
        <v>961</v>
      </c>
      <c r="S188" t="s">
        <v>961</v>
      </c>
      <c r="T188" t="s">
        <v>961</v>
      </c>
    </row>
    <row r="189" spans="1:20" x14ac:dyDescent="0.25">
      <c r="A189" s="65">
        <f t="shared" si="5"/>
        <v>188</v>
      </c>
      <c r="B189" s="9" t="s">
        <v>1187</v>
      </c>
      <c r="C189" s="10">
        <v>44714</v>
      </c>
      <c r="D189" t="s">
        <v>1203</v>
      </c>
      <c r="E189" t="s">
        <v>1204</v>
      </c>
      <c r="F189" t="s">
        <v>1205</v>
      </c>
      <c r="G189" t="s">
        <v>281</v>
      </c>
      <c r="H189">
        <v>1</v>
      </c>
      <c r="I189" s="11">
        <v>1450</v>
      </c>
      <c r="J189" s="47">
        <f t="shared" si="4"/>
        <v>1450</v>
      </c>
      <c r="K189" t="s">
        <v>1206</v>
      </c>
      <c r="L189" t="s">
        <v>1207</v>
      </c>
      <c r="M189" t="s">
        <v>961</v>
      </c>
      <c r="N189" t="s">
        <v>961</v>
      </c>
      <c r="O189" t="s">
        <v>961</v>
      </c>
      <c r="P189" t="s">
        <v>961</v>
      </c>
      <c r="Q189" t="s">
        <v>961</v>
      </c>
      <c r="R189" t="s">
        <v>961</v>
      </c>
      <c r="S189" t="s">
        <v>961</v>
      </c>
      <c r="T189" t="s">
        <v>961</v>
      </c>
    </row>
    <row r="190" spans="1:20" x14ac:dyDescent="0.25">
      <c r="A190">
        <f t="shared" si="5"/>
        <v>189</v>
      </c>
      <c r="B190" s="9" t="s">
        <v>1188</v>
      </c>
      <c r="C190" s="10">
        <v>44714</v>
      </c>
      <c r="D190" t="s">
        <v>2524</v>
      </c>
      <c r="E190" t="s">
        <v>1212</v>
      </c>
      <c r="F190" t="s">
        <v>1213</v>
      </c>
      <c r="G190" t="s">
        <v>168</v>
      </c>
      <c r="H190">
        <v>1</v>
      </c>
      <c r="I190" s="11">
        <v>1357</v>
      </c>
      <c r="J190" s="47">
        <f t="shared" si="4"/>
        <v>1357</v>
      </c>
      <c r="K190" t="s">
        <v>1214</v>
      </c>
      <c r="L190" t="s">
        <v>1223</v>
      </c>
      <c r="M190" t="s">
        <v>961</v>
      </c>
      <c r="N190" t="s">
        <v>961</v>
      </c>
      <c r="O190" t="s">
        <v>961</v>
      </c>
      <c r="P190" t="s">
        <v>961</v>
      </c>
      <c r="Q190" t="s">
        <v>961</v>
      </c>
      <c r="R190" t="s">
        <v>961</v>
      </c>
      <c r="S190" t="s">
        <v>961</v>
      </c>
      <c r="T190" t="s">
        <v>961</v>
      </c>
    </row>
    <row r="191" spans="1:20" x14ac:dyDescent="0.25">
      <c r="A191">
        <f t="shared" si="5"/>
        <v>190</v>
      </c>
      <c r="B191" s="9" t="s">
        <v>1189</v>
      </c>
      <c r="C191" s="10">
        <v>44716</v>
      </c>
      <c r="D191" t="s">
        <v>1215</v>
      </c>
      <c r="E191" t="s">
        <v>1216</v>
      </c>
      <c r="F191" t="s">
        <v>1217</v>
      </c>
      <c r="G191" t="s">
        <v>168</v>
      </c>
      <c r="H191">
        <v>1</v>
      </c>
      <c r="I191" s="11">
        <v>1083</v>
      </c>
      <c r="J191" s="47">
        <f t="shared" si="4"/>
        <v>1083</v>
      </c>
      <c r="K191" t="s">
        <v>1218</v>
      </c>
      <c r="L191" t="s">
        <v>1224</v>
      </c>
      <c r="M191" t="s">
        <v>961</v>
      </c>
      <c r="N191" t="s">
        <v>961</v>
      </c>
      <c r="O191" t="s">
        <v>961</v>
      </c>
      <c r="P191" t="s">
        <v>961</v>
      </c>
      <c r="Q191" t="s">
        <v>961</v>
      </c>
      <c r="R191" t="s">
        <v>961</v>
      </c>
      <c r="S191" t="s">
        <v>961</v>
      </c>
      <c r="T191" t="s">
        <v>961</v>
      </c>
    </row>
    <row r="192" spans="1:20" x14ac:dyDescent="0.25">
      <c r="A192" s="65">
        <f t="shared" si="5"/>
        <v>191</v>
      </c>
      <c r="B192" s="9" t="s">
        <v>1190</v>
      </c>
      <c r="C192" s="10">
        <v>44719</v>
      </c>
      <c r="D192" t="s">
        <v>1219</v>
      </c>
      <c r="E192" t="s">
        <v>1220</v>
      </c>
      <c r="F192" t="s">
        <v>1221</v>
      </c>
      <c r="G192" t="s">
        <v>281</v>
      </c>
      <c r="H192">
        <v>1</v>
      </c>
      <c r="I192" s="11">
        <v>1887</v>
      </c>
      <c r="J192" s="47">
        <f t="shared" si="4"/>
        <v>1887</v>
      </c>
      <c r="K192" t="s">
        <v>1222</v>
      </c>
      <c r="L192" t="s">
        <v>329</v>
      </c>
      <c r="M192" t="s">
        <v>961</v>
      </c>
      <c r="N192" t="s">
        <v>961</v>
      </c>
      <c r="O192" t="s">
        <v>961</v>
      </c>
      <c r="P192" t="s">
        <v>961</v>
      </c>
      <c r="Q192" t="s">
        <v>961</v>
      </c>
      <c r="R192" t="s">
        <v>961</v>
      </c>
      <c r="S192" t="s">
        <v>961</v>
      </c>
      <c r="T192" t="s">
        <v>961</v>
      </c>
    </row>
    <row r="193" spans="1:20" x14ac:dyDescent="0.25">
      <c r="A193" s="65">
        <f t="shared" si="5"/>
        <v>192</v>
      </c>
      <c r="B193" s="9" t="s">
        <v>1191</v>
      </c>
      <c r="C193" s="10">
        <v>44719</v>
      </c>
      <c r="D193" t="s">
        <v>611</v>
      </c>
      <c r="E193" t="s">
        <v>612</v>
      </c>
      <c r="F193" t="s">
        <v>613</v>
      </c>
      <c r="G193" t="s">
        <v>281</v>
      </c>
      <c r="H193">
        <v>2</v>
      </c>
      <c r="I193" s="11">
        <v>3181.39</v>
      </c>
      <c r="J193" s="47">
        <f t="shared" si="4"/>
        <v>1590.6949999999999</v>
      </c>
      <c r="K193" t="s">
        <v>1225</v>
      </c>
      <c r="L193" t="s">
        <v>80</v>
      </c>
      <c r="M193" t="s">
        <v>961</v>
      </c>
      <c r="N193" t="s">
        <v>961</v>
      </c>
      <c r="O193" t="s">
        <v>961</v>
      </c>
      <c r="P193" t="s">
        <v>961</v>
      </c>
      <c r="Q193" t="s">
        <v>961</v>
      </c>
      <c r="R193" t="s">
        <v>961</v>
      </c>
      <c r="S193" t="s">
        <v>961</v>
      </c>
      <c r="T193" t="s">
        <v>961</v>
      </c>
    </row>
    <row r="194" spans="1:20" x14ac:dyDescent="0.25">
      <c r="A194" s="79">
        <f t="shared" si="5"/>
        <v>193</v>
      </c>
      <c r="B194" s="9" t="s">
        <v>1192</v>
      </c>
      <c r="C194" s="10">
        <v>44715</v>
      </c>
      <c r="D194" t="s">
        <v>1226</v>
      </c>
      <c r="E194" t="s">
        <v>1227</v>
      </c>
      <c r="F194" t="s">
        <v>1228</v>
      </c>
      <c r="G194" t="s">
        <v>168</v>
      </c>
      <c r="H194">
        <v>1</v>
      </c>
      <c r="I194" s="11">
        <v>2088</v>
      </c>
      <c r="J194" s="47">
        <f t="shared" si="4"/>
        <v>2088</v>
      </c>
      <c r="K194" t="s">
        <v>342</v>
      </c>
      <c r="L194" t="s">
        <v>1229</v>
      </c>
      <c r="M194" t="s">
        <v>961</v>
      </c>
      <c r="N194" t="s">
        <v>961</v>
      </c>
      <c r="O194" t="s">
        <v>961</v>
      </c>
      <c r="P194" t="s">
        <v>961</v>
      </c>
      <c r="Q194" t="s">
        <v>961</v>
      </c>
      <c r="R194" t="s">
        <v>961</v>
      </c>
      <c r="S194" t="s">
        <v>961</v>
      </c>
      <c r="T194" t="s">
        <v>961</v>
      </c>
    </row>
    <row r="195" spans="1:20" x14ac:dyDescent="0.25">
      <c r="A195" s="65">
        <f t="shared" si="5"/>
        <v>194</v>
      </c>
      <c r="B195" s="9" t="s">
        <v>1193</v>
      </c>
      <c r="C195" s="10">
        <v>44720</v>
      </c>
      <c r="D195" t="s">
        <v>1230</v>
      </c>
      <c r="E195" t="s">
        <v>1231</v>
      </c>
      <c r="F195" t="s">
        <v>1232</v>
      </c>
      <c r="G195" t="s">
        <v>281</v>
      </c>
      <c r="H195">
        <v>1</v>
      </c>
      <c r="I195" s="11">
        <v>905</v>
      </c>
      <c r="J195" s="47">
        <f t="shared" ref="J195:J258" si="6">I195/H195</f>
        <v>905</v>
      </c>
      <c r="K195" t="s">
        <v>1041</v>
      </c>
      <c r="L195" t="s">
        <v>329</v>
      </c>
      <c r="M195" t="s">
        <v>961</v>
      </c>
      <c r="N195" t="s">
        <v>961</v>
      </c>
      <c r="O195" t="s">
        <v>961</v>
      </c>
      <c r="P195" t="s">
        <v>961</v>
      </c>
      <c r="Q195" t="s">
        <v>961</v>
      </c>
      <c r="R195" t="s">
        <v>961</v>
      </c>
      <c r="S195" t="s">
        <v>961</v>
      </c>
      <c r="T195" t="s">
        <v>961</v>
      </c>
    </row>
    <row r="196" spans="1:20" x14ac:dyDescent="0.25">
      <c r="A196">
        <f t="shared" ref="A196:A259" si="7">+A195+1</f>
        <v>195</v>
      </c>
      <c r="B196" s="9" t="s">
        <v>1194</v>
      </c>
      <c r="C196" s="10">
        <v>44721</v>
      </c>
      <c r="D196" t="s">
        <v>1233</v>
      </c>
      <c r="E196" t="s">
        <v>1234</v>
      </c>
      <c r="F196" t="s">
        <v>1235</v>
      </c>
      <c r="G196" t="s">
        <v>168</v>
      </c>
      <c r="H196">
        <v>1</v>
      </c>
      <c r="I196" s="11">
        <v>4091.07</v>
      </c>
      <c r="J196" s="47">
        <f t="shared" si="6"/>
        <v>4091.07</v>
      </c>
      <c r="K196" t="s">
        <v>1236</v>
      </c>
      <c r="L196" t="s">
        <v>192</v>
      </c>
      <c r="M196" t="s">
        <v>961</v>
      </c>
      <c r="N196" t="s">
        <v>961</v>
      </c>
      <c r="O196" t="s">
        <v>961</v>
      </c>
      <c r="P196" t="s">
        <v>961</v>
      </c>
      <c r="Q196" t="s">
        <v>961</v>
      </c>
      <c r="R196" t="s">
        <v>961</v>
      </c>
      <c r="S196" t="s">
        <v>961</v>
      </c>
      <c r="T196" t="s">
        <v>961</v>
      </c>
    </row>
    <row r="197" spans="1:20" x14ac:dyDescent="0.25">
      <c r="A197" s="65">
        <f t="shared" si="7"/>
        <v>196</v>
      </c>
      <c r="B197" s="9" t="s">
        <v>1195</v>
      </c>
      <c r="C197" s="10">
        <v>44721</v>
      </c>
      <c r="D197" t="s">
        <v>1237</v>
      </c>
      <c r="E197" t="s">
        <v>1238</v>
      </c>
      <c r="F197" t="s">
        <v>1239</v>
      </c>
      <c r="G197" t="s">
        <v>281</v>
      </c>
      <c r="H197">
        <v>1</v>
      </c>
      <c r="I197" s="11">
        <v>2595</v>
      </c>
      <c r="J197" s="47">
        <f t="shared" si="6"/>
        <v>2595</v>
      </c>
      <c r="K197" t="s">
        <v>1309</v>
      </c>
      <c r="L197" t="s">
        <v>1240</v>
      </c>
      <c r="M197" t="s">
        <v>961</v>
      </c>
      <c r="N197" t="s">
        <v>961</v>
      </c>
      <c r="O197" t="s">
        <v>961</v>
      </c>
      <c r="P197" t="s">
        <v>961</v>
      </c>
      <c r="Q197" t="s">
        <v>961</v>
      </c>
      <c r="R197" t="s">
        <v>961</v>
      </c>
      <c r="S197" t="s">
        <v>961</v>
      </c>
      <c r="T197" t="s">
        <v>961</v>
      </c>
    </row>
    <row r="198" spans="1:20" x14ac:dyDescent="0.25">
      <c r="A198">
        <f t="shared" si="7"/>
        <v>197</v>
      </c>
      <c r="B198" s="9" t="s">
        <v>1196</v>
      </c>
      <c r="C198" s="10">
        <v>44722</v>
      </c>
      <c r="D198" t="s">
        <v>1245</v>
      </c>
      <c r="E198" t="s">
        <v>1246</v>
      </c>
      <c r="F198" t="s">
        <v>1247</v>
      </c>
      <c r="G198" t="s">
        <v>168</v>
      </c>
      <c r="H198">
        <v>1</v>
      </c>
      <c r="I198" s="11">
        <v>903</v>
      </c>
      <c r="J198" s="47">
        <f t="shared" si="6"/>
        <v>903</v>
      </c>
      <c r="K198" t="s">
        <v>1248</v>
      </c>
      <c r="L198" t="s">
        <v>355</v>
      </c>
      <c r="M198" t="s">
        <v>961</v>
      </c>
      <c r="N198" t="s">
        <v>961</v>
      </c>
      <c r="O198" t="s">
        <v>961</v>
      </c>
      <c r="P198" t="s">
        <v>961</v>
      </c>
      <c r="Q198" t="s">
        <v>961</v>
      </c>
      <c r="R198" t="s">
        <v>961</v>
      </c>
      <c r="S198" t="s">
        <v>961</v>
      </c>
      <c r="T198" t="s">
        <v>961</v>
      </c>
    </row>
    <row r="199" spans="1:20" x14ac:dyDescent="0.25">
      <c r="A199" s="65">
        <f t="shared" si="7"/>
        <v>198</v>
      </c>
      <c r="B199" s="9" t="s">
        <v>1197</v>
      </c>
      <c r="C199" s="10">
        <v>44722</v>
      </c>
      <c r="D199" t="s">
        <v>1245</v>
      </c>
      <c r="E199" t="s">
        <v>1246</v>
      </c>
      <c r="F199" t="s">
        <v>1247</v>
      </c>
      <c r="G199" t="s">
        <v>281</v>
      </c>
      <c r="H199">
        <v>2</v>
      </c>
      <c r="I199" s="11">
        <v>1236</v>
      </c>
      <c r="J199" s="47">
        <f t="shared" si="6"/>
        <v>618</v>
      </c>
      <c r="K199" t="s">
        <v>1027</v>
      </c>
      <c r="L199" t="s">
        <v>80</v>
      </c>
      <c r="M199" t="s">
        <v>961</v>
      </c>
      <c r="N199" t="s">
        <v>961</v>
      </c>
      <c r="O199" t="s">
        <v>961</v>
      </c>
      <c r="P199" t="s">
        <v>961</v>
      </c>
      <c r="Q199" t="s">
        <v>961</v>
      </c>
      <c r="R199" t="s">
        <v>961</v>
      </c>
      <c r="S199" t="s">
        <v>961</v>
      </c>
      <c r="T199" t="s">
        <v>961</v>
      </c>
    </row>
    <row r="200" spans="1:20" x14ac:dyDescent="0.25">
      <c r="A200" s="79">
        <f t="shared" si="7"/>
        <v>199</v>
      </c>
      <c r="B200" s="9" t="s">
        <v>1198</v>
      </c>
      <c r="C200" s="10">
        <v>44722</v>
      </c>
      <c r="D200" t="s">
        <v>1249</v>
      </c>
      <c r="E200" t="s">
        <v>1250</v>
      </c>
      <c r="F200" t="s">
        <v>1251</v>
      </c>
      <c r="G200" t="s">
        <v>168</v>
      </c>
      <c r="H200">
        <v>1</v>
      </c>
      <c r="I200" s="11">
        <v>1190</v>
      </c>
      <c r="J200" s="47">
        <f t="shared" si="6"/>
        <v>1190</v>
      </c>
      <c r="K200" t="s">
        <v>1252</v>
      </c>
      <c r="L200" t="s">
        <v>606</v>
      </c>
      <c r="M200" t="s">
        <v>961</v>
      </c>
      <c r="N200" t="s">
        <v>961</v>
      </c>
      <c r="O200" t="s">
        <v>961</v>
      </c>
      <c r="P200" t="s">
        <v>961</v>
      </c>
      <c r="Q200" t="s">
        <v>961</v>
      </c>
      <c r="R200" t="s">
        <v>961</v>
      </c>
      <c r="S200" t="s">
        <v>961</v>
      </c>
      <c r="T200" t="s">
        <v>961</v>
      </c>
    </row>
    <row r="201" spans="1:20" x14ac:dyDescent="0.25">
      <c r="A201" s="65">
        <f t="shared" si="7"/>
        <v>200</v>
      </c>
      <c r="B201" s="9" t="s">
        <v>1199</v>
      </c>
      <c r="C201" s="10">
        <v>44723</v>
      </c>
      <c r="D201" t="s">
        <v>1253</v>
      </c>
      <c r="E201" t="s">
        <v>1254</v>
      </c>
      <c r="F201" t="s">
        <v>1255</v>
      </c>
      <c r="G201" t="s">
        <v>281</v>
      </c>
      <c r="H201">
        <v>1</v>
      </c>
      <c r="I201" s="11">
        <v>1644</v>
      </c>
      <c r="J201" s="47">
        <f t="shared" si="6"/>
        <v>1644</v>
      </c>
      <c r="K201" t="s">
        <v>1256</v>
      </c>
      <c r="L201" t="s">
        <v>329</v>
      </c>
      <c r="M201" t="s">
        <v>961</v>
      </c>
      <c r="N201" t="s">
        <v>961</v>
      </c>
      <c r="O201" t="s">
        <v>961</v>
      </c>
      <c r="P201" t="s">
        <v>961</v>
      </c>
      <c r="Q201" t="s">
        <v>961</v>
      </c>
      <c r="R201" t="s">
        <v>961</v>
      </c>
      <c r="S201" t="s">
        <v>961</v>
      </c>
      <c r="T201" t="s">
        <v>961</v>
      </c>
    </row>
    <row r="202" spans="1:20" x14ac:dyDescent="0.25">
      <c r="A202">
        <f t="shared" si="7"/>
        <v>201</v>
      </c>
      <c r="B202" s="9" t="s">
        <v>1200</v>
      </c>
      <c r="C202" s="10">
        <v>44718</v>
      </c>
      <c r="D202" t="s">
        <v>1257</v>
      </c>
      <c r="E202" t="s">
        <v>1258</v>
      </c>
      <c r="F202" t="s">
        <v>1259</v>
      </c>
      <c r="G202" t="s">
        <v>168</v>
      </c>
      <c r="H202">
        <v>1</v>
      </c>
      <c r="I202" s="11">
        <v>8881.24</v>
      </c>
      <c r="J202" s="47">
        <f t="shared" si="6"/>
        <v>8881.24</v>
      </c>
      <c r="K202" t="s">
        <v>1260</v>
      </c>
      <c r="L202" t="s">
        <v>1267</v>
      </c>
      <c r="M202" t="s">
        <v>961</v>
      </c>
      <c r="N202" t="s">
        <v>961</v>
      </c>
      <c r="O202" t="s">
        <v>961</v>
      </c>
      <c r="P202" t="s">
        <v>961</v>
      </c>
      <c r="Q202" t="s">
        <v>961</v>
      </c>
      <c r="R202" t="s">
        <v>961</v>
      </c>
      <c r="S202" t="s">
        <v>961</v>
      </c>
      <c r="T202" t="s">
        <v>961</v>
      </c>
    </row>
    <row r="203" spans="1:20" x14ac:dyDescent="0.25">
      <c r="A203" s="65">
        <f t="shared" si="7"/>
        <v>202</v>
      </c>
      <c r="B203" s="9" t="s">
        <v>1201</v>
      </c>
      <c r="C203" s="10">
        <v>44725</v>
      </c>
      <c r="D203" t="s">
        <v>1253</v>
      </c>
      <c r="E203" t="s">
        <v>1254</v>
      </c>
      <c r="F203" t="s">
        <v>1261</v>
      </c>
      <c r="G203" t="s">
        <v>281</v>
      </c>
      <c r="H203">
        <v>2</v>
      </c>
      <c r="I203" s="11">
        <v>3620.95</v>
      </c>
      <c r="J203" s="47">
        <f t="shared" si="6"/>
        <v>1810.4749999999999</v>
      </c>
      <c r="K203" t="s">
        <v>1262</v>
      </c>
      <c r="L203" t="s">
        <v>80</v>
      </c>
      <c r="M203" t="s">
        <v>961</v>
      </c>
      <c r="N203" t="s">
        <v>961</v>
      </c>
      <c r="O203" t="s">
        <v>961</v>
      </c>
      <c r="P203" t="s">
        <v>961</v>
      </c>
      <c r="Q203" t="s">
        <v>961</v>
      </c>
      <c r="R203" t="s">
        <v>961</v>
      </c>
      <c r="S203" t="s">
        <v>961</v>
      </c>
      <c r="T203" t="s">
        <v>961</v>
      </c>
    </row>
    <row r="204" spans="1:20" x14ac:dyDescent="0.25">
      <c r="A204">
        <f t="shared" si="7"/>
        <v>203</v>
      </c>
      <c r="B204" s="9" t="s">
        <v>1202</v>
      </c>
      <c r="C204" s="10">
        <v>44726</v>
      </c>
      <c r="D204" t="s">
        <v>1263</v>
      </c>
      <c r="E204" t="s">
        <v>1264</v>
      </c>
      <c r="F204" t="s">
        <v>1265</v>
      </c>
      <c r="G204" t="s">
        <v>168</v>
      </c>
      <c r="H204">
        <v>1</v>
      </c>
      <c r="I204" s="11">
        <v>1873</v>
      </c>
      <c r="J204" s="47">
        <f t="shared" si="6"/>
        <v>1873</v>
      </c>
      <c r="K204" t="s">
        <v>1266</v>
      </c>
      <c r="L204" t="s">
        <v>1281</v>
      </c>
      <c r="M204" t="s">
        <v>961</v>
      </c>
      <c r="N204" t="s">
        <v>961</v>
      </c>
      <c r="O204" t="s">
        <v>961</v>
      </c>
      <c r="P204" t="s">
        <v>961</v>
      </c>
      <c r="Q204" t="s">
        <v>961</v>
      </c>
      <c r="R204" t="s">
        <v>961</v>
      </c>
      <c r="S204" t="s">
        <v>961</v>
      </c>
      <c r="T204" t="s">
        <v>961</v>
      </c>
    </row>
    <row r="205" spans="1:20" x14ac:dyDescent="0.25">
      <c r="A205">
        <f t="shared" si="7"/>
        <v>204</v>
      </c>
      <c r="B205" s="102" t="s">
        <v>1209</v>
      </c>
      <c r="C205" s="10">
        <v>44726</v>
      </c>
      <c r="D205" t="s">
        <v>1268</v>
      </c>
      <c r="E205" t="s">
        <v>1269</v>
      </c>
      <c r="F205" t="s">
        <v>1270</v>
      </c>
      <c r="G205" t="s">
        <v>168</v>
      </c>
      <c r="H205">
        <v>1</v>
      </c>
      <c r="I205" s="11">
        <v>2346</v>
      </c>
      <c r="J205" s="47">
        <f t="shared" si="6"/>
        <v>2346</v>
      </c>
      <c r="K205" t="s">
        <v>1271</v>
      </c>
      <c r="L205" t="s">
        <v>192</v>
      </c>
      <c r="M205" t="s">
        <v>961</v>
      </c>
      <c r="N205" t="s">
        <v>961</v>
      </c>
      <c r="O205" t="s">
        <v>961</v>
      </c>
      <c r="P205" t="s">
        <v>961</v>
      </c>
      <c r="Q205" t="s">
        <v>961</v>
      </c>
      <c r="R205" t="s">
        <v>961</v>
      </c>
      <c r="S205" t="s">
        <v>961</v>
      </c>
      <c r="T205" t="s">
        <v>961</v>
      </c>
    </row>
    <row r="206" spans="1:20" x14ac:dyDescent="0.25">
      <c r="A206" s="64">
        <f t="shared" si="7"/>
        <v>205</v>
      </c>
      <c r="B206" s="9" t="s">
        <v>1210</v>
      </c>
      <c r="C206" s="10">
        <v>44726</v>
      </c>
      <c r="D206" t="s">
        <v>1272</v>
      </c>
      <c r="E206" t="s">
        <v>1273</v>
      </c>
      <c r="F206" t="s">
        <v>1274</v>
      </c>
      <c r="G206" t="s">
        <v>168</v>
      </c>
      <c r="H206">
        <v>1</v>
      </c>
      <c r="I206" s="11">
        <v>4727</v>
      </c>
      <c r="J206" s="47">
        <f t="shared" si="6"/>
        <v>4727</v>
      </c>
      <c r="K206" t="s">
        <v>1275</v>
      </c>
      <c r="L206" t="s">
        <v>1282</v>
      </c>
      <c r="M206" t="s">
        <v>961</v>
      </c>
      <c r="N206" t="s">
        <v>961</v>
      </c>
      <c r="O206" t="s">
        <v>961</v>
      </c>
      <c r="P206" t="s">
        <v>961</v>
      </c>
      <c r="Q206" t="s">
        <v>961</v>
      </c>
      <c r="R206" t="s">
        <v>961</v>
      </c>
      <c r="S206" t="s">
        <v>961</v>
      </c>
      <c r="T206" t="s">
        <v>961</v>
      </c>
    </row>
    <row r="207" spans="1:20" x14ac:dyDescent="0.25">
      <c r="A207" s="64">
        <f t="shared" si="7"/>
        <v>206</v>
      </c>
      <c r="B207" s="9" t="s">
        <v>1241</v>
      </c>
      <c r="C207" s="10">
        <v>44727</v>
      </c>
      <c r="D207" t="s">
        <v>1276</v>
      </c>
      <c r="E207" t="s">
        <v>1277</v>
      </c>
      <c r="F207" t="s">
        <v>1278</v>
      </c>
      <c r="G207" t="s">
        <v>168</v>
      </c>
      <c r="H207">
        <v>1</v>
      </c>
      <c r="I207" s="11">
        <v>7396.16</v>
      </c>
      <c r="J207" s="47">
        <f t="shared" si="6"/>
        <v>7396.16</v>
      </c>
      <c r="K207" t="s">
        <v>1279</v>
      </c>
      <c r="L207" t="s">
        <v>1280</v>
      </c>
      <c r="M207" t="s">
        <v>961</v>
      </c>
      <c r="N207" t="s">
        <v>961</v>
      </c>
      <c r="O207" t="s">
        <v>961</v>
      </c>
      <c r="P207" t="s">
        <v>961</v>
      </c>
      <c r="Q207" t="s">
        <v>961</v>
      </c>
      <c r="R207" t="s">
        <v>961</v>
      </c>
      <c r="S207" t="s">
        <v>961</v>
      </c>
      <c r="T207" t="s">
        <v>961</v>
      </c>
    </row>
    <row r="208" spans="1:20" x14ac:dyDescent="0.25">
      <c r="A208" s="79">
        <f t="shared" si="7"/>
        <v>207</v>
      </c>
      <c r="B208" s="9" t="s">
        <v>1242</v>
      </c>
      <c r="C208" s="10">
        <v>44719</v>
      </c>
      <c r="D208" t="s">
        <v>1290</v>
      </c>
      <c r="E208" t="s">
        <v>1287</v>
      </c>
      <c r="F208" t="s">
        <v>1288</v>
      </c>
      <c r="G208" t="s">
        <v>168</v>
      </c>
      <c r="H208">
        <v>1</v>
      </c>
      <c r="I208" s="11">
        <v>6023.7</v>
      </c>
      <c r="J208" s="47">
        <f t="shared" si="6"/>
        <v>6023.7</v>
      </c>
      <c r="K208" t="s">
        <v>1289</v>
      </c>
      <c r="L208" t="s">
        <v>80</v>
      </c>
      <c r="M208" t="s">
        <v>961</v>
      </c>
      <c r="N208" t="s">
        <v>961</v>
      </c>
      <c r="O208" t="s">
        <v>961</v>
      </c>
      <c r="P208" t="s">
        <v>961</v>
      </c>
      <c r="Q208" t="s">
        <v>961</v>
      </c>
      <c r="R208" t="s">
        <v>961</v>
      </c>
      <c r="S208" t="s">
        <v>961</v>
      </c>
      <c r="T208" t="s">
        <v>961</v>
      </c>
    </row>
    <row r="209" spans="1:20" x14ac:dyDescent="0.25">
      <c r="A209" s="79">
        <f t="shared" si="7"/>
        <v>208</v>
      </c>
      <c r="B209" s="9" t="s">
        <v>1243</v>
      </c>
      <c r="C209" s="10">
        <v>44728</v>
      </c>
      <c r="D209" t="s">
        <v>1290</v>
      </c>
      <c r="E209" t="s">
        <v>1287</v>
      </c>
      <c r="F209" t="s">
        <v>1288</v>
      </c>
      <c r="G209" t="s">
        <v>281</v>
      </c>
      <c r="H209">
        <v>2</v>
      </c>
      <c r="I209" s="11">
        <v>8135</v>
      </c>
      <c r="J209" s="47">
        <f t="shared" si="6"/>
        <v>4067.5</v>
      </c>
      <c r="K209" t="s">
        <v>895</v>
      </c>
      <c r="L209" t="s">
        <v>80</v>
      </c>
      <c r="M209" t="s">
        <v>961</v>
      </c>
      <c r="N209" t="s">
        <v>961</v>
      </c>
      <c r="O209" t="s">
        <v>961</v>
      </c>
      <c r="P209" t="s">
        <v>961</v>
      </c>
      <c r="Q209" t="s">
        <v>961</v>
      </c>
      <c r="R209" t="s">
        <v>961</v>
      </c>
      <c r="S209" t="s">
        <v>961</v>
      </c>
      <c r="T209" t="s">
        <v>961</v>
      </c>
    </row>
    <row r="210" spans="1:20" x14ac:dyDescent="0.25">
      <c r="A210">
        <f t="shared" si="7"/>
        <v>209</v>
      </c>
      <c r="B210" s="102" t="s">
        <v>1244</v>
      </c>
      <c r="C210" s="10">
        <v>44728</v>
      </c>
      <c r="D210" t="s">
        <v>1291</v>
      </c>
      <c r="E210" t="s">
        <v>1292</v>
      </c>
      <c r="F210" t="s">
        <v>1293</v>
      </c>
      <c r="G210" t="s">
        <v>168</v>
      </c>
      <c r="H210">
        <v>1</v>
      </c>
      <c r="I210" s="11">
        <v>1825</v>
      </c>
      <c r="J210" s="47">
        <f t="shared" si="6"/>
        <v>1825</v>
      </c>
      <c r="K210" t="s">
        <v>1294</v>
      </c>
      <c r="L210" t="s">
        <v>1299</v>
      </c>
      <c r="M210" t="s">
        <v>961</v>
      </c>
      <c r="N210" t="s">
        <v>961</v>
      </c>
      <c r="O210" t="s">
        <v>961</v>
      </c>
      <c r="P210" t="s">
        <v>961</v>
      </c>
      <c r="Q210" t="s">
        <v>961</v>
      </c>
      <c r="R210" t="s">
        <v>961</v>
      </c>
      <c r="S210" t="s">
        <v>961</v>
      </c>
      <c r="T210" t="s">
        <v>961</v>
      </c>
    </row>
    <row r="211" spans="1:20" x14ac:dyDescent="0.25">
      <c r="A211">
        <f t="shared" si="7"/>
        <v>210</v>
      </c>
      <c r="B211" s="9" t="s">
        <v>1283</v>
      </c>
      <c r="C211" s="10">
        <v>44720</v>
      </c>
      <c r="D211" t="s">
        <v>2591</v>
      </c>
      <c r="E211" t="s">
        <v>1296</v>
      </c>
      <c r="F211" t="s">
        <v>1297</v>
      </c>
      <c r="G211" t="s">
        <v>168</v>
      </c>
      <c r="H211">
        <v>1</v>
      </c>
      <c r="I211" s="11">
        <v>1402.62</v>
      </c>
      <c r="J211" s="47">
        <f t="shared" si="6"/>
        <v>1402.62</v>
      </c>
      <c r="K211" t="s">
        <v>1298</v>
      </c>
      <c r="L211" t="s">
        <v>192</v>
      </c>
      <c r="M211" t="s">
        <v>961</v>
      </c>
      <c r="N211" t="s">
        <v>961</v>
      </c>
      <c r="O211" t="s">
        <v>961</v>
      </c>
      <c r="P211" t="s">
        <v>961</v>
      </c>
      <c r="Q211" t="s">
        <v>961</v>
      </c>
      <c r="R211" t="s">
        <v>961</v>
      </c>
      <c r="S211" t="s">
        <v>961</v>
      </c>
      <c r="T211" t="s">
        <v>961</v>
      </c>
    </row>
    <row r="212" spans="1:20" x14ac:dyDescent="0.25">
      <c r="A212" s="64">
        <f t="shared" si="7"/>
        <v>211</v>
      </c>
      <c r="B212" s="102" t="s">
        <v>1284</v>
      </c>
      <c r="C212" s="10">
        <v>44730</v>
      </c>
      <c r="D212" t="s">
        <v>1300</v>
      </c>
      <c r="G212" t="s">
        <v>281</v>
      </c>
      <c r="H212">
        <v>1</v>
      </c>
      <c r="I212" s="11">
        <v>2204</v>
      </c>
      <c r="J212" s="47">
        <f t="shared" si="6"/>
        <v>2204</v>
      </c>
      <c r="K212" t="s">
        <v>1301</v>
      </c>
      <c r="L212" t="s">
        <v>80</v>
      </c>
      <c r="M212" t="s">
        <v>961</v>
      </c>
      <c r="N212" t="s">
        <v>961</v>
      </c>
      <c r="O212" t="s">
        <v>961</v>
      </c>
      <c r="P212" t="s">
        <v>961</v>
      </c>
      <c r="Q212" t="s">
        <v>961</v>
      </c>
      <c r="R212" t="s">
        <v>961</v>
      </c>
      <c r="S212" t="s">
        <v>961</v>
      </c>
      <c r="T212" t="s">
        <v>961</v>
      </c>
    </row>
    <row r="213" spans="1:20" x14ac:dyDescent="0.25">
      <c r="A213" s="64">
        <f t="shared" si="7"/>
        <v>212</v>
      </c>
      <c r="B213" s="102" t="s">
        <v>1285</v>
      </c>
      <c r="C213" s="10">
        <v>44732</v>
      </c>
      <c r="D213" t="s">
        <v>1302</v>
      </c>
      <c r="G213" t="s">
        <v>281</v>
      </c>
      <c r="H213">
        <v>1</v>
      </c>
      <c r="I213" s="11">
        <v>25761.96</v>
      </c>
      <c r="J213" s="47">
        <f t="shared" si="6"/>
        <v>25761.96</v>
      </c>
      <c r="K213" t="s">
        <v>244</v>
      </c>
      <c r="L213" t="s">
        <v>80</v>
      </c>
      <c r="M213" t="s">
        <v>961</v>
      </c>
      <c r="N213" t="s">
        <v>961</v>
      </c>
      <c r="O213" t="s">
        <v>961</v>
      </c>
      <c r="P213" t="s">
        <v>961</v>
      </c>
      <c r="Q213" t="s">
        <v>961</v>
      </c>
      <c r="R213" t="s">
        <v>961</v>
      </c>
      <c r="S213" t="s">
        <v>961</v>
      </c>
      <c r="T213" t="s">
        <v>961</v>
      </c>
    </row>
    <row r="214" spans="1:20" x14ac:dyDescent="0.25">
      <c r="A214">
        <f t="shared" si="7"/>
        <v>213</v>
      </c>
      <c r="B214" s="102" t="s">
        <v>1286</v>
      </c>
      <c r="C214" s="10">
        <v>44733</v>
      </c>
      <c r="D214" t="s">
        <v>1303</v>
      </c>
      <c r="E214" t="s">
        <v>1304</v>
      </c>
      <c r="F214" t="s">
        <v>1305</v>
      </c>
      <c r="G214" t="s">
        <v>291</v>
      </c>
      <c r="H214">
        <v>1</v>
      </c>
      <c r="I214" s="11">
        <v>1016</v>
      </c>
      <c r="J214" s="47">
        <f t="shared" si="6"/>
        <v>1016</v>
      </c>
      <c r="K214" t="s">
        <v>1306</v>
      </c>
      <c r="L214" t="s">
        <v>193</v>
      </c>
      <c r="M214" t="s">
        <v>961</v>
      </c>
      <c r="N214" t="s">
        <v>961</v>
      </c>
      <c r="O214" t="s">
        <v>961</v>
      </c>
      <c r="P214" t="s">
        <v>961</v>
      </c>
      <c r="Q214" t="s">
        <v>961</v>
      </c>
      <c r="R214" t="s">
        <v>961</v>
      </c>
      <c r="S214" t="s">
        <v>961</v>
      </c>
      <c r="T214" t="s">
        <v>961</v>
      </c>
    </row>
    <row r="215" spans="1:20" x14ac:dyDescent="0.25">
      <c r="A215" s="65">
        <f t="shared" si="7"/>
        <v>214</v>
      </c>
      <c r="B215" s="9" t="s">
        <v>1312</v>
      </c>
      <c r="C215" s="10">
        <v>44734</v>
      </c>
      <c r="D215" t="s">
        <v>1307</v>
      </c>
      <c r="E215" t="s">
        <v>1315</v>
      </c>
      <c r="F215" t="s">
        <v>1316</v>
      </c>
      <c r="G215" t="s">
        <v>281</v>
      </c>
      <c r="H215">
        <v>1</v>
      </c>
      <c r="I215" s="11">
        <v>3054.28</v>
      </c>
      <c r="J215" s="47">
        <f t="shared" si="6"/>
        <v>3054.28</v>
      </c>
      <c r="K215" t="s">
        <v>1317</v>
      </c>
      <c r="L215" t="s">
        <v>80</v>
      </c>
      <c r="M215" t="s">
        <v>961</v>
      </c>
      <c r="N215" t="s">
        <v>961</v>
      </c>
      <c r="O215" t="s">
        <v>961</v>
      </c>
      <c r="P215" t="s">
        <v>961</v>
      </c>
      <c r="Q215" t="s">
        <v>961</v>
      </c>
      <c r="R215" t="s">
        <v>961</v>
      </c>
      <c r="S215" t="s">
        <v>961</v>
      </c>
      <c r="T215" t="s">
        <v>961</v>
      </c>
    </row>
    <row r="216" spans="1:20" x14ac:dyDescent="0.25">
      <c r="A216" s="64">
        <f t="shared" si="7"/>
        <v>215</v>
      </c>
      <c r="B216" s="9" t="s">
        <v>1313</v>
      </c>
      <c r="C216" s="10">
        <v>44735</v>
      </c>
      <c r="D216" t="s">
        <v>1318</v>
      </c>
      <c r="E216" t="s">
        <v>1319</v>
      </c>
      <c r="F216" t="s">
        <v>1320</v>
      </c>
      <c r="G216" t="s">
        <v>168</v>
      </c>
      <c r="H216">
        <v>1</v>
      </c>
      <c r="I216" s="11">
        <v>1399.54</v>
      </c>
      <c r="J216" s="47">
        <f t="shared" si="6"/>
        <v>1399.54</v>
      </c>
      <c r="K216" t="s">
        <v>1321</v>
      </c>
      <c r="L216" t="s">
        <v>1369</v>
      </c>
      <c r="M216" t="s">
        <v>961</v>
      </c>
      <c r="N216" t="s">
        <v>961</v>
      </c>
      <c r="O216" t="s">
        <v>961</v>
      </c>
      <c r="P216" t="s">
        <v>961</v>
      </c>
      <c r="Q216" t="s">
        <v>961</v>
      </c>
      <c r="R216" t="s">
        <v>961</v>
      </c>
      <c r="S216" t="s">
        <v>961</v>
      </c>
      <c r="T216" t="s">
        <v>961</v>
      </c>
    </row>
    <row r="217" spans="1:20" x14ac:dyDescent="0.25">
      <c r="A217">
        <f t="shared" si="7"/>
        <v>216</v>
      </c>
      <c r="B217" s="9" t="s">
        <v>1314</v>
      </c>
      <c r="C217" s="10">
        <v>44729</v>
      </c>
      <c r="D217" t="s">
        <v>1323</v>
      </c>
      <c r="E217" t="s">
        <v>1324</v>
      </c>
      <c r="F217" t="s">
        <v>1325</v>
      </c>
      <c r="G217" t="s">
        <v>168</v>
      </c>
      <c r="H217">
        <v>1</v>
      </c>
      <c r="I217" s="11">
        <v>2599</v>
      </c>
      <c r="J217" s="47">
        <f t="shared" si="6"/>
        <v>2599</v>
      </c>
      <c r="K217" t="s">
        <v>1326</v>
      </c>
      <c r="L217" t="s">
        <v>569</v>
      </c>
      <c r="M217" t="s">
        <v>961</v>
      </c>
      <c r="N217" t="s">
        <v>961</v>
      </c>
      <c r="O217" t="s">
        <v>961</v>
      </c>
      <c r="P217" t="s">
        <v>961</v>
      </c>
      <c r="Q217" t="s">
        <v>961</v>
      </c>
      <c r="R217" t="s">
        <v>961</v>
      </c>
      <c r="S217" t="s">
        <v>961</v>
      </c>
      <c r="T217" t="s">
        <v>961</v>
      </c>
    </row>
    <row r="218" spans="1:20" x14ac:dyDescent="0.25">
      <c r="A218" s="65">
        <f t="shared" si="7"/>
        <v>217</v>
      </c>
      <c r="B218" s="102" t="s">
        <v>1328</v>
      </c>
      <c r="C218" s="10">
        <v>44728</v>
      </c>
      <c r="D218" t="s">
        <v>1290</v>
      </c>
      <c r="E218" t="s">
        <v>1287</v>
      </c>
      <c r="F218" t="s">
        <v>1288</v>
      </c>
      <c r="G218" t="s">
        <v>281</v>
      </c>
      <c r="H218">
        <v>3</v>
      </c>
      <c r="I218" s="11">
        <v>9441.7000000000007</v>
      </c>
      <c r="J218" s="47">
        <f t="shared" si="6"/>
        <v>3147.2333333333336</v>
      </c>
      <c r="K218" t="s">
        <v>1329</v>
      </c>
      <c r="L218" t="s">
        <v>80</v>
      </c>
      <c r="M218" t="s">
        <v>961</v>
      </c>
      <c r="N218" t="s">
        <v>961</v>
      </c>
      <c r="O218" t="s">
        <v>961</v>
      </c>
      <c r="P218" t="s">
        <v>961</v>
      </c>
      <c r="Q218" t="s">
        <v>961</v>
      </c>
      <c r="R218" t="s">
        <v>961</v>
      </c>
      <c r="S218" t="s">
        <v>961</v>
      </c>
      <c r="T218" t="s">
        <v>961</v>
      </c>
    </row>
    <row r="219" spans="1:20" x14ac:dyDescent="0.25">
      <c r="A219">
        <f t="shared" si="7"/>
        <v>218</v>
      </c>
      <c r="B219" s="9" t="s">
        <v>1334</v>
      </c>
      <c r="C219" s="10">
        <v>44732</v>
      </c>
      <c r="D219" t="s">
        <v>1331</v>
      </c>
      <c r="E219" t="s">
        <v>1347</v>
      </c>
      <c r="F219" t="s">
        <v>1348</v>
      </c>
      <c r="G219" t="s">
        <v>291</v>
      </c>
      <c r="H219">
        <v>1</v>
      </c>
      <c r="I219" s="11">
        <v>1092.9100000000001</v>
      </c>
      <c r="J219" s="47">
        <f t="shared" si="6"/>
        <v>1092.9100000000001</v>
      </c>
      <c r="K219" t="s">
        <v>1349</v>
      </c>
      <c r="L219" t="s">
        <v>1311</v>
      </c>
      <c r="M219" t="s">
        <v>961</v>
      </c>
      <c r="N219" t="s">
        <v>961</v>
      </c>
      <c r="O219" t="s">
        <v>961</v>
      </c>
      <c r="P219" t="s">
        <v>961</v>
      </c>
      <c r="Q219" t="s">
        <v>961</v>
      </c>
      <c r="R219" t="s">
        <v>961</v>
      </c>
      <c r="S219" t="s">
        <v>961</v>
      </c>
      <c r="T219" t="s">
        <v>961</v>
      </c>
    </row>
    <row r="220" spans="1:20" x14ac:dyDescent="0.25">
      <c r="A220">
        <f t="shared" si="7"/>
        <v>219</v>
      </c>
      <c r="B220" s="9" t="s">
        <v>1335</v>
      </c>
      <c r="C220" s="10">
        <v>44743</v>
      </c>
      <c r="D220" t="s">
        <v>1350</v>
      </c>
      <c r="E220" t="s">
        <v>1351</v>
      </c>
      <c r="F220" t="s">
        <v>1352</v>
      </c>
      <c r="G220" t="s">
        <v>168</v>
      </c>
      <c r="H220">
        <v>1</v>
      </c>
      <c r="I220" s="11">
        <v>2015</v>
      </c>
      <c r="J220" s="47">
        <f t="shared" si="6"/>
        <v>2015</v>
      </c>
      <c r="K220" t="s">
        <v>1353</v>
      </c>
      <c r="L220" t="s">
        <v>1370</v>
      </c>
      <c r="M220" t="s">
        <v>961</v>
      </c>
      <c r="N220" t="s">
        <v>961</v>
      </c>
      <c r="O220" t="s">
        <v>961</v>
      </c>
      <c r="P220" t="s">
        <v>961</v>
      </c>
      <c r="Q220" t="s">
        <v>961</v>
      </c>
      <c r="R220" t="s">
        <v>961</v>
      </c>
      <c r="S220" t="s">
        <v>961</v>
      </c>
      <c r="T220" t="s">
        <v>961</v>
      </c>
    </row>
    <row r="221" spans="1:20" x14ac:dyDescent="0.25">
      <c r="A221">
        <f t="shared" si="7"/>
        <v>220</v>
      </c>
      <c r="B221" s="9" t="s">
        <v>1336</v>
      </c>
      <c r="C221" s="10">
        <v>44743</v>
      </c>
      <c r="D221" t="s">
        <v>1354</v>
      </c>
      <c r="E221" t="s">
        <v>1355</v>
      </c>
      <c r="F221" t="s">
        <v>1356</v>
      </c>
      <c r="G221" t="s">
        <v>168</v>
      </c>
      <c r="H221">
        <v>1</v>
      </c>
      <c r="I221" s="11">
        <v>1011</v>
      </c>
      <c r="J221" s="47">
        <f t="shared" si="6"/>
        <v>1011</v>
      </c>
      <c r="K221" t="s">
        <v>1357</v>
      </c>
      <c r="L221" t="s">
        <v>569</v>
      </c>
      <c r="M221" t="s">
        <v>961</v>
      </c>
      <c r="N221" t="s">
        <v>961</v>
      </c>
      <c r="O221" t="s">
        <v>961</v>
      </c>
      <c r="P221" t="s">
        <v>961</v>
      </c>
      <c r="Q221" t="s">
        <v>961</v>
      </c>
      <c r="R221" t="s">
        <v>961</v>
      </c>
      <c r="S221" t="s">
        <v>961</v>
      </c>
      <c r="T221" t="s">
        <v>961</v>
      </c>
    </row>
    <row r="222" spans="1:20" x14ac:dyDescent="0.25">
      <c r="A222">
        <f t="shared" si="7"/>
        <v>221</v>
      </c>
      <c r="B222" s="9" t="s">
        <v>1337</v>
      </c>
      <c r="C222" s="10">
        <v>44744</v>
      </c>
      <c r="D222" t="s">
        <v>1358</v>
      </c>
      <c r="E222" t="s">
        <v>1359</v>
      </c>
      <c r="F222" t="s">
        <v>1360</v>
      </c>
      <c r="G222" t="s">
        <v>168</v>
      </c>
      <c r="H222">
        <v>1</v>
      </c>
      <c r="I222" s="11">
        <v>1150</v>
      </c>
      <c r="J222" s="47">
        <f t="shared" si="6"/>
        <v>1150</v>
      </c>
      <c r="K222" t="s">
        <v>1361</v>
      </c>
      <c r="L222" t="s">
        <v>569</v>
      </c>
      <c r="M222" t="s">
        <v>961</v>
      </c>
      <c r="N222" t="s">
        <v>961</v>
      </c>
      <c r="O222" t="s">
        <v>961</v>
      </c>
      <c r="P222" t="s">
        <v>961</v>
      </c>
      <c r="Q222" t="s">
        <v>961</v>
      </c>
      <c r="R222" t="s">
        <v>961</v>
      </c>
      <c r="S222" t="s">
        <v>961</v>
      </c>
      <c r="T222" t="s">
        <v>961</v>
      </c>
    </row>
    <row r="223" spans="1:20" x14ac:dyDescent="0.25">
      <c r="A223">
        <f t="shared" si="7"/>
        <v>222</v>
      </c>
      <c r="B223" s="9" t="s">
        <v>1338</v>
      </c>
      <c r="C223" s="10">
        <v>44744</v>
      </c>
      <c r="D223" t="s">
        <v>1362</v>
      </c>
      <c r="E223" t="s">
        <v>1363</v>
      </c>
      <c r="F223" t="s">
        <v>1364</v>
      </c>
      <c r="G223" t="s">
        <v>168</v>
      </c>
      <c r="H223">
        <v>1</v>
      </c>
      <c r="I223" s="11">
        <v>824</v>
      </c>
      <c r="J223" s="47">
        <f t="shared" si="6"/>
        <v>824</v>
      </c>
      <c r="K223" t="s">
        <v>1365</v>
      </c>
      <c r="L223" t="s">
        <v>192</v>
      </c>
      <c r="M223" t="s">
        <v>961</v>
      </c>
      <c r="N223" t="s">
        <v>961</v>
      </c>
      <c r="O223" t="s">
        <v>961</v>
      </c>
      <c r="P223" t="s">
        <v>961</v>
      </c>
      <c r="Q223" t="s">
        <v>961</v>
      </c>
      <c r="R223" t="s">
        <v>961</v>
      </c>
      <c r="S223" t="s">
        <v>961</v>
      </c>
      <c r="T223" t="s">
        <v>961</v>
      </c>
    </row>
    <row r="224" spans="1:20" x14ac:dyDescent="0.25">
      <c r="A224">
        <f t="shared" si="7"/>
        <v>223</v>
      </c>
      <c r="B224" s="9" t="s">
        <v>1339</v>
      </c>
      <c r="C224" s="10">
        <v>44746</v>
      </c>
      <c r="D224" t="s">
        <v>1366</v>
      </c>
      <c r="E224" t="s">
        <v>1367</v>
      </c>
      <c r="F224" t="s">
        <v>1421</v>
      </c>
      <c r="G224" t="s">
        <v>168</v>
      </c>
      <c r="H224">
        <v>1</v>
      </c>
      <c r="I224" s="11">
        <v>1728</v>
      </c>
      <c r="J224" s="47">
        <f t="shared" si="6"/>
        <v>1728</v>
      </c>
      <c r="K224" t="s">
        <v>1368</v>
      </c>
      <c r="L224" t="s">
        <v>1371</v>
      </c>
      <c r="M224" t="s">
        <v>961</v>
      </c>
      <c r="N224" t="s">
        <v>961</v>
      </c>
      <c r="O224" t="s">
        <v>961</v>
      </c>
      <c r="P224" t="s">
        <v>961</v>
      </c>
      <c r="Q224" t="s">
        <v>961</v>
      </c>
      <c r="R224" t="s">
        <v>961</v>
      </c>
      <c r="S224" t="s">
        <v>961</v>
      </c>
      <c r="T224" t="s">
        <v>961</v>
      </c>
    </row>
    <row r="225" spans="1:20" x14ac:dyDescent="0.25">
      <c r="A225" s="78">
        <f t="shared" si="7"/>
        <v>224</v>
      </c>
      <c r="B225" s="9" t="s">
        <v>1340</v>
      </c>
      <c r="C225" s="10">
        <v>44747</v>
      </c>
      <c r="D225" t="s">
        <v>1307</v>
      </c>
      <c r="E225" t="s">
        <v>1315</v>
      </c>
      <c r="F225" t="s">
        <v>1316</v>
      </c>
      <c r="G225" t="s">
        <v>281</v>
      </c>
      <c r="H225">
        <v>2</v>
      </c>
      <c r="I225" s="11">
        <v>7408.92</v>
      </c>
      <c r="J225" s="47">
        <f t="shared" si="6"/>
        <v>3704.46</v>
      </c>
      <c r="K225" t="s">
        <v>1372</v>
      </c>
      <c r="L225" t="s">
        <v>80</v>
      </c>
      <c r="M225" t="s">
        <v>961</v>
      </c>
      <c r="N225" t="s">
        <v>961</v>
      </c>
      <c r="O225" t="s">
        <v>961</v>
      </c>
      <c r="P225" t="s">
        <v>961</v>
      </c>
      <c r="Q225" t="s">
        <v>961</v>
      </c>
      <c r="R225" t="s">
        <v>961</v>
      </c>
      <c r="S225" t="s">
        <v>961</v>
      </c>
      <c r="T225" t="s">
        <v>961</v>
      </c>
    </row>
    <row r="226" spans="1:20" x14ac:dyDescent="0.25">
      <c r="A226" s="65">
        <f t="shared" si="7"/>
        <v>225</v>
      </c>
      <c r="B226" s="9" t="s">
        <v>1341</v>
      </c>
      <c r="C226" s="10">
        <v>44746</v>
      </c>
      <c r="D226" t="s">
        <v>1373</v>
      </c>
      <c r="E226" t="s">
        <v>1374</v>
      </c>
      <c r="F226" t="s">
        <v>1375</v>
      </c>
      <c r="G226" t="s">
        <v>281</v>
      </c>
      <c r="H226">
        <v>1</v>
      </c>
      <c r="I226" s="11">
        <v>3082</v>
      </c>
      <c r="J226" s="47">
        <f t="shared" si="6"/>
        <v>3082</v>
      </c>
      <c r="K226" t="s">
        <v>1376</v>
      </c>
      <c r="L226" t="s">
        <v>329</v>
      </c>
      <c r="M226" t="s">
        <v>961</v>
      </c>
      <c r="N226" t="s">
        <v>961</v>
      </c>
      <c r="O226" t="s">
        <v>961</v>
      </c>
      <c r="P226" t="s">
        <v>961</v>
      </c>
      <c r="Q226" t="s">
        <v>961</v>
      </c>
      <c r="R226" t="s">
        <v>961</v>
      </c>
      <c r="S226" t="s">
        <v>961</v>
      </c>
      <c r="T226" t="s">
        <v>961</v>
      </c>
    </row>
    <row r="227" spans="1:20" x14ac:dyDescent="0.25">
      <c r="A227">
        <f t="shared" si="7"/>
        <v>226</v>
      </c>
      <c r="B227" s="102" t="s">
        <v>1342</v>
      </c>
      <c r="C227" s="10">
        <v>44748</v>
      </c>
      <c r="D227" t="s">
        <v>1377</v>
      </c>
      <c r="E227" t="s">
        <v>1378</v>
      </c>
      <c r="F227" t="s">
        <v>1379</v>
      </c>
      <c r="G227" t="s">
        <v>168</v>
      </c>
      <c r="H227">
        <v>1</v>
      </c>
      <c r="I227" s="11">
        <v>1525</v>
      </c>
      <c r="J227" s="47">
        <f t="shared" si="6"/>
        <v>1525</v>
      </c>
      <c r="K227" t="s">
        <v>1380</v>
      </c>
      <c r="L227" t="s">
        <v>786</v>
      </c>
      <c r="M227" t="s">
        <v>961</v>
      </c>
      <c r="N227" t="s">
        <v>961</v>
      </c>
      <c r="O227" t="s">
        <v>961</v>
      </c>
      <c r="P227" t="s">
        <v>961</v>
      </c>
      <c r="Q227" t="s">
        <v>961</v>
      </c>
      <c r="R227" t="s">
        <v>961</v>
      </c>
      <c r="S227" t="s">
        <v>961</v>
      </c>
      <c r="T227" t="s">
        <v>961</v>
      </c>
    </row>
    <row r="228" spans="1:20" x14ac:dyDescent="0.25">
      <c r="A228" s="65">
        <f t="shared" si="7"/>
        <v>227</v>
      </c>
      <c r="B228" s="9" t="s">
        <v>1343</v>
      </c>
      <c r="C228" s="10">
        <v>44743</v>
      </c>
      <c r="D228" t="s">
        <v>1381</v>
      </c>
      <c r="E228" t="s">
        <v>1382</v>
      </c>
      <c r="F228" t="s">
        <v>1383</v>
      </c>
      <c r="G228" t="s">
        <v>281</v>
      </c>
      <c r="H228">
        <v>1</v>
      </c>
      <c r="I228" s="11">
        <v>448.92</v>
      </c>
      <c r="J228" s="47">
        <f t="shared" si="6"/>
        <v>448.92</v>
      </c>
      <c r="K228" t="s">
        <v>1384</v>
      </c>
      <c r="L228" t="s">
        <v>329</v>
      </c>
      <c r="M228" t="s">
        <v>961</v>
      </c>
      <c r="N228" t="s">
        <v>961</v>
      </c>
      <c r="O228" t="s">
        <v>961</v>
      </c>
      <c r="P228" t="s">
        <v>961</v>
      </c>
      <c r="Q228" t="s">
        <v>961</v>
      </c>
      <c r="R228" t="s">
        <v>961</v>
      </c>
      <c r="S228" t="s">
        <v>961</v>
      </c>
      <c r="T228" t="s">
        <v>961</v>
      </c>
    </row>
    <row r="229" spans="1:20" x14ac:dyDescent="0.25">
      <c r="A229" s="65">
        <f t="shared" si="7"/>
        <v>228</v>
      </c>
      <c r="B229" s="9" t="s">
        <v>1344</v>
      </c>
      <c r="C229" s="10">
        <v>44749</v>
      </c>
      <c r="D229" t="s">
        <v>1318</v>
      </c>
      <c r="E229" t="s">
        <v>1319</v>
      </c>
      <c r="F229" t="s">
        <v>1385</v>
      </c>
      <c r="G229" t="s">
        <v>281</v>
      </c>
      <c r="H229">
        <v>1</v>
      </c>
      <c r="I229" s="11">
        <v>2362</v>
      </c>
      <c r="J229" s="47">
        <f t="shared" si="6"/>
        <v>2362</v>
      </c>
      <c r="K229" t="s">
        <v>1386</v>
      </c>
      <c r="L229" t="s">
        <v>1387</v>
      </c>
      <c r="M229" t="s">
        <v>961</v>
      </c>
      <c r="N229" t="s">
        <v>961</v>
      </c>
      <c r="O229" t="s">
        <v>961</v>
      </c>
      <c r="P229" t="s">
        <v>961</v>
      </c>
      <c r="Q229" t="s">
        <v>961</v>
      </c>
      <c r="R229" t="s">
        <v>961</v>
      </c>
      <c r="S229" t="s">
        <v>961</v>
      </c>
      <c r="T229" t="s">
        <v>961</v>
      </c>
    </row>
    <row r="230" spans="1:20" x14ac:dyDescent="0.25">
      <c r="A230">
        <f t="shared" si="7"/>
        <v>229</v>
      </c>
      <c r="B230" s="102" t="s">
        <v>1345</v>
      </c>
      <c r="C230" s="10">
        <v>44749</v>
      </c>
      <c r="D230" t="s">
        <v>1388</v>
      </c>
      <c r="E230" t="s">
        <v>1389</v>
      </c>
      <c r="F230" t="s">
        <v>1390</v>
      </c>
      <c r="G230" t="s">
        <v>168</v>
      </c>
      <c r="H230">
        <v>1</v>
      </c>
      <c r="I230" s="11">
        <v>1250.2</v>
      </c>
      <c r="J230" s="47">
        <f t="shared" si="6"/>
        <v>1250.2</v>
      </c>
      <c r="K230" t="s">
        <v>1391</v>
      </c>
      <c r="L230" t="s">
        <v>518</v>
      </c>
      <c r="M230" t="s">
        <v>961</v>
      </c>
      <c r="N230" t="s">
        <v>961</v>
      </c>
      <c r="O230" t="s">
        <v>961</v>
      </c>
      <c r="P230" t="s">
        <v>961</v>
      </c>
      <c r="Q230" t="s">
        <v>961</v>
      </c>
      <c r="R230" t="s">
        <v>961</v>
      </c>
      <c r="S230" t="s">
        <v>961</v>
      </c>
      <c r="T230" t="s">
        <v>961</v>
      </c>
    </row>
    <row r="231" spans="1:20" x14ac:dyDescent="0.25">
      <c r="A231" s="65">
        <f t="shared" si="7"/>
        <v>230</v>
      </c>
      <c r="B231" s="9" t="s">
        <v>1346</v>
      </c>
      <c r="C231" s="10">
        <v>44749</v>
      </c>
      <c r="D231" t="s">
        <v>1392</v>
      </c>
      <c r="E231" t="s">
        <v>1393</v>
      </c>
      <c r="F231" t="s">
        <v>1394</v>
      </c>
      <c r="G231" t="s">
        <v>281</v>
      </c>
      <c r="H231">
        <v>1</v>
      </c>
      <c r="I231" s="11">
        <v>1641.6</v>
      </c>
      <c r="J231" s="47">
        <f t="shared" si="6"/>
        <v>1641.6</v>
      </c>
      <c r="K231" t="s">
        <v>1395</v>
      </c>
      <c r="L231" t="s">
        <v>329</v>
      </c>
      <c r="M231" t="s">
        <v>961</v>
      </c>
      <c r="N231" t="s">
        <v>961</v>
      </c>
      <c r="O231" t="s">
        <v>961</v>
      </c>
      <c r="P231" t="s">
        <v>961</v>
      </c>
      <c r="Q231" t="s">
        <v>961</v>
      </c>
      <c r="R231" t="s">
        <v>961</v>
      </c>
      <c r="S231" t="s">
        <v>961</v>
      </c>
      <c r="T231" t="s">
        <v>961</v>
      </c>
    </row>
    <row r="232" spans="1:20" x14ac:dyDescent="0.25">
      <c r="A232" s="65">
        <f t="shared" si="7"/>
        <v>231</v>
      </c>
      <c r="B232" s="9" t="s">
        <v>1396</v>
      </c>
      <c r="C232" s="10">
        <v>44748</v>
      </c>
      <c r="D232" t="s">
        <v>946</v>
      </c>
      <c r="E232" t="s">
        <v>947</v>
      </c>
      <c r="F232" t="s">
        <v>948</v>
      </c>
      <c r="G232" t="s">
        <v>281</v>
      </c>
      <c r="H232">
        <v>2</v>
      </c>
      <c r="I232" s="11">
        <v>6310.18</v>
      </c>
      <c r="J232" s="47">
        <f t="shared" si="6"/>
        <v>3155.09</v>
      </c>
      <c r="K232" t="s">
        <v>1412</v>
      </c>
      <c r="L232" t="s">
        <v>80</v>
      </c>
      <c r="M232" t="s">
        <v>961</v>
      </c>
      <c r="N232" t="s">
        <v>961</v>
      </c>
      <c r="O232" t="s">
        <v>961</v>
      </c>
      <c r="P232" t="s">
        <v>961</v>
      </c>
      <c r="Q232" t="s">
        <v>961</v>
      </c>
      <c r="R232" t="s">
        <v>961</v>
      </c>
      <c r="S232" t="s">
        <v>961</v>
      </c>
      <c r="T232" t="s">
        <v>961</v>
      </c>
    </row>
    <row r="233" spans="1:20" x14ac:dyDescent="0.25">
      <c r="A233">
        <f t="shared" si="7"/>
        <v>232</v>
      </c>
      <c r="B233" s="9" t="s">
        <v>1397</v>
      </c>
      <c r="C233" s="10">
        <v>44750</v>
      </c>
      <c r="D233" t="s">
        <v>1414</v>
      </c>
      <c r="E233" t="s">
        <v>1415</v>
      </c>
      <c r="F233" t="s">
        <v>1416</v>
      </c>
      <c r="G233" t="s">
        <v>168</v>
      </c>
      <c r="H233">
        <v>1</v>
      </c>
      <c r="I233" s="11">
        <v>836</v>
      </c>
      <c r="J233" s="47">
        <f t="shared" si="6"/>
        <v>836</v>
      </c>
      <c r="K233" t="s">
        <v>860</v>
      </c>
      <c r="L233" t="s">
        <v>1423</v>
      </c>
      <c r="M233" t="s">
        <v>961</v>
      </c>
      <c r="N233" t="s">
        <v>961</v>
      </c>
      <c r="O233" t="s">
        <v>961</v>
      </c>
      <c r="P233" t="s">
        <v>961</v>
      </c>
      <c r="Q233" t="s">
        <v>961</v>
      </c>
      <c r="R233" t="s">
        <v>961</v>
      </c>
      <c r="S233" t="s">
        <v>961</v>
      </c>
      <c r="T233" t="s">
        <v>961</v>
      </c>
    </row>
    <row r="234" spans="1:20" x14ac:dyDescent="0.25">
      <c r="A234">
        <f t="shared" si="7"/>
        <v>233</v>
      </c>
      <c r="B234" s="9" t="s">
        <v>1398</v>
      </c>
      <c r="C234" s="10">
        <v>44750</v>
      </c>
      <c r="D234" t="s">
        <v>1417</v>
      </c>
      <c r="E234" t="s">
        <v>1418</v>
      </c>
      <c r="F234" t="s">
        <v>1419</v>
      </c>
      <c r="G234" t="s">
        <v>168</v>
      </c>
      <c r="H234">
        <v>1</v>
      </c>
      <c r="I234" s="11">
        <v>2512</v>
      </c>
      <c r="J234" s="47">
        <f t="shared" si="6"/>
        <v>2512</v>
      </c>
      <c r="K234" t="s">
        <v>1420</v>
      </c>
      <c r="L234" t="s">
        <v>192</v>
      </c>
      <c r="M234" t="s">
        <v>961</v>
      </c>
      <c r="N234" t="s">
        <v>961</v>
      </c>
      <c r="O234" t="s">
        <v>961</v>
      </c>
      <c r="P234" t="s">
        <v>961</v>
      </c>
      <c r="Q234" t="s">
        <v>961</v>
      </c>
      <c r="R234" t="s">
        <v>961</v>
      </c>
      <c r="S234" t="s">
        <v>961</v>
      </c>
      <c r="T234" t="s">
        <v>961</v>
      </c>
    </row>
    <row r="235" spans="1:20" x14ac:dyDescent="0.25">
      <c r="A235" s="65">
        <f t="shared" si="7"/>
        <v>234</v>
      </c>
      <c r="B235" s="9" t="s">
        <v>1399</v>
      </c>
      <c r="C235" s="10">
        <v>44751</v>
      </c>
      <c r="D235" t="s">
        <v>1170</v>
      </c>
      <c r="E235" t="s">
        <v>1171</v>
      </c>
      <c r="F235" t="s">
        <v>1172</v>
      </c>
      <c r="G235" t="s">
        <v>281</v>
      </c>
      <c r="H235">
        <v>2</v>
      </c>
      <c r="I235" s="11">
        <v>2266</v>
      </c>
      <c r="J235" s="47">
        <f t="shared" si="6"/>
        <v>1133</v>
      </c>
      <c r="K235" t="s">
        <v>1422</v>
      </c>
      <c r="L235" t="s">
        <v>80</v>
      </c>
      <c r="M235" t="s">
        <v>961</v>
      </c>
      <c r="N235" t="s">
        <v>961</v>
      </c>
      <c r="O235" t="s">
        <v>961</v>
      </c>
      <c r="P235" t="s">
        <v>961</v>
      </c>
      <c r="Q235" t="s">
        <v>961</v>
      </c>
      <c r="R235" t="s">
        <v>961</v>
      </c>
      <c r="S235" t="s">
        <v>961</v>
      </c>
      <c r="T235" t="s">
        <v>961</v>
      </c>
    </row>
    <row r="236" spans="1:20" x14ac:dyDescent="0.25">
      <c r="A236">
        <f t="shared" si="7"/>
        <v>235</v>
      </c>
      <c r="B236" s="9" t="s">
        <v>1400</v>
      </c>
      <c r="C236" s="10">
        <v>44751</v>
      </c>
      <c r="D236" t="s">
        <v>1424</v>
      </c>
      <c r="E236" t="s">
        <v>1425</v>
      </c>
      <c r="F236" t="s">
        <v>1426</v>
      </c>
      <c r="G236" t="s">
        <v>168</v>
      </c>
      <c r="H236">
        <v>1</v>
      </c>
      <c r="I236" s="11">
        <v>1000</v>
      </c>
      <c r="J236" s="47">
        <f t="shared" si="6"/>
        <v>1000</v>
      </c>
      <c r="K236" t="s">
        <v>1427</v>
      </c>
      <c r="L236" t="s">
        <v>1431</v>
      </c>
      <c r="M236" t="s">
        <v>961</v>
      </c>
      <c r="N236" t="s">
        <v>961</v>
      </c>
      <c r="O236" t="s">
        <v>961</v>
      </c>
      <c r="P236" t="s">
        <v>961</v>
      </c>
      <c r="Q236" t="s">
        <v>961</v>
      </c>
      <c r="R236" t="s">
        <v>961</v>
      </c>
      <c r="S236" t="s">
        <v>961</v>
      </c>
      <c r="T236" t="s">
        <v>961</v>
      </c>
    </row>
    <row r="237" spans="1:20" x14ac:dyDescent="0.25">
      <c r="A237">
        <f t="shared" si="7"/>
        <v>236</v>
      </c>
      <c r="B237" s="9" t="s">
        <v>1401</v>
      </c>
      <c r="C237" s="10">
        <v>44753</v>
      </c>
      <c r="D237" t="s">
        <v>1428</v>
      </c>
      <c r="E237" t="s">
        <v>1429</v>
      </c>
      <c r="F237" t="s">
        <v>1430</v>
      </c>
      <c r="G237" t="s">
        <v>168</v>
      </c>
      <c r="H237">
        <v>1</v>
      </c>
      <c r="I237" s="11">
        <v>1326</v>
      </c>
      <c r="J237" s="47">
        <f t="shared" si="6"/>
        <v>1326</v>
      </c>
      <c r="K237" t="s">
        <v>282</v>
      </c>
      <c r="L237" t="s">
        <v>193</v>
      </c>
      <c r="M237" t="s">
        <v>961</v>
      </c>
      <c r="N237" t="s">
        <v>961</v>
      </c>
      <c r="O237" t="s">
        <v>961</v>
      </c>
      <c r="P237" t="s">
        <v>961</v>
      </c>
      <c r="Q237" t="s">
        <v>961</v>
      </c>
      <c r="R237" t="s">
        <v>961</v>
      </c>
      <c r="S237" t="s">
        <v>961</v>
      </c>
      <c r="T237" t="s">
        <v>961</v>
      </c>
    </row>
    <row r="238" spans="1:20" x14ac:dyDescent="0.25">
      <c r="A238" s="65">
        <f t="shared" si="7"/>
        <v>237</v>
      </c>
      <c r="B238" s="9" t="s">
        <v>1402</v>
      </c>
      <c r="C238" s="10">
        <v>44753</v>
      </c>
      <c r="D238" t="s">
        <v>1433</v>
      </c>
      <c r="E238" t="s">
        <v>1434</v>
      </c>
      <c r="F238" t="s">
        <v>1432</v>
      </c>
      <c r="G238" t="s">
        <v>281</v>
      </c>
      <c r="H238">
        <v>1</v>
      </c>
      <c r="I238" s="11">
        <v>1668</v>
      </c>
      <c r="J238" s="47">
        <f t="shared" si="6"/>
        <v>1668</v>
      </c>
      <c r="K238" t="s">
        <v>1435</v>
      </c>
      <c r="L238" t="s">
        <v>329</v>
      </c>
      <c r="M238" t="s">
        <v>961</v>
      </c>
      <c r="N238" t="s">
        <v>961</v>
      </c>
      <c r="O238" t="s">
        <v>961</v>
      </c>
      <c r="P238" t="s">
        <v>961</v>
      </c>
      <c r="Q238" t="s">
        <v>961</v>
      </c>
      <c r="R238" t="s">
        <v>961</v>
      </c>
      <c r="S238" t="s">
        <v>961</v>
      </c>
      <c r="T238" t="s">
        <v>961</v>
      </c>
    </row>
    <row r="239" spans="1:20" x14ac:dyDescent="0.25">
      <c r="A239" s="65">
        <f t="shared" si="7"/>
        <v>238</v>
      </c>
      <c r="B239" s="9" t="s">
        <v>1403</v>
      </c>
      <c r="C239" s="10">
        <v>44753</v>
      </c>
      <c r="D239" t="s">
        <v>1152</v>
      </c>
      <c r="E239" t="s">
        <v>1153</v>
      </c>
      <c r="F239" t="s">
        <v>1154</v>
      </c>
      <c r="G239" t="s">
        <v>281</v>
      </c>
      <c r="H239">
        <v>2</v>
      </c>
      <c r="I239" s="11">
        <v>3647.2</v>
      </c>
      <c r="J239" s="47">
        <f t="shared" si="6"/>
        <v>1823.6</v>
      </c>
      <c r="K239" t="s">
        <v>1436</v>
      </c>
      <c r="L239" t="s">
        <v>80</v>
      </c>
      <c r="M239" t="s">
        <v>961</v>
      </c>
      <c r="N239" t="s">
        <v>961</v>
      </c>
      <c r="O239" t="s">
        <v>961</v>
      </c>
      <c r="P239" t="s">
        <v>961</v>
      </c>
      <c r="Q239" t="s">
        <v>961</v>
      </c>
      <c r="R239" t="s">
        <v>961</v>
      </c>
      <c r="S239" t="s">
        <v>961</v>
      </c>
      <c r="T239" t="s">
        <v>961</v>
      </c>
    </row>
    <row r="240" spans="1:20" x14ac:dyDescent="0.25">
      <c r="A240">
        <f t="shared" si="7"/>
        <v>239</v>
      </c>
      <c r="B240" s="9" t="s">
        <v>1404</v>
      </c>
      <c r="C240" s="10">
        <v>44754</v>
      </c>
      <c r="D240" t="s">
        <v>1452</v>
      </c>
      <c r="E240" t="s">
        <v>1437</v>
      </c>
      <c r="F240" t="s">
        <v>1438</v>
      </c>
      <c r="G240" t="s">
        <v>168</v>
      </c>
      <c r="H240">
        <v>1</v>
      </c>
      <c r="I240" s="11">
        <v>2104</v>
      </c>
      <c r="J240" s="47">
        <f t="shared" si="6"/>
        <v>2104</v>
      </c>
      <c r="K240" t="s">
        <v>1439</v>
      </c>
      <c r="L240" t="s">
        <v>1453</v>
      </c>
      <c r="M240" t="s">
        <v>961</v>
      </c>
      <c r="N240" t="s">
        <v>961</v>
      </c>
      <c r="O240" t="s">
        <v>961</v>
      </c>
      <c r="P240" t="s">
        <v>961</v>
      </c>
      <c r="Q240" t="s">
        <v>961</v>
      </c>
      <c r="R240" t="s">
        <v>961</v>
      </c>
      <c r="S240" t="s">
        <v>961</v>
      </c>
      <c r="T240" t="s">
        <v>961</v>
      </c>
    </row>
    <row r="241" spans="1:20" x14ac:dyDescent="0.25">
      <c r="A241">
        <f t="shared" si="7"/>
        <v>240</v>
      </c>
      <c r="B241" s="9" t="s">
        <v>1405</v>
      </c>
      <c r="C241" s="10">
        <v>44754</v>
      </c>
      <c r="D241" t="s">
        <v>1440</v>
      </c>
      <c r="E241" t="s">
        <v>1441</v>
      </c>
      <c r="F241" t="s">
        <v>1442</v>
      </c>
      <c r="G241" t="s">
        <v>168</v>
      </c>
      <c r="H241">
        <v>1</v>
      </c>
      <c r="I241" s="11">
        <v>3466</v>
      </c>
      <c r="J241" s="47">
        <f t="shared" si="6"/>
        <v>3466</v>
      </c>
      <c r="K241" t="s">
        <v>1443</v>
      </c>
      <c r="L241" t="s">
        <v>1444</v>
      </c>
      <c r="M241" t="s">
        <v>961</v>
      </c>
      <c r="N241" t="s">
        <v>961</v>
      </c>
      <c r="O241" t="s">
        <v>961</v>
      </c>
      <c r="P241" t="s">
        <v>961</v>
      </c>
      <c r="Q241" t="s">
        <v>961</v>
      </c>
      <c r="R241" t="s">
        <v>961</v>
      </c>
      <c r="S241" t="s">
        <v>961</v>
      </c>
      <c r="T241" t="s">
        <v>961</v>
      </c>
    </row>
    <row r="242" spans="1:20" x14ac:dyDescent="0.25">
      <c r="A242">
        <f t="shared" si="7"/>
        <v>241</v>
      </c>
      <c r="B242" s="9" t="s">
        <v>1406</v>
      </c>
      <c r="C242" s="10">
        <v>44754</v>
      </c>
      <c r="D242" t="s">
        <v>1445</v>
      </c>
      <c r="E242" t="s">
        <v>1446</v>
      </c>
      <c r="F242" t="s">
        <v>1447</v>
      </c>
      <c r="G242" t="s">
        <v>168</v>
      </c>
      <c r="H242">
        <v>1</v>
      </c>
      <c r="I242" s="11">
        <v>824</v>
      </c>
      <c r="J242" s="47">
        <f t="shared" si="6"/>
        <v>824</v>
      </c>
      <c r="K242" t="s">
        <v>1365</v>
      </c>
      <c r="L242" t="s">
        <v>569</v>
      </c>
      <c r="M242" t="s">
        <v>961</v>
      </c>
      <c r="N242" t="s">
        <v>961</v>
      </c>
      <c r="O242" t="s">
        <v>961</v>
      </c>
      <c r="P242" t="s">
        <v>961</v>
      </c>
      <c r="Q242" t="s">
        <v>961</v>
      </c>
      <c r="R242" t="s">
        <v>961</v>
      </c>
      <c r="S242" t="s">
        <v>961</v>
      </c>
      <c r="T242" t="s">
        <v>961</v>
      </c>
    </row>
    <row r="243" spans="1:20" x14ac:dyDescent="0.25">
      <c r="A243">
        <f t="shared" si="7"/>
        <v>242</v>
      </c>
      <c r="B243" s="9" t="s">
        <v>1407</v>
      </c>
      <c r="C243" s="10">
        <v>44755</v>
      </c>
      <c r="D243" t="s">
        <v>1448</v>
      </c>
      <c r="E243" t="s">
        <v>1449</v>
      </c>
      <c r="F243" t="s">
        <v>1450</v>
      </c>
      <c r="G243" t="s">
        <v>168</v>
      </c>
      <c r="H243">
        <v>1</v>
      </c>
      <c r="I243" s="11">
        <v>1053</v>
      </c>
      <c r="J243" s="47">
        <f t="shared" si="6"/>
        <v>1053</v>
      </c>
      <c r="K243" t="s">
        <v>1451</v>
      </c>
      <c r="L243" t="s">
        <v>192</v>
      </c>
      <c r="M243" t="s">
        <v>961</v>
      </c>
      <c r="N243" t="s">
        <v>961</v>
      </c>
      <c r="O243" t="s">
        <v>961</v>
      </c>
      <c r="P243" t="s">
        <v>961</v>
      </c>
      <c r="Q243" t="s">
        <v>961</v>
      </c>
      <c r="R243" t="s">
        <v>961</v>
      </c>
      <c r="S243" t="s">
        <v>961</v>
      </c>
      <c r="T243" t="s">
        <v>961</v>
      </c>
    </row>
    <row r="244" spans="1:20" x14ac:dyDescent="0.25">
      <c r="A244" s="65">
        <f t="shared" si="7"/>
        <v>243</v>
      </c>
      <c r="B244" s="9" t="s">
        <v>1408</v>
      </c>
      <c r="C244" s="10">
        <v>44755</v>
      </c>
      <c r="D244" t="s">
        <v>1454</v>
      </c>
      <c r="E244" t="s">
        <v>1455</v>
      </c>
      <c r="F244" t="s">
        <v>1456</v>
      </c>
      <c r="G244" t="s">
        <v>281</v>
      </c>
      <c r="H244">
        <v>1</v>
      </c>
      <c r="I244" s="11">
        <v>1201</v>
      </c>
      <c r="J244" s="47">
        <f t="shared" si="6"/>
        <v>1201</v>
      </c>
      <c r="K244" t="s">
        <v>1457</v>
      </c>
      <c r="L244" t="s">
        <v>329</v>
      </c>
      <c r="M244" t="s">
        <v>961</v>
      </c>
      <c r="N244" t="s">
        <v>961</v>
      </c>
      <c r="O244" t="s">
        <v>961</v>
      </c>
      <c r="P244" t="s">
        <v>961</v>
      </c>
      <c r="Q244" t="s">
        <v>961</v>
      </c>
      <c r="R244" t="s">
        <v>961</v>
      </c>
      <c r="S244" t="s">
        <v>961</v>
      </c>
      <c r="T244" t="s">
        <v>961</v>
      </c>
    </row>
    <row r="245" spans="1:20" x14ac:dyDescent="0.25">
      <c r="A245">
        <f t="shared" si="7"/>
        <v>244</v>
      </c>
      <c r="B245" s="9" t="s">
        <v>1409</v>
      </c>
      <c r="C245" s="10">
        <v>44746</v>
      </c>
      <c r="D245" t="s">
        <v>1458</v>
      </c>
      <c r="E245" t="s">
        <v>1459</v>
      </c>
      <c r="F245" t="s">
        <v>1460</v>
      </c>
      <c r="G245" t="s">
        <v>168</v>
      </c>
      <c r="H245">
        <v>1</v>
      </c>
      <c r="I245" s="11">
        <v>828</v>
      </c>
      <c r="J245" s="47">
        <f t="shared" si="6"/>
        <v>828</v>
      </c>
      <c r="K245" t="s">
        <v>1349</v>
      </c>
      <c r="L245" t="s">
        <v>1495</v>
      </c>
      <c r="M245" t="s">
        <v>961</v>
      </c>
      <c r="N245" t="s">
        <v>961</v>
      </c>
      <c r="O245" t="s">
        <v>961</v>
      </c>
      <c r="P245" t="s">
        <v>961</v>
      </c>
      <c r="Q245" t="s">
        <v>961</v>
      </c>
      <c r="R245" t="s">
        <v>961</v>
      </c>
      <c r="S245" t="s">
        <v>961</v>
      </c>
      <c r="T245" t="s">
        <v>961</v>
      </c>
    </row>
    <row r="246" spans="1:20" x14ac:dyDescent="0.25">
      <c r="A246">
        <f t="shared" si="7"/>
        <v>245</v>
      </c>
      <c r="B246" s="9" t="s">
        <v>1410</v>
      </c>
      <c r="C246" s="10">
        <v>44756</v>
      </c>
      <c r="D246" t="s">
        <v>1461</v>
      </c>
      <c r="E246" t="s">
        <v>1462</v>
      </c>
      <c r="F246" t="s">
        <v>1463</v>
      </c>
      <c r="G246" t="s">
        <v>291</v>
      </c>
      <c r="H246">
        <v>1</v>
      </c>
      <c r="I246" s="11">
        <v>1776</v>
      </c>
      <c r="J246" s="47">
        <f t="shared" si="6"/>
        <v>1776</v>
      </c>
      <c r="K246" t="s">
        <v>1464</v>
      </c>
      <c r="L246" t="s">
        <v>1496</v>
      </c>
      <c r="M246" t="s">
        <v>961</v>
      </c>
      <c r="N246" t="s">
        <v>961</v>
      </c>
      <c r="O246" t="s">
        <v>961</v>
      </c>
      <c r="P246" t="s">
        <v>961</v>
      </c>
      <c r="Q246" t="s">
        <v>961</v>
      </c>
      <c r="R246" t="s">
        <v>961</v>
      </c>
      <c r="S246" t="s">
        <v>961</v>
      </c>
      <c r="T246" t="s">
        <v>961</v>
      </c>
    </row>
    <row r="247" spans="1:20" x14ac:dyDescent="0.25">
      <c r="A247">
        <f t="shared" si="7"/>
        <v>246</v>
      </c>
      <c r="B247" s="9" t="s">
        <v>1411</v>
      </c>
      <c r="C247" s="10">
        <v>44757</v>
      </c>
      <c r="D247" t="s">
        <v>1465</v>
      </c>
      <c r="E247" t="s">
        <v>1466</v>
      </c>
      <c r="F247" t="s">
        <v>1467</v>
      </c>
      <c r="G247" t="s">
        <v>168</v>
      </c>
      <c r="H247">
        <v>1</v>
      </c>
      <c r="I247" s="11">
        <v>2496</v>
      </c>
      <c r="J247" s="47">
        <f t="shared" si="6"/>
        <v>2496</v>
      </c>
      <c r="K247" t="s">
        <v>1468</v>
      </c>
      <c r="L247" t="s">
        <v>192</v>
      </c>
      <c r="M247" t="s">
        <v>961</v>
      </c>
      <c r="N247" t="s">
        <v>961</v>
      </c>
      <c r="O247" t="s">
        <v>961</v>
      </c>
      <c r="P247" t="s">
        <v>961</v>
      </c>
      <c r="Q247" t="s">
        <v>961</v>
      </c>
      <c r="R247" t="s">
        <v>961</v>
      </c>
      <c r="S247" t="s">
        <v>961</v>
      </c>
      <c r="T247" t="s">
        <v>961</v>
      </c>
    </row>
    <row r="248" spans="1:20" x14ac:dyDescent="0.25">
      <c r="A248" s="79">
        <f t="shared" si="7"/>
        <v>247</v>
      </c>
      <c r="B248" s="9" t="s">
        <v>1413</v>
      </c>
      <c r="C248" s="10">
        <v>44758</v>
      </c>
      <c r="D248" t="s">
        <v>1469</v>
      </c>
      <c r="E248" t="s">
        <v>1470</v>
      </c>
      <c r="F248" t="s">
        <v>1471</v>
      </c>
      <c r="G248" t="s">
        <v>168</v>
      </c>
      <c r="H248">
        <v>1</v>
      </c>
      <c r="I248" s="11">
        <v>1500</v>
      </c>
      <c r="J248" s="47">
        <f t="shared" si="6"/>
        <v>1500</v>
      </c>
      <c r="K248" t="s">
        <v>1472</v>
      </c>
      <c r="L248" t="s">
        <v>1497</v>
      </c>
      <c r="M248" t="s">
        <v>961</v>
      </c>
      <c r="N248" t="s">
        <v>961</v>
      </c>
      <c r="O248" t="s">
        <v>961</v>
      </c>
      <c r="P248" t="s">
        <v>961</v>
      </c>
      <c r="Q248" t="s">
        <v>961</v>
      </c>
      <c r="R248" t="s">
        <v>961</v>
      </c>
      <c r="S248" t="s">
        <v>961</v>
      </c>
      <c r="T248" t="s">
        <v>961</v>
      </c>
    </row>
    <row r="249" spans="1:20" x14ac:dyDescent="0.25">
      <c r="A249" s="64">
        <f t="shared" si="7"/>
        <v>248</v>
      </c>
      <c r="B249" s="102" t="s">
        <v>1475</v>
      </c>
      <c r="C249" s="10">
        <v>44757</v>
      </c>
      <c r="D249" t="s">
        <v>1075</v>
      </c>
      <c r="F249" t="s">
        <v>1473</v>
      </c>
      <c r="G249" t="s">
        <v>281</v>
      </c>
      <c r="H249">
        <v>1</v>
      </c>
      <c r="I249" s="11">
        <v>6753.55</v>
      </c>
      <c r="J249" s="47">
        <f t="shared" si="6"/>
        <v>6753.55</v>
      </c>
      <c r="K249" t="s">
        <v>1474</v>
      </c>
      <c r="L249" t="s">
        <v>80</v>
      </c>
      <c r="M249" t="s">
        <v>961</v>
      </c>
      <c r="N249" t="s">
        <v>961</v>
      </c>
      <c r="O249" t="s">
        <v>961</v>
      </c>
      <c r="P249" t="s">
        <v>961</v>
      </c>
      <c r="Q249" t="s">
        <v>961</v>
      </c>
      <c r="R249" t="s">
        <v>961</v>
      </c>
      <c r="S249" t="s">
        <v>961</v>
      </c>
      <c r="T249" t="s">
        <v>961</v>
      </c>
    </row>
    <row r="250" spans="1:20" x14ac:dyDescent="0.25">
      <c r="A250">
        <f t="shared" si="7"/>
        <v>249</v>
      </c>
      <c r="B250" s="9" t="s">
        <v>1476</v>
      </c>
      <c r="C250" s="10">
        <v>44388</v>
      </c>
      <c r="D250" t="s">
        <v>1492</v>
      </c>
      <c r="E250" t="s">
        <v>1493</v>
      </c>
      <c r="F250" t="s">
        <v>1494</v>
      </c>
      <c r="G250" t="s">
        <v>168</v>
      </c>
      <c r="H250">
        <v>1</v>
      </c>
      <c r="I250" s="11">
        <v>950</v>
      </c>
      <c r="J250" s="47">
        <f t="shared" si="6"/>
        <v>950</v>
      </c>
      <c r="K250" t="s">
        <v>342</v>
      </c>
      <c r="L250" t="s">
        <v>1499</v>
      </c>
      <c r="M250" t="s">
        <v>961</v>
      </c>
      <c r="N250" t="s">
        <v>961</v>
      </c>
      <c r="O250" t="s">
        <v>961</v>
      </c>
      <c r="P250" t="s">
        <v>961</v>
      </c>
      <c r="Q250" t="s">
        <v>961</v>
      </c>
      <c r="R250" t="s">
        <v>961</v>
      </c>
      <c r="S250" t="s">
        <v>961</v>
      </c>
      <c r="T250" t="s">
        <v>961</v>
      </c>
    </row>
    <row r="251" spans="1:20" x14ac:dyDescent="0.25">
      <c r="A251" s="65">
        <f t="shared" si="7"/>
        <v>250</v>
      </c>
      <c r="B251" s="9" t="s">
        <v>1477</v>
      </c>
      <c r="C251" s="10">
        <v>44756</v>
      </c>
      <c r="D251" t="s">
        <v>318</v>
      </c>
      <c r="E251" t="s">
        <v>319</v>
      </c>
      <c r="F251" t="s">
        <v>320</v>
      </c>
      <c r="G251" t="s">
        <v>281</v>
      </c>
      <c r="H251">
        <v>2</v>
      </c>
      <c r="I251" s="11">
        <v>3027.74</v>
      </c>
      <c r="J251" s="47">
        <f t="shared" si="6"/>
        <v>1513.87</v>
      </c>
      <c r="K251" t="s">
        <v>1498</v>
      </c>
      <c r="L251" t="s">
        <v>80</v>
      </c>
      <c r="M251" t="s">
        <v>961</v>
      </c>
      <c r="N251" t="s">
        <v>961</v>
      </c>
      <c r="O251" t="s">
        <v>961</v>
      </c>
      <c r="P251" t="s">
        <v>961</v>
      </c>
      <c r="Q251" t="s">
        <v>961</v>
      </c>
      <c r="R251" t="s">
        <v>961</v>
      </c>
      <c r="S251" t="s">
        <v>961</v>
      </c>
      <c r="T251" t="s">
        <v>961</v>
      </c>
    </row>
    <row r="252" spans="1:20" x14ac:dyDescent="0.25">
      <c r="A252">
        <f t="shared" si="7"/>
        <v>251</v>
      </c>
      <c r="B252" s="9" t="s">
        <v>1478</v>
      </c>
      <c r="C252" s="10">
        <v>44760</v>
      </c>
      <c r="D252" t="s">
        <v>1508</v>
      </c>
      <c r="E252" t="s">
        <v>1509</v>
      </c>
      <c r="F252" t="s">
        <v>1510</v>
      </c>
      <c r="G252" t="s">
        <v>168</v>
      </c>
      <c r="H252">
        <v>1</v>
      </c>
      <c r="I252" s="11">
        <v>1353</v>
      </c>
      <c r="J252" s="47">
        <f t="shared" si="6"/>
        <v>1353</v>
      </c>
      <c r="K252" t="s">
        <v>1206</v>
      </c>
      <c r="L252" t="s">
        <v>1515</v>
      </c>
      <c r="M252" t="s">
        <v>961</v>
      </c>
      <c r="N252" t="s">
        <v>961</v>
      </c>
      <c r="O252" t="s">
        <v>961</v>
      </c>
      <c r="P252" t="s">
        <v>961</v>
      </c>
      <c r="Q252" t="s">
        <v>961</v>
      </c>
      <c r="R252" t="s">
        <v>961</v>
      </c>
      <c r="S252" t="s">
        <v>961</v>
      </c>
      <c r="T252" t="s">
        <v>961</v>
      </c>
    </row>
    <row r="253" spans="1:20" x14ac:dyDescent="0.25">
      <c r="A253" s="76">
        <f t="shared" si="7"/>
        <v>252</v>
      </c>
      <c r="B253" s="9" t="s">
        <v>1479</v>
      </c>
      <c r="C253" s="10">
        <v>44762</v>
      </c>
      <c r="D253" t="s">
        <v>1504</v>
      </c>
      <c r="E253" t="s">
        <v>1505</v>
      </c>
      <c r="F253" t="s">
        <v>1506</v>
      </c>
      <c r="G253" t="s">
        <v>168</v>
      </c>
      <c r="H253">
        <v>1</v>
      </c>
      <c r="I253" s="11">
        <v>1500</v>
      </c>
      <c r="J253" s="47">
        <f>I253/H253</f>
        <v>1500</v>
      </c>
      <c r="K253" t="s">
        <v>1507</v>
      </c>
      <c r="L253" t="s">
        <v>277</v>
      </c>
      <c r="M253" t="s">
        <v>961</v>
      </c>
      <c r="N253" t="s">
        <v>961</v>
      </c>
      <c r="O253" t="s">
        <v>961</v>
      </c>
      <c r="P253" t="s">
        <v>961</v>
      </c>
      <c r="Q253" t="s">
        <v>961</v>
      </c>
      <c r="R253" t="s">
        <v>961</v>
      </c>
      <c r="S253" t="s">
        <v>961</v>
      </c>
      <c r="T253" t="s">
        <v>961</v>
      </c>
    </row>
    <row r="254" spans="1:20" x14ac:dyDescent="0.25">
      <c r="A254" s="65">
        <f t="shared" si="7"/>
        <v>253</v>
      </c>
      <c r="B254" s="9" t="s">
        <v>1480</v>
      </c>
      <c r="C254" s="10">
        <v>44762</v>
      </c>
      <c r="D254" t="s">
        <v>946</v>
      </c>
      <c r="E254" t="s">
        <v>947</v>
      </c>
      <c r="F254" t="s">
        <v>948</v>
      </c>
      <c r="G254" t="s">
        <v>281</v>
      </c>
      <c r="H254">
        <v>2</v>
      </c>
      <c r="I254" s="11">
        <v>4977</v>
      </c>
      <c r="J254" s="47">
        <f t="shared" si="6"/>
        <v>2488.5</v>
      </c>
      <c r="K254" t="s">
        <v>1511</v>
      </c>
      <c r="L254" t="s">
        <v>80</v>
      </c>
      <c r="M254" t="s">
        <v>961</v>
      </c>
      <c r="N254" t="s">
        <v>961</v>
      </c>
      <c r="O254" t="s">
        <v>961</v>
      </c>
      <c r="P254" t="s">
        <v>961</v>
      </c>
      <c r="Q254" t="s">
        <v>961</v>
      </c>
      <c r="R254" t="s">
        <v>961</v>
      </c>
      <c r="S254" t="s">
        <v>961</v>
      </c>
      <c r="T254" t="s">
        <v>961</v>
      </c>
    </row>
    <row r="255" spans="1:20" x14ac:dyDescent="0.25">
      <c r="A255" s="65">
        <f t="shared" si="7"/>
        <v>254</v>
      </c>
      <c r="B255" s="9" t="s">
        <v>1481</v>
      </c>
      <c r="C255" s="10">
        <v>44762</v>
      </c>
      <c r="D255" t="s">
        <v>307</v>
      </c>
      <c r="E255" t="s">
        <v>308</v>
      </c>
      <c r="F255" t="s">
        <v>1512</v>
      </c>
      <c r="G255" t="s">
        <v>281</v>
      </c>
      <c r="H255">
        <v>2</v>
      </c>
      <c r="I255" s="11">
        <v>2867.1</v>
      </c>
      <c r="J255" s="47">
        <f t="shared" si="6"/>
        <v>1433.55</v>
      </c>
      <c r="K255" t="s">
        <v>1513</v>
      </c>
      <c r="L255" t="s">
        <v>80</v>
      </c>
      <c r="M255" t="s">
        <v>961</v>
      </c>
      <c r="N255" t="s">
        <v>961</v>
      </c>
      <c r="O255" t="s">
        <v>961</v>
      </c>
      <c r="P255" t="s">
        <v>961</v>
      </c>
      <c r="Q255" t="s">
        <v>961</v>
      </c>
      <c r="R255" t="s">
        <v>961</v>
      </c>
      <c r="S255" t="s">
        <v>961</v>
      </c>
      <c r="T255" t="s">
        <v>961</v>
      </c>
    </row>
    <row r="256" spans="1:20" x14ac:dyDescent="0.25">
      <c r="A256" s="65">
        <f t="shared" si="7"/>
        <v>255</v>
      </c>
      <c r="B256" s="9" t="s">
        <v>1482</v>
      </c>
      <c r="C256" s="10">
        <v>44763</v>
      </c>
      <c r="D256" t="s">
        <v>318</v>
      </c>
      <c r="E256" t="s">
        <v>319</v>
      </c>
      <c r="F256" t="s">
        <v>320</v>
      </c>
      <c r="G256" t="s">
        <v>281</v>
      </c>
      <c r="H256">
        <v>3</v>
      </c>
      <c r="I256" s="11">
        <v>6870.74</v>
      </c>
      <c r="J256" s="47">
        <f t="shared" si="6"/>
        <v>2290.2466666666664</v>
      </c>
      <c r="K256" t="s">
        <v>1514</v>
      </c>
      <c r="L256" t="s">
        <v>80</v>
      </c>
      <c r="M256" t="s">
        <v>961</v>
      </c>
      <c r="N256" t="s">
        <v>961</v>
      </c>
      <c r="O256" t="s">
        <v>961</v>
      </c>
      <c r="P256" t="s">
        <v>961</v>
      </c>
      <c r="Q256" t="s">
        <v>961</v>
      </c>
      <c r="R256" t="s">
        <v>961</v>
      </c>
      <c r="S256" t="s">
        <v>961</v>
      </c>
      <c r="T256" t="s">
        <v>961</v>
      </c>
    </row>
    <row r="257" spans="1:20" x14ac:dyDescent="0.25">
      <c r="A257">
        <f t="shared" si="7"/>
        <v>256</v>
      </c>
      <c r="B257" s="9" t="s">
        <v>1483</v>
      </c>
      <c r="C257" s="10">
        <v>44764</v>
      </c>
      <c r="D257" t="s">
        <v>1524</v>
      </c>
      <c r="E257" t="s">
        <v>1525</v>
      </c>
      <c r="F257" t="s">
        <v>1526</v>
      </c>
      <c r="G257" t="s">
        <v>168</v>
      </c>
      <c r="H257">
        <v>1</v>
      </c>
      <c r="I257" s="11">
        <v>2100</v>
      </c>
      <c r="J257" s="47">
        <f t="shared" si="6"/>
        <v>2100</v>
      </c>
      <c r="K257" t="s">
        <v>1527</v>
      </c>
      <c r="L257" t="s">
        <v>1528</v>
      </c>
      <c r="M257" t="s">
        <v>961</v>
      </c>
      <c r="N257" t="s">
        <v>961</v>
      </c>
      <c r="O257" t="s">
        <v>961</v>
      </c>
      <c r="P257" t="s">
        <v>961</v>
      </c>
      <c r="Q257" t="s">
        <v>961</v>
      </c>
      <c r="R257" t="s">
        <v>961</v>
      </c>
      <c r="S257" t="s">
        <v>961</v>
      </c>
      <c r="T257" t="s">
        <v>961</v>
      </c>
    </row>
    <row r="258" spans="1:20" x14ac:dyDescent="0.25">
      <c r="A258" s="65">
        <f t="shared" si="7"/>
        <v>257</v>
      </c>
      <c r="B258" s="9" t="s">
        <v>1484</v>
      </c>
      <c r="C258" s="10">
        <v>44764</v>
      </c>
      <c r="D258" t="s">
        <v>1529</v>
      </c>
      <c r="E258" t="s">
        <v>1530</v>
      </c>
      <c r="F258" t="s">
        <v>1531</v>
      </c>
      <c r="G258" t="s">
        <v>281</v>
      </c>
      <c r="H258">
        <v>1</v>
      </c>
      <c r="I258" s="11">
        <v>1377</v>
      </c>
      <c r="J258" s="47">
        <f t="shared" si="6"/>
        <v>1377</v>
      </c>
      <c r="K258" t="s">
        <v>1532</v>
      </c>
      <c r="L258" t="s">
        <v>329</v>
      </c>
      <c r="M258" t="s">
        <v>961</v>
      </c>
      <c r="N258" t="s">
        <v>961</v>
      </c>
      <c r="O258" t="s">
        <v>961</v>
      </c>
      <c r="P258" t="s">
        <v>961</v>
      </c>
      <c r="Q258" t="s">
        <v>961</v>
      </c>
      <c r="R258" t="s">
        <v>961</v>
      </c>
      <c r="S258" t="s">
        <v>961</v>
      </c>
      <c r="T258" t="s">
        <v>961</v>
      </c>
    </row>
    <row r="259" spans="1:20" x14ac:dyDescent="0.25">
      <c r="A259">
        <f t="shared" si="7"/>
        <v>258</v>
      </c>
      <c r="B259" s="9" t="s">
        <v>1485</v>
      </c>
      <c r="C259" s="10">
        <v>44765</v>
      </c>
      <c r="D259" t="s">
        <v>1533</v>
      </c>
      <c r="E259" t="s">
        <v>1534</v>
      </c>
      <c r="F259" t="s">
        <v>1535</v>
      </c>
      <c r="G259" t="s">
        <v>168</v>
      </c>
      <c r="H259">
        <v>1</v>
      </c>
      <c r="I259" s="11">
        <v>2495.6</v>
      </c>
      <c r="J259" s="47">
        <f t="shared" ref="J259:J323" si="8">I259/H259</f>
        <v>2495.6</v>
      </c>
      <c r="K259" t="s">
        <v>1536</v>
      </c>
      <c r="L259" t="s">
        <v>277</v>
      </c>
      <c r="M259" t="s">
        <v>961</v>
      </c>
      <c r="N259" t="s">
        <v>961</v>
      </c>
      <c r="O259" t="s">
        <v>961</v>
      </c>
      <c r="P259" t="s">
        <v>961</v>
      </c>
      <c r="Q259" t="s">
        <v>961</v>
      </c>
      <c r="R259" t="s">
        <v>961</v>
      </c>
      <c r="S259" t="s">
        <v>961</v>
      </c>
      <c r="T259" t="s">
        <v>961</v>
      </c>
    </row>
    <row r="260" spans="1:20" x14ac:dyDescent="0.25">
      <c r="A260">
        <f t="shared" ref="A260:A323" si="9">+A259+1</f>
        <v>259</v>
      </c>
      <c r="B260" s="9" t="s">
        <v>1486</v>
      </c>
      <c r="C260" s="10">
        <v>44753</v>
      </c>
      <c r="D260" t="s">
        <v>1537</v>
      </c>
      <c r="E260" t="s">
        <v>1538</v>
      </c>
      <c r="F260" t="s">
        <v>1539</v>
      </c>
      <c r="G260" t="s">
        <v>168</v>
      </c>
      <c r="H260">
        <v>1</v>
      </c>
      <c r="I260" s="11">
        <v>1209.5999999999999</v>
      </c>
      <c r="J260" s="47">
        <f t="shared" si="8"/>
        <v>1209.5999999999999</v>
      </c>
      <c r="K260" t="s">
        <v>1147</v>
      </c>
      <c r="L260" t="s">
        <v>1135</v>
      </c>
      <c r="M260" t="s">
        <v>961</v>
      </c>
      <c r="N260" t="s">
        <v>961</v>
      </c>
      <c r="O260" t="s">
        <v>961</v>
      </c>
      <c r="P260" t="s">
        <v>961</v>
      </c>
      <c r="Q260" t="s">
        <v>961</v>
      </c>
      <c r="R260" t="s">
        <v>961</v>
      </c>
      <c r="S260" t="s">
        <v>961</v>
      </c>
      <c r="T260" t="s">
        <v>961</v>
      </c>
    </row>
    <row r="261" spans="1:20" x14ac:dyDescent="0.25">
      <c r="A261" s="65">
        <f t="shared" si="9"/>
        <v>260</v>
      </c>
      <c r="B261" s="9" t="s">
        <v>1487</v>
      </c>
      <c r="C261" s="10">
        <v>44762</v>
      </c>
      <c r="D261" t="s">
        <v>1540</v>
      </c>
      <c r="E261" t="s">
        <v>1541</v>
      </c>
      <c r="F261" t="s">
        <v>1542</v>
      </c>
      <c r="G261" t="s">
        <v>281</v>
      </c>
      <c r="H261">
        <v>1</v>
      </c>
      <c r="I261" s="11">
        <v>500.12</v>
      </c>
      <c r="J261" s="47">
        <f t="shared" si="8"/>
        <v>500.12</v>
      </c>
      <c r="K261" t="s">
        <v>1147</v>
      </c>
      <c r="L261" t="s">
        <v>329</v>
      </c>
      <c r="M261" t="s">
        <v>961</v>
      </c>
      <c r="N261" t="s">
        <v>961</v>
      </c>
      <c r="O261" t="s">
        <v>961</v>
      </c>
      <c r="P261" t="s">
        <v>961</v>
      </c>
      <c r="Q261" t="s">
        <v>961</v>
      </c>
      <c r="R261" t="s">
        <v>961</v>
      </c>
      <c r="S261" t="s">
        <v>961</v>
      </c>
      <c r="T261" t="s">
        <v>961</v>
      </c>
    </row>
    <row r="262" spans="1:20" x14ac:dyDescent="0.25">
      <c r="A262" s="65">
        <f t="shared" si="9"/>
        <v>261</v>
      </c>
      <c r="B262" s="9" t="s">
        <v>1488</v>
      </c>
      <c r="C262" s="10">
        <v>44767</v>
      </c>
      <c r="D262" t="s">
        <v>1537</v>
      </c>
      <c r="E262" t="s">
        <v>1538</v>
      </c>
      <c r="F262" t="s">
        <v>1539</v>
      </c>
      <c r="G262" t="s">
        <v>281</v>
      </c>
      <c r="H262">
        <v>2</v>
      </c>
      <c r="I262" s="11">
        <v>2737.6</v>
      </c>
      <c r="J262" s="47">
        <f t="shared" si="8"/>
        <v>1368.8</v>
      </c>
      <c r="K262" t="s">
        <v>1543</v>
      </c>
      <c r="L262" t="s">
        <v>80</v>
      </c>
      <c r="M262" t="s">
        <v>961</v>
      </c>
      <c r="N262" t="s">
        <v>961</v>
      </c>
      <c r="O262" t="s">
        <v>961</v>
      </c>
      <c r="P262" t="s">
        <v>961</v>
      </c>
      <c r="Q262" t="s">
        <v>961</v>
      </c>
      <c r="R262" t="s">
        <v>961</v>
      </c>
      <c r="S262" t="s">
        <v>961</v>
      </c>
      <c r="T262" t="s">
        <v>961</v>
      </c>
    </row>
    <row r="263" spans="1:20" x14ac:dyDescent="0.25">
      <c r="A263" s="65">
        <f t="shared" si="9"/>
        <v>262</v>
      </c>
      <c r="B263" s="9" t="s">
        <v>1489</v>
      </c>
      <c r="C263" s="10">
        <v>44758</v>
      </c>
      <c r="D263" t="s">
        <v>339</v>
      </c>
      <c r="E263" t="s">
        <v>1544</v>
      </c>
      <c r="F263" t="s">
        <v>1545</v>
      </c>
      <c r="G263" t="s">
        <v>281</v>
      </c>
      <c r="H263">
        <v>1</v>
      </c>
      <c r="I263" s="11">
        <v>507.84</v>
      </c>
      <c r="J263" s="47">
        <f t="shared" si="8"/>
        <v>507.84</v>
      </c>
      <c r="K263" t="s">
        <v>1349</v>
      </c>
      <c r="L263" t="s">
        <v>329</v>
      </c>
      <c r="M263" t="s">
        <v>961</v>
      </c>
      <c r="N263" t="s">
        <v>961</v>
      </c>
      <c r="O263" t="s">
        <v>961</v>
      </c>
      <c r="P263" t="s">
        <v>961</v>
      </c>
      <c r="Q263" t="s">
        <v>961</v>
      </c>
      <c r="R263" t="s">
        <v>961</v>
      </c>
      <c r="S263" t="s">
        <v>961</v>
      </c>
      <c r="T263" t="s">
        <v>961</v>
      </c>
    </row>
    <row r="264" spans="1:20" x14ac:dyDescent="0.25">
      <c r="A264" s="65">
        <f t="shared" si="9"/>
        <v>263</v>
      </c>
      <c r="B264" s="9" t="s">
        <v>1490</v>
      </c>
      <c r="C264" s="10">
        <v>44768</v>
      </c>
      <c r="D264" t="s">
        <v>619</v>
      </c>
      <c r="E264" t="s">
        <v>620</v>
      </c>
      <c r="F264" t="s">
        <v>621</v>
      </c>
      <c r="G264" t="s">
        <v>281</v>
      </c>
      <c r="H264">
        <v>2</v>
      </c>
      <c r="I264" s="11">
        <v>2676</v>
      </c>
      <c r="J264" s="47">
        <f t="shared" si="8"/>
        <v>1338</v>
      </c>
      <c r="K264" t="s">
        <v>1546</v>
      </c>
      <c r="L264" t="s">
        <v>80</v>
      </c>
      <c r="M264" t="s">
        <v>961</v>
      </c>
      <c r="N264" t="s">
        <v>961</v>
      </c>
      <c r="O264" t="s">
        <v>961</v>
      </c>
      <c r="P264" t="s">
        <v>961</v>
      </c>
      <c r="Q264" t="s">
        <v>961</v>
      </c>
      <c r="R264" t="s">
        <v>961</v>
      </c>
      <c r="S264" t="s">
        <v>961</v>
      </c>
      <c r="T264" t="s">
        <v>961</v>
      </c>
    </row>
    <row r="265" spans="1:20" x14ac:dyDescent="0.25">
      <c r="A265" s="65">
        <f t="shared" si="9"/>
        <v>264</v>
      </c>
      <c r="B265" s="9" t="s">
        <v>1491</v>
      </c>
      <c r="C265" s="10">
        <v>44769</v>
      </c>
      <c r="D265" t="s">
        <v>1550</v>
      </c>
      <c r="E265" t="s">
        <v>1551</v>
      </c>
      <c r="F265" t="s">
        <v>1552</v>
      </c>
      <c r="G265" t="s">
        <v>281</v>
      </c>
      <c r="H265">
        <v>1</v>
      </c>
      <c r="I265" s="11">
        <v>864</v>
      </c>
      <c r="J265" s="47">
        <f t="shared" si="8"/>
        <v>864</v>
      </c>
      <c r="K265" t="s">
        <v>1553</v>
      </c>
      <c r="L265" t="s">
        <v>329</v>
      </c>
      <c r="M265" t="s">
        <v>961</v>
      </c>
      <c r="N265" t="s">
        <v>961</v>
      </c>
      <c r="O265" t="s">
        <v>961</v>
      </c>
      <c r="P265" t="s">
        <v>961</v>
      </c>
      <c r="Q265" t="s">
        <v>961</v>
      </c>
      <c r="R265" t="s">
        <v>961</v>
      </c>
      <c r="S265" t="s">
        <v>961</v>
      </c>
      <c r="T265" t="s">
        <v>961</v>
      </c>
    </row>
    <row r="266" spans="1:20" x14ac:dyDescent="0.25">
      <c r="A266">
        <f t="shared" si="9"/>
        <v>265</v>
      </c>
      <c r="B266" s="9" t="s">
        <v>1500</v>
      </c>
      <c r="C266" s="10">
        <v>44769</v>
      </c>
      <c r="D266" t="s">
        <v>1554</v>
      </c>
      <c r="E266" t="s">
        <v>1555</v>
      </c>
      <c r="F266" t="s">
        <v>1556</v>
      </c>
      <c r="G266" t="s">
        <v>168</v>
      </c>
      <c r="H266">
        <v>1</v>
      </c>
      <c r="I266" s="11">
        <v>2284.75</v>
      </c>
      <c r="J266" s="47">
        <f t="shared" si="8"/>
        <v>2284.75</v>
      </c>
      <c r="K266" t="s">
        <v>1557</v>
      </c>
      <c r="L266" t="s">
        <v>1562</v>
      </c>
      <c r="M266" t="s">
        <v>961</v>
      </c>
      <c r="N266" t="s">
        <v>961</v>
      </c>
      <c r="O266" t="s">
        <v>961</v>
      </c>
      <c r="P266" t="s">
        <v>961</v>
      </c>
      <c r="Q266" t="s">
        <v>961</v>
      </c>
      <c r="R266" t="s">
        <v>961</v>
      </c>
      <c r="S266" t="s">
        <v>961</v>
      </c>
      <c r="T266" t="s">
        <v>961</v>
      </c>
    </row>
    <row r="267" spans="1:20" x14ac:dyDescent="0.25">
      <c r="A267">
        <f t="shared" si="9"/>
        <v>266</v>
      </c>
      <c r="B267" s="9" t="s">
        <v>1501</v>
      </c>
      <c r="C267" s="10">
        <v>44770</v>
      </c>
      <c r="D267" t="s">
        <v>1558</v>
      </c>
      <c r="E267" t="s">
        <v>1559</v>
      </c>
      <c r="F267" t="s">
        <v>1560</v>
      </c>
      <c r="G267" t="s">
        <v>168</v>
      </c>
      <c r="H267">
        <v>1</v>
      </c>
      <c r="I267" s="11">
        <v>1352</v>
      </c>
      <c r="J267" s="47">
        <f t="shared" si="8"/>
        <v>1352</v>
      </c>
      <c r="K267" t="s">
        <v>1561</v>
      </c>
      <c r="L267" t="s">
        <v>277</v>
      </c>
      <c r="M267" t="s">
        <v>961</v>
      </c>
      <c r="N267" t="s">
        <v>961</v>
      </c>
      <c r="O267" t="s">
        <v>961</v>
      </c>
      <c r="P267" t="s">
        <v>961</v>
      </c>
      <c r="Q267" t="s">
        <v>961</v>
      </c>
      <c r="R267" t="s">
        <v>961</v>
      </c>
      <c r="S267" t="s">
        <v>961</v>
      </c>
      <c r="T267" t="s">
        <v>961</v>
      </c>
    </row>
    <row r="268" spans="1:20" x14ac:dyDescent="0.25">
      <c r="A268" s="79">
        <f t="shared" si="9"/>
        <v>267</v>
      </c>
      <c r="B268" s="9" t="s">
        <v>1502</v>
      </c>
      <c r="C268" s="10">
        <v>44770</v>
      </c>
      <c r="D268" t="s">
        <v>1563</v>
      </c>
      <c r="E268" t="s">
        <v>1564</v>
      </c>
      <c r="F268" t="s">
        <v>1565</v>
      </c>
      <c r="G268" t="s">
        <v>168</v>
      </c>
      <c r="H268">
        <v>1</v>
      </c>
      <c r="I268" s="11">
        <v>3286</v>
      </c>
      <c r="J268" s="47">
        <f t="shared" si="8"/>
        <v>3286</v>
      </c>
      <c r="K268" t="s">
        <v>1566</v>
      </c>
      <c r="L268" t="s">
        <v>1567</v>
      </c>
      <c r="M268" t="s">
        <v>961</v>
      </c>
      <c r="N268" t="s">
        <v>961</v>
      </c>
      <c r="O268" t="s">
        <v>961</v>
      </c>
      <c r="P268" t="s">
        <v>961</v>
      </c>
      <c r="Q268" t="s">
        <v>961</v>
      </c>
      <c r="R268" t="s">
        <v>961</v>
      </c>
      <c r="S268" t="s">
        <v>961</v>
      </c>
      <c r="T268" t="s">
        <v>961</v>
      </c>
    </row>
    <row r="269" spans="1:20" x14ac:dyDescent="0.25">
      <c r="A269" s="65">
        <f t="shared" si="9"/>
        <v>268</v>
      </c>
      <c r="B269" s="9" t="s">
        <v>1503</v>
      </c>
      <c r="C269" s="10">
        <v>44753</v>
      </c>
      <c r="D269" t="s">
        <v>1331</v>
      </c>
      <c r="E269" t="s">
        <v>1347</v>
      </c>
      <c r="F269" t="s">
        <v>1568</v>
      </c>
      <c r="G269" t="s">
        <v>281</v>
      </c>
      <c r="H269">
        <v>2</v>
      </c>
      <c r="I269" s="11">
        <v>1679.71</v>
      </c>
      <c r="J269" s="47">
        <f t="shared" si="8"/>
        <v>839.85500000000002</v>
      </c>
      <c r="K269" t="s">
        <v>464</v>
      </c>
      <c r="L269" t="s">
        <v>80</v>
      </c>
      <c r="M269" t="s">
        <v>961</v>
      </c>
      <c r="N269" t="s">
        <v>961</v>
      </c>
      <c r="O269" t="s">
        <v>961</v>
      </c>
      <c r="P269" t="s">
        <v>961</v>
      </c>
      <c r="Q269" t="s">
        <v>961</v>
      </c>
      <c r="R269" t="s">
        <v>961</v>
      </c>
      <c r="S269" t="s">
        <v>961</v>
      </c>
      <c r="T269" t="s">
        <v>961</v>
      </c>
    </row>
    <row r="270" spans="1:20" x14ac:dyDescent="0.25">
      <c r="A270">
        <f t="shared" si="9"/>
        <v>269</v>
      </c>
      <c r="B270" s="9" t="s">
        <v>1516</v>
      </c>
      <c r="C270" s="10">
        <v>44756</v>
      </c>
      <c r="D270" t="s">
        <v>1569</v>
      </c>
      <c r="E270" t="s">
        <v>1570</v>
      </c>
      <c r="F270" t="s">
        <v>1571</v>
      </c>
      <c r="G270" t="s">
        <v>168</v>
      </c>
      <c r="H270">
        <v>1</v>
      </c>
      <c r="I270" s="11">
        <v>1763.8</v>
      </c>
      <c r="J270" s="47">
        <f t="shared" si="8"/>
        <v>1763.8</v>
      </c>
      <c r="K270" t="s">
        <v>1572</v>
      </c>
      <c r="L270" t="s">
        <v>1444</v>
      </c>
      <c r="M270" t="s">
        <v>961</v>
      </c>
      <c r="N270" t="s">
        <v>961</v>
      </c>
      <c r="O270" t="s">
        <v>961</v>
      </c>
      <c r="P270" t="s">
        <v>961</v>
      </c>
      <c r="Q270" t="s">
        <v>961</v>
      </c>
      <c r="R270" t="s">
        <v>961</v>
      </c>
      <c r="S270" t="s">
        <v>961</v>
      </c>
      <c r="T270" t="s">
        <v>961</v>
      </c>
    </row>
    <row r="271" spans="1:20" x14ac:dyDescent="0.25">
      <c r="A271">
        <f t="shared" si="9"/>
        <v>270</v>
      </c>
      <c r="B271" s="9" t="s">
        <v>1517</v>
      </c>
      <c r="C271" s="10">
        <v>44763</v>
      </c>
      <c r="D271" t="s">
        <v>1573</v>
      </c>
      <c r="E271" t="s">
        <v>1574</v>
      </c>
      <c r="F271" t="s">
        <v>1575</v>
      </c>
      <c r="G271" t="s">
        <v>168</v>
      </c>
      <c r="H271">
        <v>1</v>
      </c>
      <c r="I271" s="11">
        <v>1113</v>
      </c>
      <c r="J271" s="47">
        <f t="shared" si="8"/>
        <v>1113</v>
      </c>
      <c r="K271" t="s">
        <v>1576</v>
      </c>
      <c r="L271" t="s">
        <v>192</v>
      </c>
      <c r="M271" t="s">
        <v>961</v>
      </c>
      <c r="N271" t="s">
        <v>961</v>
      </c>
      <c r="O271" t="s">
        <v>961</v>
      </c>
      <c r="P271" t="s">
        <v>961</v>
      </c>
      <c r="Q271" t="s">
        <v>961</v>
      </c>
      <c r="R271" t="s">
        <v>961</v>
      </c>
      <c r="S271" t="s">
        <v>961</v>
      </c>
      <c r="T271" t="s">
        <v>961</v>
      </c>
    </row>
    <row r="272" spans="1:20" x14ac:dyDescent="0.25">
      <c r="A272" s="65">
        <f t="shared" si="9"/>
        <v>271</v>
      </c>
      <c r="B272" s="9" t="s">
        <v>1518</v>
      </c>
      <c r="C272" s="10">
        <v>44763</v>
      </c>
      <c r="D272" t="s">
        <v>1573</v>
      </c>
      <c r="E272" t="s">
        <v>1574</v>
      </c>
      <c r="F272" t="s">
        <v>1575</v>
      </c>
      <c r="G272" t="s">
        <v>281</v>
      </c>
      <c r="H272">
        <v>2</v>
      </c>
      <c r="I272" s="11">
        <v>3089.4</v>
      </c>
      <c r="J272" s="47">
        <f t="shared" si="8"/>
        <v>1544.7</v>
      </c>
      <c r="K272" t="s">
        <v>1577</v>
      </c>
      <c r="L272" t="s">
        <v>80</v>
      </c>
      <c r="M272" t="s">
        <v>961</v>
      </c>
      <c r="N272" t="s">
        <v>961</v>
      </c>
      <c r="O272" t="s">
        <v>961</v>
      </c>
      <c r="P272" t="s">
        <v>961</v>
      </c>
      <c r="Q272" t="s">
        <v>961</v>
      </c>
      <c r="R272" t="s">
        <v>961</v>
      </c>
      <c r="S272" t="s">
        <v>961</v>
      </c>
      <c r="T272" t="s">
        <v>961</v>
      </c>
    </row>
    <row r="273" spans="1:20" x14ac:dyDescent="0.25">
      <c r="A273" s="65">
        <f t="shared" si="9"/>
        <v>272</v>
      </c>
      <c r="B273" s="9" t="s">
        <v>1519</v>
      </c>
      <c r="C273" s="10">
        <v>44771</v>
      </c>
      <c r="D273" t="s">
        <v>1578</v>
      </c>
      <c r="E273" t="s">
        <v>1579</v>
      </c>
      <c r="F273" t="s">
        <v>1580</v>
      </c>
      <c r="G273" t="s">
        <v>281</v>
      </c>
      <c r="H273">
        <v>1</v>
      </c>
      <c r="I273" s="11">
        <v>1143</v>
      </c>
      <c r="J273" s="47">
        <f t="shared" si="8"/>
        <v>1143</v>
      </c>
      <c r="K273" t="s">
        <v>1581</v>
      </c>
      <c r="L273" t="s">
        <v>329</v>
      </c>
      <c r="M273" t="s">
        <v>961</v>
      </c>
      <c r="N273" t="s">
        <v>961</v>
      </c>
      <c r="O273" t="s">
        <v>961</v>
      </c>
      <c r="P273" t="s">
        <v>961</v>
      </c>
      <c r="Q273" t="s">
        <v>961</v>
      </c>
      <c r="R273" t="s">
        <v>961</v>
      </c>
      <c r="S273" t="s">
        <v>961</v>
      </c>
      <c r="T273" t="s">
        <v>961</v>
      </c>
    </row>
    <row r="274" spans="1:20" x14ac:dyDescent="0.25">
      <c r="A274" s="65">
        <f t="shared" si="9"/>
        <v>273</v>
      </c>
      <c r="B274" s="9" t="s">
        <v>1520</v>
      </c>
      <c r="C274" s="10">
        <v>44771</v>
      </c>
      <c r="D274" t="s">
        <v>1078</v>
      </c>
      <c r="E274" t="s">
        <v>1582</v>
      </c>
      <c r="F274" t="s">
        <v>1079</v>
      </c>
      <c r="G274" t="s">
        <v>281</v>
      </c>
      <c r="H274">
        <v>3</v>
      </c>
      <c r="I274" s="11">
        <v>4456</v>
      </c>
      <c r="J274" s="47">
        <f t="shared" si="8"/>
        <v>1485.3333333333333</v>
      </c>
      <c r="K274" t="s">
        <v>1583</v>
      </c>
      <c r="L274" t="s">
        <v>80</v>
      </c>
      <c r="M274" t="s">
        <v>961</v>
      </c>
      <c r="N274" t="s">
        <v>961</v>
      </c>
      <c r="O274" t="s">
        <v>961</v>
      </c>
      <c r="P274" t="s">
        <v>961</v>
      </c>
      <c r="Q274" t="s">
        <v>961</v>
      </c>
      <c r="R274" t="s">
        <v>961</v>
      </c>
      <c r="S274" t="s">
        <v>961</v>
      </c>
      <c r="T274" t="s">
        <v>961</v>
      </c>
    </row>
    <row r="275" spans="1:20" x14ac:dyDescent="0.25">
      <c r="A275" s="64">
        <f t="shared" si="9"/>
        <v>274</v>
      </c>
      <c r="B275" s="102" t="s">
        <v>1521</v>
      </c>
      <c r="C275" s="10">
        <v>44772</v>
      </c>
      <c r="D275" t="s">
        <v>1584</v>
      </c>
      <c r="E275" t="s">
        <v>1585</v>
      </c>
      <c r="F275" t="s">
        <v>1586</v>
      </c>
      <c r="G275" t="s">
        <v>168</v>
      </c>
      <c r="H275">
        <v>1</v>
      </c>
      <c r="I275" s="11">
        <v>3335.97</v>
      </c>
      <c r="J275" s="47">
        <f t="shared" si="8"/>
        <v>3335.97</v>
      </c>
      <c r="K275" t="s">
        <v>895</v>
      </c>
      <c r="L275" t="s">
        <v>192</v>
      </c>
      <c r="M275" t="s">
        <v>961</v>
      </c>
      <c r="N275" t="s">
        <v>961</v>
      </c>
      <c r="O275" t="s">
        <v>961</v>
      </c>
      <c r="P275" t="s">
        <v>961</v>
      </c>
      <c r="Q275" t="s">
        <v>961</v>
      </c>
      <c r="R275" t="s">
        <v>961</v>
      </c>
      <c r="S275" t="s">
        <v>961</v>
      </c>
      <c r="T275" t="s">
        <v>961</v>
      </c>
    </row>
    <row r="276" spans="1:20" x14ac:dyDescent="0.25">
      <c r="A276" s="65">
        <f t="shared" si="9"/>
        <v>275</v>
      </c>
      <c r="B276" s="9" t="s">
        <v>1522</v>
      </c>
      <c r="C276" s="10">
        <v>44774</v>
      </c>
      <c r="D276" t="s">
        <v>1587</v>
      </c>
      <c r="E276" t="s">
        <v>1588</v>
      </c>
      <c r="F276" t="s">
        <v>1589</v>
      </c>
      <c r="G276" t="s">
        <v>168</v>
      </c>
      <c r="H276">
        <v>1</v>
      </c>
      <c r="I276" s="11">
        <v>876</v>
      </c>
      <c r="J276" s="47">
        <f t="shared" si="8"/>
        <v>876</v>
      </c>
      <c r="K276" t="s">
        <v>1590</v>
      </c>
      <c r="L276" t="s">
        <v>1599</v>
      </c>
      <c r="M276" t="s">
        <v>961</v>
      </c>
      <c r="N276" t="s">
        <v>961</v>
      </c>
      <c r="O276" t="s">
        <v>961</v>
      </c>
      <c r="P276" t="s">
        <v>961</v>
      </c>
      <c r="Q276" t="s">
        <v>2593</v>
      </c>
      <c r="R276" t="s">
        <v>2593</v>
      </c>
      <c r="S276" t="s">
        <v>2593</v>
      </c>
      <c r="T276" t="s">
        <v>2593</v>
      </c>
    </row>
    <row r="277" spans="1:20" x14ac:dyDescent="0.25">
      <c r="A277" s="79">
        <f t="shared" si="9"/>
        <v>276</v>
      </c>
      <c r="B277" s="9" t="s">
        <v>1523</v>
      </c>
      <c r="C277" s="10">
        <v>44774</v>
      </c>
      <c r="D277" t="s">
        <v>687</v>
      </c>
      <c r="E277" t="s">
        <v>688</v>
      </c>
      <c r="F277" t="s">
        <v>705</v>
      </c>
      <c r="G277" t="s">
        <v>281</v>
      </c>
      <c r="H277">
        <v>3</v>
      </c>
      <c r="I277" s="11">
        <v>5425.5</v>
      </c>
      <c r="J277" s="47">
        <f t="shared" si="8"/>
        <v>1808.5</v>
      </c>
      <c r="K277" t="s">
        <v>1591</v>
      </c>
      <c r="L277" t="s">
        <v>1592</v>
      </c>
      <c r="M277" t="s">
        <v>961</v>
      </c>
      <c r="N277" t="s">
        <v>961</v>
      </c>
      <c r="O277" t="s">
        <v>961</v>
      </c>
      <c r="P277" t="s">
        <v>961</v>
      </c>
      <c r="Q277" t="s">
        <v>2593</v>
      </c>
      <c r="R277" t="s">
        <v>2593</v>
      </c>
      <c r="S277" t="s">
        <v>2593</v>
      </c>
      <c r="T277" t="s">
        <v>2593</v>
      </c>
    </row>
    <row r="278" spans="1:20" x14ac:dyDescent="0.25">
      <c r="A278" s="65">
        <f t="shared" si="9"/>
        <v>277</v>
      </c>
      <c r="B278" s="9" t="s">
        <v>1547</v>
      </c>
      <c r="C278" s="10">
        <v>44775</v>
      </c>
      <c r="D278" t="s">
        <v>1595</v>
      </c>
      <c r="E278" t="s">
        <v>1596</v>
      </c>
      <c r="F278" t="s">
        <v>1597</v>
      </c>
      <c r="G278" t="s">
        <v>281</v>
      </c>
      <c r="H278">
        <v>1</v>
      </c>
      <c r="I278" s="11">
        <v>1441</v>
      </c>
      <c r="J278" s="47">
        <f t="shared" si="8"/>
        <v>1441</v>
      </c>
      <c r="K278" t="s">
        <v>1598</v>
      </c>
      <c r="L278" t="s">
        <v>329</v>
      </c>
      <c r="M278" t="s">
        <v>961</v>
      </c>
      <c r="N278" t="s">
        <v>961</v>
      </c>
      <c r="O278" t="s">
        <v>961</v>
      </c>
      <c r="P278" t="s">
        <v>961</v>
      </c>
      <c r="Q278" t="s">
        <v>2593</v>
      </c>
      <c r="R278" t="s">
        <v>2593</v>
      </c>
      <c r="S278" t="s">
        <v>2593</v>
      </c>
      <c r="T278" t="s">
        <v>2593</v>
      </c>
    </row>
    <row r="279" spans="1:20" x14ac:dyDescent="0.25">
      <c r="A279">
        <f t="shared" si="9"/>
        <v>278</v>
      </c>
      <c r="B279" s="9" t="s">
        <v>1548</v>
      </c>
      <c r="C279" s="10">
        <v>44775</v>
      </c>
      <c r="D279" t="s">
        <v>1600</v>
      </c>
      <c r="E279" t="s">
        <v>1601</v>
      </c>
      <c r="F279" t="s">
        <v>1602</v>
      </c>
      <c r="G279" t="s">
        <v>168</v>
      </c>
      <c r="H279">
        <v>1</v>
      </c>
      <c r="I279" s="11">
        <v>5783.6</v>
      </c>
      <c r="J279" s="47">
        <f t="shared" si="8"/>
        <v>5783.6</v>
      </c>
      <c r="K279" t="s">
        <v>1603</v>
      </c>
      <c r="L279" t="s">
        <v>872</v>
      </c>
      <c r="M279" t="s">
        <v>961</v>
      </c>
      <c r="N279" t="s">
        <v>961</v>
      </c>
      <c r="O279" t="s">
        <v>961</v>
      </c>
      <c r="P279" t="s">
        <v>961</v>
      </c>
      <c r="Q279" t="s">
        <v>2593</v>
      </c>
      <c r="R279" t="s">
        <v>2593</v>
      </c>
      <c r="S279" t="s">
        <v>2593</v>
      </c>
      <c r="T279" t="s">
        <v>2593</v>
      </c>
    </row>
    <row r="280" spans="1:20" x14ac:dyDescent="0.25">
      <c r="A280">
        <f t="shared" si="9"/>
        <v>279</v>
      </c>
      <c r="B280" s="9" t="s">
        <v>1549</v>
      </c>
      <c r="C280" s="10">
        <v>44776</v>
      </c>
      <c r="D280" t="s">
        <v>1604</v>
      </c>
      <c r="E280" t="s">
        <v>1605</v>
      </c>
      <c r="F280" t="s">
        <v>1606</v>
      </c>
      <c r="G280" t="s">
        <v>168</v>
      </c>
      <c r="H280">
        <v>1</v>
      </c>
      <c r="I280" s="11">
        <v>1249</v>
      </c>
      <c r="J280" s="47">
        <f t="shared" si="8"/>
        <v>1249</v>
      </c>
      <c r="K280" t="s">
        <v>1607</v>
      </c>
      <c r="L280" t="s">
        <v>1617</v>
      </c>
      <c r="M280" t="s">
        <v>961</v>
      </c>
      <c r="N280" t="s">
        <v>961</v>
      </c>
      <c r="O280" t="s">
        <v>961</v>
      </c>
      <c r="P280" t="s">
        <v>961</v>
      </c>
      <c r="Q280" t="s">
        <v>2593</v>
      </c>
      <c r="R280" t="s">
        <v>2593</v>
      </c>
      <c r="S280" t="s">
        <v>2593</v>
      </c>
      <c r="T280" t="s">
        <v>2593</v>
      </c>
    </row>
    <row r="281" spans="1:20" x14ac:dyDescent="0.25">
      <c r="A281">
        <f t="shared" si="9"/>
        <v>280</v>
      </c>
      <c r="B281" s="9" t="s">
        <v>1612</v>
      </c>
      <c r="C281" s="10">
        <v>44777</v>
      </c>
      <c r="D281" t="s">
        <v>1614</v>
      </c>
      <c r="E281" t="s">
        <v>1615</v>
      </c>
      <c r="F281" t="s">
        <v>1616</v>
      </c>
      <c r="G281" t="s">
        <v>168</v>
      </c>
      <c r="H281">
        <v>1</v>
      </c>
      <c r="I281" s="11">
        <v>984</v>
      </c>
      <c r="J281" s="47">
        <f t="shared" si="8"/>
        <v>984</v>
      </c>
      <c r="K281" t="s">
        <v>779</v>
      </c>
      <c r="L281" t="s">
        <v>569</v>
      </c>
      <c r="M281" t="s">
        <v>961</v>
      </c>
      <c r="N281" t="s">
        <v>961</v>
      </c>
      <c r="O281" t="s">
        <v>961</v>
      </c>
      <c r="P281" t="s">
        <v>961</v>
      </c>
      <c r="Q281" t="s">
        <v>2593</v>
      </c>
      <c r="R281" t="s">
        <v>2593</v>
      </c>
      <c r="S281" t="s">
        <v>2593</v>
      </c>
      <c r="T281" t="s">
        <v>2593</v>
      </c>
    </row>
    <row r="282" spans="1:20" x14ac:dyDescent="0.25">
      <c r="A282">
        <f t="shared" si="9"/>
        <v>281</v>
      </c>
      <c r="B282" s="9" t="s">
        <v>1613</v>
      </c>
      <c r="C282" s="10">
        <v>44777</v>
      </c>
      <c r="D282" t="s">
        <v>1618</v>
      </c>
      <c r="E282" t="s">
        <v>1619</v>
      </c>
      <c r="F282" t="s">
        <v>1620</v>
      </c>
      <c r="G282" t="s">
        <v>168</v>
      </c>
      <c r="H282">
        <v>1</v>
      </c>
      <c r="I282" s="11">
        <v>1989</v>
      </c>
      <c r="J282" s="47">
        <f t="shared" si="8"/>
        <v>1989</v>
      </c>
      <c r="K282" t="s">
        <v>1621</v>
      </c>
      <c r="L282" t="s">
        <v>595</v>
      </c>
      <c r="M282" t="s">
        <v>961</v>
      </c>
      <c r="N282" t="s">
        <v>961</v>
      </c>
      <c r="O282" t="s">
        <v>961</v>
      </c>
      <c r="P282" t="s">
        <v>961</v>
      </c>
      <c r="Q282" t="s">
        <v>2593</v>
      </c>
      <c r="R282" t="s">
        <v>2593</v>
      </c>
      <c r="S282" t="s">
        <v>2593</v>
      </c>
      <c r="T282" t="s">
        <v>2593</v>
      </c>
    </row>
    <row r="283" spans="1:20" x14ac:dyDescent="0.25">
      <c r="A283">
        <f t="shared" si="9"/>
        <v>282</v>
      </c>
      <c r="B283" s="9" t="s">
        <v>1622</v>
      </c>
      <c r="C283" s="10">
        <v>44764</v>
      </c>
      <c r="D283" t="s">
        <v>1635</v>
      </c>
      <c r="E283" t="s">
        <v>1636</v>
      </c>
      <c r="F283" t="s">
        <v>1637</v>
      </c>
      <c r="G283" t="s">
        <v>168</v>
      </c>
      <c r="H283">
        <v>1</v>
      </c>
      <c r="I283" s="11">
        <v>2532.96</v>
      </c>
      <c r="J283" s="47">
        <f t="shared" si="8"/>
        <v>2532.96</v>
      </c>
      <c r="K283" t="s">
        <v>1638</v>
      </c>
      <c r="L283" t="s">
        <v>1639</v>
      </c>
      <c r="M283" t="s">
        <v>961</v>
      </c>
      <c r="N283" t="s">
        <v>961</v>
      </c>
      <c r="O283" t="s">
        <v>961</v>
      </c>
      <c r="P283" t="s">
        <v>961</v>
      </c>
      <c r="Q283" t="s">
        <v>2593</v>
      </c>
      <c r="R283" t="s">
        <v>2593</v>
      </c>
      <c r="S283" t="s">
        <v>2593</v>
      </c>
      <c r="T283" t="s">
        <v>2593</v>
      </c>
    </row>
    <row r="284" spans="1:20" x14ac:dyDescent="0.25">
      <c r="A284">
        <f t="shared" si="9"/>
        <v>283</v>
      </c>
      <c r="B284" s="9" t="s">
        <v>1623</v>
      </c>
      <c r="C284" s="10">
        <v>44778</v>
      </c>
      <c r="D284" t="s">
        <v>1640</v>
      </c>
      <c r="E284" t="s">
        <v>1641</v>
      </c>
      <c r="F284" t="s">
        <v>1642</v>
      </c>
      <c r="G284" t="s">
        <v>168</v>
      </c>
      <c r="H284">
        <v>1</v>
      </c>
      <c r="I284" s="11">
        <v>3171</v>
      </c>
      <c r="J284" s="47">
        <f t="shared" si="8"/>
        <v>3171</v>
      </c>
      <c r="K284" t="s">
        <v>1643</v>
      </c>
      <c r="L284" t="s">
        <v>192</v>
      </c>
      <c r="M284" t="s">
        <v>961</v>
      </c>
      <c r="N284" t="s">
        <v>961</v>
      </c>
      <c r="O284" t="s">
        <v>961</v>
      </c>
      <c r="P284" t="s">
        <v>961</v>
      </c>
      <c r="Q284" t="s">
        <v>2593</v>
      </c>
      <c r="R284" t="s">
        <v>2593</v>
      </c>
      <c r="S284" t="s">
        <v>2593</v>
      </c>
      <c r="T284" t="s">
        <v>2593</v>
      </c>
    </row>
    <row r="285" spans="1:20" x14ac:dyDescent="0.25">
      <c r="A285">
        <f t="shared" si="9"/>
        <v>284</v>
      </c>
      <c r="B285" s="9" t="s">
        <v>1624</v>
      </c>
      <c r="C285" s="10">
        <v>44778</v>
      </c>
      <c r="D285" t="s">
        <v>1644</v>
      </c>
      <c r="E285" t="s">
        <v>1645</v>
      </c>
      <c r="F285" t="s">
        <v>1646</v>
      </c>
      <c r="G285" t="s">
        <v>168</v>
      </c>
      <c r="H285">
        <v>1</v>
      </c>
      <c r="I285" s="11">
        <v>1776</v>
      </c>
      <c r="J285" s="47">
        <f t="shared" si="8"/>
        <v>1776</v>
      </c>
      <c r="K285" t="s">
        <v>1647</v>
      </c>
      <c r="L285" t="s">
        <v>193</v>
      </c>
      <c r="M285" t="s">
        <v>961</v>
      </c>
      <c r="N285" t="s">
        <v>961</v>
      </c>
      <c r="O285" t="s">
        <v>961</v>
      </c>
      <c r="P285" t="s">
        <v>961</v>
      </c>
      <c r="Q285" t="s">
        <v>2593</v>
      </c>
      <c r="R285" t="s">
        <v>2593</v>
      </c>
      <c r="S285" t="s">
        <v>2593</v>
      </c>
      <c r="T285" t="s">
        <v>2593</v>
      </c>
    </row>
    <row r="286" spans="1:20" x14ac:dyDescent="0.25">
      <c r="A286">
        <f t="shared" si="9"/>
        <v>285</v>
      </c>
      <c r="B286" s="9" t="s">
        <v>1625</v>
      </c>
      <c r="C286" s="10">
        <v>44781</v>
      </c>
      <c r="D286" t="s">
        <v>1652</v>
      </c>
      <c r="E286" t="s">
        <v>1653</v>
      </c>
      <c r="F286" t="s">
        <v>1654</v>
      </c>
      <c r="G286" t="s">
        <v>168</v>
      </c>
      <c r="H286">
        <v>1</v>
      </c>
      <c r="I286" s="11">
        <v>1178.56</v>
      </c>
      <c r="J286" s="47">
        <f t="shared" si="8"/>
        <v>1178.56</v>
      </c>
      <c r="K286" t="s">
        <v>1655</v>
      </c>
      <c r="L286" t="s">
        <v>1678</v>
      </c>
      <c r="M286" t="s">
        <v>961</v>
      </c>
      <c r="N286" t="s">
        <v>961</v>
      </c>
      <c r="O286" t="s">
        <v>961</v>
      </c>
      <c r="P286" t="s">
        <v>961</v>
      </c>
      <c r="Q286" t="s">
        <v>2593</v>
      </c>
      <c r="R286" t="s">
        <v>2593</v>
      </c>
      <c r="S286" t="s">
        <v>2593</v>
      </c>
      <c r="T286" t="s">
        <v>2593</v>
      </c>
    </row>
    <row r="287" spans="1:20" x14ac:dyDescent="0.25">
      <c r="A287" s="79">
        <f t="shared" si="9"/>
        <v>286</v>
      </c>
      <c r="B287" s="9" t="s">
        <v>1626</v>
      </c>
      <c r="C287" s="10">
        <v>44781</v>
      </c>
      <c r="D287" t="s">
        <v>1656</v>
      </c>
      <c r="E287" t="s">
        <v>1657</v>
      </c>
      <c r="F287" t="s">
        <v>1658</v>
      </c>
      <c r="G287" t="s">
        <v>168</v>
      </c>
      <c r="H287">
        <v>1</v>
      </c>
      <c r="I287" s="11">
        <v>1085</v>
      </c>
      <c r="J287" s="47">
        <f t="shared" si="8"/>
        <v>1085</v>
      </c>
      <c r="K287" t="s">
        <v>1659</v>
      </c>
      <c r="L287" t="s">
        <v>1660</v>
      </c>
      <c r="M287" t="s">
        <v>961</v>
      </c>
      <c r="N287" t="s">
        <v>961</v>
      </c>
      <c r="O287" t="s">
        <v>961</v>
      </c>
      <c r="P287" t="s">
        <v>961</v>
      </c>
      <c r="Q287" t="s">
        <v>2593</v>
      </c>
      <c r="R287" t="s">
        <v>2593</v>
      </c>
      <c r="S287" t="s">
        <v>2593</v>
      </c>
      <c r="T287" t="s">
        <v>2593</v>
      </c>
    </row>
    <row r="288" spans="1:20" x14ac:dyDescent="0.25">
      <c r="A288">
        <f t="shared" si="9"/>
        <v>287</v>
      </c>
      <c r="B288" s="9" t="s">
        <v>1627</v>
      </c>
      <c r="C288" s="10">
        <v>44768</v>
      </c>
      <c r="D288" t="s">
        <v>1661</v>
      </c>
      <c r="E288" t="s">
        <v>1662</v>
      </c>
      <c r="F288" t="s">
        <v>1663</v>
      </c>
      <c r="G288" t="s">
        <v>168</v>
      </c>
      <c r="H288">
        <v>1</v>
      </c>
      <c r="I288" s="11">
        <v>1288</v>
      </c>
      <c r="J288" s="47">
        <f t="shared" si="8"/>
        <v>1288</v>
      </c>
      <c r="K288" t="s">
        <v>1664</v>
      </c>
      <c r="L288" t="s">
        <v>1679</v>
      </c>
      <c r="M288" t="s">
        <v>961</v>
      </c>
      <c r="N288" t="s">
        <v>961</v>
      </c>
      <c r="O288" t="s">
        <v>961</v>
      </c>
      <c r="P288" t="s">
        <v>961</v>
      </c>
      <c r="Q288" t="s">
        <v>2593</v>
      </c>
      <c r="R288" t="s">
        <v>2593</v>
      </c>
      <c r="S288" t="s">
        <v>2593</v>
      </c>
      <c r="T288" t="s">
        <v>2593</v>
      </c>
    </row>
    <row r="289" spans="1:20" x14ac:dyDescent="0.25">
      <c r="A289">
        <f t="shared" si="9"/>
        <v>288</v>
      </c>
      <c r="B289" s="9" t="s">
        <v>1628</v>
      </c>
      <c r="C289" s="10">
        <v>44774</v>
      </c>
      <c r="D289" t="s">
        <v>1689</v>
      </c>
      <c r="E289" t="s">
        <v>1690</v>
      </c>
      <c r="F289" t="s">
        <v>1691</v>
      </c>
      <c r="G289" t="s">
        <v>168</v>
      </c>
      <c r="H289">
        <v>1</v>
      </c>
      <c r="I289" s="11">
        <v>3725.5</v>
      </c>
      <c r="J289" s="47">
        <f t="shared" si="8"/>
        <v>3725.5</v>
      </c>
      <c r="K289" t="s">
        <v>1692</v>
      </c>
      <c r="L289" t="s">
        <v>355</v>
      </c>
      <c r="M289" t="s">
        <v>961</v>
      </c>
      <c r="N289" t="s">
        <v>961</v>
      </c>
      <c r="O289" t="s">
        <v>961</v>
      </c>
      <c r="P289" t="s">
        <v>961</v>
      </c>
      <c r="Q289" t="s">
        <v>2593</v>
      </c>
      <c r="R289" t="s">
        <v>2593</v>
      </c>
      <c r="S289" t="s">
        <v>2593</v>
      </c>
      <c r="T289" t="s">
        <v>2593</v>
      </c>
    </row>
    <row r="290" spans="1:20" x14ac:dyDescent="0.25">
      <c r="A290">
        <f t="shared" si="9"/>
        <v>289</v>
      </c>
      <c r="B290" s="9" t="s">
        <v>1629</v>
      </c>
      <c r="C290" s="10">
        <v>44774</v>
      </c>
      <c r="D290" t="s">
        <v>1665</v>
      </c>
      <c r="E290" t="s">
        <v>1666</v>
      </c>
      <c r="F290" t="s">
        <v>1667</v>
      </c>
      <c r="G290" t="s">
        <v>168</v>
      </c>
      <c r="H290">
        <v>1</v>
      </c>
      <c r="I290" s="11">
        <v>1308.24</v>
      </c>
      <c r="J290" s="47">
        <f t="shared" si="8"/>
        <v>1308.24</v>
      </c>
      <c r="K290" t="s">
        <v>1668</v>
      </c>
      <c r="L290" t="s">
        <v>1672</v>
      </c>
      <c r="M290" t="s">
        <v>961</v>
      </c>
      <c r="N290" t="s">
        <v>961</v>
      </c>
      <c r="O290" t="s">
        <v>961</v>
      </c>
      <c r="P290" t="s">
        <v>961</v>
      </c>
      <c r="Q290" t="s">
        <v>2593</v>
      </c>
      <c r="R290" t="s">
        <v>2593</v>
      </c>
      <c r="S290" t="s">
        <v>2593</v>
      </c>
      <c r="T290" t="s">
        <v>2593</v>
      </c>
    </row>
    <row r="291" spans="1:20" x14ac:dyDescent="0.25">
      <c r="A291">
        <f t="shared" si="9"/>
        <v>290</v>
      </c>
      <c r="B291" s="9" t="s">
        <v>1630</v>
      </c>
      <c r="C291" s="10">
        <v>44782</v>
      </c>
      <c r="D291" t="s">
        <v>1669</v>
      </c>
      <c r="E291" t="s">
        <v>1670</v>
      </c>
      <c r="F291" t="s">
        <v>1671</v>
      </c>
      <c r="G291" t="s">
        <v>168</v>
      </c>
      <c r="H291">
        <v>1</v>
      </c>
      <c r="I291" s="11">
        <v>3051</v>
      </c>
      <c r="J291" s="47">
        <f t="shared" si="8"/>
        <v>3051</v>
      </c>
      <c r="K291" t="s">
        <v>169</v>
      </c>
      <c r="L291" t="s">
        <v>1673</v>
      </c>
      <c r="M291" t="s">
        <v>961</v>
      </c>
      <c r="N291" t="s">
        <v>961</v>
      </c>
      <c r="O291" t="s">
        <v>961</v>
      </c>
      <c r="P291" t="s">
        <v>961</v>
      </c>
      <c r="Q291" t="s">
        <v>2593</v>
      </c>
      <c r="R291" t="s">
        <v>2593</v>
      </c>
      <c r="S291" t="s">
        <v>2593</v>
      </c>
      <c r="T291" t="s">
        <v>2593</v>
      </c>
    </row>
    <row r="292" spans="1:20" x14ac:dyDescent="0.25">
      <c r="A292">
        <f t="shared" si="9"/>
        <v>291</v>
      </c>
      <c r="B292" s="9" t="s">
        <v>1631</v>
      </c>
      <c r="C292" s="10">
        <v>44783</v>
      </c>
      <c r="D292" t="s">
        <v>1674</v>
      </c>
      <c r="E292" t="s">
        <v>1675</v>
      </c>
      <c r="F292" t="s">
        <v>1676</v>
      </c>
      <c r="G292" t="s">
        <v>168</v>
      </c>
      <c r="H292">
        <v>1</v>
      </c>
      <c r="I292" s="11">
        <v>993</v>
      </c>
      <c r="J292" s="47">
        <f t="shared" si="8"/>
        <v>993</v>
      </c>
      <c r="K292" t="s">
        <v>1677</v>
      </c>
      <c r="L292" t="s">
        <v>1693</v>
      </c>
      <c r="M292" t="s">
        <v>961</v>
      </c>
      <c r="N292" t="s">
        <v>961</v>
      </c>
      <c r="O292" t="s">
        <v>961</v>
      </c>
      <c r="P292" t="s">
        <v>961</v>
      </c>
      <c r="Q292" t="s">
        <v>2593</v>
      </c>
      <c r="R292" t="s">
        <v>2593</v>
      </c>
      <c r="S292" t="s">
        <v>2593</v>
      </c>
      <c r="T292" t="s">
        <v>2593</v>
      </c>
    </row>
    <row r="293" spans="1:20" x14ac:dyDescent="0.25">
      <c r="A293">
        <f t="shared" si="9"/>
        <v>292</v>
      </c>
      <c r="B293" s="9" t="s">
        <v>1632</v>
      </c>
      <c r="C293" s="10">
        <v>44783</v>
      </c>
      <c r="D293" t="s">
        <v>1682</v>
      </c>
      <c r="E293" t="s">
        <v>1683</v>
      </c>
      <c r="F293" t="s">
        <v>1684</v>
      </c>
      <c r="G293" t="s">
        <v>168</v>
      </c>
      <c r="H293">
        <v>1</v>
      </c>
      <c r="I293" s="11">
        <v>2191</v>
      </c>
      <c r="J293" s="47">
        <f t="shared" si="8"/>
        <v>2191</v>
      </c>
      <c r="K293" t="s">
        <v>1685</v>
      </c>
      <c r="L293" t="s">
        <v>1694</v>
      </c>
      <c r="M293" t="s">
        <v>961</v>
      </c>
      <c r="N293" t="s">
        <v>961</v>
      </c>
      <c r="O293" t="s">
        <v>961</v>
      </c>
      <c r="P293" t="s">
        <v>961</v>
      </c>
      <c r="Q293" t="s">
        <v>2593</v>
      </c>
      <c r="R293" t="s">
        <v>2593</v>
      </c>
      <c r="S293" t="s">
        <v>2593</v>
      </c>
      <c r="T293" t="s">
        <v>2593</v>
      </c>
    </row>
    <row r="294" spans="1:20" x14ac:dyDescent="0.25">
      <c r="A294">
        <f t="shared" si="9"/>
        <v>293</v>
      </c>
      <c r="B294" s="9" t="s">
        <v>1633</v>
      </c>
      <c r="C294" s="10">
        <v>44784</v>
      </c>
      <c r="D294" t="s">
        <v>1695</v>
      </c>
      <c r="E294" t="s">
        <v>1696</v>
      </c>
      <c r="F294" t="s">
        <v>1697</v>
      </c>
      <c r="G294" t="s">
        <v>168</v>
      </c>
      <c r="H294">
        <v>1</v>
      </c>
      <c r="I294" s="11">
        <v>1838</v>
      </c>
      <c r="J294" s="47">
        <f t="shared" si="8"/>
        <v>1838</v>
      </c>
      <c r="K294" t="s">
        <v>1698</v>
      </c>
      <c r="L294" t="s">
        <v>192</v>
      </c>
      <c r="M294" t="s">
        <v>961</v>
      </c>
      <c r="N294" t="s">
        <v>961</v>
      </c>
      <c r="O294" t="s">
        <v>961</v>
      </c>
      <c r="P294" t="s">
        <v>961</v>
      </c>
      <c r="Q294" t="s">
        <v>2593</v>
      </c>
      <c r="R294" t="s">
        <v>2593</v>
      </c>
      <c r="S294" t="s">
        <v>2593</v>
      </c>
      <c r="T294" t="s">
        <v>2593</v>
      </c>
    </row>
    <row r="295" spans="1:20" x14ac:dyDescent="0.25">
      <c r="A295">
        <f t="shared" si="9"/>
        <v>294</v>
      </c>
      <c r="B295" s="9" t="s">
        <v>1634</v>
      </c>
      <c r="C295" s="10">
        <v>44784</v>
      </c>
      <c r="D295" t="s">
        <v>1699</v>
      </c>
      <c r="E295" t="s">
        <v>1700</v>
      </c>
      <c r="F295" t="s">
        <v>1701</v>
      </c>
      <c r="G295" t="s">
        <v>168</v>
      </c>
      <c r="H295">
        <v>1</v>
      </c>
      <c r="I295" s="11">
        <v>2640</v>
      </c>
      <c r="J295" s="47">
        <f t="shared" si="8"/>
        <v>2640</v>
      </c>
      <c r="K295" t="s">
        <v>1702</v>
      </c>
      <c r="L295" t="s">
        <v>193</v>
      </c>
      <c r="M295" t="s">
        <v>961</v>
      </c>
      <c r="N295" t="s">
        <v>961</v>
      </c>
      <c r="O295" t="s">
        <v>961</v>
      </c>
      <c r="P295" t="s">
        <v>961</v>
      </c>
      <c r="Q295" t="s">
        <v>2593</v>
      </c>
      <c r="R295" t="s">
        <v>2593</v>
      </c>
      <c r="S295" t="s">
        <v>2593</v>
      </c>
      <c r="T295" t="s">
        <v>2593</v>
      </c>
    </row>
    <row r="296" spans="1:20" x14ac:dyDescent="0.25">
      <c r="A296" s="65">
        <f t="shared" si="9"/>
        <v>295</v>
      </c>
      <c r="B296" s="9" t="s">
        <v>1649</v>
      </c>
      <c r="C296" s="10">
        <v>44784</v>
      </c>
      <c r="D296" t="s">
        <v>987</v>
      </c>
      <c r="E296" t="s">
        <v>809</v>
      </c>
      <c r="F296" t="s">
        <v>1703</v>
      </c>
      <c r="G296" t="s">
        <v>281</v>
      </c>
      <c r="H296">
        <v>2</v>
      </c>
      <c r="I296" s="11">
        <v>4057.4</v>
      </c>
      <c r="J296" s="47">
        <f t="shared" si="8"/>
        <v>2028.7</v>
      </c>
      <c r="K296" t="s">
        <v>1704</v>
      </c>
      <c r="L296" t="s">
        <v>80</v>
      </c>
      <c r="M296" t="s">
        <v>961</v>
      </c>
      <c r="N296" t="s">
        <v>961</v>
      </c>
      <c r="O296" t="s">
        <v>961</v>
      </c>
      <c r="P296" t="s">
        <v>961</v>
      </c>
      <c r="Q296" t="s">
        <v>2593</v>
      </c>
      <c r="R296" t="s">
        <v>2593</v>
      </c>
      <c r="S296" t="s">
        <v>2593</v>
      </c>
      <c r="T296" t="s">
        <v>2593</v>
      </c>
    </row>
    <row r="297" spans="1:20" x14ac:dyDescent="0.25">
      <c r="A297" s="65">
        <f t="shared" si="9"/>
        <v>296</v>
      </c>
      <c r="B297" s="9" t="s">
        <v>1650</v>
      </c>
      <c r="C297" s="10">
        <v>44767</v>
      </c>
      <c r="D297" t="s">
        <v>1705</v>
      </c>
      <c r="E297" t="s">
        <v>1706</v>
      </c>
      <c r="F297" t="s">
        <v>1707</v>
      </c>
      <c r="G297" t="s">
        <v>281</v>
      </c>
      <c r="H297">
        <v>1</v>
      </c>
      <c r="I297" s="11">
        <v>3143</v>
      </c>
      <c r="J297" s="47">
        <f t="shared" si="8"/>
        <v>3143</v>
      </c>
      <c r="K297" t="s">
        <v>1708</v>
      </c>
      <c r="L297" t="s">
        <v>329</v>
      </c>
      <c r="M297" t="s">
        <v>961</v>
      </c>
      <c r="N297" t="s">
        <v>961</v>
      </c>
      <c r="O297" t="s">
        <v>961</v>
      </c>
      <c r="P297" t="s">
        <v>961</v>
      </c>
      <c r="Q297" t="s">
        <v>2593</v>
      </c>
      <c r="R297" t="s">
        <v>2593</v>
      </c>
      <c r="S297" t="s">
        <v>2593</v>
      </c>
      <c r="T297" t="s">
        <v>2593</v>
      </c>
    </row>
    <row r="298" spans="1:20" x14ac:dyDescent="0.25">
      <c r="A298">
        <f t="shared" si="9"/>
        <v>297</v>
      </c>
      <c r="B298" s="9" t="s">
        <v>1651</v>
      </c>
      <c r="C298" s="10">
        <v>44785</v>
      </c>
      <c r="D298" t="s">
        <v>1709</v>
      </c>
      <c r="E298" t="s">
        <v>1710</v>
      </c>
      <c r="F298" t="s">
        <v>1711</v>
      </c>
      <c r="G298" t="s">
        <v>168</v>
      </c>
      <c r="H298">
        <v>1</v>
      </c>
      <c r="I298" s="11">
        <v>900</v>
      </c>
      <c r="J298" s="47">
        <f t="shared" si="8"/>
        <v>900</v>
      </c>
      <c r="K298" t="s">
        <v>1712</v>
      </c>
      <c r="L298" t="s">
        <v>1720</v>
      </c>
      <c r="M298" t="s">
        <v>961</v>
      </c>
      <c r="N298" t="s">
        <v>961</v>
      </c>
      <c r="O298" t="s">
        <v>961</v>
      </c>
      <c r="P298" t="s">
        <v>961</v>
      </c>
      <c r="Q298" t="s">
        <v>2593</v>
      </c>
      <c r="R298" t="s">
        <v>2593</v>
      </c>
      <c r="S298" t="s">
        <v>2593</v>
      </c>
      <c r="T298" t="s">
        <v>2593</v>
      </c>
    </row>
    <row r="299" spans="1:20" x14ac:dyDescent="0.25">
      <c r="A299" s="65">
        <f t="shared" si="9"/>
        <v>298</v>
      </c>
      <c r="B299" s="102" t="s">
        <v>1680</v>
      </c>
      <c r="C299" s="10">
        <v>44783</v>
      </c>
      <c r="D299" t="s">
        <v>1714</v>
      </c>
      <c r="F299" t="s">
        <v>1715</v>
      </c>
      <c r="G299" t="s">
        <v>291</v>
      </c>
      <c r="H299">
        <v>1</v>
      </c>
      <c r="I299" s="11">
        <v>4977.05</v>
      </c>
      <c r="J299" s="47">
        <f t="shared" si="8"/>
        <v>4977.05</v>
      </c>
      <c r="K299" t="s">
        <v>1716</v>
      </c>
      <c r="L299" t="s">
        <v>80</v>
      </c>
      <c r="M299" t="s">
        <v>961</v>
      </c>
      <c r="N299" t="s">
        <v>961</v>
      </c>
      <c r="O299" t="s">
        <v>961</v>
      </c>
      <c r="P299" t="s">
        <v>961</v>
      </c>
      <c r="Q299" t="s">
        <v>2593</v>
      </c>
      <c r="R299" t="s">
        <v>2593</v>
      </c>
      <c r="S299" t="s">
        <v>2593</v>
      </c>
      <c r="T299" t="s">
        <v>2593</v>
      </c>
    </row>
    <row r="300" spans="1:20" x14ac:dyDescent="0.25">
      <c r="A300">
        <f t="shared" si="9"/>
        <v>299</v>
      </c>
      <c r="B300" s="9" t="s">
        <v>1681</v>
      </c>
      <c r="C300" s="10">
        <v>44786</v>
      </c>
      <c r="D300" t="s">
        <v>1717</v>
      </c>
      <c r="E300" t="s">
        <v>1718</v>
      </c>
      <c r="F300" t="s">
        <v>1719</v>
      </c>
      <c r="G300" t="s">
        <v>168</v>
      </c>
      <c r="H300">
        <v>1</v>
      </c>
      <c r="I300" s="11">
        <v>888</v>
      </c>
      <c r="J300" s="47">
        <f t="shared" si="8"/>
        <v>888</v>
      </c>
      <c r="K300" t="s">
        <v>404</v>
      </c>
      <c r="L300" t="s">
        <v>786</v>
      </c>
      <c r="M300" t="s">
        <v>961</v>
      </c>
      <c r="N300" t="s">
        <v>961</v>
      </c>
      <c r="O300" t="s">
        <v>961</v>
      </c>
      <c r="P300" t="s">
        <v>961</v>
      </c>
      <c r="Q300" t="s">
        <v>2593</v>
      </c>
      <c r="R300" t="s">
        <v>2593</v>
      </c>
      <c r="S300" t="s">
        <v>2593</v>
      </c>
      <c r="T300" t="s">
        <v>2593</v>
      </c>
    </row>
    <row r="301" spans="1:20" x14ac:dyDescent="0.25">
      <c r="A301" s="78">
        <f t="shared" si="9"/>
        <v>300</v>
      </c>
      <c r="B301" s="102" t="s">
        <v>1686</v>
      </c>
      <c r="C301" s="10">
        <v>44788</v>
      </c>
      <c r="D301" t="s">
        <v>1302</v>
      </c>
      <c r="G301" t="s">
        <v>281</v>
      </c>
      <c r="H301">
        <v>1</v>
      </c>
      <c r="I301" s="11">
        <v>25761.96</v>
      </c>
      <c r="J301" s="47">
        <f t="shared" si="8"/>
        <v>25761.96</v>
      </c>
      <c r="K301" t="s">
        <v>1368</v>
      </c>
      <c r="L301" t="s">
        <v>80</v>
      </c>
      <c r="M301" t="s">
        <v>961</v>
      </c>
      <c r="N301" t="s">
        <v>961</v>
      </c>
      <c r="O301" t="s">
        <v>961</v>
      </c>
      <c r="P301" t="s">
        <v>961</v>
      </c>
      <c r="Q301" t="s">
        <v>2593</v>
      </c>
      <c r="R301" t="s">
        <v>2593</v>
      </c>
      <c r="S301" t="s">
        <v>2593</v>
      </c>
      <c r="T301" t="s">
        <v>2593</v>
      </c>
    </row>
    <row r="302" spans="1:20" x14ac:dyDescent="0.25">
      <c r="A302" s="65">
        <f t="shared" si="9"/>
        <v>301</v>
      </c>
      <c r="B302" s="9" t="s">
        <v>1687</v>
      </c>
      <c r="C302" s="10">
        <v>44788</v>
      </c>
      <c r="D302" t="s">
        <v>1721</v>
      </c>
      <c r="E302" t="s">
        <v>1722</v>
      </c>
      <c r="F302" t="s">
        <v>1723</v>
      </c>
      <c r="G302" t="s">
        <v>281</v>
      </c>
      <c r="H302">
        <v>1</v>
      </c>
      <c r="I302" s="11">
        <v>1493.93</v>
      </c>
      <c r="J302" s="47">
        <f t="shared" si="8"/>
        <v>1493.93</v>
      </c>
      <c r="K302" t="s">
        <v>1724</v>
      </c>
      <c r="L302" t="s">
        <v>80</v>
      </c>
      <c r="M302" t="s">
        <v>961</v>
      </c>
      <c r="N302" t="s">
        <v>961</v>
      </c>
      <c r="O302" t="s">
        <v>961</v>
      </c>
      <c r="P302" t="s">
        <v>961</v>
      </c>
      <c r="Q302" t="s">
        <v>2593</v>
      </c>
      <c r="R302" t="s">
        <v>2593</v>
      </c>
      <c r="S302" t="s">
        <v>2593</v>
      </c>
      <c r="T302" t="s">
        <v>2593</v>
      </c>
    </row>
    <row r="303" spans="1:20" x14ac:dyDescent="0.25">
      <c r="A303" s="65">
        <f t="shared" si="9"/>
        <v>302</v>
      </c>
      <c r="B303" s="9" t="s">
        <v>1688</v>
      </c>
      <c r="C303" s="10">
        <v>44781</v>
      </c>
      <c r="D303" t="s">
        <v>1721</v>
      </c>
      <c r="E303" t="s">
        <v>1722</v>
      </c>
      <c r="F303" t="s">
        <v>1723</v>
      </c>
      <c r="G303" t="s">
        <v>291</v>
      </c>
      <c r="H303">
        <v>1</v>
      </c>
      <c r="I303" s="11">
        <v>2400</v>
      </c>
      <c r="J303" s="47">
        <f t="shared" si="8"/>
        <v>2400</v>
      </c>
      <c r="K303" t="s">
        <v>1725</v>
      </c>
      <c r="L303" t="s">
        <v>80</v>
      </c>
      <c r="M303" t="s">
        <v>961</v>
      </c>
      <c r="N303" t="s">
        <v>961</v>
      </c>
      <c r="O303" t="s">
        <v>961</v>
      </c>
      <c r="P303" t="s">
        <v>961</v>
      </c>
      <c r="Q303" t="s">
        <v>2593</v>
      </c>
      <c r="R303" t="s">
        <v>2593</v>
      </c>
      <c r="S303" t="s">
        <v>2593</v>
      </c>
      <c r="T303" t="s">
        <v>2593</v>
      </c>
    </row>
    <row r="304" spans="1:20" x14ac:dyDescent="0.25">
      <c r="A304" s="65">
        <f t="shared" si="9"/>
        <v>303</v>
      </c>
      <c r="B304" s="9" t="s">
        <v>1728</v>
      </c>
      <c r="C304" s="10">
        <v>44770</v>
      </c>
      <c r="D304" t="s">
        <v>1741</v>
      </c>
      <c r="E304" t="s">
        <v>1742</v>
      </c>
      <c r="F304" t="s">
        <v>1743</v>
      </c>
      <c r="G304" t="s">
        <v>281</v>
      </c>
      <c r="H304">
        <v>1</v>
      </c>
      <c r="I304" s="11">
        <v>3581.1</v>
      </c>
      <c r="J304" s="47">
        <f t="shared" si="8"/>
        <v>3581.1</v>
      </c>
      <c r="K304" t="s">
        <v>1744</v>
      </c>
      <c r="L304" t="s">
        <v>329</v>
      </c>
      <c r="M304" t="s">
        <v>961</v>
      </c>
      <c r="N304" t="s">
        <v>961</v>
      </c>
      <c r="O304" t="s">
        <v>961</v>
      </c>
      <c r="P304" t="s">
        <v>961</v>
      </c>
      <c r="Q304" t="s">
        <v>2593</v>
      </c>
      <c r="R304" t="s">
        <v>2593</v>
      </c>
      <c r="S304" t="s">
        <v>2593</v>
      </c>
      <c r="T304" t="s">
        <v>2593</v>
      </c>
    </row>
    <row r="305" spans="1:20" x14ac:dyDescent="0.25">
      <c r="A305">
        <f t="shared" si="9"/>
        <v>304</v>
      </c>
      <c r="B305" s="9" t="s">
        <v>1729</v>
      </c>
      <c r="C305" s="10">
        <v>44796</v>
      </c>
      <c r="D305" t="s">
        <v>1745</v>
      </c>
      <c r="E305" t="s">
        <v>1746</v>
      </c>
      <c r="F305" t="s">
        <v>1747</v>
      </c>
      <c r="G305" t="s">
        <v>1748</v>
      </c>
      <c r="H305">
        <v>1</v>
      </c>
      <c r="I305" s="11">
        <v>2372</v>
      </c>
      <c r="J305" s="47">
        <f t="shared" si="8"/>
        <v>2372</v>
      </c>
      <c r="K305" t="s">
        <v>1749</v>
      </c>
      <c r="L305" t="s">
        <v>1753</v>
      </c>
      <c r="M305" t="s">
        <v>961</v>
      </c>
      <c r="N305" t="s">
        <v>961</v>
      </c>
      <c r="O305" t="s">
        <v>961</v>
      </c>
      <c r="P305" t="s">
        <v>961</v>
      </c>
      <c r="Q305" t="s">
        <v>2593</v>
      </c>
      <c r="R305" t="s">
        <v>2593</v>
      </c>
      <c r="S305" t="s">
        <v>2593</v>
      </c>
      <c r="T305" t="s">
        <v>2593</v>
      </c>
    </row>
    <row r="306" spans="1:20" x14ac:dyDescent="0.25">
      <c r="A306">
        <f t="shared" si="9"/>
        <v>305</v>
      </c>
      <c r="B306" s="9" t="s">
        <v>1730</v>
      </c>
      <c r="C306" s="10">
        <v>44796</v>
      </c>
      <c r="D306" t="s">
        <v>1750</v>
      </c>
      <c r="E306" t="s">
        <v>1751</v>
      </c>
      <c r="F306" t="s">
        <v>1752</v>
      </c>
      <c r="G306" t="s">
        <v>291</v>
      </c>
      <c r="H306">
        <v>1</v>
      </c>
      <c r="I306" s="11">
        <v>1950</v>
      </c>
      <c r="J306" s="47">
        <f t="shared" si="8"/>
        <v>1950</v>
      </c>
      <c r="K306" t="s">
        <v>1922</v>
      </c>
      <c r="L306" t="s">
        <v>192</v>
      </c>
      <c r="M306" t="s">
        <v>961</v>
      </c>
      <c r="N306" t="s">
        <v>961</v>
      </c>
      <c r="O306" t="s">
        <v>961</v>
      </c>
      <c r="P306" t="s">
        <v>961</v>
      </c>
      <c r="Q306" t="s">
        <v>2593</v>
      </c>
      <c r="R306" t="s">
        <v>2593</v>
      </c>
      <c r="S306" t="s">
        <v>2593</v>
      </c>
      <c r="T306" t="s">
        <v>2593</v>
      </c>
    </row>
    <row r="307" spans="1:20" x14ac:dyDescent="0.25">
      <c r="A307" s="78">
        <f t="shared" si="9"/>
        <v>306</v>
      </c>
      <c r="B307" s="102" t="s">
        <v>1731</v>
      </c>
      <c r="C307" s="10">
        <v>44796</v>
      </c>
      <c r="D307" t="s">
        <v>1075</v>
      </c>
      <c r="F307" t="s">
        <v>1754</v>
      </c>
      <c r="G307" t="s">
        <v>281</v>
      </c>
      <c r="H307">
        <v>1</v>
      </c>
      <c r="I307" s="11">
        <v>5414.05</v>
      </c>
      <c r="J307" s="47">
        <f t="shared" si="8"/>
        <v>5414.05</v>
      </c>
      <c r="K307" t="s">
        <v>1755</v>
      </c>
      <c r="L307" t="s">
        <v>80</v>
      </c>
      <c r="M307" t="s">
        <v>961</v>
      </c>
      <c r="N307" t="s">
        <v>961</v>
      </c>
      <c r="O307" t="s">
        <v>961</v>
      </c>
      <c r="P307" t="s">
        <v>961</v>
      </c>
      <c r="Q307" t="s">
        <v>2593</v>
      </c>
      <c r="R307" t="s">
        <v>2593</v>
      </c>
      <c r="S307" t="s">
        <v>2593</v>
      </c>
      <c r="T307" t="s">
        <v>2593</v>
      </c>
    </row>
    <row r="308" spans="1:20" x14ac:dyDescent="0.25">
      <c r="A308" s="65">
        <f t="shared" si="9"/>
        <v>307</v>
      </c>
      <c r="B308" s="9" t="s">
        <v>1732</v>
      </c>
      <c r="C308" s="10">
        <v>44797</v>
      </c>
      <c r="D308" t="s">
        <v>1098</v>
      </c>
      <c r="E308" t="s">
        <v>1099</v>
      </c>
      <c r="F308" t="s">
        <v>1100</v>
      </c>
      <c r="G308" t="s">
        <v>281</v>
      </c>
      <c r="H308">
        <v>1</v>
      </c>
      <c r="I308" s="11">
        <v>1254</v>
      </c>
      <c r="J308" s="47">
        <f t="shared" si="8"/>
        <v>1254</v>
      </c>
      <c r="K308" t="s">
        <v>1757</v>
      </c>
      <c r="L308" t="s">
        <v>80</v>
      </c>
      <c r="M308" t="s">
        <v>961</v>
      </c>
      <c r="N308" t="s">
        <v>961</v>
      </c>
      <c r="O308" t="s">
        <v>961</v>
      </c>
      <c r="P308" t="s">
        <v>961</v>
      </c>
      <c r="Q308" t="s">
        <v>2593</v>
      </c>
      <c r="R308" t="s">
        <v>2593</v>
      </c>
      <c r="S308" t="s">
        <v>2593</v>
      </c>
      <c r="T308" t="s">
        <v>2593</v>
      </c>
    </row>
    <row r="309" spans="1:20" x14ac:dyDescent="0.25">
      <c r="A309" s="65">
        <f t="shared" si="9"/>
        <v>308</v>
      </c>
      <c r="B309" s="9" t="s">
        <v>1733</v>
      </c>
      <c r="C309" s="10">
        <v>44797</v>
      </c>
      <c r="D309" t="s">
        <v>1758</v>
      </c>
      <c r="E309" t="s">
        <v>1759</v>
      </c>
      <c r="F309" t="s">
        <v>1760</v>
      </c>
      <c r="G309" t="s">
        <v>168</v>
      </c>
      <c r="H309">
        <v>1</v>
      </c>
      <c r="I309" s="11">
        <v>4008</v>
      </c>
      <c r="J309" s="47">
        <f t="shared" si="8"/>
        <v>4008</v>
      </c>
      <c r="K309" t="s">
        <v>1761</v>
      </c>
      <c r="L309" t="s">
        <v>301</v>
      </c>
      <c r="M309" t="s">
        <v>961</v>
      </c>
      <c r="N309" t="s">
        <v>961</v>
      </c>
      <c r="O309" t="s">
        <v>961</v>
      </c>
      <c r="P309" t="s">
        <v>961</v>
      </c>
      <c r="Q309" t="s">
        <v>2593</v>
      </c>
      <c r="R309" t="s">
        <v>2593</v>
      </c>
      <c r="S309" t="s">
        <v>2593</v>
      </c>
      <c r="T309" t="s">
        <v>2593</v>
      </c>
    </row>
    <row r="310" spans="1:20" x14ac:dyDescent="0.25">
      <c r="A310" s="78">
        <f t="shared" si="9"/>
        <v>309</v>
      </c>
      <c r="B310" s="102" t="s">
        <v>1734</v>
      </c>
      <c r="C310" s="10">
        <v>44797</v>
      </c>
      <c r="D310" t="s">
        <v>1075</v>
      </c>
      <c r="F310" t="s">
        <v>1762</v>
      </c>
      <c r="G310" t="s">
        <v>281</v>
      </c>
      <c r="H310">
        <v>1</v>
      </c>
      <c r="I310" s="11">
        <v>3478.9</v>
      </c>
      <c r="J310" s="47">
        <f t="shared" si="8"/>
        <v>3478.9</v>
      </c>
      <c r="K310" t="s">
        <v>1763</v>
      </c>
      <c r="L310" t="s">
        <v>80</v>
      </c>
      <c r="M310" t="s">
        <v>961</v>
      </c>
      <c r="N310" t="s">
        <v>961</v>
      </c>
      <c r="O310" t="s">
        <v>961</v>
      </c>
      <c r="P310" t="s">
        <v>961</v>
      </c>
      <c r="Q310" t="s">
        <v>2593</v>
      </c>
      <c r="R310" t="s">
        <v>2593</v>
      </c>
      <c r="S310" t="s">
        <v>2593</v>
      </c>
      <c r="T310" t="s">
        <v>2593</v>
      </c>
    </row>
    <row r="311" spans="1:20" x14ac:dyDescent="0.25">
      <c r="A311">
        <f t="shared" si="9"/>
        <v>310</v>
      </c>
      <c r="B311" s="9" t="s">
        <v>1735</v>
      </c>
      <c r="C311" s="10">
        <v>44798</v>
      </c>
      <c r="D311" t="s">
        <v>1764</v>
      </c>
      <c r="E311" t="s">
        <v>1765</v>
      </c>
      <c r="F311" t="s">
        <v>1766</v>
      </c>
      <c r="G311" t="s">
        <v>168</v>
      </c>
      <c r="H311">
        <v>1</v>
      </c>
      <c r="I311" s="11">
        <v>876</v>
      </c>
      <c r="J311" s="47">
        <f t="shared" si="8"/>
        <v>876</v>
      </c>
      <c r="K311" t="s">
        <v>1590</v>
      </c>
      <c r="L311" t="s">
        <v>1770</v>
      </c>
      <c r="M311" t="s">
        <v>961</v>
      </c>
      <c r="N311" t="s">
        <v>961</v>
      </c>
      <c r="O311" t="s">
        <v>961</v>
      </c>
      <c r="P311" t="s">
        <v>961</v>
      </c>
      <c r="Q311" t="s">
        <v>2593</v>
      </c>
      <c r="R311" t="s">
        <v>2593</v>
      </c>
      <c r="S311" t="s">
        <v>2593</v>
      </c>
      <c r="T311" t="s">
        <v>2593</v>
      </c>
    </row>
    <row r="312" spans="1:20" x14ac:dyDescent="0.25">
      <c r="A312" s="65">
        <f t="shared" si="9"/>
        <v>311</v>
      </c>
      <c r="B312" s="102" t="s">
        <v>1736</v>
      </c>
      <c r="C312" s="10">
        <v>44798</v>
      </c>
      <c r="D312" t="s">
        <v>1767</v>
      </c>
      <c r="E312" t="s">
        <v>1768</v>
      </c>
      <c r="F312" t="s">
        <v>1769</v>
      </c>
      <c r="G312" t="s">
        <v>281</v>
      </c>
      <c r="H312">
        <v>1</v>
      </c>
      <c r="I312" s="11">
        <v>1500</v>
      </c>
      <c r="J312" s="47">
        <f t="shared" si="8"/>
        <v>1500</v>
      </c>
      <c r="K312" t="s">
        <v>836</v>
      </c>
      <c r="L312" t="s">
        <v>80</v>
      </c>
      <c r="M312" t="s">
        <v>961</v>
      </c>
      <c r="N312" t="s">
        <v>961</v>
      </c>
      <c r="O312" t="s">
        <v>961</v>
      </c>
      <c r="P312" t="s">
        <v>961</v>
      </c>
      <c r="Q312" t="s">
        <v>2593</v>
      </c>
      <c r="R312" t="s">
        <v>2593</v>
      </c>
      <c r="S312" t="s">
        <v>2593</v>
      </c>
      <c r="T312" t="s">
        <v>2593</v>
      </c>
    </row>
    <row r="313" spans="1:20" x14ac:dyDescent="0.25">
      <c r="A313">
        <f t="shared" si="9"/>
        <v>312</v>
      </c>
      <c r="B313" s="9" t="s">
        <v>1737</v>
      </c>
      <c r="C313" s="10">
        <v>44777</v>
      </c>
      <c r="D313" t="s">
        <v>1773</v>
      </c>
      <c r="E313" t="s">
        <v>1774</v>
      </c>
      <c r="F313" t="s">
        <v>1775</v>
      </c>
      <c r="G313" t="s">
        <v>168</v>
      </c>
      <c r="H313">
        <v>1</v>
      </c>
      <c r="I313" s="11">
        <v>1715.04</v>
      </c>
      <c r="J313" s="47">
        <f t="shared" si="8"/>
        <v>1715.04</v>
      </c>
      <c r="K313" t="s">
        <v>1776</v>
      </c>
      <c r="L313" t="s">
        <v>192</v>
      </c>
      <c r="M313" t="s">
        <v>961</v>
      </c>
      <c r="N313" t="s">
        <v>961</v>
      </c>
      <c r="O313" t="s">
        <v>961</v>
      </c>
      <c r="P313" t="s">
        <v>961</v>
      </c>
      <c r="Q313" t="s">
        <v>2593</v>
      </c>
      <c r="R313" t="s">
        <v>2593</v>
      </c>
      <c r="S313" t="s">
        <v>2593</v>
      </c>
      <c r="T313" t="s">
        <v>2593</v>
      </c>
    </row>
    <row r="314" spans="1:20" x14ac:dyDescent="0.25">
      <c r="A314">
        <f t="shared" si="9"/>
        <v>313</v>
      </c>
      <c r="B314" s="102" t="s">
        <v>1738</v>
      </c>
      <c r="C314" s="10">
        <v>44785</v>
      </c>
      <c r="D314" t="s">
        <v>1801</v>
      </c>
      <c r="E314" t="s">
        <v>1802</v>
      </c>
      <c r="F314" t="s">
        <v>1803</v>
      </c>
      <c r="G314" t="s">
        <v>291</v>
      </c>
      <c r="H314">
        <v>1</v>
      </c>
      <c r="I314" s="11">
        <v>921.85</v>
      </c>
      <c r="J314" s="47">
        <f t="shared" si="8"/>
        <v>921.85</v>
      </c>
      <c r="K314" t="s">
        <v>594</v>
      </c>
      <c r="L314" t="s">
        <v>1804</v>
      </c>
      <c r="M314" t="s">
        <v>961</v>
      </c>
      <c r="N314" t="s">
        <v>961</v>
      </c>
      <c r="O314" t="s">
        <v>961</v>
      </c>
      <c r="P314" t="s">
        <v>961</v>
      </c>
      <c r="Q314" t="s">
        <v>2593</v>
      </c>
      <c r="R314" t="s">
        <v>2593</v>
      </c>
      <c r="S314" t="s">
        <v>2593</v>
      </c>
      <c r="T314" t="s">
        <v>2593</v>
      </c>
    </row>
    <row r="315" spans="1:20" x14ac:dyDescent="0.25">
      <c r="A315" s="65">
        <f t="shared" si="9"/>
        <v>314</v>
      </c>
      <c r="B315" s="9" t="s">
        <v>1739</v>
      </c>
      <c r="C315" s="10">
        <v>44799</v>
      </c>
      <c r="D315" t="s">
        <v>1805</v>
      </c>
      <c r="E315" t="s">
        <v>1806</v>
      </c>
      <c r="F315" t="s">
        <v>1807</v>
      </c>
      <c r="G315" t="s">
        <v>281</v>
      </c>
      <c r="H315">
        <v>1</v>
      </c>
      <c r="I315" s="11">
        <v>824</v>
      </c>
      <c r="J315" s="47">
        <f t="shared" si="8"/>
        <v>824</v>
      </c>
      <c r="K315" t="s">
        <v>1365</v>
      </c>
      <c r="L315" t="s">
        <v>80</v>
      </c>
      <c r="M315" t="s">
        <v>961</v>
      </c>
      <c r="N315" t="s">
        <v>961</v>
      </c>
      <c r="O315" t="s">
        <v>961</v>
      </c>
      <c r="P315" t="s">
        <v>961</v>
      </c>
      <c r="Q315" t="s">
        <v>2593</v>
      </c>
      <c r="R315" t="s">
        <v>2593</v>
      </c>
      <c r="S315" t="s">
        <v>2593</v>
      </c>
      <c r="T315" t="s">
        <v>2593</v>
      </c>
    </row>
    <row r="316" spans="1:20" x14ac:dyDescent="0.25">
      <c r="A316" s="65">
        <f t="shared" si="9"/>
        <v>315</v>
      </c>
      <c r="B316" s="9" t="s">
        <v>1740</v>
      </c>
      <c r="C316" s="10">
        <v>44800</v>
      </c>
      <c r="D316" t="s">
        <v>485</v>
      </c>
      <c r="E316" t="s">
        <v>486</v>
      </c>
      <c r="F316" t="s">
        <v>487</v>
      </c>
      <c r="G316" t="s">
        <v>281</v>
      </c>
      <c r="H316">
        <v>1</v>
      </c>
      <c r="I316" s="11">
        <v>950</v>
      </c>
      <c r="J316" s="47">
        <f t="shared" si="8"/>
        <v>950</v>
      </c>
      <c r="K316" t="s">
        <v>1808</v>
      </c>
      <c r="L316" t="s">
        <v>80</v>
      </c>
      <c r="M316" t="s">
        <v>961</v>
      </c>
      <c r="N316" t="s">
        <v>961</v>
      </c>
      <c r="O316" t="s">
        <v>961</v>
      </c>
      <c r="P316" t="s">
        <v>961</v>
      </c>
      <c r="Q316" t="s">
        <v>2593</v>
      </c>
      <c r="R316" t="s">
        <v>2593</v>
      </c>
      <c r="S316" t="s">
        <v>2593</v>
      </c>
      <c r="T316" t="s">
        <v>2593</v>
      </c>
    </row>
    <row r="317" spans="1:20" x14ac:dyDescent="0.25">
      <c r="A317" s="65">
        <f t="shared" si="9"/>
        <v>316</v>
      </c>
      <c r="B317" s="9" t="s">
        <v>1777</v>
      </c>
      <c r="C317" s="10">
        <v>44784</v>
      </c>
      <c r="D317" t="s">
        <v>987</v>
      </c>
      <c r="E317" t="s">
        <v>809</v>
      </c>
      <c r="F317" t="s">
        <v>1703</v>
      </c>
      <c r="G317" t="s">
        <v>281</v>
      </c>
      <c r="H317">
        <v>1</v>
      </c>
      <c r="I317" s="11">
        <v>326</v>
      </c>
      <c r="J317" s="47">
        <f t="shared" si="8"/>
        <v>326</v>
      </c>
      <c r="K317" t="s">
        <v>1809</v>
      </c>
      <c r="L317" t="s">
        <v>80</v>
      </c>
      <c r="M317" t="s">
        <v>961</v>
      </c>
      <c r="N317" t="s">
        <v>961</v>
      </c>
      <c r="O317" t="s">
        <v>961</v>
      </c>
      <c r="P317" t="s">
        <v>961</v>
      </c>
      <c r="Q317" t="s">
        <v>2593</v>
      </c>
      <c r="R317" t="s">
        <v>2593</v>
      </c>
      <c r="S317" t="s">
        <v>2593</v>
      </c>
      <c r="T317" t="s">
        <v>2593</v>
      </c>
    </row>
    <row r="318" spans="1:20" x14ac:dyDescent="0.25">
      <c r="A318" s="65">
        <f t="shared" si="9"/>
        <v>317</v>
      </c>
      <c r="B318" s="9" t="s">
        <v>1778</v>
      </c>
      <c r="C318" s="10">
        <v>44789</v>
      </c>
      <c r="D318" t="s">
        <v>435</v>
      </c>
      <c r="E318" t="s">
        <v>436</v>
      </c>
      <c r="F318" t="s">
        <v>437</v>
      </c>
      <c r="G318" t="s">
        <v>281</v>
      </c>
      <c r="H318">
        <v>1</v>
      </c>
      <c r="I318" s="11">
        <v>2163.7199999999998</v>
      </c>
      <c r="J318" s="47">
        <f t="shared" si="8"/>
        <v>2163.7199999999998</v>
      </c>
      <c r="K318" t="s">
        <v>1810</v>
      </c>
      <c r="L318" t="s">
        <v>80</v>
      </c>
      <c r="M318" t="s">
        <v>961</v>
      </c>
      <c r="N318" t="s">
        <v>961</v>
      </c>
      <c r="O318" t="s">
        <v>961</v>
      </c>
      <c r="P318" t="s">
        <v>961</v>
      </c>
      <c r="Q318" t="s">
        <v>2593</v>
      </c>
      <c r="R318" t="s">
        <v>2593</v>
      </c>
      <c r="S318" t="s">
        <v>2593</v>
      </c>
      <c r="T318" t="s">
        <v>2593</v>
      </c>
    </row>
    <row r="319" spans="1:20" x14ac:dyDescent="0.25">
      <c r="A319">
        <f t="shared" si="9"/>
        <v>318</v>
      </c>
      <c r="B319" s="9" t="s">
        <v>1779</v>
      </c>
      <c r="C319" s="10">
        <v>44802</v>
      </c>
      <c r="D319" t="s">
        <v>1811</v>
      </c>
      <c r="E319" t="s">
        <v>1812</v>
      </c>
      <c r="F319" t="s">
        <v>1813</v>
      </c>
      <c r="G319" t="s">
        <v>168</v>
      </c>
      <c r="H319">
        <v>1</v>
      </c>
      <c r="I319" s="11">
        <v>2611.5</v>
      </c>
      <c r="J319" s="47">
        <f t="shared" si="8"/>
        <v>2611.5</v>
      </c>
      <c r="K319" t="s">
        <v>1814</v>
      </c>
      <c r="L319" t="s">
        <v>192</v>
      </c>
      <c r="M319" t="s">
        <v>961</v>
      </c>
      <c r="N319" t="s">
        <v>961</v>
      </c>
      <c r="O319" t="s">
        <v>961</v>
      </c>
      <c r="P319" t="s">
        <v>961</v>
      </c>
      <c r="Q319" t="s">
        <v>2593</v>
      </c>
      <c r="R319" t="s">
        <v>2593</v>
      </c>
      <c r="S319" t="s">
        <v>2593</v>
      </c>
      <c r="T319" t="s">
        <v>2593</v>
      </c>
    </row>
    <row r="320" spans="1:20" x14ac:dyDescent="0.25">
      <c r="A320">
        <f t="shared" si="9"/>
        <v>319</v>
      </c>
      <c r="B320" s="9" t="s">
        <v>1780</v>
      </c>
      <c r="C320" s="10">
        <v>44803</v>
      </c>
      <c r="D320" t="s">
        <v>1815</v>
      </c>
      <c r="E320" t="s">
        <v>1816</v>
      </c>
      <c r="F320" t="s">
        <v>1817</v>
      </c>
      <c r="G320" t="s">
        <v>1818</v>
      </c>
      <c r="H320">
        <v>1</v>
      </c>
      <c r="I320" s="11">
        <v>4227</v>
      </c>
      <c r="J320" s="47">
        <f t="shared" si="8"/>
        <v>4227</v>
      </c>
      <c r="K320" t="s">
        <v>1819</v>
      </c>
      <c r="L320" t="s">
        <v>1029</v>
      </c>
      <c r="M320" t="s">
        <v>961</v>
      </c>
      <c r="N320" t="s">
        <v>961</v>
      </c>
      <c r="O320" t="s">
        <v>961</v>
      </c>
      <c r="P320" t="s">
        <v>961</v>
      </c>
      <c r="Q320" t="s">
        <v>2593</v>
      </c>
      <c r="R320" t="s">
        <v>2593</v>
      </c>
      <c r="S320" t="s">
        <v>2593</v>
      </c>
      <c r="T320" t="s">
        <v>2593</v>
      </c>
    </row>
    <row r="321" spans="1:20" x14ac:dyDescent="0.25">
      <c r="A321">
        <f t="shared" si="9"/>
        <v>320</v>
      </c>
      <c r="B321" s="9" t="s">
        <v>1781</v>
      </c>
      <c r="C321" s="10">
        <v>44776</v>
      </c>
      <c r="D321" t="s">
        <v>1820</v>
      </c>
      <c r="E321" t="s">
        <v>1821</v>
      </c>
      <c r="F321" t="s">
        <v>1822</v>
      </c>
      <c r="G321" t="s">
        <v>291</v>
      </c>
      <c r="H321">
        <v>1</v>
      </c>
      <c r="I321" s="11">
        <v>1629</v>
      </c>
      <c r="J321" s="47">
        <f t="shared" si="8"/>
        <v>1629</v>
      </c>
      <c r="K321" t="s">
        <v>1823</v>
      </c>
      <c r="L321" t="s">
        <v>192</v>
      </c>
      <c r="M321" t="s">
        <v>961</v>
      </c>
      <c r="N321" t="s">
        <v>961</v>
      </c>
      <c r="O321" t="s">
        <v>961</v>
      </c>
      <c r="P321" t="s">
        <v>961</v>
      </c>
      <c r="Q321" t="s">
        <v>2593</v>
      </c>
      <c r="R321" t="s">
        <v>2593</v>
      </c>
      <c r="S321" t="s">
        <v>2593</v>
      </c>
      <c r="T321" t="s">
        <v>2593</v>
      </c>
    </row>
    <row r="322" spans="1:20" x14ac:dyDescent="0.25">
      <c r="A322" s="79">
        <f t="shared" si="9"/>
        <v>321</v>
      </c>
      <c r="B322" s="9" t="s">
        <v>1782</v>
      </c>
      <c r="C322" s="10">
        <v>44796</v>
      </c>
      <c r="D322" t="s">
        <v>1824</v>
      </c>
      <c r="E322" t="s">
        <v>1825</v>
      </c>
      <c r="F322" t="s">
        <v>1826</v>
      </c>
      <c r="G322" t="s">
        <v>168</v>
      </c>
      <c r="H322">
        <v>1</v>
      </c>
      <c r="I322" s="11">
        <v>500</v>
      </c>
      <c r="J322" s="47">
        <f t="shared" si="8"/>
        <v>500</v>
      </c>
      <c r="K322" t="s">
        <v>1827</v>
      </c>
      <c r="L322" t="s">
        <v>1828</v>
      </c>
      <c r="M322" t="s">
        <v>961</v>
      </c>
      <c r="N322" t="s">
        <v>961</v>
      </c>
      <c r="O322" t="s">
        <v>961</v>
      </c>
      <c r="P322" t="s">
        <v>2593</v>
      </c>
      <c r="Q322" t="s">
        <v>2593</v>
      </c>
      <c r="R322" t="s">
        <v>2593</v>
      </c>
      <c r="S322" t="s">
        <v>2593</v>
      </c>
      <c r="T322" t="s">
        <v>2593</v>
      </c>
    </row>
    <row r="323" spans="1:20" x14ac:dyDescent="0.25">
      <c r="A323">
        <f t="shared" si="9"/>
        <v>322</v>
      </c>
      <c r="B323" s="9" t="s">
        <v>1771</v>
      </c>
      <c r="C323" s="10">
        <v>44805</v>
      </c>
      <c r="D323" t="s">
        <v>1829</v>
      </c>
      <c r="E323" t="s">
        <v>1830</v>
      </c>
      <c r="F323" t="s">
        <v>1831</v>
      </c>
      <c r="G323" t="s">
        <v>168</v>
      </c>
      <c r="H323">
        <v>1</v>
      </c>
      <c r="I323" s="11">
        <v>1086</v>
      </c>
      <c r="J323" s="47">
        <f t="shared" si="8"/>
        <v>1086</v>
      </c>
      <c r="K323" t="s">
        <v>1832</v>
      </c>
      <c r="L323" t="s">
        <v>1833</v>
      </c>
      <c r="M323" t="s">
        <v>961</v>
      </c>
      <c r="N323" t="s">
        <v>961</v>
      </c>
      <c r="O323" t="s">
        <v>961</v>
      </c>
      <c r="P323" t="s">
        <v>2593</v>
      </c>
      <c r="Q323" t="s">
        <v>2593</v>
      </c>
      <c r="R323" t="s">
        <v>2593</v>
      </c>
      <c r="S323" t="s">
        <v>2593</v>
      </c>
      <c r="T323" t="s">
        <v>961</v>
      </c>
    </row>
    <row r="324" spans="1:20" x14ac:dyDescent="0.25">
      <c r="A324" s="65">
        <f t="shared" ref="A324:A387" si="10">+A323+1</f>
        <v>323</v>
      </c>
      <c r="B324" s="9" t="s">
        <v>1783</v>
      </c>
      <c r="C324" s="10">
        <v>44798</v>
      </c>
      <c r="D324" t="s">
        <v>241</v>
      </c>
      <c r="E324" t="s">
        <v>242</v>
      </c>
      <c r="F324" t="s">
        <v>243</v>
      </c>
      <c r="G324" t="s">
        <v>281</v>
      </c>
      <c r="H324">
        <v>1</v>
      </c>
      <c r="I324" s="11">
        <v>1822.72</v>
      </c>
      <c r="J324" s="47">
        <f t="shared" ref="J324:J387" si="11">I324/H324</f>
        <v>1822.72</v>
      </c>
      <c r="K324" t="s">
        <v>1838</v>
      </c>
      <c r="L324" t="s">
        <v>80</v>
      </c>
      <c r="M324" t="s">
        <v>961</v>
      </c>
      <c r="N324" t="s">
        <v>961</v>
      </c>
      <c r="O324" t="s">
        <v>961</v>
      </c>
      <c r="P324" t="s">
        <v>2593</v>
      </c>
      <c r="Q324" t="s">
        <v>2593</v>
      </c>
      <c r="R324" t="s">
        <v>2593</v>
      </c>
      <c r="S324" t="s">
        <v>2593</v>
      </c>
      <c r="T324" t="s">
        <v>961</v>
      </c>
    </row>
    <row r="325" spans="1:20" x14ac:dyDescent="0.25">
      <c r="A325">
        <f t="shared" si="10"/>
        <v>324</v>
      </c>
      <c r="B325" s="9" t="s">
        <v>1784</v>
      </c>
      <c r="C325" s="10">
        <v>44806</v>
      </c>
      <c r="D325" t="s">
        <v>1834</v>
      </c>
      <c r="E325" t="s">
        <v>1835</v>
      </c>
      <c r="F325" t="s">
        <v>1836</v>
      </c>
      <c r="G325" t="s">
        <v>291</v>
      </c>
      <c r="H325">
        <v>1</v>
      </c>
      <c r="I325" s="11">
        <v>2650</v>
      </c>
      <c r="J325" s="47">
        <f t="shared" si="11"/>
        <v>2650</v>
      </c>
      <c r="K325" t="s">
        <v>1837</v>
      </c>
      <c r="L325" t="s">
        <v>786</v>
      </c>
      <c r="M325" t="s">
        <v>961</v>
      </c>
      <c r="N325" t="s">
        <v>961</v>
      </c>
      <c r="O325" t="s">
        <v>961</v>
      </c>
      <c r="P325" t="s">
        <v>2593</v>
      </c>
      <c r="Q325" t="s">
        <v>2593</v>
      </c>
      <c r="R325" t="s">
        <v>2593</v>
      </c>
      <c r="S325" t="s">
        <v>2593</v>
      </c>
      <c r="T325" t="s">
        <v>961</v>
      </c>
    </row>
    <row r="326" spans="1:20" x14ac:dyDescent="0.25">
      <c r="A326">
        <f t="shared" si="10"/>
        <v>325</v>
      </c>
      <c r="B326" s="9" t="s">
        <v>1785</v>
      </c>
      <c r="C326" s="10">
        <v>44809</v>
      </c>
      <c r="D326" t="s">
        <v>1839</v>
      </c>
      <c r="E326" t="s">
        <v>1840</v>
      </c>
      <c r="F326" t="s">
        <v>1841</v>
      </c>
      <c r="G326" t="s">
        <v>168</v>
      </c>
      <c r="H326">
        <v>1</v>
      </c>
      <c r="I326" s="11">
        <v>3251</v>
      </c>
      <c r="J326" s="47">
        <f t="shared" si="11"/>
        <v>3251</v>
      </c>
      <c r="K326" t="s">
        <v>1842</v>
      </c>
      <c r="L326" t="s">
        <v>1444</v>
      </c>
      <c r="M326" t="s">
        <v>961</v>
      </c>
      <c r="N326" t="s">
        <v>961</v>
      </c>
      <c r="O326" t="s">
        <v>961</v>
      </c>
      <c r="P326" t="s">
        <v>2593</v>
      </c>
      <c r="Q326" t="s">
        <v>2593</v>
      </c>
      <c r="R326" t="s">
        <v>2593</v>
      </c>
      <c r="S326" t="s">
        <v>2593</v>
      </c>
      <c r="T326" t="s">
        <v>961</v>
      </c>
    </row>
    <row r="327" spans="1:20" x14ac:dyDescent="0.25">
      <c r="A327">
        <f t="shared" si="10"/>
        <v>326</v>
      </c>
      <c r="B327" s="9" t="s">
        <v>1786</v>
      </c>
      <c r="C327" s="10">
        <v>44809</v>
      </c>
      <c r="D327" t="s">
        <v>1843</v>
      </c>
      <c r="E327" t="s">
        <v>1844</v>
      </c>
      <c r="F327" t="s">
        <v>1845</v>
      </c>
      <c r="G327" t="s">
        <v>168</v>
      </c>
      <c r="H327">
        <v>1</v>
      </c>
      <c r="I327" s="11">
        <v>850</v>
      </c>
      <c r="J327" s="47">
        <f t="shared" si="11"/>
        <v>850</v>
      </c>
      <c r="K327" t="s">
        <v>895</v>
      </c>
      <c r="L327" t="s">
        <v>192</v>
      </c>
      <c r="M327" t="s">
        <v>961</v>
      </c>
      <c r="N327" t="s">
        <v>961</v>
      </c>
      <c r="O327" t="s">
        <v>961</v>
      </c>
      <c r="P327" t="s">
        <v>2593</v>
      </c>
      <c r="Q327" t="s">
        <v>2593</v>
      </c>
      <c r="R327" t="s">
        <v>2593</v>
      </c>
      <c r="S327" t="s">
        <v>2593</v>
      </c>
      <c r="T327" t="s">
        <v>961</v>
      </c>
    </row>
    <row r="328" spans="1:20" x14ac:dyDescent="0.25">
      <c r="A328">
        <f t="shared" si="10"/>
        <v>327</v>
      </c>
      <c r="B328" s="9" t="s">
        <v>1787</v>
      </c>
      <c r="C328" s="10">
        <v>44810</v>
      </c>
      <c r="D328" t="s">
        <v>1846</v>
      </c>
      <c r="E328" t="s">
        <v>1847</v>
      </c>
      <c r="F328" t="s">
        <v>1848</v>
      </c>
      <c r="G328" t="s">
        <v>168</v>
      </c>
      <c r="H328">
        <v>1</v>
      </c>
      <c r="I328" s="11">
        <v>1379</v>
      </c>
      <c r="J328" s="47">
        <f t="shared" si="11"/>
        <v>1379</v>
      </c>
      <c r="K328" t="s">
        <v>252</v>
      </c>
      <c r="L328" t="s">
        <v>192</v>
      </c>
      <c r="M328" t="s">
        <v>961</v>
      </c>
      <c r="N328" t="s">
        <v>961</v>
      </c>
      <c r="O328" t="s">
        <v>961</v>
      </c>
      <c r="P328" t="s">
        <v>2593</v>
      </c>
      <c r="Q328" t="s">
        <v>2593</v>
      </c>
      <c r="R328" t="s">
        <v>2593</v>
      </c>
      <c r="S328" t="s">
        <v>2593</v>
      </c>
      <c r="T328" t="s">
        <v>961</v>
      </c>
    </row>
    <row r="329" spans="1:20" x14ac:dyDescent="0.25">
      <c r="A329" s="65">
        <f t="shared" si="10"/>
        <v>328</v>
      </c>
      <c r="B329" s="9" t="s">
        <v>1788</v>
      </c>
      <c r="C329" s="10">
        <v>44810</v>
      </c>
      <c r="D329" t="s">
        <v>1820</v>
      </c>
      <c r="E329" t="s">
        <v>1821</v>
      </c>
      <c r="F329" t="s">
        <v>1849</v>
      </c>
      <c r="G329" t="s">
        <v>281</v>
      </c>
      <c r="H329">
        <v>1</v>
      </c>
      <c r="I329" s="11">
        <v>2398</v>
      </c>
      <c r="J329" s="47">
        <f t="shared" si="11"/>
        <v>2398</v>
      </c>
      <c r="K329" t="s">
        <v>1850</v>
      </c>
      <c r="L329" t="s">
        <v>80</v>
      </c>
      <c r="M329" t="s">
        <v>961</v>
      </c>
      <c r="N329" t="s">
        <v>961</v>
      </c>
      <c r="O329" t="s">
        <v>961</v>
      </c>
      <c r="P329" t="s">
        <v>2593</v>
      </c>
      <c r="Q329" t="s">
        <v>2593</v>
      </c>
      <c r="R329" t="s">
        <v>2593</v>
      </c>
      <c r="S329" t="s">
        <v>2593</v>
      </c>
      <c r="T329" t="s">
        <v>961</v>
      </c>
    </row>
    <row r="330" spans="1:20" x14ac:dyDescent="0.25">
      <c r="A330">
        <f t="shared" si="10"/>
        <v>329</v>
      </c>
      <c r="B330" s="9" t="s">
        <v>1789</v>
      </c>
      <c r="C330" s="10">
        <v>44810</v>
      </c>
      <c r="D330" t="s">
        <v>1851</v>
      </c>
      <c r="E330" t="s">
        <v>1852</v>
      </c>
      <c r="F330" t="s">
        <v>1853</v>
      </c>
      <c r="G330" t="s">
        <v>168</v>
      </c>
      <c r="H330">
        <v>1</v>
      </c>
      <c r="I330" s="11">
        <v>1348</v>
      </c>
      <c r="J330" s="47">
        <f t="shared" si="11"/>
        <v>1348</v>
      </c>
      <c r="K330" t="s">
        <v>1854</v>
      </c>
      <c r="L330" t="s">
        <v>1864</v>
      </c>
      <c r="M330" t="s">
        <v>961</v>
      </c>
      <c r="N330" t="s">
        <v>961</v>
      </c>
      <c r="O330" t="s">
        <v>961</v>
      </c>
      <c r="P330" t="s">
        <v>2593</v>
      </c>
      <c r="Q330" t="s">
        <v>2593</v>
      </c>
      <c r="R330" t="s">
        <v>2593</v>
      </c>
      <c r="S330" t="s">
        <v>2593</v>
      </c>
      <c r="T330" t="s">
        <v>961</v>
      </c>
    </row>
    <row r="331" spans="1:20" x14ac:dyDescent="0.25">
      <c r="A331">
        <f t="shared" si="10"/>
        <v>330</v>
      </c>
      <c r="B331" s="9" t="s">
        <v>1790</v>
      </c>
      <c r="C331" s="10">
        <v>44782</v>
      </c>
      <c r="D331" t="s">
        <v>1861</v>
      </c>
      <c r="E331" t="s">
        <v>1862</v>
      </c>
      <c r="F331" t="s">
        <v>1863</v>
      </c>
      <c r="G331" t="s">
        <v>168</v>
      </c>
      <c r="H331">
        <v>1</v>
      </c>
      <c r="I331" s="11">
        <v>586.79999999999995</v>
      </c>
      <c r="J331" s="47">
        <f t="shared" si="11"/>
        <v>586.79999999999995</v>
      </c>
      <c r="K331" t="s">
        <v>464</v>
      </c>
      <c r="L331" t="s">
        <v>518</v>
      </c>
      <c r="M331" t="s">
        <v>961</v>
      </c>
      <c r="N331" t="s">
        <v>961</v>
      </c>
      <c r="O331" t="s">
        <v>961</v>
      </c>
      <c r="P331" t="s">
        <v>2593</v>
      </c>
      <c r="Q331" t="s">
        <v>2593</v>
      </c>
      <c r="R331" t="s">
        <v>2593</v>
      </c>
      <c r="S331" t="s">
        <v>2593</v>
      </c>
      <c r="T331" t="s">
        <v>961</v>
      </c>
    </row>
    <row r="332" spans="1:20" x14ac:dyDescent="0.25">
      <c r="A332">
        <f t="shared" si="10"/>
        <v>331</v>
      </c>
      <c r="B332" s="9" t="s">
        <v>1791</v>
      </c>
      <c r="C332" s="10">
        <v>44797</v>
      </c>
      <c r="D332" t="s">
        <v>1865</v>
      </c>
      <c r="E332" t="s">
        <v>1866</v>
      </c>
      <c r="F332" t="s">
        <v>1867</v>
      </c>
      <c r="G332" t="s">
        <v>291</v>
      </c>
      <c r="H332">
        <v>1</v>
      </c>
      <c r="I332" s="11">
        <v>1344.85</v>
      </c>
      <c r="J332" s="47">
        <f t="shared" si="11"/>
        <v>1344.85</v>
      </c>
      <c r="K332" t="s">
        <v>1868</v>
      </c>
      <c r="L332" t="s">
        <v>1874</v>
      </c>
      <c r="M332" t="s">
        <v>961</v>
      </c>
      <c r="N332" t="s">
        <v>961</v>
      </c>
      <c r="O332" t="s">
        <v>961</v>
      </c>
      <c r="P332" t="s">
        <v>2593</v>
      </c>
      <c r="Q332" t="s">
        <v>2593</v>
      </c>
      <c r="R332" t="s">
        <v>2593</v>
      </c>
      <c r="S332" t="s">
        <v>2593</v>
      </c>
      <c r="T332" t="s">
        <v>961</v>
      </c>
    </row>
    <row r="333" spans="1:20" x14ac:dyDescent="0.25">
      <c r="A333">
        <f t="shared" si="10"/>
        <v>332</v>
      </c>
      <c r="B333" s="102" t="s">
        <v>1772</v>
      </c>
      <c r="C333" s="10">
        <v>44798</v>
      </c>
      <c r="D333" t="s">
        <v>1869</v>
      </c>
      <c r="E333" t="s">
        <v>1870</v>
      </c>
      <c r="F333" t="s">
        <v>1871</v>
      </c>
      <c r="G333" t="s">
        <v>291</v>
      </c>
      <c r="H333">
        <v>1</v>
      </c>
      <c r="I333" s="11">
        <v>4170</v>
      </c>
      <c r="J333" s="47">
        <f t="shared" si="11"/>
        <v>4170</v>
      </c>
      <c r="K333" t="s">
        <v>1872</v>
      </c>
      <c r="L333" t="s">
        <v>1873</v>
      </c>
      <c r="M333" t="s">
        <v>961</v>
      </c>
      <c r="N333" t="s">
        <v>961</v>
      </c>
      <c r="O333" t="s">
        <v>961</v>
      </c>
      <c r="P333" t="s">
        <v>2593</v>
      </c>
      <c r="Q333" t="s">
        <v>2593</v>
      </c>
      <c r="R333" t="s">
        <v>2593</v>
      </c>
      <c r="S333" t="s">
        <v>2593</v>
      </c>
      <c r="T333" t="s">
        <v>961</v>
      </c>
    </row>
    <row r="334" spans="1:20" x14ac:dyDescent="0.25">
      <c r="A334">
        <f t="shared" si="10"/>
        <v>333</v>
      </c>
      <c r="B334" s="9" t="s">
        <v>1792</v>
      </c>
      <c r="C334" s="10">
        <v>44806</v>
      </c>
      <c r="D334" t="s">
        <v>1875</v>
      </c>
      <c r="E334" t="s">
        <v>1876</v>
      </c>
      <c r="F334" t="s">
        <v>1877</v>
      </c>
      <c r="G334" t="s">
        <v>168</v>
      </c>
      <c r="H334">
        <v>1</v>
      </c>
      <c r="I334" s="11">
        <v>1197.1199999999999</v>
      </c>
      <c r="J334" s="47">
        <f t="shared" si="11"/>
        <v>1197.1199999999999</v>
      </c>
      <c r="K334" t="s">
        <v>1878</v>
      </c>
      <c r="L334" t="s">
        <v>192</v>
      </c>
      <c r="M334" t="s">
        <v>961</v>
      </c>
      <c r="N334" t="s">
        <v>961</v>
      </c>
      <c r="O334" t="s">
        <v>961</v>
      </c>
      <c r="P334" t="s">
        <v>2593</v>
      </c>
      <c r="Q334" t="s">
        <v>2593</v>
      </c>
      <c r="R334" t="s">
        <v>2593</v>
      </c>
      <c r="S334" t="s">
        <v>2593</v>
      </c>
      <c r="T334" t="s">
        <v>961</v>
      </c>
    </row>
    <row r="335" spans="1:20" x14ac:dyDescent="0.25">
      <c r="A335" s="65">
        <f t="shared" si="10"/>
        <v>334</v>
      </c>
      <c r="B335" s="9" t="s">
        <v>1793</v>
      </c>
      <c r="C335" s="10">
        <v>44811</v>
      </c>
      <c r="D335" t="s">
        <v>1152</v>
      </c>
      <c r="E335" t="s">
        <v>1153</v>
      </c>
      <c r="F335" t="s">
        <v>1154</v>
      </c>
      <c r="G335" t="s">
        <v>281</v>
      </c>
      <c r="H335">
        <v>1</v>
      </c>
      <c r="I335" s="11">
        <v>1086</v>
      </c>
      <c r="J335" s="47">
        <f t="shared" si="11"/>
        <v>1086</v>
      </c>
      <c r="K335" t="s">
        <v>1832</v>
      </c>
      <c r="L335" t="s">
        <v>1879</v>
      </c>
      <c r="M335" t="s">
        <v>961</v>
      </c>
      <c r="N335" t="s">
        <v>961</v>
      </c>
      <c r="O335" t="s">
        <v>961</v>
      </c>
      <c r="P335" t="s">
        <v>2593</v>
      </c>
      <c r="Q335" t="s">
        <v>2593</v>
      </c>
      <c r="R335" t="s">
        <v>2593</v>
      </c>
      <c r="S335" t="s">
        <v>2593</v>
      </c>
      <c r="T335" t="s">
        <v>961</v>
      </c>
    </row>
    <row r="336" spans="1:20" x14ac:dyDescent="0.25">
      <c r="A336">
        <f t="shared" si="10"/>
        <v>335</v>
      </c>
      <c r="B336" s="9" t="s">
        <v>1794</v>
      </c>
      <c r="C336" s="10">
        <v>44811</v>
      </c>
      <c r="D336" t="s">
        <v>1880</v>
      </c>
      <c r="E336" t="s">
        <v>1881</v>
      </c>
      <c r="F336" t="s">
        <v>1882</v>
      </c>
      <c r="G336" t="s">
        <v>1818</v>
      </c>
      <c r="H336">
        <v>1</v>
      </c>
      <c r="I336" s="11">
        <v>840</v>
      </c>
      <c r="J336" s="47">
        <f t="shared" si="11"/>
        <v>840</v>
      </c>
      <c r="K336" t="s">
        <v>1077</v>
      </c>
      <c r="L336" t="s">
        <v>192</v>
      </c>
      <c r="M336" t="s">
        <v>961</v>
      </c>
      <c r="N336" t="s">
        <v>961</v>
      </c>
      <c r="O336" t="s">
        <v>961</v>
      </c>
      <c r="P336" t="s">
        <v>2593</v>
      </c>
      <c r="Q336" t="s">
        <v>2593</v>
      </c>
      <c r="R336" t="s">
        <v>2593</v>
      </c>
      <c r="S336" t="s">
        <v>2593</v>
      </c>
      <c r="T336" t="s">
        <v>961</v>
      </c>
    </row>
    <row r="337" spans="1:20" x14ac:dyDescent="0.25">
      <c r="A337" s="65">
        <f t="shared" si="10"/>
        <v>336</v>
      </c>
      <c r="B337" s="9" t="s">
        <v>1795</v>
      </c>
      <c r="C337" s="10">
        <v>44799</v>
      </c>
      <c r="D337" t="s">
        <v>1883</v>
      </c>
      <c r="E337" t="s">
        <v>393</v>
      </c>
      <c r="F337" t="s">
        <v>394</v>
      </c>
      <c r="G337" t="s">
        <v>281</v>
      </c>
      <c r="H337">
        <v>1</v>
      </c>
      <c r="I337" s="11">
        <v>3437.6</v>
      </c>
      <c r="J337" s="47">
        <f t="shared" si="11"/>
        <v>3437.6</v>
      </c>
      <c r="K337" t="s">
        <v>1884</v>
      </c>
      <c r="L337" t="s">
        <v>80</v>
      </c>
      <c r="M337" t="s">
        <v>961</v>
      </c>
      <c r="N337" t="s">
        <v>961</v>
      </c>
      <c r="O337" t="s">
        <v>961</v>
      </c>
      <c r="P337" t="s">
        <v>2593</v>
      </c>
      <c r="Q337" t="s">
        <v>2593</v>
      </c>
      <c r="R337" t="s">
        <v>2593</v>
      </c>
      <c r="S337" t="s">
        <v>2593</v>
      </c>
      <c r="T337" t="s">
        <v>961</v>
      </c>
    </row>
    <row r="338" spans="1:20" x14ac:dyDescent="0.25">
      <c r="A338">
        <f t="shared" si="10"/>
        <v>337</v>
      </c>
      <c r="B338" s="9" t="s">
        <v>1796</v>
      </c>
      <c r="C338" s="10">
        <v>44812</v>
      </c>
      <c r="D338" t="s">
        <v>1885</v>
      </c>
      <c r="E338" t="s">
        <v>1886</v>
      </c>
      <c r="F338" t="s">
        <v>1887</v>
      </c>
      <c r="G338" t="s">
        <v>168</v>
      </c>
      <c r="H338">
        <v>1</v>
      </c>
      <c r="I338" s="11">
        <v>1353</v>
      </c>
      <c r="J338" s="47">
        <f t="shared" si="11"/>
        <v>1353</v>
      </c>
      <c r="K338" t="s">
        <v>1888</v>
      </c>
      <c r="L338" t="s">
        <v>1889</v>
      </c>
      <c r="M338" t="s">
        <v>961</v>
      </c>
      <c r="N338" t="s">
        <v>961</v>
      </c>
      <c r="O338" t="s">
        <v>961</v>
      </c>
      <c r="P338" t="s">
        <v>2593</v>
      </c>
      <c r="Q338" t="s">
        <v>2593</v>
      </c>
      <c r="R338" t="s">
        <v>2593</v>
      </c>
      <c r="S338" t="s">
        <v>2593</v>
      </c>
      <c r="T338" t="s">
        <v>961</v>
      </c>
    </row>
    <row r="339" spans="1:20" x14ac:dyDescent="0.25">
      <c r="A339" s="65">
        <f t="shared" si="10"/>
        <v>338</v>
      </c>
      <c r="B339" s="9" t="s">
        <v>1797</v>
      </c>
      <c r="C339" s="10">
        <v>44788</v>
      </c>
      <c r="D339" t="s">
        <v>1721</v>
      </c>
      <c r="E339" t="s">
        <v>1722</v>
      </c>
      <c r="F339" t="s">
        <v>1723</v>
      </c>
      <c r="G339" t="s">
        <v>281</v>
      </c>
      <c r="H339">
        <v>1</v>
      </c>
      <c r="I339" s="11">
        <v>1493.93</v>
      </c>
      <c r="J339" s="47">
        <f t="shared" si="11"/>
        <v>1493.93</v>
      </c>
      <c r="K339" t="s">
        <v>1890</v>
      </c>
      <c r="L339" t="s">
        <v>80</v>
      </c>
      <c r="M339" t="s">
        <v>961</v>
      </c>
      <c r="N339" t="s">
        <v>961</v>
      </c>
      <c r="O339" t="s">
        <v>961</v>
      </c>
      <c r="P339" t="s">
        <v>2593</v>
      </c>
      <c r="Q339" t="s">
        <v>2593</v>
      </c>
      <c r="R339" t="s">
        <v>2593</v>
      </c>
      <c r="S339" t="s">
        <v>2593</v>
      </c>
      <c r="T339" t="s">
        <v>961</v>
      </c>
    </row>
    <row r="340" spans="1:20" x14ac:dyDescent="0.25">
      <c r="A340" s="64">
        <f t="shared" si="10"/>
        <v>339</v>
      </c>
      <c r="B340" s="9" t="s">
        <v>1798</v>
      </c>
      <c r="C340" s="10">
        <v>44813</v>
      </c>
      <c r="D340" t="s">
        <v>1891</v>
      </c>
      <c r="E340" t="s">
        <v>1892</v>
      </c>
      <c r="F340" t="s">
        <v>1893</v>
      </c>
      <c r="G340" t="s">
        <v>168</v>
      </c>
      <c r="H340">
        <v>1</v>
      </c>
      <c r="I340" s="11">
        <v>1049.8</v>
      </c>
      <c r="J340" s="47">
        <f t="shared" si="11"/>
        <v>1049.8</v>
      </c>
      <c r="K340" t="s">
        <v>1041</v>
      </c>
      <c r="L340" t="s">
        <v>192</v>
      </c>
      <c r="M340" t="s">
        <v>961</v>
      </c>
      <c r="N340" t="s">
        <v>961</v>
      </c>
      <c r="O340" t="s">
        <v>961</v>
      </c>
      <c r="P340" t="s">
        <v>2593</v>
      </c>
      <c r="Q340" t="s">
        <v>2593</v>
      </c>
      <c r="R340" t="s">
        <v>2593</v>
      </c>
      <c r="S340" t="s">
        <v>2593</v>
      </c>
      <c r="T340" t="s">
        <v>961</v>
      </c>
    </row>
    <row r="341" spans="1:20" x14ac:dyDescent="0.25">
      <c r="A341">
        <f t="shared" si="10"/>
        <v>340</v>
      </c>
      <c r="B341" s="9" t="s">
        <v>1799</v>
      </c>
      <c r="C341" s="10">
        <v>44813</v>
      </c>
      <c r="D341" t="s">
        <v>1895</v>
      </c>
      <c r="E341" t="s">
        <v>1894</v>
      </c>
      <c r="F341" t="s">
        <v>1896</v>
      </c>
      <c r="G341" t="s">
        <v>168</v>
      </c>
      <c r="H341">
        <v>1</v>
      </c>
      <c r="I341" s="11">
        <v>1182</v>
      </c>
      <c r="J341" s="47">
        <f t="shared" si="11"/>
        <v>1182</v>
      </c>
      <c r="K341" t="s">
        <v>1897</v>
      </c>
      <c r="L341" t="s">
        <v>1898</v>
      </c>
      <c r="M341" t="s">
        <v>961</v>
      </c>
      <c r="N341" t="s">
        <v>961</v>
      </c>
      <c r="O341" t="s">
        <v>961</v>
      </c>
      <c r="P341" t="s">
        <v>2593</v>
      </c>
      <c r="Q341" t="s">
        <v>2593</v>
      </c>
      <c r="R341" t="s">
        <v>2593</v>
      </c>
      <c r="S341" t="s">
        <v>2593</v>
      </c>
      <c r="T341" t="s">
        <v>961</v>
      </c>
    </row>
    <row r="342" spans="1:20" x14ac:dyDescent="0.25">
      <c r="A342">
        <f t="shared" si="10"/>
        <v>341</v>
      </c>
      <c r="B342" s="9" t="s">
        <v>1800</v>
      </c>
      <c r="C342" s="10">
        <v>44814</v>
      </c>
      <c r="D342" t="s">
        <v>1899</v>
      </c>
      <c r="E342" t="s">
        <v>1900</v>
      </c>
      <c r="F342" t="s">
        <v>1901</v>
      </c>
      <c r="G342" t="s">
        <v>168</v>
      </c>
      <c r="H342">
        <v>1</v>
      </c>
      <c r="I342" s="11">
        <v>905</v>
      </c>
      <c r="J342" s="47">
        <f t="shared" si="11"/>
        <v>905</v>
      </c>
      <c r="K342" t="s">
        <v>1133</v>
      </c>
      <c r="L342" t="s">
        <v>192</v>
      </c>
      <c r="M342" t="s">
        <v>961</v>
      </c>
      <c r="N342" t="s">
        <v>961</v>
      </c>
      <c r="O342" t="s">
        <v>961</v>
      </c>
      <c r="P342" t="s">
        <v>2593</v>
      </c>
      <c r="Q342" t="s">
        <v>2593</v>
      </c>
      <c r="R342" t="s">
        <v>2593</v>
      </c>
      <c r="S342" t="s">
        <v>2593</v>
      </c>
      <c r="T342" t="s">
        <v>961</v>
      </c>
    </row>
    <row r="343" spans="1:20" x14ac:dyDescent="0.25">
      <c r="A343" s="65">
        <f t="shared" si="10"/>
        <v>342</v>
      </c>
      <c r="B343" s="9" t="s">
        <v>1855</v>
      </c>
      <c r="C343" s="10">
        <v>44797</v>
      </c>
      <c r="D343" t="s">
        <v>1758</v>
      </c>
      <c r="E343" t="s">
        <v>1759</v>
      </c>
      <c r="F343" t="s">
        <v>1902</v>
      </c>
      <c r="G343" t="s">
        <v>281</v>
      </c>
      <c r="H343">
        <v>1</v>
      </c>
      <c r="I343" s="11">
        <v>581.25</v>
      </c>
      <c r="J343" s="47">
        <f t="shared" si="11"/>
        <v>581.25</v>
      </c>
      <c r="K343" t="s">
        <v>1903</v>
      </c>
      <c r="L343" t="s">
        <v>80</v>
      </c>
      <c r="M343" t="s">
        <v>961</v>
      </c>
      <c r="N343" t="s">
        <v>961</v>
      </c>
      <c r="O343" t="s">
        <v>961</v>
      </c>
      <c r="P343" t="s">
        <v>961</v>
      </c>
      <c r="Q343" t="s">
        <v>2593</v>
      </c>
      <c r="R343" t="s">
        <v>2593</v>
      </c>
      <c r="S343" t="s">
        <v>2593</v>
      </c>
      <c r="T343" t="s">
        <v>961</v>
      </c>
    </row>
    <row r="344" spans="1:20" x14ac:dyDescent="0.25">
      <c r="A344" s="65">
        <f t="shared" si="10"/>
        <v>343</v>
      </c>
      <c r="B344" s="9" t="s">
        <v>1856</v>
      </c>
      <c r="C344" s="10">
        <v>44800</v>
      </c>
      <c r="D344" t="s">
        <v>1904</v>
      </c>
      <c r="F344" t="s">
        <v>1905</v>
      </c>
      <c r="G344" t="s">
        <v>281</v>
      </c>
      <c r="H344">
        <v>1</v>
      </c>
      <c r="I344" s="11">
        <v>1665</v>
      </c>
      <c r="J344" s="47">
        <f t="shared" si="11"/>
        <v>1665</v>
      </c>
      <c r="K344" t="s">
        <v>1906</v>
      </c>
      <c r="L344" t="s">
        <v>80</v>
      </c>
      <c r="M344" t="s">
        <v>961</v>
      </c>
      <c r="N344" t="s">
        <v>961</v>
      </c>
      <c r="O344" t="s">
        <v>961</v>
      </c>
      <c r="P344" t="s">
        <v>2593</v>
      </c>
      <c r="Q344" t="s">
        <v>2593</v>
      </c>
      <c r="R344" t="s">
        <v>2593</v>
      </c>
      <c r="S344" t="s">
        <v>2593</v>
      </c>
      <c r="T344" t="s">
        <v>961</v>
      </c>
    </row>
    <row r="345" spans="1:20" x14ac:dyDescent="0.25">
      <c r="A345" s="64">
        <f t="shared" si="10"/>
        <v>344</v>
      </c>
      <c r="B345" s="9" t="s">
        <v>1857</v>
      </c>
      <c r="C345" s="10">
        <v>44815</v>
      </c>
      <c r="D345" t="s">
        <v>1907</v>
      </c>
      <c r="E345" t="s">
        <v>1908</v>
      </c>
      <c r="F345" t="s">
        <v>1909</v>
      </c>
      <c r="G345" t="s">
        <v>168</v>
      </c>
      <c r="H345">
        <v>1</v>
      </c>
      <c r="I345" s="11">
        <v>3252.64</v>
      </c>
      <c r="J345" s="47">
        <f t="shared" si="11"/>
        <v>3252.64</v>
      </c>
      <c r="K345" t="s">
        <v>1368</v>
      </c>
      <c r="L345" t="s">
        <v>1910</v>
      </c>
      <c r="M345" t="s">
        <v>961</v>
      </c>
      <c r="N345" t="s">
        <v>961</v>
      </c>
      <c r="O345" t="s">
        <v>961</v>
      </c>
      <c r="P345" t="s">
        <v>2593</v>
      </c>
      <c r="Q345" t="s">
        <v>2593</v>
      </c>
      <c r="R345" t="s">
        <v>2593</v>
      </c>
      <c r="S345" t="s">
        <v>2593</v>
      </c>
      <c r="T345" t="s">
        <v>961</v>
      </c>
    </row>
    <row r="346" spans="1:20" x14ac:dyDescent="0.25">
      <c r="A346">
        <f t="shared" si="10"/>
        <v>345</v>
      </c>
      <c r="B346" s="9" t="s">
        <v>1858</v>
      </c>
      <c r="C346" s="10">
        <v>44816</v>
      </c>
      <c r="D346" t="s">
        <v>1911</v>
      </c>
      <c r="E346" t="s">
        <v>1912</v>
      </c>
      <c r="F346" t="s">
        <v>1913</v>
      </c>
      <c r="G346" t="s">
        <v>291</v>
      </c>
      <c r="H346">
        <v>1</v>
      </c>
      <c r="I346" s="11">
        <v>1065</v>
      </c>
      <c r="J346" s="47">
        <f t="shared" si="11"/>
        <v>1065</v>
      </c>
      <c r="K346" t="s">
        <v>1914</v>
      </c>
      <c r="L346" t="s">
        <v>676</v>
      </c>
      <c r="M346" t="s">
        <v>961</v>
      </c>
      <c r="N346" t="s">
        <v>961</v>
      </c>
      <c r="O346" t="s">
        <v>961</v>
      </c>
      <c r="P346" t="s">
        <v>2593</v>
      </c>
      <c r="Q346" t="s">
        <v>2593</v>
      </c>
      <c r="R346" t="s">
        <v>2593</v>
      </c>
      <c r="S346" t="s">
        <v>2593</v>
      </c>
      <c r="T346" t="s">
        <v>961</v>
      </c>
    </row>
    <row r="347" spans="1:20" x14ac:dyDescent="0.25">
      <c r="A347">
        <f t="shared" si="10"/>
        <v>346</v>
      </c>
      <c r="B347" s="9" t="s">
        <v>1859</v>
      </c>
      <c r="C347" s="10">
        <v>44816</v>
      </c>
      <c r="D347" t="s">
        <v>1915</v>
      </c>
      <c r="E347" t="s">
        <v>1916</v>
      </c>
      <c r="F347" t="s">
        <v>1917</v>
      </c>
      <c r="G347" t="s">
        <v>291</v>
      </c>
      <c r="H347">
        <v>1</v>
      </c>
      <c r="I347" s="11">
        <v>1779</v>
      </c>
      <c r="J347" s="47">
        <f t="shared" si="11"/>
        <v>1779</v>
      </c>
      <c r="K347" t="s">
        <v>1918</v>
      </c>
      <c r="L347" t="s">
        <v>1936</v>
      </c>
      <c r="M347" t="s">
        <v>961</v>
      </c>
      <c r="N347" t="s">
        <v>961</v>
      </c>
      <c r="O347" t="s">
        <v>961</v>
      </c>
      <c r="P347" t="s">
        <v>2593</v>
      </c>
      <c r="Q347" t="s">
        <v>2593</v>
      </c>
      <c r="R347" t="s">
        <v>2593</v>
      </c>
      <c r="S347" t="s">
        <v>2593</v>
      </c>
      <c r="T347" t="s">
        <v>961</v>
      </c>
    </row>
    <row r="348" spans="1:20" x14ac:dyDescent="0.25">
      <c r="A348">
        <f t="shared" si="10"/>
        <v>347</v>
      </c>
      <c r="B348" s="9" t="s">
        <v>1860</v>
      </c>
      <c r="C348" s="10">
        <v>44817</v>
      </c>
      <c r="D348" t="s">
        <v>1932</v>
      </c>
      <c r="E348" t="s">
        <v>1933</v>
      </c>
      <c r="F348" t="s">
        <v>1934</v>
      </c>
      <c r="G348" t="s">
        <v>168</v>
      </c>
      <c r="H348">
        <v>1</v>
      </c>
      <c r="I348" s="11">
        <v>1152</v>
      </c>
      <c r="J348" s="47">
        <f t="shared" si="11"/>
        <v>1152</v>
      </c>
      <c r="K348" t="s">
        <v>1935</v>
      </c>
      <c r="L348" t="s">
        <v>1953</v>
      </c>
      <c r="M348" t="s">
        <v>961</v>
      </c>
      <c r="N348" t="s">
        <v>961</v>
      </c>
      <c r="O348" t="s">
        <v>961</v>
      </c>
      <c r="P348" t="s">
        <v>2593</v>
      </c>
      <c r="Q348" t="s">
        <v>2593</v>
      </c>
      <c r="R348" t="s">
        <v>2593</v>
      </c>
      <c r="S348" t="s">
        <v>2593</v>
      </c>
      <c r="T348" t="s">
        <v>961</v>
      </c>
    </row>
    <row r="349" spans="1:20" x14ac:dyDescent="0.25">
      <c r="A349">
        <f t="shared" si="10"/>
        <v>348</v>
      </c>
      <c r="B349" s="9" t="s">
        <v>1924</v>
      </c>
      <c r="C349" s="10">
        <v>44818</v>
      </c>
      <c r="D349" t="s">
        <v>1949</v>
      </c>
      <c r="E349" t="s">
        <v>1950</v>
      </c>
      <c r="F349" t="s">
        <v>1951</v>
      </c>
      <c r="G349" t="s">
        <v>168</v>
      </c>
      <c r="H349">
        <v>1</v>
      </c>
      <c r="I349" s="11">
        <v>4324</v>
      </c>
      <c r="J349" s="47">
        <f t="shared" si="11"/>
        <v>4324</v>
      </c>
      <c r="K349" t="s">
        <v>1952</v>
      </c>
      <c r="L349" t="s">
        <v>192</v>
      </c>
      <c r="M349" t="s">
        <v>961</v>
      </c>
      <c r="N349" t="s">
        <v>961</v>
      </c>
      <c r="O349" t="s">
        <v>961</v>
      </c>
      <c r="P349" t="s">
        <v>2593</v>
      </c>
      <c r="Q349" t="s">
        <v>2593</v>
      </c>
      <c r="R349" t="s">
        <v>2593</v>
      </c>
      <c r="S349" t="s">
        <v>2593</v>
      </c>
      <c r="T349" t="s">
        <v>961</v>
      </c>
    </row>
    <row r="350" spans="1:20" x14ac:dyDescent="0.25">
      <c r="A350">
        <f t="shared" si="10"/>
        <v>349</v>
      </c>
      <c r="B350" s="102" t="s">
        <v>1925</v>
      </c>
      <c r="C350" s="10">
        <v>44818</v>
      </c>
      <c r="D350" t="s">
        <v>1954</v>
      </c>
      <c r="F350" t="s">
        <v>1955</v>
      </c>
      <c r="G350" t="s">
        <v>291</v>
      </c>
      <c r="H350">
        <v>1</v>
      </c>
      <c r="I350" s="11">
        <v>1500</v>
      </c>
      <c r="J350" s="47">
        <f t="shared" si="11"/>
        <v>1500</v>
      </c>
      <c r="K350" t="s">
        <v>836</v>
      </c>
      <c r="L350" t="s">
        <v>382</v>
      </c>
      <c r="M350" t="s">
        <v>961</v>
      </c>
      <c r="N350" t="s">
        <v>961</v>
      </c>
      <c r="O350" t="s">
        <v>961</v>
      </c>
      <c r="P350" t="s">
        <v>2593</v>
      </c>
      <c r="Q350" t="s">
        <v>2593</v>
      </c>
      <c r="R350" t="s">
        <v>2593</v>
      </c>
      <c r="S350" t="s">
        <v>2593</v>
      </c>
      <c r="T350" t="s">
        <v>961</v>
      </c>
    </row>
    <row r="351" spans="1:20" x14ac:dyDescent="0.25">
      <c r="A351">
        <f t="shared" si="10"/>
        <v>350</v>
      </c>
      <c r="B351" s="9" t="s">
        <v>1926</v>
      </c>
      <c r="C351" s="10">
        <v>44819</v>
      </c>
      <c r="D351" t="s">
        <v>1956</v>
      </c>
      <c r="E351" t="s">
        <v>1957</v>
      </c>
      <c r="F351" t="s">
        <v>1958</v>
      </c>
      <c r="G351" t="s">
        <v>168</v>
      </c>
      <c r="H351">
        <v>1</v>
      </c>
      <c r="I351" s="11">
        <v>888</v>
      </c>
      <c r="J351" s="47">
        <f t="shared" si="11"/>
        <v>888</v>
      </c>
      <c r="K351" t="s">
        <v>404</v>
      </c>
      <c r="L351" t="s">
        <v>192</v>
      </c>
      <c r="M351" t="s">
        <v>961</v>
      </c>
      <c r="N351" t="s">
        <v>961</v>
      </c>
      <c r="O351" t="s">
        <v>961</v>
      </c>
      <c r="P351" t="s">
        <v>2593</v>
      </c>
      <c r="Q351" t="s">
        <v>2593</v>
      </c>
      <c r="R351" t="s">
        <v>2593</v>
      </c>
      <c r="S351" t="s">
        <v>2593</v>
      </c>
      <c r="T351" t="s">
        <v>961</v>
      </c>
    </row>
    <row r="352" spans="1:20" x14ac:dyDescent="0.25">
      <c r="A352">
        <f t="shared" si="10"/>
        <v>351</v>
      </c>
      <c r="B352" s="9" t="s">
        <v>1927</v>
      </c>
      <c r="C352" s="10">
        <v>44821</v>
      </c>
      <c r="D352" t="s">
        <v>1959</v>
      </c>
      <c r="E352" t="s">
        <v>1960</v>
      </c>
      <c r="F352" t="s">
        <v>1961</v>
      </c>
      <c r="G352" t="s">
        <v>168</v>
      </c>
      <c r="H352">
        <v>1</v>
      </c>
      <c r="I352" s="11">
        <v>1239</v>
      </c>
      <c r="J352" s="47">
        <f t="shared" si="11"/>
        <v>1239</v>
      </c>
      <c r="K352" t="s">
        <v>1962</v>
      </c>
      <c r="L352" t="s">
        <v>775</v>
      </c>
      <c r="M352" t="s">
        <v>961</v>
      </c>
      <c r="N352" t="s">
        <v>961</v>
      </c>
      <c r="O352" t="s">
        <v>961</v>
      </c>
      <c r="P352" t="s">
        <v>2593</v>
      </c>
      <c r="Q352" t="s">
        <v>2593</v>
      </c>
      <c r="R352" t="s">
        <v>2593</v>
      </c>
      <c r="S352" t="s">
        <v>2593</v>
      </c>
      <c r="T352" t="s">
        <v>961</v>
      </c>
    </row>
    <row r="353" spans="1:20" x14ac:dyDescent="0.25">
      <c r="A353" s="79">
        <f t="shared" si="10"/>
        <v>352</v>
      </c>
      <c r="B353" s="9" t="s">
        <v>1928</v>
      </c>
      <c r="C353" s="10">
        <v>44821</v>
      </c>
      <c r="D353" t="s">
        <v>1963</v>
      </c>
      <c r="F353" t="s">
        <v>1964</v>
      </c>
      <c r="G353" t="s">
        <v>168</v>
      </c>
      <c r="H353">
        <v>1</v>
      </c>
      <c r="I353" s="11">
        <v>1717</v>
      </c>
      <c r="J353" s="47">
        <f t="shared" si="11"/>
        <v>1717</v>
      </c>
      <c r="K353" t="s">
        <v>1965</v>
      </c>
      <c r="L353" t="s">
        <v>1966</v>
      </c>
      <c r="M353" t="s">
        <v>961</v>
      </c>
      <c r="N353" t="s">
        <v>961</v>
      </c>
      <c r="O353" t="s">
        <v>961</v>
      </c>
      <c r="P353" t="s">
        <v>2593</v>
      </c>
      <c r="Q353" t="s">
        <v>2593</v>
      </c>
      <c r="R353" t="s">
        <v>2593</v>
      </c>
      <c r="S353" t="s">
        <v>2593</v>
      </c>
      <c r="T353" t="s">
        <v>961</v>
      </c>
    </row>
    <row r="354" spans="1:20" x14ac:dyDescent="0.25">
      <c r="A354" s="65">
        <f t="shared" si="10"/>
        <v>353</v>
      </c>
      <c r="B354" s="9" t="s">
        <v>1929</v>
      </c>
      <c r="C354" s="10">
        <v>44823</v>
      </c>
      <c r="D354" t="s">
        <v>1967</v>
      </c>
      <c r="E354" t="s">
        <v>1968</v>
      </c>
      <c r="F354" t="s">
        <v>1969</v>
      </c>
      <c r="G354" t="s">
        <v>281</v>
      </c>
      <c r="H354">
        <v>1</v>
      </c>
      <c r="I354" s="11">
        <v>3343.5</v>
      </c>
      <c r="J354" s="47">
        <f t="shared" si="11"/>
        <v>3343.5</v>
      </c>
      <c r="K354" t="s">
        <v>1970</v>
      </c>
      <c r="L354" t="s">
        <v>329</v>
      </c>
      <c r="M354" t="s">
        <v>961</v>
      </c>
      <c r="N354" t="s">
        <v>961</v>
      </c>
      <c r="O354" t="s">
        <v>961</v>
      </c>
      <c r="P354" t="s">
        <v>2593</v>
      </c>
      <c r="Q354" t="s">
        <v>2593</v>
      </c>
      <c r="R354" t="s">
        <v>2593</v>
      </c>
      <c r="S354" t="s">
        <v>2593</v>
      </c>
      <c r="T354" t="s">
        <v>961</v>
      </c>
    </row>
    <row r="355" spans="1:20" x14ac:dyDescent="0.25">
      <c r="A355">
        <f t="shared" si="10"/>
        <v>354</v>
      </c>
      <c r="B355" s="9" t="s">
        <v>1930</v>
      </c>
      <c r="C355" s="10">
        <v>44823</v>
      </c>
      <c r="D355" t="s">
        <v>1971</v>
      </c>
      <c r="E355" t="s">
        <v>1972</v>
      </c>
      <c r="F355" t="s">
        <v>1973</v>
      </c>
      <c r="G355" t="s">
        <v>168</v>
      </c>
      <c r="H355">
        <v>1</v>
      </c>
      <c r="I355" s="11">
        <v>2174</v>
      </c>
      <c r="J355" s="47">
        <f t="shared" si="11"/>
        <v>2174</v>
      </c>
      <c r="K355" t="s">
        <v>1974</v>
      </c>
      <c r="L355" t="s">
        <v>1990</v>
      </c>
      <c r="M355" t="s">
        <v>961</v>
      </c>
      <c r="N355" t="s">
        <v>961</v>
      </c>
      <c r="O355" t="s">
        <v>961</v>
      </c>
      <c r="P355" t="s">
        <v>2593</v>
      </c>
      <c r="Q355" t="s">
        <v>2593</v>
      </c>
      <c r="R355" t="s">
        <v>2593</v>
      </c>
      <c r="S355" t="s">
        <v>2593</v>
      </c>
      <c r="T355" t="s">
        <v>961</v>
      </c>
    </row>
    <row r="356" spans="1:20" x14ac:dyDescent="0.25">
      <c r="A356" s="65">
        <f t="shared" si="10"/>
        <v>355</v>
      </c>
      <c r="B356" s="9" t="s">
        <v>1931</v>
      </c>
      <c r="C356" s="10">
        <v>44823</v>
      </c>
      <c r="D356" t="s">
        <v>1986</v>
      </c>
      <c r="E356" t="s">
        <v>1987</v>
      </c>
      <c r="F356" t="s">
        <v>1988</v>
      </c>
      <c r="G356" t="s">
        <v>281</v>
      </c>
      <c r="H356">
        <v>1</v>
      </c>
      <c r="I356" s="11">
        <v>292</v>
      </c>
      <c r="J356" s="47">
        <f t="shared" si="11"/>
        <v>292</v>
      </c>
      <c r="K356" t="s">
        <v>1989</v>
      </c>
      <c r="L356" t="s">
        <v>80</v>
      </c>
      <c r="M356" t="s">
        <v>961</v>
      </c>
      <c r="N356" t="s">
        <v>961</v>
      </c>
      <c r="O356" t="s">
        <v>961</v>
      </c>
      <c r="P356" t="s">
        <v>2593</v>
      </c>
      <c r="Q356" t="s">
        <v>2593</v>
      </c>
      <c r="R356" t="s">
        <v>2593</v>
      </c>
      <c r="S356" t="s">
        <v>2593</v>
      </c>
      <c r="T356" t="s">
        <v>961</v>
      </c>
    </row>
    <row r="357" spans="1:20" x14ac:dyDescent="0.25">
      <c r="A357" s="65">
        <f t="shared" si="10"/>
        <v>356</v>
      </c>
      <c r="B357" s="9" t="s">
        <v>1938</v>
      </c>
      <c r="C357" s="10">
        <v>44824</v>
      </c>
      <c r="D357" t="s">
        <v>1674</v>
      </c>
      <c r="E357" t="s">
        <v>1675</v>
      </c>
      <c r="F357" t="s">
        <v>1676</v>
      </c>
      <c r="G357" t="s">
        <v>281</v>
      </c>
      <c r="H357">
        <v>1</v>
      </c>
      <c r="I357" s="11">
        <v>993</v>
      </c>
      <c r="J357" s="47">
        <f t="shared" si="11"/>
        <v>993</v>
      </c>
      <c r="K357" t="s">
        <v>1677</v>
      </c>
      <c r="L357" t="s">
        <v>80</v>
      </c>
      <c r="M357" t="s">
        <v>961</v>
      </c>
      <c r="N357" t="s">
        <v>961</v>
      </c>
      <c r="O357" t="s">
        <v>961</v>
      </c>
      <c r="P357" t="s">
        <v>2593</v>
      </c>
      <c r="Q357" t="s">
        <v>2593</v>
      </c>
      <c r="R357" t="s">
        <v>2593</v>
      </c>
      <c r="S357" t="s">
        <v>2593</v>
      </c>
      <c r="T357" t="s">
        <v>961</v>
      </c>
    </row>
    <row r="358" spans="1:20" x14ac:dyDescent="0.25">
      <c r="A358">
        <f t="shared" si="10"/>
        <v>357</v>
      </c>
      <c r="B358" s="9" t="s">
        <v>1939</v>
      </c>
      <c r="C358" s="10">
        <v>44824</v>
      </c>
      <c r="D358" t="s">
        <v>1991</v>
      </c>
      <c r="E358" t="s">
        <v>1992</v>
      </c>
      <c r="F358" t="s">
        <v>1993</v>
      </c>
      <c r="G358" t="s">
        <v>168</v>
      </c>
      <c r="H358">
        <v>1</v>
      </c>
      <c r="I358" s="11">
        <v>1086</v>
      </c>
      <c r="J358" s="47">
        <f t="shared" si="11"/>
        <v>1086</v>
      </c>
      <c r="K358" t="s">
        <v>1832</v>
      </c>
      <c r="L358" t="s">
        <v>192</v>
      </c>
      <c r="M358" t="s">
        <v>961</v>
      </c>
      <c r="N358" t="s">
        <v>961</v>
      </c>
      <c r="O358" t="s">
        <v>961</v>
      </c>
      <c r="P358" t="s">
        <v>2593</v>
      </c>
      <c r="Q358" t="s">
        <v>2593</v>
      </c>
      <c r="R358" t="s">
        <v>2593</v>
      </c>
      <c r="S358" t="s">
        <v>2593</v>
      </c>
      <c r="T358" t="s">
        <v>961</v>
      </c>
    </row>
    <row r="359" spans="1:20" x14ac:dyDescent="0.25">
      <c r="A359" s="79">
        <f t="shared" si="10"/>
        <v>358</v>
      </c>
      <c r="B359" s="9" t="s">
        <v>1940</v>
      </c>
      <c r="C359" s="10">
        <v>44805</v>
      </c>
      <c r="D359" t="s">
        <v>1994</v>
      </c>
      <c r="E359" t="s">
        <v>1995</v>
      </c>
      <c r="F359" t="s">
        <v>1996</v>
      </c>
      <c r="G359" t="s">
        <v>168</v>
      </c>
      <c r="H359">
        <v>1</v>
      </c>
      <c r="I359" s="11">
        <v>1080</v>
      </c>
      <c r="J359" s="47">
        <f t="shared" si="11"/>
        <v>1080</v>
      </c>
      <c r="K359" t="s">
        <v>1997</v>
      </c>
      <c r="L359" t="s">
        <v>2008</v>
      </c>
      <c r="M359" t="s">
        <v>961</v>
      </c>
      <c r="N359" t="s">
        <v>961</v>
      </c>
      <c r="O359" t="s">
        <v>961</v>
      </c>
      <c r="P359" t="s">
        <v>2593</v>
      </c>
      <c r="Q359" t="s">
        <v>2593</v>
      </c>
      <c r="R359" t="s">
        <v>2593</v>
      </c>
      <c r="S359" t="s">
        <v>2593</v>
      </c>
      <c r="T359" t="s">
        <v>961</v>
      </c>
    </row>
    <row r="360" spans="1:20" x14ac:dyDescent="0.25">
      <c r="A360" s="65">
        <f t="shared" si="10"/>
        <v>359</v>
      </c>
      <c r="B360" s="9" t="s">
        <v>1941</v>
      </c>
      <c r="C360" s="10">
        <v>44812</v>
      </c>
      <c r="D360" t="s">
        <v>1883</v>
      </c>
      <c r="E360" t="s">
        <v>393</v>
      </c>
      <c r="F360" t="s">
        <v>394</v>
      </c>
      <c r="G360" t="s">
        <v>281</v>
      </c>
      <c r="H360">
        <v>1</v>
      </c>
      <c r="I360" s="11">
        <v>1328.8</v>
      </c>
      <c r="J360" s="47">
        <f t="shared" si="11"/>
        <v>1328.8</v>
      </c>
      <c r="K360" t="s">
        <v>1998</v>
      </c>
      <c r="L360" t="s">
        <v>281</v>
      </c>
      <c r="M360" t="s">
        <v>961</v>
      </c>
      <c r="N360" t="s">
        <v>961</v>
      </c>
      <c r="O360" t="s">
        <v>961</v>
      </c>
      <c r="P360" t="s">
        <v>2593</v>
      </c>
      <c r="Q360" t="s">
        <v>2593</v>
      </c>
      <c r="R360" t="s">
        <v>2593</v>
      </c>
      <c r="S360" t="s">
        <v>2593</v>
      </c>
      <c r="T360" t="s">
        <v>961</v>
      </c>
    </row>
    <row r="361" spans="1:20" x14ac:dyDescent="0.25">
      <c r="A361">
        <f t="shared" si="10"/>
        <v>360</v>
      </c>
      <c r="B361" s="102" t="s">
        <v>1942</v>
      </c>
      <c r="C361" s="10">
        <v>44825</v>
      </c>
      <c r="D361" t="s">
        <v>1999</v>
      </c>
      <c r="E361" t="s">
        <v>2000</v>
      </c>
      <c r="F361" t="s">
        <v>2001</v>
      </c>
      <c r="G361" t="s">
        <v>168</v>
      </c>
      <c r="H361">
        <v>1</v>
      </c>
      <c r="I361" s="11">
        <v>2244.8000000000002</v>
      </c>
      <c r="J361" s="47">
        <f t="shared" si="11"/>
        <v>2244.8000000000002</v>
      </c>
      <c r="K361" t="s">
        <v>2002</v>
      </c>
      <c r="L361" t="s">
        <v>2009</v>
      </c>
      <c r="M361" t="s">
        <v>961</v>
      </c>
      <c r="N361" t="s">
        <v>961</v>
      </c>
      <c r="O361" t="s">
        <v>961</v>
      </c>
      <c r="P361" t="s">
        <v>2593</v>
      </c>
      <c r="Q361" t="s">
        <v>2593</v>
      </c>
      <c r="R361" t="s">
        <v>2593</v>
      </c>
      <c r="S361" t="s">
        <v>2593</v>
      </c>
      <c r="T361" t="s">
        <v>961</v>
      </c>
    </row>
    <row r="362" spans="1:20" x14ac:dyDescent="0.25">
      <c r="A362">
        <f t="shared" si="10"/>
        <v>361</v>
      </c>
      <c r="B362" s="9" t="s">
        <v>1943</v>
      </c>
      <c r="C362" s="10">
        <v>44826</v>
      </c>
      <c r="D362" t="s">
        <v>2003</v>
      </c>
      <c r="E362" t="s">
        <v>2004</v>
      </c>
      <c r="F362" t="s">
        <v>2005</v>
      </c>
      <c r="G362" t="s">
        <v>168</v>
      </c>
      <c r="H362">
        <v>1</v>
      </c>
      <c r="I362" s="11">
        <v>3627</v>
      </c>
      <c r="J362" s="47">
        <f t="shared" si="11"/>
        <v>3627</v>
      </c>
      <c r="K362" t="s">
        <v>2006</v>
      </c>
      <c r="L362" t="s">
        <v>2007</v>
      </c>
      <c r="M362" t="s">
        <v>961</v>
      </c>
      <c r="N362" t="s">
        <v>961</v>
      </c>
      <c r="O362" t="s">
        <v>961</v>
      </c>
      <c r="P362" t="s">
        <v>2593</v>
      </c>
      <c r="Q362" t="s">
        <v>2593</v>
      </c>
      <c r="R362" t="s">
        <v>2593</v>
      </c>
      <c r="S362" t="s">
        <v>2593</v>
      </c>
      <c r="T362" t="s">
        <v>961</v>
      </c>
    </row>
    <row r="363" spans="1:20" x14ac:dyDescent="0.25">
      <c r="A363">
        <f t="shared" si="10"/>
        <v>362</v>
      </c>
      <c r="B363" s="102" t="s">
        <v>1944</v>
      </c>
      <c r="C363" s="10">
        <v>44827</v>
      </c>
      <c r="D363" t="s">
        <v>2010</v>
      </c>
      <c r="E363" t="s">
        <v>2011</v>
      </c>
      <c r="F363" t="s">
        <v>2012</v>
      </c>
      <c r="G363" t="s">
        <v>168</v>
      </c>
      <c r="H363">
        <v>1</v>
      </c>
      <c r="I363" s="11">
        <v>1355</v>
      </c>
      <c r="J363" s="47">
        <f t="shared" si="11"/>
        <v>1355</v>
      </c>
      <c r="K363" t="s">
        <v>2013</v>
      </c>
      <c r="L363" t="s">
        <v>1135</v>
      </c>
      <c r="M363" t="s">
        <v>961</v>
      </c>
      <c r="N363" t="s">
        <v>961</v>
      </c>
      <c r="O363" t="s">
        <v>961</v>
      </c>
      <c r="P363" t="s">
        <v>2593</v>
      </c>
      <c r="Q363" t="s">
        <v>2593</v>
      </c>
      <c r="R363" t="s">
        <v>2593</v>
      </c>
      <c r="S363" t="s">
        <v>2593</v>
      </c>
      <c r="T363" t="s">
        <v>961</v>
      </c>
    </row>
    <row r="364" spans="1:20" x14ac:dyDescent="0.25">
      <c r="A364" s="65">
        <f t="shared" si="10"/>
        <v>363</v>
      </c>
      <c r="B364" s="9" t="s">
        <v>1945</v>
      </c>
      <c r="C364" s="10">
        <v>44828</v>
      </c>
      <c r="D364" t="s">
        <v>2014</v>
      </c>
      <c r="E364" t="s">
        <v>711</v>
      </c>
      <c r="F364" t="s">
        <v>712</v>
      </c>
      <c r="G364" t="s">
        <v>281</v>
      </c>
      <c r="H364">
        <v>1</v>
      </c>
      <c r="I364" s="11">
        <v>1337</v>
      </c>
      <c r="J364" s="47">
        <f t="shared" si="11"/>
        <v>1337</v>
      </c>
      <c r="K364" t="s">
        <v>2015</v>
      </c>
      <c r="L364" t="s">
        <v>80</v>
      </c>
      <c r="M364" t="s">
        <v>961</v>
      </c>
      <c r="N364" t="s">
        <v>961</v>
      </c>
      <c r="O364" t="s">
        <v>961</v>
      </c>
      <c r="P364" t="s">
        <v>2593</v>
      </c>
      <c r="Q364" t="s">
        <v>2593</v>
      </c>
      <c r="R364" t="s">
        <v>2593</v>
      </c>
      <c r="S364" t="s">
        <v>2593</v>
      </c>
      <c r="T364" t="s">
        <v>961</v>
      </c>
    </row>
    <row r="365" spans="1:20" x14ac:dyDescent="0.25">
      <c r="A365">
        <f t="shared" si="10"/>
        <v>364</v>
      </c>
      <c r="B365" s="9" t="s">
        <v>1946</v>
      </c>
      <c r="C365" s="10">
        <v>44812</v>
      </c>
      <c r="D365" t="s">
        <v>2028</v>
      </c>
      <c r="E365" t="s">
        <v>2016</v>
      </c>
      <c r="F365" t="s">
        <v>2017</v>
      </c>
      <c r="G365" t="s">
        <v>168</v>
      </c>
      <c r="H365">
        <v>1</v>
      </c>
      <c r="I365" s="11">
        <v>1601.52</v>
      </c>
      <c r="J365" s="47">
        <f t="shared" si="11"/>
        <v>1601.52</v>
      </c>
      <c r="K365" t="s">
        <v>1868</v>
      </c>
      <c r="L365" t="s">
        <v>2029</v>
      </c>
      <c r="M365" t="s">
        <v>961</v>
      </c>
      <c r="N365" t="s">
        <v>961</v>
      </c>
      <c r="O365" t="s">
        <v>961</v>
      </c>
      <c r="P365" t="s">
        <v>2593</v>
      </c>
      <c r="Q365" t="s">
        <v>2593</v>
      </c>
      <c r="R365" t="s">
        <v>2593</v>
      </c>
      <c r="S365" t="s">
        <v>2593</v>
      </c>
      <c r="T365" t="s">
        <v>961</v>
      </c>
    </row>
    <row r="366" spans="1:20" x14ac:dyDescent="0.25">
      <c r="A366" s="64">
        <f t="shared" si="10"/>
        <v>365</v>
      </c>
      <c r="B366" s="102" t="s">
        <v>1947</v>
      </c>
      <c r="C366" s="10">
        <v>44817</v>
      </c>
      <c r="D366" t="s">
        <v>2018</v>
      </c>
      <c r="E366" t="s">
        <v>2019</v>
      </c>
      <c r="F366" t="s">
        <v>2020</v>
      </c>
      <c r="G366" t="s">
        <v>168</v>
      </c>
      <c r="H366">
        <v>1</v>
      </c>
      <c r="I366" s="11">
        <v>1351.24</v>
      </c>
      <c r="J366" s="47">
        <f t="shared" si="11"/>
        <v>1351.24</v>
      </c>
      <c r="K366" t="s">
        <v>342</v>
      </c>
      <c r="L366" t="s">
        <v>192</v>
      </c>
      <c r="M366" t="s">
        <v>961</v>
      </c>
      <c r="N366" t="s">
        <v>961</v>
      </c>
      <c r="O366" t="s">
        <v>961</v>
      </c>
      <c r="P366" t="s">
        <v>2593</v>
      </c>
      <c r="Q366" t="s">
        <v>2593</v>
      </c>
      <c r="R366" t="s">
        <v>2593</v>
      </c>
      <c r="S366" t="s">
        <v>2593</v>
      </c>
      <c r="T366" t="s">
        <v>961</v>
      </c>
    </row>
    <row r="367" spans="1:20" x14ac:dyDescent="0.25">
      <c r="A367" s="65">
        <f t="shared" si="10"/>
        <v>366</v>
      </c>
      <c r="B367" s="9" t="s">
        <v>1948</v>
      </c>
      <c r="C367" s="10">
        <v>44828</v>
      </c>
      <c r="D367" t="s">
        <v>2003</v>
      </c>
      <c r="E367" t="s">
        <v>2004</v>
      </c>
      <c r="F367" t="s">
        <v>2021</v>
      </c>
      <c r="G367" t="s">
        <v>281</v>
      </c>
      <c r="H367">
        <v>1</v>
      </c>
      <c r="I367" s="11">
        <v>3628.4</v>
      </c>
      <c r="J367" s="47">
        <f t="shared" si="11"/>
        <v>3628.4</v>
      </c>
      <c r="K367" t="s">
        <v>2022</v>
      </c>
      <c r="L367" t="s">
        <v>80</v>
      </c>
      <c r="M367" t="s">
        <v>961</v>
      </c>
      <c r="N367" t="s">
        <v>961</v>
      </c>
      <c r="O367" t="s">
        <v>961</v>
      </c>
      <c r="P367" t="s">
        <v>2593</v>
      </c>
      <c r="Q367" t="s">
        <v>2593</v>
      </c>
      <c r="R367" t="s">
        <v>2593</v>
      </c>
      <c r="S367" t="s">
        <v>2593</v>
      </c>
      <c r="T367" t="s">
        <v>961</v>
      </c>
    </row>
    <row r="368" spans="1:20" x14ac:dyDescent="0.25">
      <c r="A368" s="78">
        <f t="shared" si="10"/>
        <v>367</v>
      </c>
      <c r="B368" s="9" t="s">
        <v>1975</v>
      </c>
      <c r="C368" s="10">
        <v>44830</v>
      </c>
      <c r="D368" t="s">
        <v>1307</v>
      </c>
      <c r="E368" t="s">
        <v>1315</v>
      </c>
      <c r="F368" t="s">
        <v>1316</v>
      </c>
      <c r="G368" t="s">
        <v>281</v>
      </c>
      <c r="H368">
        <v>1</v>
      </c>
      <c r="I368" s="11">
        <v>7784.06</v>
      </c>
      <c r="J368" s="47">
        <f t="shared" si="11"/>
        <v>7784.06</v>
      </c>
      <c r="K368" t="s">
        <v>2023</v>
      </c>
      <c r="L368" t="s">
        <v>80</v>
      </c>
      <c r="M368" t="s">
        <v>961</v>
      </c>
      <c r="N368" t="s">
        <v>961</v>
      </c>
      <c r="O368" t="s">
        <v>961</v>
      </c>
      <c r="P368" t="s">
        <v>2593</v>
      </c>
      <c r="Q368" t="s">
        <v>2593</v>
      </c>
      <c r="R368" t="s">
        <v>2593</v>
      </c>
      <c r="S368" t="s">
        <v>2593</v>
      </c>
      <c r="T368" t="s">
        <v>961</v>
      </c>
    </row>
    <row r="369" spans="1:20" x14ac:dyDescent="0.25">
      <c r="A369">
        <f t="shared" si="10"/>
        <v>368</v>
      </c>
      <c r="B369" s="9" t="s">
        <v>1976</v>
      </c>
      <c r="C369" s="10">
        <v>44812</v>
      </c>
      <c r="D369" t="s">
        <v>2024</v>
      </c>
      <c r="E369" t="s">
        <v>2025</v>
      </c>
      <c r="F369" t="s">
        <v>2026</v>
      </c>
      <c r="G369" t="s">
        <v>168</v>
      </c>
      <c r="H369">
        <v>1</v>
      </c>
      <c r="I369" s="11">
        <v>1259.96</v>
      </c>
      <c r="J369" s="47">
        <f t="shared" si="11"/>
        <v>1259.96</v>
      </c>
      <c r="K369" t="s">
        <v>2027</v>
      </c>
      <c r="L369" t="s">
        <v>192</v>
      </c>
      <c r="M369" t="s">
        <v>961</v>
      </c>
      <c r="N369" t="s">
        <v>961</v>
      </c>
      <c r="O369" t="s">
        <v>961</v>
      </c>
      <c r="P369" t="s">
        <v>2593</v>
      </c>
      <c r="Q369" t="s">
        <v>2593</v>
      </c>
      <c r="R369" t="s">
        <v>2593</v>
      </c>
      <c r="S369" t="s">
        <v>2593</v>
      </c>
      <c r="T369" t="s">
        <v>961</v>
      </c>
    </row>
    <row r="370" spans="1:20" x14ac:dyDescent="0.25">
      <c r="A370">
        <f t="shared" si="10"/>
        <v>369</v>
      </c>
      <c r="B370" s="102" t="s">
        <v>1977</v>
      </c>
      <c r="C370" s="10">
        <v>44831</v>
      </c>
      <c r="D370" t="s">
        <v>2037</v>
      </c>
      <c r="E370" t="s">
        <v>2030</v>
      </c>
      <c r="F370" t="s">
        <v>2031</v>
      </c>
      <c r="G370" t="s">
        <v>168</v>
      </c>
      <c r="H370">
        <v>1</v>
      </c>
      <c r="I370" s="11">
        <v>1159</v>
      </c>
      <c r="J370" s="47">
        <f t="shared" si="11"/>
        <v>1159</v>
      </c>
      <c r="K370" t="s">
        <v>2032</v>
      </c>
      <c r="L370" t="s">
        <v>2038</v>
      </c>
      <c r="M370" t="s">
        <v>961</v>
      </c>
      <c r="N370" t="s">
        <v>961</v>
      </c>
      <c r="O370" t="s">
        <v>961</v>
      </c>
      <c r="P370" t="s">
        <v>2593</v>
      </c>
      <c r="Q370" t="s">
        <v>2593</v>
      </c>
      <c r="R370" t="s">
        <v>2593</v>
      </c>
      <c r="S370" t="s">
        <v>2593</v>
      </c>
      <c r="T370" t="s">
        <v>961</v>
      </c>
    </row>
    <row r="371" spans="1:20" x14ac:dyDescent="0.25">
      <c r="A371">
        <f t="shared" si="10"/>
        <v>370</v>
      </c>
      <c r="B371" s="9" t="s">
        <v>1978</v>
      </c>
      <c r="C371" s="10">
        <v>44831</v>
      </c>
      <c r="D371" t="s">
        <v>2033</v>
      </c>
      <c r="E371" t="s">
        <v>2034</v>
      </c>
      <c r="F371" t="s">
        <v>2035</v>
      </c>
      <c r="G371" t="s">
        <v>291</v>
      </c>
      <c r="H371">
        <v>1</v>
      </c>
      <c r="I371" s="11">
        <v>1492</v>
      </c>
      <c r="J371" s="47">
        <f t="shared" si="11"/>
        <v>1492</v>
      </c>
      <c r="K371" t="s">
        <v>2036</v>
      </c>
      <c r="L371" t="s">
        <v>2039</v>
      </c>
      <c r="M371" t="s">
        <v>961</v>
      </c>
      <c r="N371" t="s">
        <v>961</v>
      </c>
      <c r="O371" t="s">
        <v>961</v>
      </c>
      <c r="P371" t="s">
        <v>2593</v>
      </c>
      <c r="Q371" t="s">
        <v>2593</v>
      </c>
      <c r="R371" t="s">
        <v>2593</v>
      </c>
      <c r="S371" t="s">
        <v>2593</v>
      </c>
      <c r="T371" t="s">
        <v>961</v>
      </c>
    </row>
    <row r="372" spans="1:20" x14ac:dyDescent="0.25">
      <c r="A372">
        <f t="shared" si="10"/>
        <v>371</v>
      </c>
      <c r="B372" s="9" t="s">
        <v>1979</v>
      </c>
      <c r="C372" s="10">
        <v>44832</v>
      </c>
      <c r="D372" t="s">
        <v>2052</v>
      </c>
      <c r="E372" t="s">
        <v>2053</v>
      </c>
      <c r="F372" t="s">
        <v>2054</v>
      </c>
      <c r="G372" t="s">
        <v>168</v>
      </c>
      <c r="H372">
        <v>1</v>
      </c>
      <c r="I372" s="11">
        <v>1379</v>
      </c>
      <c r="J372" s="47">
        <f t="shared" si="11"/>
        <v>1379</v>
      </c>
      <c r="K372" t="s">
        <v>2055</v>
      </c>
      <c r="L372" t="s">
        <v>2060</v>
      </c>
      <c r="M372" t="s">
        <v>961</v>
      </c>
      <c r="N372" t="s">
        <v>961</v>
      </c>
      <c r="O372" t="s">
        <v>961</v>
      </c>
      <c r="P372" t="s">
        <v>2593</v>
      </c>
      <c r="Q372" t="s">
        <v>2593</v>
      </c>
      <c r="R372" t="s">
        <v>2593</v>
      </c>
      <c r="S372" t="s">
        <v>2593</v>
      </c>
      <c r="T372" t="s">
        <v>961</v>
      </c>
    </row>
    <row r="373" spans="1:20" x14ac:dyDescent="0.25">
      <c r="A373" s="65">
        <f t="shared" si="10"/>
        <v>372</v>
      </c>
      <c r="B373" s="9" t="s">
        <v>1980</v>
      </c>
      <c r="C373" s="10">
        <v>44819</v>
      </c>
      <c r="D373" t="s">
        <v>1381</v>
      </c>
      <c r="E373" t="s">
        <v>1382</v>
      </c>
      <c r="F373" t="s">
        <v>1383</v>
      </c>
      <c r="G373" t="s">
        <v>281</v>
      </c>
      <c r="H373">
        <v>1</v>
      </c>
      <c r="I373" s="11">
        <v>3231.3</v>
      </c>
      <c r="J373" s="47">
        <f t="shared" si="11"/>
        <v>3231.3</v>
      </c>
      <c r="K373" t="s">
        <v>1890</v>
      </c>
      <c r="L373" t="s">
        <v>80</v>
      </c>
      <c r="M373" t="s">
        <v>961</v>
      </c>
      <c r="N373" t="s">
        <v>961</v>
      </c>
      <c r="O373" t="s">
        <v>961</v>
      </c>
      <c r="P373" t="s">
        <v>2593</v>
      </c>
      <c r="Q373" t="s">
        <v>2593</v>
      </c>
      <c r="R373" t="s">
        <v>2593</v>
      </c>
      <c r="S373" t="s">
        <v>2593</v>
      </c>
      <c r="T373" t="s">
        <v>961</v>
      </c>
    </row>
    <row r="374" spans="1:20" x14ac:dyDescent="0.25">
      <c r="A374" s="65">
        <f t="shared" si="10"/>
        <v>373</v>
      </c>
      <c r="B374" s="9" t="s">
        <v>1981</v>
      </c>
      <c r="C374" s="10">
        <v>44837</v>
      </c>
      <c r="D374" t="s">
        <v>2056</v>
      </c>
      <c r="E374" t="s">
        <v>2057</v>
      </c>
      <c r="F374" t="s">
        <v>2058</v>
      </c>
      <c r="G374" t="s">
        <v>281</v>
      </c>
      <c r="H374">
        <v>1</v>
      </c>
      <c r="I374" s="11">
        <v>978</v>
      </c>
      <c r="J374" s="47">
        <f t="shared" si="11"/>
        <v>978</v>
      </c>
      <c r="K374" t="s">
        <v>2059</v>
      </c>
      <c r="L374" t="s">
        <v>80</v>
      </c>
      <c r="M374" t="s">
        <v>961</v>
      </c>
      <c r="N374" t="s">
        <v>961</v>
      </c>
      <c r="O374" t="s">
        <v>961</v>
      </c>
      <c r="P374" t="s">
        <v>2593</v>
      </c>
      <c r="Q374" t="s">
        <v>2593</v>
      </c>
      <c r="R374" t="s">
        <v>2593</v>
      </c>
      <c r="S374" t="s">
        <v>961</v>
      </c>
      <c r="T374" t="s">
        <v>961</v>
      </c>
    </row>
    <row r="375" spans="1:20" x14ac:dyDescent="0.25">
      <c r="A375">
        <f t="shared" si="10"/>
        <v>374</v>
      </c>
      <c r="B375" s="9" t="s">
        <v>1982</v>
      </c>
      <c r="C375" s="10">
        <v>44824</v>
      </c>
      <c r="D375" t="s">
        <v>2062</v>
      </c>
      <c r="E375" t="s">
        <v>2061</v>
      </c>
      <c r="F375" t="s">
        <v>2063</v>
      </c>
      <c r="G375" t="s">
        <v>291</v>
      </c>
      <c r="H375">
        <v>1</v>
      </c>
      <c r="I375" s="11">
        <v>6006</v>
      </c>
      <c r="J375" s="47">
        <f t="shared" si="11"/>
        <v>6006</v>
      </c>
      <c r="K375" t="s">
        <v>2064</v>
      </c>
      <c r="L375" t="s">
        <v>2082</v>
      </c>
      <c r="M375" t="s">
        <v>961</v>
      </c>
      <c r="N375" t="s">
        <v>961</v>
      </c>
      <c r="O375" t="s">
        <v>961</v>
      </c>
      <c r="P375" t="s">
        <v>2593</v>
      </c>
      <c r="Q375" t="s">
        <v>2593</v>
      </c>
      <c r="R375" t="s">
        <v>2593</v>
      </c>
      <c r="S375" t="s">
        <v>961</v>
      </c>
      <c r="T375" t="s">
        <v>961</v>
      </c>
    </row>
    <row r="376" spans="1:20" x14ac:dyDescent="0.25">
      <c r="A376">
        <f t="shared" si="10"/>
        <v>375</v>
      </c>
      <c r="B376" s="9" t="s">
        <v>1983</v>
      </c>
      <c r="C376" s="10">
        <v>44838</v>
      </c>
      <c r="D376" t="s">
        <v>2078</v>
      </c>
      <c r="E376" t="s">
        <v>2079</v>
      </c>
      <c r="F376" t="s">
        <v>2080</v>
      </c>
      <c r="G376" t="s">
        <v>168</v>
      </c>
      <c r="H376">
        <v>1</v>
      </c>
      <c r="I376" s="11">
        <v>1894.65</v>
      </c>
      <c r="J376" s="47">
        <f t="shared" si="11"/>
        <v>1894.65</v>
      </c>
      <c r="K376" t="s">
        <v>2081</v>
      </c>
      <c r="L376" t="s">
        <v>2083</v>
      </c>
      <c r="M376" t="s">
        <v>961</v>
      </c>
      <c r="N376" t="s">
        <v>961</v>
      </c>
      <c r="O376" t="s">
        <v>961</v>
      </c>
      <c r="P376" t="s">
        <v>2593</v>
      </c>
      <c r="Q376" t="s">
        <v>2593</v>
      </c>
      <c r="R376" t="s">
        <v>961</v>
      </c>
      <c r="S376" t="s">
        <v>961</v>
      </c>
    </row>
    <row r="377" spans="1:20" x14ac:dyDescent="0.25">
      <c r="A377">
        <f t="shared" si="10"/>
        <v>376</v>
      </c>
      <c r="B377" s="9" t="s">
        <v>1984</v>
      </c>
      <c r="C377" s="10">
        <v>44831</v>
      </c>
      <c r="D377" t="s">
        <v>2084</v>
      </c>
      <c r="E377" t="s">
        <v>2085</v>
      </c>
      <c r="F377" t="s">
        <v>2086</v>
      </c>
      <c r="G377" t="s">
        <v>168</v>
      </c>
      <c r="H377">
        <v>1</v>
      </c>
      <c r="I377" s="11">
        <v>2299.5</v>
      </c>
      <c r="J377" s="47">
        <f t="shared" si="11"/>
        <v>2299.5</v>
      </c>
      <c r="K377" t="s">
        <v>2087</v>
      </c>
      <c r="L377" t="s">
        <v>2089</v>
      </c>
      <c r="M377" t="s">
        <v>961</v>
      </c>
      <c r="N377" t="s">
        <v>961</v>
      </c>
      <c r="O377" t="s">
        <v>961</v>
      </c>
      <c r="P377" t="s">
        <v>2593</v>
      </c>
      <c r="Q377" t="s">
        <v>2593</v>
      </c>
      <c r="R377" t="s">
        <v>961</v>
      </c>
      <c r="S377" t="s">
        <v>961</v>
      </c>
    </row>
    <row r="378" spans="1:20" x14ac:dyDescent="0.25">
      <c r="A378" s="101">
        <f t="shared" si="10"/>
        <v>377</v>
      </c>
      <c r="B378" s="9" t="s">
        <v>1985</v>
      </c>
      <c r="C378" s="10">
        <v>44824</v>
      </c>
      <c r="D378" t="s">
        <v>2090</v>
      </c>
      <c r="E378" t="s">
        <v>2091</v>
      </c>
      <c r="F378" t="s">
        <v>2092</v>
      </c>
      <c r="G378" t="s">
        <v>281</v>
      </c>
      <c r="H378">
        <v>1</v>
      </c>
      <c r="I378" s="11">
        <v>1754</v>
      </c>
      <c r="J378" s="47">
        <f t="shared" si="11"/>
        <v>1754</v>
      </c>
      <c r="K378" t="s">
        <v>594</v>
      </c>
      <c r="L378" t="s">
        <v>80</v>
      </c>
      <c r="M378" t="s">
        <v>961</v>
      </c>
      <c r="N378" t="s">
        <v>961</v>
      </c>
      <c r="O378" t="s">
        <v>961</v>
      </c>
      <c r="P378" t="s">
        <v>2593</v>
      </c>
      <c r="Q378" t="s">
        <v>2593</v>
      </c>
      <c r="R378" t="s">
        <v>961</v>
      </c>
      <c r="S378" t="s">
        <v>961</v>
      </c>
    </row>
    <row r="379" spans="1:20" x14ac:dyDescent="0.25">
      <c r="A379">
        <f t="shared" si="10"/>
        <v>378</v>
      </c>
      <c r="B379" s="9" t="s">
        <v>2040</v>
      </c>
      <c r="C379" s="10">
        <v>44840</v>
      </c>
      <c r="D379" t="s">
        <v>2093</v>
      </c>
      <c r="E379" t="s">
        <v>2094</v>
      </c>
      <c r="F379" t="s">
        <v>2095</v>
      </c>
      <c r="G379" t="s">
        <v>168</v>
      </c>
      <c r="H379">
        <v>1</v>
      </c>
      <c r="I379" s="11">
        <v>2631</v>
      </c>
      <c r="J379" s="47">
        <f t="shared" si="11"/>
        <v>2631</v>
      </c>
      <c r="K379" t="s">
        <v>2096</v>
      </c>
      <c r="L379" t="s">
        <v>2108</v>
      </c>
      <c r="M379" t="s">
        <v>961</v>
      </c>
      <c r="N379" t="s">
        <v>961</v>
      </c>
      <c r="O379" t="s">
        <v>961</v>
      </c>
      <c r="P379" t="s">
        <v>2593</v>
      </c>
      <c r="Q379" t="s">
        <v>961</v>
      </c>
      <c r="R379" t="s">
        <v>961</v>
      </c>
      <c r="S379" t="s">
        <v>961</v>
      </c>
    </row>
    <row r="380" spans="1:20" x14ac:dyDescent="0.25">
      <c r="A380" s="64">
        <f t="shared" si="10"/>
        <v>379</v>
      </c>
      <c r="B380" s="102" t="s">
        <v>2041</v>
      </c>
      <c r="C380" s="10">
        <v>44841</v>
      </c>
      <c r="D380" t="s">
        <v>2097</v>
      </c>
      <c r="E380" t="s">
        <v>2098</v>
      </c>
      <c r="F380" t="s">
        <v>2099</v>
      </c>
      <c r="G380" t="s">
        <v>168</v>
      </c>
      <c r="H380">
        <v>1</v>
      </c>
      <c r="I380" s="11">
        <v>975.24</v>
      </c>
      <c r="J380" s="47">
        <f t="shared" si="11"/>
        <v>975.24</v>
      </c>
      <c r="K380" t="s">
        <v>2100</v>
      </c>
      <c r="L380" t="s">
        <v>2109</v>
      </c>
      <c r="M380" t="s">
        <v>961</v>
      </c>
      <c r="N380" t="s">
        <v>961</v>
      </c>
      <c r="O380" t="s">
        <v>961</v>
      </c>
      <c r="P380" t="s">
        <v>2593</v>
      </c>
      <c r="Q380" t="s">
        <v>961</v>
      </c>
      <c r="R380" t="s">
        <v>961</v>
      </c>
      <c r="S380" t="s">
        <v>961</v>
      </c>
    </row>
    <row r="381" spans="1:20" x14ac:dyDescent="0.25">
      <c r="A381">
        <f t="shared" si="10"/>
        <v>380</v>
      </c>
      <c r="B381" s="9" t="s">
        <v>2042</v>
      </c>
      <c r="C381" s="10">
        <v>44841</v>
      </c>
      <c r="D381" t="s">
        <v>2101</v>
      </c>
      <c r="E381" t="s">
        <v>2102</v>
      </c>
      <c r="F381" t="s">
        <v>2103</v>
      </c>
      <c r="G381" t="s">
        <v>291</v>
      </c>
      <c r="H381">
        <v>1</v>
      </c>
      <c r="I381" s="11">
        <v>1090</v>
      </c>
      <c r="J381" s="47">
        <f t="shared" si="11"/>
        <v>1090</v>
      </c>
      <c r="K381" t="s">
        <v>2204</v>
      </c>
      <c r="L381" t="s">
        <v>2110</v>
      </c>
      <c r="M381" t="s">
        <v>961</v>
      </c>
      <c r="N381" t="s">
        <v>961</v>
      </c>
      <c r="O381" t="s">
        <v>961</v>
      </c>
      <c r="P381" t="s">
        <v>2593</v>
      </c>
      <c r="Q381" t="s">
        <v>961</v>
      </c>
      <c r="R381" t="s">
        <v>961</v>
      </c>
      <c r="S381" t="s">
        <v>961</v>
      </c>
    </row>
    <row r="382" spans="1:20" x14ac:dyDescent="0.25">
      <c r="A382" s="65">
        <f t="shared" si="10"/>
        <v>381</v>
      </c>
      <c r="B382" s="9" t="s">
        <v>2043</v>
      </c>
      <c r="C382" s="10">
        <v>44842</v>
      </c>
      <c r="D382" t="s">
        <v>2104</v>
      </c>
      <c r="E382" t="s">
        <v>2105</v>
      </c>
      <c r="F382" t="s">
        <v>2106</v>
      </c>
      <c r="G382" t="s">
        <v>281</v>
      </c>
      <c r="H382">
        <v>1</v>
      </c>
      <c r="I382" s="11">
        <v>1891</v>
      </c>
      <c r="J382" s="47">
        <f t="shared" si="11"/>
        <v>1891</v>
      </c>
      <c r="K382" t="s">
        <v>2107</v>
      </c>
      <c r="L382" t="s">
        <v>80</v>
      </c>
      <c r="M382" t="s">
        <v>961</v>
      </c>
      <c r="N382" t="s">
        <v>961</v>
      </c>
      <c r="O382" t="s">
        <v>961</v>
      </c>
      <c r="P382" t="s">
        <v>2593</v>
      </c>
      <c r="Q382" t="s">
        <v>961</v>
      </c>
      <c r="R382" t="s">
        <v>961</v>
      </c>
      <c r="S382" t="s">
        <v>961</v>
      </c>
    </row>
    <row r="383" spans="1:20" x14ac:dyDescent="0.25">
      <c r="A383">
        <f t="shared" si="10"/>
        <v>382</v>
      </c>
      <c r="B383" s="9" t="s">
        <v>2044</v>
      </c>
      <c r="C383" s="10">
        <v>44845</v>
      </c>
      <c r="D383" t="s">
        <v>2111</v>
      </c>
      <c r="E383" t="s">
        <v>2112</v>
      </c>
      <c r="F383" t="s">
        <v>2113</v>
      </c>
      <c r="G383" t="s">
        <v>168</v>
      </c>
      <c r="H383">
        <v>1</v>
      </c>
      <c r="I383" s="11">
        <v>1641</v>
      </c>
      <c r="J383" s="47">
        <f t="shared" si="11"/>
        <v>1641</v>
      </c>
      <c r="K383" t="s">
        <v>2114</v>
      </c>
      <c r="L383" t="s">
        <v>2116</v>
      </c>
      <c r="M383" t="s">
        <v>961</v>
      </c>
      <c r="N383" t="s">
        <v>961</v>
      </c>
      <c r="O383" t="s">
        <v>961</v>
      </c>
      <c r="P383" t="s">
        <v>2593</v>
      </c>
      <c r="Q383" t="s">
        <v>961</v>
      </c>
      <c r="R383" t="s">
        <v>961</v>
      </c>
      <c r="S383" t="s">
        <v>961</v>
      </c>
    </row>
    <row r="384" spans="1:20" x14ac:dyDescent="0.25">
      <c r="A384" s="65">
        <f t="shared" si="10"/>
        <v>383</v>
      </c>
      <c r="B384" s="9" t="s">
        <v>2045</v>
      </c>
      <c r="C384" s="10">
        <v>44827</v>
      </c>
      <c r="D384" t="s">
        <v>1971</v>
      </c>
      <c r="E384" t="s">
        <v>1972</v>
      </c>
      <c r="F384" t="s">
        <v>1973</v>
      </c>
      <c r="G384" t="s">
        <v>281</v>
      </c>
      <c r="H384">
        <v>1</v>
      </c>
      <c r="I384" s="11">
        <v>2135</v>
      </c>
      <c r="J384" s="47">
        <f t="shared" si="11"/>
        <v>2135</v>
      </c>
      <c r="K384" t="s">
        <v>2115</v>
      </c>
      <c r="L384" t="s">
        <v>80</v>
      </c>
      <c r="M384" t="s">
        <v>961</v>
      </c>
      <c r="N384" t="s">
        <v>961</v>
      </c>
      <c r="O384" t="s">
        <v>961</v>
      </c>
      <c r="P384" t="s">
        <v>2593</v>
      </c>
      <c r="Q384" t="s">
        <v>961</v>
      </c>
      <c r="R384" t="s">
        <v>961</v>
      </c>
      <c r="S384" t="s">
        <v>961</v>
      </c>
    </row>
    <row r="385" spans="1:19" x14ac:dyDescent="0.25">
      <c r="A385" s="65">
        <f t="shared" si="10"/>
        <v>384</v>
      </c>
      <c r="B385" s="9" t="s">
        <v>2046</v>
      </c>
      <c r="C385" s="10">
        <v>44832</v>
      </c>
      <c r="D385" t="s">
        <v>1331</v>
      </c>
      <c r="E385" t="s">
        <v>1347</v>
      </c>
      <c r="F385" t="s">
        <v>2117</v>
      </c>
      <c r="G385" t="s">
        <v>281</v>
      </c>
      <c r="H385">
        <v>1</v>
      </c>
      <c r="I385" s="11">
        <v>1092.96</v>
      </c>
      <c r="J385" s="47">
        <f t="shared" si="11"/>
        <v>1092.96</v>
      </c>
      <c r="K385" t="s">
        <v>1349</v>
      </c>
      <c r="L385" t="s">
        <v>80</v>
      </c>
      <c r="M385" t="s">
        <v>961</v>
      </c>
      <c r="N385" t="s">
        <v>961</v>
      </c>
      <c r="O385" t="s">
        <v>961</v>
      </c>
      <c r="P385" t="s">
        <v>2593</v>
      </c>
      <c r="Q385" t="s">
        <v>961</v>
      </c>
      <c r="R385" t="s">
        <v>961</v>
      </c>
      <c r="S385" t="s">
        <v>961</v>
      </c>
    </row>
    <row r="386" spans="1:19" x14ac:dyDescent="0.25">
      <c r="A386">
        <f t="shared" si="10"/>
        <v>385</v>
      </c>
      <c r="B386" s="102" t="s">
        <v>2047</v>
      </c>
      <c r="C386" s="10">
        <v>44838</v>
      </c>
      <c r="D386" t="s">
        <v>2118</v>
      </c>
      <c r="E386" t="s">
        <v>2119</v>
      </c>
      <c r="F386" t="s">
        <v>2120</v>
      </c>
      <c r="G386" t="s">
        <v>168</v>
      </c>
      <c r="H386">
        <v>1</v>
      </c>
      <c r="I386" s="11">
        <v>2001.84</v>
      </c>
      <c r="J386" s="47">
        <f t="shared" si="11"/>
        <v>2001.84</v>
      </c>
      <c r="K386" t="s">
        <v>2121</v>
      </c>
      <c r="L386" t="s">
        <v>278</v>
      </c>
      <c r="M386" t="s">
        <v>961</v>
      </c>
      <c r="N386" t="s">
        <v>961</v>
      </c>
      <c r="O386" t="s">
        <v>961</v>
      </c>
      <c r="P386" t="s">
        <v>961</v>
      </c>
      <c r="Q386" t="s">
        <v>961</v>
      </c>
      <c r="R386" t="s">
        <v>961</v>
      </c>
      <c r="S386" t="s">
        <v>961</v>
      </c>
    </row>
    <row r="387" spans="1:19" x14ac:dyDescent="0.25">
      <c r="A387">
        <f t="shared" si="10"/>
        <v>386</v>
      </c>
      <c r="B387" s="9" t="s">
        <v>2048</v>
      </c>
      <c r="C387" s="10">
        <v>44839</v>
      </c>
      <c r="D387" t="s">
        <v>2122</v>
      </c>
      <c r="E387" t="s">
        <v>2123</v>
      </c>
      <c r="F387" t="s">
        <v>2124</v>
      </c>
      <c r="G387" t="s">
        <v>168</v>
      </c>
      <c r="H387">
        <v>1</v>
      </c>
      <c r="I387" s="11">
        <v>1194</v>
      </c>
      <c r="J387" s="47">
        <f t="shared" si="11"/>
        <v>1194</v>
      </c>
      <c r="K387" t="s">
        <v>451</v>
      </c>
      <c r="L387" t="s">
        <v>192</v>
      </c>
      <c r="M387" t="s">
        <v>961</v>
      </c>
      <c r="N387" t="s">
        <v>961</v>
      </c>
      <c r="O387" t="s">
        <v>961</v>
      </c>
      <c r="P387" t="s">
        <v>961</v>
      </c>
      <c r="Q387" t="s">
        <v>961</v>
      </c>
      <c r="R387" t="s">
        <v>961</v>
      </c>
      <c r="S387" t="s">
        <v>961</v>
      </c>
    </row>
    <row r="388" spans="1:19" x14ac:dyDescent="0.25">
      <c r="A388" s="65">
        <f t="shared" ref="A388:A451" si="12">+A387+1</f>
        <v>387</v>
      </c>
      <c r="B388" s="9" t="s">
        <v>2049</v>
      </c>
      <c r="C388" s="10">
        <v>44847</v>
      </c>
      <c r="D388" t="s">
        <v>1144</v>
      </c>
      <c r="E388" t="s">
        <v>1145</v>
      </c>
      <c r="F388" t="s">
        <v>1146</v>
      </c>
      <c r="G388" t="s">
        <v>281</v>
      </c>
      <c r="H388">
        <v>1</v>
      </c>
      <c r="I388" s="11">
        <v>1542.8</v>
      </c>
      <c r="J388" s="47">
        <f t="shared" ref="J388:J451" si="13">I388/H388</f>
        <v>1542.8</v>
      </c>
      <c r="K388" t="s">
        <v>2126</v>
      </c>
      <c r="L388" t="s">
        <v>80</v>
      </c>
      <c r="M388" t="s">
        <v>961</v>
      </c>
      <c r="N388" t="s">
        <v>961</v>
      </c>
      <c r="O388" t="s">
        <v>961</v>
      </c>
      <c r="P388" t="s">
        <v>961</v>
      </c>
      <c r="Q388" t="s">
        <v>961</v>
      </c>
      <c r="R388" t="s">
        <v>961</v>
      </c>
      <c r="S388" t="s">
        <v>961</v>
      </c>
    </row>
    <row r="389" spans="1:19" x14ac:dyDescent="0.25">
      <c r="A389" s="65">
        <f t="shared" si="12"/>
        <v>388</v>
      </c>
      <c r="B389" s="9" t="s">
        <v>2050</v>
      </c>
      <c r="C389" s="10">
        <v>44842</v>
      </c>
      <c r="D389" t="s">
        <v>2129</v>
      </c>
      <c r="E389" t="s">
        <v>2130</v>
      </c>
      <c r="F389" t="s">
        <v>2131</v>
      </c>
      <c r="G389" t="s">
        <v>281</v>
      </c>
      <c r="H389">
        <v>1</v>
      </c>
      <c r="I389" s="11">
        <v>1312</v>
      </c>
      <c r="J389" s="47">
        <f t="shared" si="13"/>
        <v>1312</v>
      </c>
      <c r="K389" t="s">
        <v>2132</v>
      </c>
      <c r="L389" t="s">
        <v>80</v>
      </c>
      <c r="M389" t="s">
        <v>961</v>
      </c>
      <c r="N389" t="s">
        <v>961</v>
      </c>
      <c r="O389" t="s">
        <v>961</v>
      </c>
      <c r="P389" t="s">
        <v>961</v>
      </c>
      <c r="Q389" t="s">
        <v>961</v>
      </c>
      <c r="R389" t="s">
        <v>961</v>
      </c>
      <c r="S389" t="s">
        <v>961</v>
      </c>
    </row>
    <row r="390" spans="1:19" x14ac:dyDescent="0.25">
      <c r="A390">
        <f t="shared" si="12"/>
        <v>389</v>
      </c>
      <c r="B390" s="102" t="s">
        <v>2051</v>
      </c>
      <c r="C390" s="10">
        <v>44847</v>
      </c>
      <c r="D390" t="s">
        <v>2133</v>
      </c>
      <c r="E390" t="s">
        <v>2134</v>
      </c>
      <c r="F390" t="s">
        <v>2135</v>
      </c>
      <c r="G390" t="s">
        <v>168</v>
      </c>
      <c r="H390">
        <v>1</v>
      </c>
      <c r="I390" s="11">
        <v>2720</v>
      </c>
      <c r="J390" s="47">
        <f t="shared" si="13"/>
        <v>2720</v>
      </c>
      <c r="K390" t="s">
        <v>2136</v>
      </c>
      <c r="L390" t="s">
        <v>192</v>
      </c>
      <c r="M390" t="s">
        <v>961</v>
      </c>
      <c r="N390" t="s">
        <v>961</v>
      </c>
      <c r="O390" t="s">
        <v>961</v>
      </c>
      <c r="P390" t="s">
        <v>961</v>
      </c>
      <c r="Q390" t="s">
        <v>961</v>
      </c>
      <c r="R390" t="s">
        <v>961</v>
      </c>
      <c r="S390" t="s">
        <v>961</v>
      </c>
    </row>
    <row r="391" spans="1:19" x14ac:dyDescent="0.25">
      <c r="A391" s="65">
        <f t="shared" si="12"/>
        <v>390</v>
      </c>
      <c r="B391" s="9" t="s">
        <v>2065</v>
      </c>
      <c r="C391" s="10">
        <v>44848</v>
      </c>
      <c r="D391" t="s">
        <v>2137</v>
      </c>
      <c r="E391" t="s">
        <v>308</v>
      </c>
      <c r="F391" t="s">
        <v>2138</v>
      </c>
      <c r="G391" t="s">
        <v>281</v>
      </c>
      <c r="H391">
        <v>1</v>
      </c>
      <c r="I391" s="11">
        <v>2660</v>
      </c>
      <c r="J391" s="47">
        <f t="shared" si="13"/>
        <v>2660</v>
      </c>
      <c r="K391" t="s">
        <v>2139</v>
      </c>
      <c r="L391" t="s">
        <v>80</v>
      </c>
      <c r="M391" t="s">
        <v>961</v>
      </c>
      <c r="N391" t="s">
        <v>961</v>
      </c>
      <c r="O391" t="s">
        <v>961</v>
      </c>
      <c r="P391" t="s">
        <v>961</v>
      </c>
      <c r="Q391" t="s">
        <v>961</v>
      </c>
      <c r="R391" t="s">
        <v>961</v>
      </c>
      <c r="S391" t="s">
        <v>961</v>
      </c>
    </row>
    <row r="392" spans="1:19" x14ac:dyDescent="0.25">
      <c r="A392" s="64">
        <f t="shared" si="12"/>
        <v>391</v>
      </c>
      <c r="B392" s="9" t="s">
        <v>2066</v>
      </c>
      <c r="C392" s="10">
        <v>44849</v>
      </c>
      <c r="D392" t="s">
        <v>2140</v>
      </c>
      <c r="E392" t="s">
        <v>2141</v>
      </c>
      <c r="F392" t="s">
        <v>2142</v>
      </c>
      <c r="G392" t="s">
        <v>168</v>
      </c>
      <c r="H392">
        <v>1</v>
      </c>
      <c r="I392" s="11">
        <v>7027.28</v>
      </c>
      <c r="J392" s="47">
        <f t="shared" si="13"/>
        <v>7027.28</v>
      </c>
      <c r="K392" t="s">
        <v>244</v>
      </c>
      <c r="L392" t="s">
        <v>277</v>
      </c>
      <c r="M392" t="s">
        <v>961</v>
      </c>
      <c r="N392" t="s">
        <v>961</v>
      </c>
      <c r="O392" t="s">
        <v>961</v>
      </c>
      <c r="P392" t="s">
        <v>961</v>
      </c>
      <c r="Q392" t="s">
        <v>961</v>
      </c>
      <c r="R392" t="s">
        <v>961</v>
      </c>
      <c r="S392" t="s">
        <v>961</v>
      </c>
    </row>
    <row r="393" spans="1:19" x14ac:dyDescent="0.25">
      <c r="A393" s="65">
        <f t="shared" si="12"/>
        <v>392</v>
      </c>
      <c r="B393" s="9" t="s">
        <v>2067</v>
      </c>
      <c r="C393" s="10">
        <v>44838</v>
      </c>
      <c r="D393" t="s">
        <v>1994</v>
      </c>
      <c r="E393" t="s">
        <v>1995</v>
      </c>
      <c r="F393" t="s">
        <v>2143</v>
      </c>
      <c r="G393" t="s">
        <v>281</v>
      </c>
      <c r="H393">
        <v>1</v>
      </c>
      <c r="I393" s="11">
        <v>953.28</v>
      </c>
      <c r="J393" s="47">
        <f t="shared" si="13"/>
        <v>953.28</v>
      </c>
      <c r="K393" t="s">
        <v>2144</v>
      </c>
      <c r="L393" t="s">
        <v>80</v>
      </c>
      <c r="M393" t="s">
        <v>961</v>
      </c>
      <c r="N393" t="s">
        <v>961</v>
      </c>
      <c r="O393" t="s">
        <v>961</v>
      </c>
      <c r="P393" t="s">
        <v>961</v>
      </c>
      <c r="Q393" t="s">
        <v>961</v>
      </c>
      <c r="R393" t="s">
        <v>961</v>
      </c>
      <c r="S393" t="s">
        <v>961</v>
      </c>
    </row>
    <row r="394" spans="1:19" x14ac:dyDescent="0.25">
      <c r="A394" s="65">
        <f t="shared" si="12"/>
        <v>393</v>
      </c>
      <c r="B394" s="9" t="s">
        <v>2068</v>
      </c>
      <c r="C394" s="10">
        <v>44851</v>
      </c>
      <c r="D394" t="s">
        <v>2014</v>
      </c>
      <c r="E394" t="s">
        <v>711</v>
      </c>
      <c r="F394" t="s">
        <v>712</v>
      </c>
      <c r="G394" t="s">
        <v>281</v>
      </c>
      <c r="H394">
        <v>1</v>
      </c>
      <c r="I394" s="11">
        <v>1337</v>
      </c>
      <c r="J394" s="47">
        <f t="shared" si="13"/>
        <v>1337</v>
      </c>
      <c r="K394" t="s">
        <v>2148</v>
      </c>
      <c r="L394" t="s">
        <v>80</v>
      </c>
      <c r="M394" t="s">
        <v>961</v>
      </c>
      <c r="N394" t="s">
        <v>961</v>
      </c>
      <c r="O394" t="s">
        <v>961</v>
      </c>
      <c r="P394" t="s">
        <v>961</v>
      </c>
      <c r="Q394" t="s">
        <v>961</v>
      </c>
      <c r="R394" t="s">
        <v>961</v>
      </c>
      <c r="S394" t="s">
        <v>961</v>
      </c>
    </row>
    <row r="395" spans="1:19" x14ac:dyDescent="0.25">
      <c r="A395" s="64">
        <f t="shared" si="12"/>
        <v>394</v>
      </c>
      <c r="B395" s="9" t="s">
        <v>2069</v>
      </c>
      <c r="C395" s="10">
        <v>44851</v>
      </c>
      <c r="D395" t="s">
        <v>2149</v>
      </c>
      <c r="E395" t="s">
        <v>2150</v>
      </c>
      <c r="F395" t="s">
        <v>2151</v>
      </c>
      <c r="G395" t="s">
        <v>168</v>
      </c>
      <c r="H395">
        <v>1</v>
      </c>
      <c r="I395" s="11">
        <v>2220.1999999999998</v>
      </c>
      <c r="J395" s="47">
        <f t="shared" si="13"/>
        <v>2220.1999999999998</v>
      </c>
      <c r="K395" t="s">
        <v>2152</v>
      </c>
      <c r="L395" t="s">
        <v>193</v>
      </c>
      <c r="M395" t="s">
        <v>961</v>
      </c>
      <c r="N395" t="s">
        <v>961</v>
      </c>
      <c r="O395" t="s">
        <v>961</v>
      </c>
      <c r="P395" t="s">
        <v>961</v>
      </c>
      <c r="Q395" t="s">
        <v>961</v>
      </c>
      <c r="R395" t="s">
        <v>961</v>
      </c>
      <c r="S395" t="s">
        <v>961</v>
      </c>
    </row>
    <row r="396" spans="1:19" x14ac:dyDescent="0.25">
      <c r="A396">
        <f t="shared" si="12"/>
        <v>395</v>
      </c>
      <c r="B396" s="9" t="s">
        <v>2070</v>
      </c>
      <c r="C396" s="10">
        <v>44844</v>
      </c>
      <c r="D396" t="s">
        <v>2153</v>
      </c>
      <c r="E396" t="s">
        <v>2154</v>
      </c>
      <c r="F396" t="s">
        <v>2155</v>
      </c>
      <c r="G396" t="s">
        <v>168</v>
      </c>
      <c r="H396">
        <v>1</v>
      </c>
      <c r="I396" s="11">
        <v>1872.3</v>
      </c>
      <c r="J396" s="47">
        <f t="shared" si="13"/>
        <v>1872.3</v>
      </c>
      <c r="K396" t="s">
        <v>2156</v>
      </c>
      <c r="L396" t="s">
        <v>192</v>
      </c>
      <c r="M396" t="s">
        <v>961</v>
      </c>
      <c r="N396" t="s">
        <v>961</v>
      </c>
      <c r="O396" t="s">
        <v>961</v>
      </c>
      <c r="P396" t="s">
        <v>961</v>
      </c>
      <c r="Q396" t="s">
        <v>961</v>
      </c>
      <c r="R396" t="s">
        <v>961</v>
      </c>
      <c r="S396" t="s">
        <v>961</v>
      </c>
    </row>
    <row r="397" spans="1:19" x14ac:dyDescent="0.25">
      <c r="A397" s="79">
        <f t="shared" si="12"/>
        <v>396</v>
      </c>
      <c r="B397" s="9" t="s">
        <v>2071</v>
      </c>
      <c r="C397" s="10">
        <v>44852</v>
      </c>
      <c r="D397" t="s">
        <v>2157</v>
      </c>
      <c r="E397" t="s">
        <v>2158</v>
      </c>
      <c r="F397" t="s">
        <v>2159</v>
      </c>
      <c r="G397" t="s">
        <v>168</v>
      </c>
      <c r="H397">
        <v>1</v>
      </c>
      <c r="I397" s="11">
        <v>1343.52</v>
      </c>
      <c r="J397" s="47">
        <f t="shared" si="13"/>
        <v>1343.52</v>
      </c>
      <c r="K397" t="s">
        <v>244</v>
      </c>
      <c r="L397" t="s">
        <v>2160</v>
      </c>
      <c r="M397" t="s">
        <v>961</v>
      </c>
      <c r="N397" t="s">
        <v>961</v>
      </c>
      <c r="O397" t="s">
        <v>961</v>
      </c>
      <c r="P397" t="s">
        <v>961</v>
      </c>
      <c r="Q397" t="s">
        <v>961</v>
      </c>
      <c r="R397" t="s">
        <v>961</v>
      </c>
      <c r="S397" t="s">
        <v>961</v>
      </c>
    </row>
    <row r="398" spans="1:19" x14ac:dyDescent="0.25">
      <c r="A398" s="65">
        <f t="shared" si="12"/>
        <v>397</v>
      </c>
      <c r="B398" s="9" t="s">
        <v>2072</v>
      </c>
      <c r="C398" s="10">
        <v>44844</v>
      </c>
      <c r="D398" t="s">
        <v>771</v>
      </c>
      <c r="E398" t="s">
        <v>772</v>
      </c>
      <c r="F398" t="s">
        <v>2161</v>
      </c>
      <c r="G398" t="s">
        <v>281</v>
      </c>
      <c r="H398">
        <v>1</v>
      </c>
      <c r="I398" s="11">
        <v>618</v>
      </c>
      <c r="J398" s="47">
        <f t="shared" si="13"/>
        <v>618</v>
      </c>
      <c r="K398" t="s">
        <v>2162</v>
      </c>
      <c r="L398" t="s">
        <v>80</v>
      </c>
      <c r="M398" t="s">
        <v>961</v>
      </c>
      <c r="N398" t="s">
        <v>961</v>
      </c>
      <c r="O398" t="s">
        <v>961</v>
      </c>
      <c r="P398" t="s">
        <v>961</v>
      </c>
      <c r="Q398" t="s">
        <v>961</v>
      </c>
      <c r="R398" t="s">
        <v>961</v>
      </c>
      <c r="S398" t="s">
        <v>961</v>
      </c>
    </row>
    <row r="399" spans="1:19" x14ac:dyDescent="0.25">
      <c r="A399">
        <f t="shared" si="12"/>
        <v>398</v>
      </c>
      <c r="B399" s="9" t="s">
        <v>2073</v>
      </c>
      <c r="C399" s="10">
        <v>44853</v>
      </c>
      <c r="D399" t="s">
        <v>2163</v>
      </c>
      <c r="E399" t="s">
        <v>2164</v>
      </c>
      <c r="F399" t="s">
        <v>2165</v>
      </c>
      <c r="G399" t="s">
        <v>291</v>
      </c>
      <c r="H399">
        <v>1</v>
      </c>
      <c r="I399" s="11">
        <v>1535</v>
      </c>
      <c r="J399" s="47">
        <f t="shared" si="13"/>
        <v>1535</v>
      </c>
      <c r="K399" t="s">
        <v>2166</v>
      </c>
      <c r="L399" t="s">
        <v>193</v>
      </c>
      <c r="M399" t="s">
        <v>961</v>
      </c>
      <c r="N399" t="s">
        <v>961</v>
      </c>
      <c r="O399" t="s">
        <v>961</v>
      </c>
      <c r="P399" t="s">
        <v>961</v>
      </c>
      <c r="Q399" t="s">
        <v>961</v>
      </c>
      <c r="R399" t="s">
        <v>961</v>
      </c>
      <c r="S399" t="s">
        <v>961</v>
      </c>
    </row>
    <row r="400" spans="1:19" x14ac:dyDescent="0.25">
      <c r="A400">
        <f t="shared" si="12"/>
        <v>399</v>
      </c>
      <c r="B400" s="9" t="s">
        <v>2074</v>
      </c>
      <c r="C400" s="10">
        <v>44854</v>
      </c>
      <c r="D400" t="s">
        <v>2167</v>
      </c>
      <c r="E400" t="s">
        <v>2168</v>
      </c>
      <c r="F400" t="s">
        <v>2169</v>
      </c>
      <c r="G400" t="s">
        <v>168</v>
      </c>
      <c r="H400">
        <v>1</v>
      </c>
      <c r="I400" s="11">
        <v>1150</v>
      </c>
      <c r="J400" s="47">
        <f t="shared" si="13"/>
        <v>1150</v>
      </c>
      <c r="K400" t="s">
        <v>270</v>
      </c>
      <c r="L400" t="s">
        <v>193</v>
      </c>
      <c r="M400" t="s">
        <v>961</v>
      </c>
      <c r="N400" t="s">
        <v>961</v>
      </c>
      <c r="O400" t="s">
        <v>961</v>
      </c>
      <c r="P400" t="s">
        <v>961</v>
      </c>
      <c r="Q400" t="s">
        <v>961</v>
      </c>
      <c r="R400" t="s">
        <v>961</v>
      </c>
      <c r="S400" t="s">
        <v>961</v>
      </c>
    </row>
    <row r="401" spans="1:19" x14ac:dyDescent="0.25">
      <c r="A401" s="78">
        <f t="shared" si="12"/>
        <v>400</v>
      </c>
      <c r="B401" s="9" t="s">
        <v>2075</v>
      </c>
      <c r="C401" s="10">
        <v>44855</v>
      </c>
      <c r="D401" t="s">
        <v>1307</v>
      </c>
      <c r="E401" t="s">
        <v>1315</v>
      </c>
      <c r="F401" t="s">
        <v>2170</v>
      </c>
      <c r="G401" t="s">
        <v>281</v>
      </c>
      <c r="H401">
        <v>1</v>
      </c>
      <c r="I401" s="11">
        <v>5160.84</v>
      </c>
      <c r="J401" s="47">
        <f t="shared" si="13"/>
        <v>5160.84</v>
      </c>
      <c r="K401" t="s">
        <v>2171</v>
      </c>
      <c r="L401" t="s">
        <v>80</v>
      </c>
      <c r="M401" t="s">
        <v>961</v>
      </c>
      <c r="N401" t="s">
        <v>961</v>
      </c>
      <c r="O401" t="s">
        <v>961</v>
      </c>
      <c r="P401" t="s">
        <v>961</v>
      </c>
      <c r="Q401" t="s">
        <v>961</v>
      </c>
      <c r="R401" t="s">
        <v>961</v>
      </c>
      <c r="S401" t="s">
        <v>961</v>
      </c>
    </row>
    <row r="402" spans="1:19" x14ac:dyDescent="0.25">
      <c r="A402" s="65">
        <f t="shared" si="12"/>
        <v>401</v>
      </c>
      <c r="B402" s="9" t="s">
        <v>2076</v>
      </c>
      <c r="C402" s="10">
        <v>44855</v>
      </c>
      <c r="D402" t="s">
        <v>2172</v>
      </c>
      <c r="E402" t="s">
        <v>2173</v>
      </c>
      <c r="F402" t="s">
        <v>2174</v>
      </c>
      <c r="G402" t="s">
        <v>281</v>
      </c>
      <c r="H402">
        <v>1</v>
      </c>
      <c r="I402" s="11">
        <v>1580</v>
      </c>
      <c r="J402" s="47">
        <f t="shared" si="13"/>
        <v>1580</v>
      </c>
      <c r="K402" t="s">
        <v>2175</v>
      </c>
      <c r="L402" t="s">
        <v>80</v>
      </c>
      <c r="M402" t="s">
        <v>961</v>
      </c>
      <c r="N402" t="s">
        <v>961</v>
      </c>
      <c r="O402" t="s">
        <v>961</v>
      </c>
      <c r="P402" t="s">
        <v>961</v>
      </c>
      <c r="Q402" t="s">
        <v>961</v>
      </c>
      <c r="R402" t="s">
        <v>961</v>
      </c>
      <c r="S402" t="s">
        <v>961</v>
      </c>
    </row>
    <row r="403" spans="1:19" x14ac:dyDescent="0.25">
      <c r="A403" s="78">
        <f t="shared" si="12"/>
        <v>402</v>
      </c>
      <c r="B403" s="102" t="s">
        <v>2077</v>
      </c>
      <c r="C403" s="10">
        <v>44858</v>
      </c>
      <c r="D403" t="s">
        <v>2176</v>
      </c>
      <c r="G403" t="s">
        <v>281</v>
      </c>
      <c r="H403">
        <v>1</v>
      </c>
      <c r="I403" s="11">
        <v>25761.96</v>
      </c>
      <c r="J403" s="47">
        <f t="shared" si="13"/>
        <v>25761.96</v>
      </c>
      <c r="K403" t="s">
        <v>575</v>
      </c>
      <c r="L403" t="s">
        <v>80</v>
      </c>
      <c r="M403" t="s">
        <v>961</v>
      </c>
      <c r="N403" t="s">
        <v>961</v>
      </c>
      <c r="O403" t="s">
        <v>961</v>
      </c>
      <c r="P403" t="s">
        <v>961</v>
      </c>
      <c r="Q403" t="s">
        <v>961</v>
      </c>
      <c r="R403" t="s">
        <v>961</v>
      </c>
      <c r="S403" t="s">
        <v>961</v>
      </c>
    </row>
    <row r="404" spans="1:19" x14ac:dyDescent="0.25">
      <c r="A404" s="65">
        <f t="shared" si="12"/>
        <v>403</v>
      </c>
      <c r="B404" s="9" t="s">
        <v>2125</v>
      </c>
      <c r="C404" s="10">
        <v>44847</v>
      </c>
      <c r="D404" t="s">
        <v>2122</v>
      </c>
      <c r="E404" t="s">
        <v>2123</v>
      </c>
      <c r="F404" t="s">
        <v>2124</v>
      </c>
      <c r="G404" t="s">
        <v>281</v>
      </c>
      <c r="H404">
        <v>1</v>
      </c>
      <c r="I404" s="11">
        <v>1168</v>
      </c>
      <c r="J404" s="47">
        <f t="shared" si="13"/>
        <v>1168</v>
      </c>
      <c r="K404" t="s">
        <v>2177</v>
      </c>
      <c r="L404" t="s">
        <v>80</v>
      </c>
      <c r="M404" t="s">
        <v>961</v>
      </c>
      <c r="N404" t="s">
        <v>961</v>
      </c>
      <c r="O404" t="s">
        <v>961</v>
      </c>
      <c r="P404" t="s">
        <v>961</v>
      </c>
      <c r="Q404" t="s">
        <v>961</v>
      </c>
      <c r="R404" t="s">
        <v>961</v>
      </c>
      <c r="S404" t="s">
        <v>961</v>
      </c>
    </row>
    <row r="405" spans="1:19" x14ac:dyDescent="0.25">
      <c r="A405">
        <f t="shared" si="12"/>
        <v>404</v>
      </c>
      <c r="B405" s="9" t="s">
        <v>2145</v>
      </c>
      <c r="C405" s="10">
        <v>44847</v>
      </c>
      <c r="D405" t="s">
        <v>2178</v>
      </c>
      <c r="E405" t="s">
        <v>2179</v>
      </c>
      <c r="F405" t="s">
        <v>2180</v>
      </c>
      <c r="G405" t="s">
        <v>168</v>
      </c>
      <c r="H405">
        <v>1</v>
      </c>
      <c r="I405" s="11">
        <v>2016</v>
      </c>
      <c r="J405" s="47">
        <f t="shared" si="13"/>
        <v>2016</v>
      </c>
      <c r="K405" t="s">
        <v>723</v>
      </c>
      <c r="L405" t="s">
        <v>192</v>
      </c>
      <c r="M405" t="s">
        <v>961</v>
      </c>
      <c r="N405" t="s">
        <v>961</v>
      </c>
      <c r="O405" t="s">
        <v>961</v>
      </c>
      <c r="P405" t="s">
        <v>961</v>
      </c>
      <c r="Q405" t="s">
        <v>961</v>
      </c>
      <c r="R405" t="s">
        <v>961</v>
      </c>
      <c r="S405" t="s">
        <v>961</v>
      </c>
    </row>
    <row r="406" spans="1:19" x14ac:dyDescent="0.25">
      <c r="A406" s="65">
        <f t="shared" si="12"/>
        <v>405</v>
      </c>
      <c r="B406" s="9" t="s">
        <v>2146</v>
      </c>
      <c r="C406" s="10">
        <v>44853</v>
      </c>
      <c r="D406" t="s">
        <v>1537</v>
      </c>
      <c r="E406" t="s">
        <v>1538</v>
      </c>
      <c r="F406" t="s">
        <v>1539</v>
      </c>
      <c r="G406" t="s">
        <v>281</v>
      </c>
      <c r="H406">
        <v>1</v>
      </c>
      <c r="I406" s="11">
        <v>600</v>
      </c>
      <c r="J406" s="47">
        <f t="shared" si="13"/>
        <v>600</v>
      </c>
      <c r="K406" t="s">
        <v>2181</v>
      </c>
      <c r="L406" t="s">
        <v>80</v>
      </c>
      <c r="M406" t="s">
        <v>961</v>
      </c>
      <c r="N406" t="s">
        <v>961</v>
      </c>
      <c r="O406" t="s">
        <v>961</v>
      </c>
      <c r="P406" t="s">
        <v>961</v>
      </c>
      <c r="Q406" t="s">
        <v>961</v>
      </c>
      <c r="R406" t="s">
        <v>961</v>
      </c>
      <c r="S406" t="s">
        <v>961</v>
      </c>
    </row>
    <row r="407" spans="1:19" x14ac:dyDescent="0.25">
      <c r="A407">
        <f t="shared" si="12"/>
        <v>406</v>
      </c>
      <c r="B407" s="9" t="s">
        <v>2147</v>
      </c>
      <c r="C407" s="10">
        <v>44862</v>
      </c>
      <c r="D407" t="s">
        <v>2182</v>
      </c>
      <c r="E407" t="s">
        <v>2183</v>
      </c>
      <c r="F407" t="s">
        <v>2184</v>
      </c>
      <c r="G407" t="s">
        <v>291</v>
      </c>
      <c r="H407">
        <v>1</v>
      </c>
      <c r="I407" s="11">
        <v>2244.5500000000002</v>
      </c>
      <c r="J407" s="47">
        <f t="shared" si="13"/>
        <v>2244.5500000000002</v>
      </c>
      <c r="K407" t="s">
        <v>2185</v>
      </c>
      <c r="L407" t="s">
        <v>2195</v>
      </c>
      <c r="M407" t="s">
        <v>961</v>
      </c>
      <c r="N407" t="s">
        <v>961</v>
      </c>
      <c r="O407" t="s">
        <v>961</v>
      </c>
      <c r="P407" t="s">
        <v>961</v>
      </c>
      <c r="Q407" t="s">
        <v>961</v>
      </c>
      <c r="R407" t="s">
        <v>961</v>
      </c>
      <c r="S407" t="s">
        <v>961</v>
      </c>
    </row>
    <row r="408" spans="1:19" x14ac:dyDescent="0.25">
      <c r="A408" s="65">
        <f t="shared" si="12"/>
        <v>407</v>
      </c>
      <c r="B408" s="9" t="s">
        <v>2186</v>
      </c>
      <c r="C408" s="10">
        <v>44865</v>
      </c>
      <c r="D408" t="s">
        <v>2172</v>
      </c>
      <c r="E408" t="s">
        <v>2173</v>
      </c>
      <c r="F408" t="s">
        <v>2174</v>
      </c>
      <c r="G408" t="s">
        <v>281</v>
      </c>
      <c r="H408">
        <v>1</v>
      </c>
      <c r="I408" s="11">
        <v>1999</v>
      </c>
      <c r="J408" s="47">
        <f t="shared" si="13"/>
        <v>1999</v>
      </c>
      <c r="K408" t="s">
        <v>2194</v>
      </c>
      <c r="L408" t="s">
        <v>80</v>
      </c>
      <c r="M408" t="s">
        <v>961</v>
      </c>
      <c r="N408" t="s">
        <v>961</v>
      </c>
      <c r="O408" t="s">
        <v>961</v>
      </c>
      <c r="P408" t="s">
        <v>961</v>
      </c>
      <c r="Q408" t="s">
        <v>961</v>
      </c>
      <c r="R408" t="s">
        <v>961</v>
      </c>
      <c r="S408" t="s">
        <v>961</v>
      </c>
    </row>
    <row r="409" spans="1:19" x14ac:dyDescent="0.25">
      <c r="A409" s="65">
        <f t="shared" si="12"/>
        <v>408</v>
      </c>
      <c r="B409" s="9" t="s">
        <v>2187</v>
      </c>
      <c r="C409" s="10">
        <v>44865</v>
      </c>
      <c r="D409" t="s">
        <v>2196</v>
      </c>
      <c r="E409" t="s">
        <v>2197</v>
      </c>
      <c r="F409" t="s">
        <v>2198</v>
      </c>
      <c r="G409" t="s">
        <v>281</v>
      </c>
      <c r="H409">
        <v>1</v>
      </c>
      <c r="I409" s="11">
        <v>1050</v>
      </c>
      <c r="J409" s="47">
        <f t="shared" si="13"/>
        <v>1050</v>
      </c>
      <c r="K409" t="s">
        <v>2199</v>
      </c>
      <c r="L409" t="s">
        <v>80</v>
      </c>
      <c r="M409" t="s">
        <v>961</v>
      </c>
      <c r="N409" t="s">
        <v>961</v>
      </c>
      <c r="O409" t="s">
        <v>961</v>
      </c>
      <c r="P409" t="s">
        <v>961</v>
      </c>
      <c r="Q409" t="s">
        <v>961</v>
      </c>
      <c r="R409" t="s">
        <v>961</v>
      </c>
      <c r="S409" t="s">
        <v>961</v>
      </c>
    </row>
    <row r="410" spans="1:19" x14ac:dyDescent="0.25">
      <c r="A410" s="78">
        <f t="shared" si="12"/>
        <v>409</v>
      </c>
      <c r="B410" s="9" t="s">
        <v>2188</v>
      </c>
      <c r="C410" s="10">
        <v>44860</v>
      </c>
      <c r="D410" t="s">
        <v>2200</v>
      </c>
      <c r="E410" t="s">
        <v>2202</v>
      </c>
      <c r="F410" t="s">
        <v>2203</v>
      </c>
      <c r="G410" t="s">
        <v>281</v>
      </c>
      <c r="H410">
        <v>1</v>
      </c>
      <c r="I410" s="11">
        <v>7662.54</v>
      </c>
      <c r="J410" s="47">
        <f t="shared" si="13"/>
        <v>7662.54</v>
      </c>
      <c r="K410" t="s">
        <v>2201</v>
      </c>
      <c r="L410" t="s">
        <v>80</v>
      </c>
      <c r="M410" t="s">
        <v>961</v>
      </c>
      <c r="N410" t="s">
        <v>961</v>
      </c>
      <c r="O410" t="s">
        <v>961</v>
      </c>
      <c r="P410" t="s">
        <v>961</v>
      </c>
      <c r="Q410" t="s">
        <v>961</v>
      </c>
      <c r="R410" t="s">
        <v>961</v>
      </c>
      <c r="S410" t="s">
        <v>961</v>
      </c>
    </row>
    <row r="411" spans="1:19" x14ac:dyDescent="0.25">
      <c r="A411" s="78">
        <f t="shared" si="12"/>
        <v>410</v>
      </c>
      <c r="B411" s="9" t="s">
        <v>2189</v>
      </c>
      <c r="C411" s="10">
        <v>44863</v>
      </c>
      <c r="D411" t="s">
        <v>2200</v>
      </c>
      <c r="E411" t="s">
        <v>2202</v>
      </c>
      <c r="F411" t="s">
        <v>2203</v>
      </c>
      <c r="G411" t="s">
        <v>281</v>
      </c>
      <c r="H411">
        <v>1</v>
      </c>
      <c r="I411" s="11">
        <v>7433.27</v>
      </c>
      <c r="J411" s="47">
        <f t="shared" si="13"/>
        <v>7433.27</v>
      </c>
      <c r="K411" t="s">
        <v>895</v>
      </c>
      <c r="L411" t="s">
        <v>80</v>
      </c>
      <c r="M411" t="s">
        <v>961</v>
      </c>
      <c r="N411" t="s">
        <v>961</v>
      </c>
      <c r="O411" t="s">
        <v>961</v>
      </c>
      <c r="P411" t="s">
        <v>961</v>
      </c>
      <c r="Q411" t="s">
        <v>961</v>
      </c>
      <c r="R411" t="s">
        <v>961</v>
      </c>
      <c r="S411" t="s">
        <v>961</v>
      </c>
    </row>
    <row r="412" spans="1:19" x14ac:dyDescent="0.25">
      <c r="A412" s="65">
        <f t="shared" si="12"/>
        <v>411</v>
      </c>
      <c r="B412" s="102" t="s">
        <v>2190</v>
      </c>
      <c r="C412" s="10">
        <v>44867</v>
      </c>
      <c r="D412" t="s">
        <v>2207</v>
      </c>
      <c r="E412" t="s">
        <v>2208</v>
      </c>
      <c r="F412" t="s">
        <v>601</v>
      </c>
      <c r="G412" t="s">
        <v>281</v>
      </c>
      <c r="H412">
        <v>1</v>
      </c>
      <c r="I412" s="11">
        <v>3001</v>
      </c>
      <c r="J412" s="47">
        <f t="shared" si="13"/>
        <v>3001</v>
      </c>
      <c r="K412" t="s">
        <v>2209</v>
      </c>
      <c r="L412" t="s">
        <v>80</v>
      </c>
      <c r="M412" t="s">
        <v>799</v>
      </c>
      <c r="N412" t="s">
        <v>961</v>
      </c>
      <c r="O412" t="s">
        <v>961</v>
      </c>
      <c r="P412" t="s">
        <v>961</v>
      </c>
      <c r="Q412" t="s">
        <v>961</v>
      </c>
      <c r="R412" t="s">
        <v>961</v>
      </c>
      <c r="S412" t="s">
        <v>961</v>
      </c>
    </row>
    <row r="413" spans="1:19" x14ac:dyDescent="0.25">
      <c r="A413" s="65">
        <f t="shared" si="12"/>
        <v>412</v>
      </c>
      <c r="B413" s="9" t="s">
        <v>2191</v>
      </c>
      <c r="C413" s="10">
        <v>44868</v>
      </c>
      <c r="D413" t="s">
        <v>2210</v>
      </c>
      <c r="E413" t="s">
        <v>2211</v>
      </c>
      <c r="F413" t="s">
        <v>2212</v>
      </c>
      <c r="G413" t="s">
        <v>281</v>
      </c>
      <c r="H413">
        <v>1</v>
      </c>
      <c r="I413" s="11">
        <v>1139</v>
      </c>
      <c r="J413" s="47">
        <f t="shared" si="13"/>
        <v>1139</v>
      </c>
      <c r="K413" t="s">
        <v>2213</v>
      </c>
      <c r="L413" t="s">
        <v>80</v>
      </c>
      <c r="M413" t="s">
        <v>799</v>
      </c>
      <c r="N413" t="s">
        <v>961</v>
      </c>
      <c r="O413" t="s">
        <v>961</v>
      </c>
      <c r="P413" t="s">
        <v>961</v>
      </c>
      <c r="Q413" t="s">
        <v>961</v>
      </c>
      <c r="R413" t="s">
        <v>961</v>
      </c>
      <c r="S413" t="s">
        <v>961</v>
      </c>
    </row>
    <row r="414" spans="1:19" x14ac:dyDescent="0.25">
      <c r="A414">
        <f t="shared" si="12"/>
        <v>413</v>
      </c>
      <c r="B414" s="9" t="s">
        <v>2192</v>
      </c>
      <c r="C414" s="10">
        <v>44868</v>
      </c>
      <c r="D414" t="s">
        <v>2214</v>
      </c>
      <c r="E414" t="s">
        <v>2215</v>
      </c>
      <c r="F414" t="s">
        <v>2216</v>
      </c>
      <c r="G414" t="s">
        <v>168</v>
      </c>
      <c r="H414">
        <v>1</v>
      </c>
      <c r="I414" s="11">
        <v>824</v>
      </c>
      <c r="J414" s="47">
        <f t="shared" si="13"/>
        <v>824</v>
      </c>
      <c r="K414" t="s">
        <v>1365</v>
      </c>
      <c r="L414" t="s">
        <v>2225</v>
      </c>
      <c r="M414" t="s">
        <v>799</v>
      </c>
      <c r="N414" t="s">
        <v>961</v>
      </c>
      <c r="O414" t="s">
        <v>961</v>
      </c>
      <c r="P414" t="s">
        <v>961</v>
      </c>
      <c r="Q414" t="s">
        <v>961</v>
      </c>
      <c r="R414" t="s">
        <v>961</v>
      </c>
      <c r="S414" t="s">
        <v>961</v>
      </c>
    </row>
    <row r="415" spans="1:19" x14ac:dyDescent="0.25">
      <c r="A415" s="64">
        <f t="shared" si="12"/>
        <v>414</v>
      </c>
      <c r="B415" s="9" t="s">
        <v>2193</v>
      </c>
      <c r="C415" s="10">
        <v>44868</v>
      </c>
      <c r="D415" t="s">
        <v>2220</v>
      </c>
      <c r="E415" t="s">
        <v>2217</v>
      </c>
      <c r="F415" t="s">
        <v>2218</v>
      </c>
      <c r="G415" t="s">
        <v>168</v>
      </c>
      <c r="H415">
        <v>1</v>
      </c>
      <c r="I415" s="11">
        <v>1931.4</v>
      </c>
      <c r="J415" s="47">
        <f t="shared" si="13"/>
        <v>1931.4</v>
      </c>
      <c r="K415" t="s">
        <v>2219</v>
      </c>
      <c r="L415" t="s">
        <v>2226</v>
      </c>
      <c r="M415" t="s">
        <v>799</v>
      </c>
      <c r="N415" t="s">
        <v>961</v>
      </c>
      <c r="O415" t="s">
        <v>961</v>
      </c>
      <c r="P415" t="s">
        <v>961</v>
      </c>
      <c r="Q415" t="s">
        <v>961</v>
      </c>
      <c r="R415" t="s">
        <v>961</v>
      </c>
      <c r="S415" t="s">
        <v>961</v>
      </c>
    </row>
    <row r="416" spans="1:19" x14ac:dyDescent="0.25">
      <c r="A416">
        <f t="shared" si="12"/>
        <v>415</v>
      </c>
      <c r="B416" s="9" t="s">
        <v>2206</v>
      </c>
      <c r="C416" s="10">
        <v>44870</v>
      </c>
      <c r="D416" t="s">
        <v>2221</v>
      </c>
      <c r="E416" t="s">
        <v>2222</v>
      </c>
      <c r="F416" t="s">
        <v>2223</v>
      </c>
      <c r="G416" t="s">
        <v>168</v>
      </c>
      <c r="H416">
        <v>1</v>
      </c>
      <c r="I416" s="11">
        <v>1200</v>
      </c>
      <c r="J416" s="47">
        <f t="shared" si="13"/>
        <v>1200</v>
      </c>
      <c r="K416" t="s">
        <v>2224</v>
      </c>
      <c r="L416" t="s">
        <v>277</v>
      </c>
      <c r="M416" t="s">
        <v>799</v>
      </c>
      <c r="N416" t="s">
        <v>961</v>
      </c>
      <c r="O416" t="s">
        <v>961</v>
      </c>
      <c r="P416" t="s">
        <v>961</v>
      </c>
      <c r="Q416" t="s">
        <v>961</v>
      </c>
      <c r="R416" t="s">
        <v>961</v>
      </c>
      <c r="S416" t="s">
        <v>961</v>
      </c>
    </row>
    <row r="417" spans="1:19" x14ac:dyDescent="0.25">
      <c r="A417">
        <f t="shared" si="12"/>
        <v>416</v>
      </c>
      <c r="B417" s="9" t="s">
        <v>2227</v>
      </c>
      <c r="C417" s="10">
        <v>44872</v>
      </c>
      <c r="D417" t="s">
        <v>2233</v>
      </c>
      <c r="E417" t="s">
        <v>2234</v>
      </c>
      <c r="F417" t="s">
        <v>2235</v>
      </c>
      <c r="G417" t="s">
        <v>168</v>
      </c>
      <c r="H417">
        <v>1</v>
      </c>
      <c r="I417" s="11">
        <v>991</v>
      </c>
      <c r="J417" s="47">
        <f t="shared" si="13"/>
        <v>991</v>
      </c>
      <c r="K417" t="s">
        <v>2236</v>
      </c>
      <c r="L417" t="s">
        <v>192</v>
      </c>
      <c r="M417" t="s">
        <v>799</v>
      </c>
      <c r="N417" t="s">
        <v>961</v>
      </c>
      <c r="O417" t="s">
        <v>961</v>
      </c>
      <c r="P417" t="s">
        <v>961</v>
      </c>
      <c r="Q417" t="s">
        <v>961</v>
      </c>
      <c r="R417" t="s">
        <v>961</v>
      </c>
      <c r="S417" t="s">
        <v>961</v>
      </c>
    </row>
    <row r="418" spans="1:19" x14ac:dyDescent="0.25">
      <c r="A418">
        <f t="shared" si="12"/>
        <v>417</v>
      </c>
      <c r="B418" s="9" t="s">
        <v>2228</v>
      </c>
      <c r="C418" s="10">
        <v>44872</v>
      </c>
      <c r="D418" t="s">
        <v>1811</v>
      </c>
      <c r="E418" t="s">
        <v>2237</v>
      </c>
      <c r="F418" t="s">
        <v>2238</v>
      </c>
      <c r="G418" t="s">
        <v>168</v>
      </c>
      <c r="H418">
        <v>1</v>
      </c>
      <c r="I418" s="11">
        <v>1320</v>
      </c>
      <c r="J418" s="47">
        <f t="shared" si="13"/>
        <v>1320</v>
      </c>
      <c r="K418" t="s">
        <v>2239</v>
      </c>
      <c r="L418" t="s">
        <v>277</v>
      </c>
      <c r="M418" t="s">
        <v>799</v>
      </c>
      <c r="N418" t="s">
        <v>961</v>
      </c>
      <c r="O418" t="s">
        <v>961</v>
      </c>
      <c r="P418" t="s">
        <v>961</v>
      </c>
      <c r="Q418" t="s">
        <v>961</v>
      </c>
      <c r="R418" t="s">
        <v>961</v>
      </c>
      <c r="S418" t="s">
        <v>961</v>
      </c>
    </row>
    <row r="419" spans="1:19" x14ac:dyDescent="0.25">
      <c r="A419" s="65">
        <f t="shared" si="12"/>
        <v>418</v>
      </c>
      <c r="B419" s="102" t="s">
        <v>2229</v>
      </c>
      <c r="C419" s="10">
        <v>44873</v>
      </c>
      <c r="D419" t="s">
        <v>2207</v>
      </c>
      <c r="E419" t="s">
        <v>2208</v>
      </c>
      <c r="F419" t="s">
        <v>601</v>
      </c>
      <c r="G419" t="s">
        <v>281</v>
      </c>
      <c r="H419">
        <v>1</v>
      </c>
      <c r="I419" s="11">
        <v>1396.8</v>
      </c>
      <c r="J419" s="47">
        <f t="shared" si="13"/>
        <v>1396.8</v>
      </c>
      <c r="K419" t="s">
        <v>2240</v>
      </c>
      <c r="L419" t="s">
        <v>80</v>
      </c>
      <c r="M419" t="s">
        <v>799</v>
      </c>
      <c r="N419" t="s">
        <v>961</v>
      </c>
      <c r="O419" t="s">
        <v>961</v>
      </c>
      <c r="P419" t="s">
        <v>961</v>
      </c>
      <c r="Q419" t="s">
        <v>961</v>
      </c>
      <c r="R419" t="s">
        <v>961</v>
      </c>
      <c r="S419" t="s">
        <v>961</v>
      </c>
    </row>
    <row r="420" spans="1:19" x14ac:dyDescent="0.25">
      <c r="A420">
        <f t="shared" si="12"/>
        <v>419</v>
      </c>
      <c r="B420" s="9" t="s">
        <v>2230</v>
      </c>
      <c r="C420" s="10">
        <v>44874</v>
      </c>
      <c r="D420" t="s">
        <v>2241</v>
      </c>
      <c r="E420" t="s">
        <v>2242</v>
      </c>
      <c r="F420" t="s">
        <v>2243</v>
      </c>
      <c r="G420" t="s">
        <v>168</v>
      </c>
      <c r="H420">
        <v>1</v>
      </c>
      <c r="I420" s="11">
        <v>1981</v>
      </c>
      <c r="J420" s="47">
        <f t="shared" si="13"/>
        <v>1981</v>
      </c>
      <c r="K420" t="s">
        <v>2244</v>
      </c>
      <c r="L420" t="s">
        <v>192</v>
      </c>
      <c r="M420" t="s">
        <v>799</v>
      </c>
      <c r="N420" t="s">
        <v>961</v>
      </c>
      <c r="O420" t="s">
        <v>961</v>
      </c>
      <c r="P420" t="s">
        <v>961</v>
      </c>
      <c r="Q420" t="s">
        <v>961</v>
      </c>
      <c r="R420" t="s">
        <v>961</v>
      </c>
      <c r="S420" t="s">
        <v>961</v>
      </c>
    </row>
    <row r="421" spans="1:19" x14ac:dyDescent="0.25">
      <c r="A421" s="65">
        <f t="shared" si="12"/>
        <v>420</v>
      </c>
      <c r="B421" s="9" t="s">
        <v>2231</v>
      </c>
      <c r="C421" s="10">
        <v>44874</v>
      </c>
      <c r="D421" t="s">
        <v>2205</v>
      </c>
      <c r="E421" t="s">
        <v>1011</v>
      </c>
      <c r="F421" t="s">
        <v>2245</v>
      </c>
      <c r="G421" t="s">
        <v>281</v>
      </c>
      <c r="H421">
        <v>1</v>
      </c>
      <c r="I421" s="11">
        <v>2088</v>
      </c>
      <c r="J421" s="47">
        <f t="shared" si="13"/>
        <v>2088</v>
      </c>
      <c r="K421" t="s">
        <v>2246</v>
      </c>
      <c r="L421" t="s">
        <v>80</v>
      </c>
      <c r="M421" t="s">
        <v>799</v>
      </c>
      <c r="N421" t="s">
        <v>961</v>
      </c>
      <c r="O421" t="s">
        <v>961</v>
      </c>
      <c r="P421" t="s">
        <v>961</v>
      </c>
      <c r="Q421" t="s">
        <v>961</v>
      </c>
      <c r="R421" t="s">
        <v>961</v>
      </c>
      <c r="S421" t="s">
        <v>961</v>
      </c>
    </row>
    <row r="422" spans="1:19" x14ac:dyDescent="0.25">
      <c r="A422">
        <f t="shared" si="12"/>
        <v>421</v>
      </c>
      <c r="B422" s="9" t="s">
        <v>2232</v>
      </c>
      <c r="C422" s="10">
        <v>44874</v>
      </c>
      <c r="D422" t="s">
        <v>2247</v>
      </c>
      <c r="E422" t="s">
        <v>2248</v>
      </c>
      <c r="F422" t="s">
        <v>2249</v>
      </c>
      <c r="G422" t="s">
        <v>291</v>
      </c>
      <c r="H422">
        <v>1</v>
      </c>
      <c r="I422" s="11">
        <v>1120</v>
      </c>
      <c r="J422" s="47">
        <f t="shared" si="13"/>
        <v>1120</v>
      </c>
      <c r="K422" t="s">
        <v>2250</v>
      </c>
      <c r="L422" t="s">
        <v>2253</v>
      </c>
      <c r="M422" t="s">
        <v>799</v>
      </c>
      <c r="N422" t="s">
        <v>961</v>
      </c>
      <c r="O422" t="s">
        <v>961</v>
      </c>
      <c r="P422" t="s">
        <v>961</v>
      </c>
      <c r="Q422" t="s">
        <v>961</v>
      </c>
      <c r="R422" t="s">
        <v>961</v>
      </c>
      <c r="S422" t="s">
        <v>961</v>
      </c>
    </row>
    <row r="423" spans="1:19" x14ac:dyDescent="0.25">
      <c r="A423" s="65">
        <f t="shared" si="12"/>
        <v>422</v>
      </c>
      <c r="B423" s="102" t="s">
        <v>2251</v>
      </c>
      <c r="C423" s="10">
        <v>44875</v>
      </c>
      <c r="D423" t="s">
        <v>1529</v>
      </c>
      <c r="E423" t="s">
        <v>1530</v>
      </c>
      <c r="F423" t="s">
        <v>1531</v>
      </c>
      <c r="G423" t="s">
        <v>281</v>
      </c>
      <c r="H423">
        <v>1</v>
      </c>
      <c r="I423" s="11">
        <v>2286</v>
      </c>
      <c r="J423" s="47">
        <f t="shared" si="13"/>
        <v>2286</v>
      </c>
      <c r="K423" t="s">
        <v>2252</v>
      </c>
      <c r="L423" t="s">
        <v>80</v>
      </c>
      <c r="M423" t="s">
        <v>799</v>
      </c>
      <c r="N423" t="s">
        <v>961</v>
      </c>
      <c r="O423" t="s">
        <v>961</v>
      </c>
      <c r="P423" t="s">
        <v>961</v>
      </c>
      <c r="Q423" t="s">
        <v>961</v>
      </c>
      <c r="R423" t="s">
        <v>961</v>
      </c>
      <c r="S423" t="s">
        <v>961</v>
      </c>
    </row>
    <row r="424" spans="1:19" x14ac:dyDescent="0.25">
      <c r="A424" s="78">
        <f t="shared" si="12"/>
        <v>423</v>
      </c>
      <c r="B424" s="9" t="s">
        <v>2254</v>
      </c>
      <c r="C424" s="10">
        <v>44876</v>
      </c>
      <c r="D424" t="s">
        <v>1652</v>
      </c>
      <c r="E424" t="s">
        <v>1653</v>
      </c>
      <c r="F424" t="s">
        <v>1654</v>
      </c>
      <c r="G424" t="s">
        <v>281</v>
      </c>
      <c r="H424">
        <v>1</v>
      </c>
      <c r="I424" s="11">
        <v>1549</v>
      </c>
      <c r="J424" s="47">
        <f t="shared" si="13"/>
        <v>1549</v>
      </c>
      <c r="K424" t="s">
        <v>2261</v>
      </c>
      <c r="L424" t="s">
        <v>80</v>
      </c>
      <c r="M424" t="s">
        <v>799</v>
      </c>
      <c r="N424" t="s">
        <v>961</v>
      </c>
      <c r="O424" t="s">
        <v>961</v>
      </c>
      <c r="P424" t="s">
        <v>961</v>
      </c>
      <c r="Q424" t="s">
        <v>961</v>
      </c>
      <c r="R424" t="s">
        <v>961</v>
      </c>
      <c r="S424" t="s">
        <v>961</v>
      </c>
    </row>
    <row r="425" spans="1:19" x14ac:dyDescent="0.25">
      <c r="A425">
        <f t="shared" si="12"/>
        <v>424</v>
      </c>
      <c r="B425" s="9" t="s">
        <v>2255</v>
      </c>
      <c r="C425" s="10">
        <v>44876</v>
      </c>
      <c r="D425" t="s">
        <v>2262</v>
      </c>
      <c r="E425" t="s">
        <v>2263</v>
      </c>
      <c r="F425" t="s">
        <v>2264</v>
      </c>
      <c r="G425" t="s">
        <v>168</v>
      </c>
      <c r="H425">
        <v>1</v>
      </c>
      <c r="I425" s="11">
        <v>1394</v>
      </c>
      <c r="J425" s="47">
        <f t="shared" si="13"/>
        <v>1394</v>
      </c>
      <c r="K425" t="s">
        <v>2265</v>
      </c>
      <c r="L425" t="s">
        <v>872</v>
      </c>
      <c r="M425" t="s">
        <v>799</v>
      </c>
      <c r="N425" t="s">
        <v>961</v>
      </c>
      <c r="O425" t="s">
        <v>961</v>
      </c>
      <c r="P425" t="s">
        <v>961</v>
      </c>
      <c r="Q425" t="s">
        <v>961</v>
      </c>
      <c r="R425" t="s">
        <v>961</v>
      </c>
      <c r="S425" t="s">
        <v>961</v>
      </c>
    </row>
    <row r="426" spans="1:19" x14ac:dyDescent="0.25">
      <c r="A426">
        <f t="shared" si="12"/>
        <v>425</v>
      </c>
      <c r="B426" s="9" t="s">
        <v>2256</v>
      </c>
      <c r="C426" s="10">
        <v>44876</v>
      </c>
      <c r="D426" t="s">
        <v>2266</v>
      </c>
      <c r="E426" t="s">
        <v>2267</v>
      </c>
      <c r="F426" t="s">
        <v>2268</v>
      </c>
      <c r="G426" t="s">
        <v>168</v>
      </c>
      <c r="H426">
        <v>1</v>
      </c>
      <c r="I426" s="11">
        <v>984</v>
      </c>
      <c r="J426" s="47">
        <f t="shared" si="13"/>
        <v>984</v>
      </c>
      <c r="K426" t="s">
        <v>2269</v>
      </c>
      <c r="L426" t="s">
        <v>2278</v>
      </c>
      <c r="M426" t="s">
        <v>799</v>
      </c>
      <c r="N426" t="s">
        <v>961</v>
      </c>
      <c r="O426" t="s">
        <v>961</v>
      </c>
      <c r="P426" t="s">
        <v>961</v>
      </c>
      <c r="Q426" t="s">
        <v>961</v>
      </c>
      <c r="R426" t="s">
        <v>961</v>
      </c>
      <c r="S426" t="s">
        <v>961</v>
      </c>
    </row>
    <row r="427" spans="1:19" x14ac:dyDescent="0.25">
      <c r="A427" s="65">
        <f t="shared" si="12"/>
        <v>426</v>
      </c>
      <c r="B427" s="9" t="s">
        <v>2257</v>
      </c>
      <c r="C427" s="10">
        <v>44877</v>
      </c>
      <c r="D427" t="s">
        <v>2270</v>
      </c>
      <c r="E427" t="s">
        <v>1238</v>
      </c>
      <c r="F427" t="s">
        <v>2271</v>
      </c>
      <c r="G427" t="s">
        <v>281</v>
      </c>
      <c r="H427">
        <v>1</v>
      </c>
      <c r="I427" s="11">
        <v>2101.6999999999998</v>
      </c>
      <c r="J427" s="47">
        <f t="shared" si="13"/>
        <v>2101.6999999999998</v>
      </c>
      <c r="K427" t="s">
        <v>2272</v>
      </c>
      <c r="L427" t="s">
        <v>80</v>
      </c>
      <c r="M427" t="s">
        <v>799</v>
      </c>
      <c r="N427" t="s">
        <v>961</v>
      </c>
      <c r="O427" t="s">
        <v>961</v>
      </c>
      <c r="P427" t="s">
        <v>961</v>
      </c>
      <c r="Q427" t="s">
        <v>961</v>
      </c>
      <c r="R427" t="s">
        <v>961</v>
      </c>
      <c r="S427" t="s">
        <v>961</v>
      </c>
    </row>
    <row r="428" spans="1:19" x14ac:dyDescent="0.25">
      <c r="A428" s="65">
        <f t="shared" si="12"/>
        <v>427</v>
      </c>
      <c r="B428" s="9" t="s">
        <v>2258</v>
      </c>
      <c r="C428" s="10">
        <v>44880</v>
      </c>
      <c r="D428" t="s">
        <v>2122</v>
      </c>
      <c r="E428" t="s">
        <v>2123</v>
      </c>
      <c r="F428" t="s">
        <v>2124</v>
      </c>
      <c r="G428" t="s">
        <v>281</v>
      </c>
      <c r="H428">
        <v>1</v>
      </c>
      <c r="I428" s="11">
        <v>1143</v>
      </c>
      <c r="J428" s="47">
        <f t="shared" si="13"/>
        <v>1143</v>
      </c>
      <c r="K428" t="s">
        <v>2273</v>
      </c>
      <c r="L428" t="s">
        <v>80</v>
      </c>
      <c r="M428" t="s">
        <v>799</v>
      </c>
      <c r="N428" t="s">
        <v>961</v>
      </c>
      <c r="O428" t="s">
        <v>961</v>
      </c>
      <c r="P428" t="s">
        <v>961</v>
      </c>
      <c r="Q428" t="s">
        <v>961</v>
      </c>
      <c r="R428" t="s">
        <v>961</v>
      </c>
      <c r="S428" t="s">
        <v>961</v>
      </c>
    </row>
    <row r="429" spans="1:19" x14ac:dyDescent="0.25">
      <c r="A429">
        <f t="shared" si="12"/>
        <v>428</v>
      </c>
      <c r="B429" s="9" t="s">
        <v>2259</v>
      </c>
      <c r="C429" s="10">
        <v>44880</v>
      </c>
      <c r="D429" t="s">
        <v>2274</v>
      </c>
      <c r="E429" t="s">
        <v>2275</v>
      </c>
      <c r="F429" t="s">
        <v>2276</v>
      </c>
      <c r="G429" t="s">
        <v>168</v>
      </c>
      <c r="H429">
        <v>1</v>
      </c>
      <c r="I429" s="11">
        <v>840.16</v>
      </c>
      <c r="J429" s="47">
        <f t="shared" si="13"/>
        <v>840.16</v>
      </c>
      <c r="K429" t="s">
        <v>2277</v>
      </c>
      <c r="L429" t="s">
        <v>2283</v>
      </c>
      <c r="M429" t="s">
        <v>799</v>
      </c>
      <c r="N429" t="s">
        <v>961</v>
      </c>
      <c r="O429" t="s">
        <v>961</v>
      </c>
      <c r="P429" t="s">
        <v>961</v>
      </c>
      <c r="Q429" t="s">
        <v>961</v>
      </c>
      <c r="R429" t="s">
        <v>961</v>
      </c>
      <c r="S429" t="s">
        <v>961</v>
      </c>
    </row>
    <row r="430" spans="1:19" x14ac:dyDescent="0.25">
      <c r="A430">
        <f t="shared" si="12"/>
        <v>429</v>
      </c>
      <c r="B430" s="102" t="s">
        <v>2260</v>
      </c>
      <c r="C430" s="10">
        <v>44881</v>
      </c>
      <c r="D430" t="s">
        <v>2279</v>
      </c>
      <c r="E430" t="s">
        <v>2280</v>
      </c>
      <c r="F430" t="s">
        <v>2281</v>
      </c>
      <c r="G430" t="s">
        <v>168</v>
      </c>
      <c r="H430">
        <v>1</v>
      </c>
      <c r="I430" s="11">
        <v>1000</v>
      </c>
      <c r="J430" s="47">
        <f t="shared" si="13"/>
        <v>1000</v>
      </c>
      <c r="K430" t="s">
        <v>2282</v>
      </c>
      <c r="L430" t="s">
        <v>518</v>
      </c>
      <c r="M430" t="s">
        <v>799</v>
      </c>
      <c r="N430" t="s">
        <v>961</v>
      </c>
      <c r="O430" t="s">
        <v>961</v>
      </c>
      <c r="P430" t="s">
        <v>961</v>
      </c>
      <c r="Q430" t="s">
        <v>961</v>
      </c>
      <c r="R430" t="s">
        <v>961</v>
      </c>
      <c r="S430" t="s">
        <v>961</v>
      </c>
    </row>
    <row r="431" spans="1:19" x14ac:dyDescent="0.25">
      <c r="A431">
        <f t="shared" si="12"/>
        <v>430</v>
      </c>
      <c r="B431" s="9" t="s">
        <v>2284</v>
      </c>
      <c r="C431" s="10">
        <v>44872</v>
      </c>
      <c r="D431" t="s">
        <v>2303</v>
      </c>
      <c r="E431" t="s">
        <v>2304</v>
      </c>
      <c r="F431" t="s">
        <v>2305</v>
      </c>
      <c r="G431" t="s">
        <v>168</v>
      </c>
      <c r="H431">
        <v>1</v>
      </c>
      <c r="I431" s="11">
        <v>1512</v>
      </c>
      <c r="J431" s="47">
        <f t="shared" si="13"/>
        <v>1512</v>
      </c>
      <c r="K431" t="s">
        <v>2306</v>
      </c>
      <c r="L431" t="s">
        <v>569</v>
      </c>
      <c r="M431" t="s">
        <v>799</v>
      </c>
      <c r="N431" t="s">
        <v>961</v>
      </c>
      <c r="O431" t="s">
        <v>961</v>
      </c>
      <c r="P431" t="s">
        <v>961</v>
      </c>
      <c r="Q431" t="s">
        <v>961</v>
      </c>
      <c r="R431" t="s">
        <v>961</v>
      </c>
      <c r="S431" t="s">
        <v>961</v>
      </c>
    </row>
    <row r="432" spans="1:19" x14ac:dyDescent="0.25">
      <c r="A432">
        <f t="shared" si="12"/>
        <v>431</v>
      </c>
      <c r="B432" s="9" t="s">
        <v>2285</v>
      </c>
      <c r="C432" s="10">
        <v>44882</v>
      </c>
      <c r="D432" t="s">
        <v>2307</v>
      </c>
      <c r="E432" t="s">
        <v>2308</v>
      </c>
      <c r="F432" t="s">
        <v>2309</v>
      </c>
      <c r="G432" t="s">
        <v>291</v>
      </c>
      <c r="H432">
        <v>1</v>
      </c>
      <c r="I432" s="11">
        <v>6135.2</v>
      </c>
      <c r="J432" s="47">
        <f t="shared" si="13"/>
        <v>6135.2</v>
      </c>
      <c r="K432" t="s">
        <v>2310</v>
      </c>
      <c r="L432" t="s">
        <v>2311</v>
      </c>
      <c r="M432" t="s">
        <v>799</v>
      </c>
      <c r="N432" t="s">
        <v>961</v>
      </c>
      <c r="O432" t="s">
        <v>961</v>
      </c>
      <c r="P432" t="s">
        <v>961</v>
      </c>
      <c r="Q432" t="s">
        <v>961</v>
      </c>
      <c r="R432" t="s">
        <v>961</v>
      </c>
      <c r="S432" t="s">
        <v>961</v>
      </c>
    </row>
    <row r="433" spans="1:19" x14ac:dyDescent="0.25">
      <c r="A433">
        <f t="shared" si="12"/>
        <v>432</v>
      </c>
      <c r="B433" s="9" t="s">
        <v>2286</v>
      </c>
      <c r="C433" s="10">
        <v>44883</v>
      </c>
      <c r="D433" t="s">
        <v>2312</v>
      </c>
      <c r="E433" t="s">
        <v>2313</v>
      </c>
      <c r="F433" t="s">
        <v>2314</v>
      </c>
      <c r="G433" t="s">
        <v>168</v>
      </c>
      <c r="H433">
        <v>1</v>
      </c>
      <c r="I433" s="11">
        <v>888</v>
      </c>
      <c r="J433" s="47">
        <f t="shared" si="13"/>
        <v>888</v>
      </c>
      <c r="K433" t="s">
        <v>404</v>
      </c>
      <c r="L433" t="s">
        <v>518</v>
      </c>
      <c r="M433" t="s">
        <v>799</v>
      </c>
      <c r="N433" t="s">
        <v>961</v>
      </c>
      <c r="O433" t="s">
        <v>961</v>
      </c>
      <c r="P433" t="s">
        <v>961</v>
      </c>
      <c r="Q433" t="s">
        <v>961</v>
      </c>
      <c r="R433" t="s">
        <v>961</v>
      </c>
      <c r="S433" t="s">
        <v>961</v>
      </c>
    </row>
    <row r="434" spans="1:19" x14ac:dyDescent="0.25">
      <c r="A434" s="78">
        <f t="shared" si="12"/>
        <v>433</v>
      </c>
      <c r="B434" s="9" t="s">
        <v>2287</v>
      </c>
      <c r="C434" s="10">
        <v>44883</v>
      </c>
      <c r="D434" t="s">
        <v>2315</v>
      </c>
      <c r="E434" t="s">
        <v>2202</v>
      </c>
      <c r="F434" t="s">
        <v>2203</v>
      </c>
      <c r="G434" t="s">
        <v>281</v>
      </c>
      <c r="H434">
        <v>1</v>
      </c>
      <c r="I434" s="11">
        <v>8766.1200000000008</v>
      </c>
      <c r="J434" s="47">
        <f t="shared" si="13"/>
        <v>8766.1200000000008</v>
      </c>
      <c r="K434" t="s">
        <v>2316</v>
      </c>
      <c r="L434" t="s">
        <v>80</v>
      </c>
      <c r="M434" t="s">
        <v>799</v>
      </c>
      <c r="N434" t="s">
        <v>961</v>
      </c>
      <c r="O434" t="s">
        <v>961</v>
      </c>
      <c r="P434" t="s">
        <v>961</v>
      </c>
      <c r="Q434" t="s">
        <v>961</v>
      </c>
      <c r="R434" t="s">
        <v>961</v>
      </c>
      <c r="S434" t="s">
        <v>961</v>
      </c>
    </row>
    <row r="435" spans="1:19" x14ac:dyDescent="0.25">
      <c r="A435">
        <f t="shared" si="12"/>
        <v>434</v>
      </c>
      <c r="B435" s="9" t="s">
        <v>2288</v>
      </c>
      <c r="C435" s="10">
        <v>44884</v>
      </c>
      <c r="D435" t="s">
        <v>2317</v>
      </c>
      <c r="E435" t="s">
        <v>2318</v>
      </c>
      <c r="F435" t="s">
        <v>2319</v>
      </c>
      <c r="G435" t="s">
        <v>168</v>
      </c>
      <c r="H435">
        <v>1</v>
      </c>
      <c r="I435" s="11">
        <v>1086</v>
      </c>
      <c r="J435" s="47">
        <f t="shared" si="13"/>
        <v>1086</v>
      </c>
      <c r="K435" t="s">
        <v>2320</v>
      </c>
      <c r="L435" t="s">
        <v>569</v>
      </c>
      <c r="M435" t="s">
        <v>799</v>
      </c>
      <c r="N435" t="s">
        <v>961</v>
      </c>
      <c r="O435" t="s">
        <v>961</v>
      </c>
      <c r="P435" t="s">
        <v>961</v>
      </c>
      <c r="Q435" t="s">
        <v>961</v>
      </c>
      <c r="R435" t="s">
        <v>961</v>
      </c>
      <c r="S435" t="s">
        <v>961</v>
      </c>
    </row>
    <row r="436" spans="1:19" x14ac:dyDescent="0.25">
      <c r="A436" s="65">
        <f t="shared" si="12"/>
        <v>435</v>
      </c>
      <c r="B436" s="9" t="s">
        <v>2289</v>
      </c>
      <c r="C436" s="10">
        <v>44869</v>
      </c>
      <c r="D436" t="s">
        <v>1323</v>
      </c>
      <c r="E436" t="s">
        <v>2321</v>
      </c>
      <c r="F436" t="s">
        <v>2322</v>
      </c>
      <c r="G436" t="s">
        <v>281</v>
      </c>
      <c r="H436">
        <v>1</v>
      </c>
      <c r="I436" s="11">
        <v>1692</v>
      </c>
      <c r="J436" s="47">
        <f t="shared" si="13"/>
        <v>1692</v>
      </c>
      <c r="K436" t="s">
        <v>2323</v>
      </c>
      <c r="L436" t="s">
        <v>80</v>
      </c>
      <c r="M436" t="s">
        <v>799</v>
      </c>
      <c r="N436" t="s">
        <v>961</v>
      </c>
      <c r="O436" t="s">
        <v>961</v>
      </c>
      <c r="P436" t="s">
        <v>961</v>
      </c>
      <c r="Q436" t="s">
        <v>961</v>
      </c>
      <c r="R436" t="s">
        <v>961</v>
      </c>
      <c r="S436" t="s">
        <v>961</v>
      </c>
    </row>
    <row r="437" spans="1:19" x14ac:dyDescent="0.25">
      <c r="A437" s="65">
        <f t="shared" si="12"/>
        <v>436</v>
      </c>
      <c r="B437" s="9" t="s">
        <v>2290</v>
      </c>
      <c r="C437" s="10">
        <v>44879</v>
      </c>
      <c r="D437" t="s">
        <v>771</v>
      </c>
      <c r="E437" t="s">
        <v>772</v>
      </c>
      <c r="F437" t="s">
        <v>2324</v>
      </c>
      <c r="G437" t="s">
        <v>281</v>
      </c>
      <c r="H437">
        <v>1</v>
      </c>
      <c r="I437" s="11">
        <v>962.8</v>
      </c>
      <c r="J437" s="47">
        <f t="shared" si="13"/>
        <v>962.8</v>
      </c>
      <c r="K437" t="s">
        <v>205</v>
      </c>
      <c r="L437" t="s">
        <v>80</v>
      </c>
      <c r="M437" t="s">
        <v>799</v>
      </c>
      <c r="N437" t="s">
        <v>961</v>
      </c>
      <c r="O437" t="s">
        <v>961</v>
      </c>
      <c r="P437" t="s">
        <v>961</v>
      </c>
      <c r="Q437" t="s">
        <v>961</v>
      </c>
      <c r="R437" t="s">
        <v>961</v>
      </c>
      <c r="S437" t="s">
        <v>961</v>
      </c>
    </row>
    <row r="438" spans="1:19" x14ac:dyDescent="0.25">
      <c r="A438">
        <f t="shared" si="12"/>
        <v>437</v>
      </c>
      <c r="B438" s="9" t="s">
        <v>2291</v>
      </c>
      <c r="C438" s="10">
        <v>44881</v>
      </c>
      <c r="D438" t="s">
        <v>2325</v>
      </c>
      <c r="E438" t="s">
        <v>2326</v>
      </c>
      <c r="F438" t="s">
        <v>2327</v>
      </c>
      <c r="G438" t="s">
        <v>168</v>
      </c>
      <c r="H438">
        <v>1</v>
      </c>
      <c r="I438" s="11">
        <v>811.2</v>
      </c>
      <c r="J438" s="47">
        <f t="shared" si="13"/>
        <v>811.2</v>
      </c>
      <c r="K438" t="s">
        <v>205</v>
      </c>
      <c r="L438" t="s">
        <v>2341</v>
      </c>
      <c r="M438" t="s">
        <v>799</v>
      </c>
      <c r="N438" t="s">
        <v>961</v>
      </c>
      <c r="O438" t="s">
        <v>961</v>
      </c>
      <c r="P438" t="s">
        <v>961</v>
      </c>
      <c r="Q438" t="s">
        <v>961</v>
      </c>
      <c r="R438" t="s">
        <v>961</v>
      </c>
      <c r="S438" t="s">
        <v>961</v>
      </c>
    </row>
    <row r="439" spans="1:19" x14ac:dyDescent="0.25">
      <c r="A439">
        <f t="shared" si="12"/>
        <v>438</v>
      </c>
      <c r="B439" s="9" t="s">
        <v>2292</v>
      </c>
      <c r="C439" s="10">
        <v>44887</v>
      </c>
      <c r="D439" t="s">
        <v>2328</v>
      </c>
      <c r="E439" t="s">
        <v>2329</v>
      </c>
      <c r="F439" t="s">
        <v>2330</v>
      </c>
      <c r="G439" t="s">
        <v>168</v>
      </c>
      <c r="H439">
        <v>1</v>
      </c>
      <c r="I439" s="11">
        <v>1085</v>
      </c>
      <c r="J439" s="47">
        <f t="shared" si="13"/>
        <v>1085</v>
      </c>
      <c r="K439" t="s">
        <v>2331</v>
      </c>
      <c r="L439" t="s">
        <v>2343</v>
      </c>
      <c r="M439" t="s">
        <v>799</v>
      </c>
      <c r="N439" t="s">
        <v>961</v>
      </c>
      <c r="O439" t="s">
        <v>961</v>
      </c>
      <c r="P439" t="s">
        <v>961</v>
      </c>
      <c r="Q439" t="s">
        <v>961</v>
      </c>
      <c r="R439" t="s">
        <v>961</v>
      </c>
      <c r="S439" t="s">
        <v>961</v>
      </c>
    </row>
    <row r="440" spans="1:19" x14ac:dyDescent="0.25">
      <c r="A440">
        <f t="shared" si="12"/>
        <v>439</v>
      </c>
      <c r="B440" s="9" t="s">
        <v>2293</v>
      </c>
      <c r="C440" s="10">
        <v>44887</v>
      </c>
      <c r="D440" t="s">
        <v>2332</v>
      </c>
      <c r="E440" t="s">
        <v>2333</v>
      </c>
      <c r="F440" t="s">
        <v>2334</v>
      </c>
      <c r="G440" t="s">
        <v>168</v>
      </c>
      <c r="H440">
        <v>1</v>
      </c>
      <c r="I440" s="11">
        <v>1248</v>
      </c>
      <c r="J440" s="47">
        <f t="shared" si="13"/>
        <v>1248</v>
      </c>
      <c r="K440" t="s">
        <v>2335</v>
      </c>
      <c r="L440" t="s">
        <v>277</v>
      </c>
      <c r="M440" t="s">
        <v>799</v>
      </c>
      <c r="N440" t="s">
        <v>961</v>
      </c>
      <c r="O440" t="s">
        <v>961</v>
      </c>
      <c r="P440" t="s">
        <v>961</v>
      </c>
      <c r="Q440" t="s">
        <v>961</v>
      </c>
      <c r="R440" t="s">
        <v>961</v>
      </c>
      <c r="S440" t="s">
        <v>961</v>
      </c>
    </row>
    <row r="441" spans="1:19" x14ac:dyDescent="0.25">
      <c r="A441">
        <f t="shared" si="12"/>
        <v>440</v>
      </c>
      <c r="B441" s="9" t="s">
        <v>2294</v>
      </c>
      <c r="C441" s="10">
        <v>44888</v>
      </c>
      <c r="D441" t="s">
        <v>2336</v>
      </c>
      <c r="E441" t="s">
        <v>2337</v>
      </c>
      <c r="F441" t="s">
        <v>2338</v>
      </c>
      <c r="G441" t="s">
        <v>168</v>
      </c>
      <c r="H441">
        <v>1</v>
      </c>
      <c r="I441" s="11">
        <v>1292.8</v>
      </c>
      <c r="J441" s="47">
        <f t="shared" si="13"/>
        <v>1292.8</v>
      </c>
      <c r="K441" t="s">
        <v>2339</v>
      </c>
      <c r="L441" t="s">
        <v>2340</v>
      </c>
      <c r="M441" t="s">
        <v>799</v>
      </c>
      <c r="N441" t="s">
        <v>961</v>
      </c>
      <c r="O441" t="s">
        <v>961</v>
      </c>
      <c r="P441" t="s">
        <v>961</v>
      </c>
      <c r="Q441" t="s">
        <v>961</v>
      </c>
      <c r="R441" t="s">
        <v>961</v>
      </c>
      <c r="S441" t="s">
        <v>961</v>
      </c>
    </row>
    <row r="442" spans="1:19" x14ac:dyDescent="0.25">
      <c r="A442" s="65">
        <f t="shared" si="12"/>
        <v>441</v>
      </c>
      <c r="B442" s="9" t="s">
        <v>2295</v>
      </c>
      <c r="C442" s="10">
        <v>44888</v>
      </c>
      <c r="D442" t="s">
        <v>2307</v>
      </c>
      <c r="E442" t="s">
        <v>2308</v>
      </c>
      <c r="F442" t="s">
        <v>2309</v>
      </c>
      <c r="G442" t="s">
        <v>281</v>
      </c>
      <c r="H442">
        <v>1</v>
      </c>
      <c r="I442" s="11">
        <v>5412.96</v>
      </c>
      <c r="J442" s="47">
        <f t="shared" si="13"/>
        <v>5412.96</v>
      </c>
      <c r="K442" t="s">
        <v>2342</v>
      </c>
      <c r="L442" t="s">
        <v>80</v>
      </c>
      <c r="M442" t="s">
        <v>799</v>
      </c>
      <c r="N442" t="s">
        <v>961</v>
      </c>
      <c r="O442" t="s">
        <v>961</v>
      </c>
      <c r="P442" t="s">
        <v>961</v>
      </c>
      <c r="Q442" t="s">
        <v>961</v>
      </c>
      <c r="R442" t="s">
        <v>961</v>
      </c>
      <c r="S442" t="s">
        <v>961</v>
      </c>
    </row>
    <row r="443" spans="1:19" x14ac:dyDescent="0.25">
      <c r="A443">
        <f t="shared" si="12"/>
        <v>442</v>
      </c>
      <c r="B443" s="9" t="s">
        <v>2296</v>
      </c>
      <c r="C443" s="10">
        <v>44890</v>
      </c>
      <c r="D443" t="s">
        <v>2344</v>
      </c>
      <c r="E443" t="s">
        <v>2345</v>
      </c>
      <c r="F443" t="s">
        <v>2346</v>
      </c>
      <c r="G443" t="s">
        <v>168</v>
      </c>
      <c r="H443">
        <v>1</v>
      </c>
      <c r="I443" s="11">
        <v>1710</v>
      </c>
      <c r="J443" s="47">
        <f t="shared" si="13"/>
        <v>1710</v>
      </c>
      <c r="K443" t="s">
        <v>2347</v>
      </c>
      <c r="L443" t="s">
        <v>277</v>
      </c>
      <c r="M443" t="s">
        <v>799</v>
      </c>
      <c r="N443" t="s">
        <v>961</v>
      </c>
      <c r="O443" t="s">
        <v>961</v>
      </c>
      <c r="P443" t="s">
        <v>961</v>
      </c>
      <c r="Q443" t="s">
        <v>961</v>
      </c>
      <c r="R443" t="s">
        <v>961</v>
      </c>
      <c r="S443" t="s">
        <v>961</v>
      </c>
    </row>
    <row r="444" spans="1:19" x14ac:dyDescent="0.25">
      <c r="A444">
        <f t="shared" si="12"/>
        <v>443</v>
      </c>
      <c r="B444" s="9" t="s">
        <v>2297</v>
      </c>
      <c r="C444" s="10">
        <v>44890</v>
      </c>
      <c r="D444" t="s">
        <v>2348</v>
      </c>
      <c r="E444" t="s">
        <v>2349</v>
      </c>
      <c r="F444" t="s">
        <v>2350</v>
      </c>
      <c r="G444" t="s">
        <v>168</v>
      </c>
      <c r="H444">
        <v>1</v>
      </c>
      <c r="I444" s="11">
        <v>1198</v>
      </c>
      <c r="J444" s="47">
        <f t="shared" si="13"/>
        <v>1198</v>
      </c>
      <c r="K444" t="s">
        <v>2351</v>
      </c>
      <c r="L444" t="s">
        <v>2357</v>
      </c>
      <c r="M444" t="s">
        <v>799</v>
      </c>
      <c r="N444" t="s">
        <v>961</v>
      </c>
      <c r="O444" t="s">
        <v>961</v>
      </c>
      <c r="P444" t="s">
        <v>961</v>
      </c>
      <c r="Q444" t="s">
        <v>961</v>
      </c>
      <c r="R444" t="s">
        <v>961</v>
      </c>
      <c r="S444" t="s">
        <v>961</v>
      </c>
    </row>
    <row r="445" spans="1:19" x14ac:dyDescent="0.25">
      <c r="A445">
        <f t="shared" si="12"/>
        <v>444</v>
      </c>
      <c r="B445" s="9" t="s">
        <v>2298</v>
      </c>
      <c r="C445" s="10">
        <v>44891</v>
      </c>
      <c r="D445" t="s">
        <v>2352</v>
      </c>
      <c r="E445" t="s">
        <v>2353</v>
      </c>
      <c r="F445" t="s">
        <v>2354</v>
      </c>
      <c r="G445" t="s">
        <v>168</v>
      </c>
      <c r="H445">
        <v>1</v>
      </c>
      <c r="I445" s="11">
        <v>1255</v>
      </c>
      <c r="J445" s="47">
        <f t="shared" si="13"/>
        <v>1255</v>
      </c>
      <c r="K445" t="s">
        <v>2355</v>
      </c>
      <c r="L445" t="s">
        <v>676</v>
      </c>
      <c r="M445" t="s">
        <v>799</v>
      </c>
      <c r="N445" t="s">
        <v>961</v>
      </c>
      <c r="O445" t="s">
        <v>961</v>
      </c>
      <c r="P445" t="s">
        <v>961</v>
      </c>
      <c r="Q445" t="s">
        <v>961</v>
      </c>
      <c r="R445" t="s">
        <v>961</v>
      </c>
      <c r="S445" t="s">
        <v>961</v>
      </c>
    </row>
    <row r="446" spans="1:19" x14ac:dyDescent="0.25">
      <c r="A446" s="65">
        <f t="shared" si="12"/>
        <v>445</v>
      </c>
      <c r="B446" s="102" t="s">
        <v>2299</v>
      </c>
      <c r="C446" s="10">
        <v>44882</v>
      </c>
      <c r="D446" t="s">
        <v>1290</v>
      </c>
      <c r="E446" t="s">
        <v>1287</v>
      </c>
      <c r="F446" t="s">
        <v>1288</v>
      </c>
      <c r="G446" t="s">
        <v>281</v>
      </c>
      <c r="H446">
        <v>1</v>
      </c>
      <c r="I446" s="11">
        <v>3581.79</v>
      </c>
      <c r="J446" s="47">
        <f t="shared" si="13"/>
        <v>3581.79</v>
      </c>
      <c r="K446" t="s">
        <v>2356</v>
      </c>
      <c r="L446" t="s">
        <v>80</v>
      </c>
      <c r="M446" t="s">
        <v>799</v>
      </c>
      <c r="N446" t="s">
        <v>961</v>
      </c>
      <c r="O446" t="s">
        <v>961</v>
      </c>
      <c r="P446" t="s">
        <v>961</v>
      </c>
      <c r="Q446" t="s">
        <v>961</v>
      </c>
      <c r="R446" t="s">
        <v>961</v>
      </c>
      <c r="S446" t="s">
        <v>961</v>
      </c>
    </row>
    <row r="447" spans="1:19" x14ac:dyDescent="0.25">
      <c r="A447">
        <f t="shared" si="12"/>
        <v>446</v>
      </c>
      <c r="B447" s="9" t="s">
        <v>2300</v>
      </c>
      <c r="C447" s="10">
        <v>44887</v>
      </c>
      <c r="D447" t="s">
        <v>2358</v>
      </c>
      <c r="E447" t="s">
        <v>2359</v>
      </c>
      <c r="F447" t="s">
        <v>2360</v>
      </c>
      <c r="G447" t="s">
        <v>168</v>
      </c>
      <c r="H447">
        <v>1</v>
      </c>
      <c r="I447" s="11">
        <v>2635.5</v>
      </c>
      <c r="J447" s="47">
        <f t="shared" si="13"/>
        <v>2635.5</v>
      </c>
      <c r="K447" t="s">
        <v>2361</v>
      </c>
      <c r="L447" t="s">
        <v>2362</v>
      </c>
      <c r="M447" t="s">
        <v>799</v>
      </c>
      <c r="N447" t="s">
        <v>961</v>
      </c>
      <c r="O447" t="s">
        <v>961</v>
      </c>
      <c r="P447" t="s">
        <v>961</v>
      </c>
      <c r="Q447" t="s">
        <v>961</v>
      </c>
      <c r="R447" t="s">
        <v>961</v>
      </c>
      <c r="S447" t="s">
        <v>961</v>
      </c>
    </row>
    <row r="448" spans="1:19" x14ac:dyDescent="0.25">
      <c r="A448" s="65">
        <f t="shared" si="12"/>
        <v>447</v>
      </c>
      <c r="B448" s="9" t="s">
        <v>2301</v>
      </c>
      <c r="C448" s="10">
        <v>44893</v>
      </c>
      <c r="D448" t="s">
        <v>2358</v>
      </c>
      <c r="E448" t="s">
        <v>2359</v>
      </c>
      <c r="F448" t="s">
        <v>2360</v>
      </c>
      <c r="G448" t="s">
        <v>281</v>
      </c>
      <c r="H448">
        <v>1</v>
      </c>
      <c r="I448" s="11">
        <v>1405</v>
      </c>
      <c r="J448" s="47">
        <f t="shared" si="13"/>
        <v>1405</v>
      </c>
      <c r="K448" t="s">
        <v>2363</v>
      </c>
      <c r="L448" t="s">
        <v>80</v>
      </c>
      <c r="M448" t="s">
        <v>799</v>
      </c>
      <c r="N448" t="s">
        <v>961</v>
      </c>
      <c r="O448" t="s">
        <v>961</v>
      </c>
      <c r="P448" t="s">
        <v>961</v>
      </c>
      <c r="Q448" t="s">
        <v>961</v>
      </c>
      <c r="R448" t="s">
        <v>961</v>
      </c>
      <c r="S448" t="s">
        <v>961</v>
      </c>
    </row>
    <row r="449" spans="1:19" x14ac:dyDescent="0.25">
      <c r="A449">
        <f t="shared" si="12"/>
        <v>448</v>
      </c>
      <c r="B449" s="9" t="s">
        <v>2302</v>
      </c>
      <c r="C449" s="10">
        <v>44894</v>
      </c>
      <c r="D449" t="s">
        <v>2364</v>
      </c>
      <c r="E449" t="s">
        <v>2365</v>
      </c>
      <c r="F449" t="s">
        <v>2366</v>
      </c>
      <c r="G449" t="s">
        <v>168</v>
      </c>
      <c r="H449">
        <v>1</v>
      </c>
      <c r="I449" s="11">
        <v>6932</v>
      </c>
      <c r="J449" s="47">
        <f t="shared" si="13"/>
        <v>6932</v>
      </c>
      <c r="K449" t="s">
        <v>2367</v>
      </c>
      <c r="L449" t="s">
        <v>2370</v>
      </c>
      <c r="M449" t="s">
        <v>799</v>
      </c>
      <c r="N449" t="s">
        <v>961</v>
      </c>
      <c r="O449" t="s">
        <v>961</v>
      </c>
      <c r="P449" t="s">
        <v>961</v>
      </c>
      <c r="Q449" t="s">
        <v>961</v>
      </c>
      <c r="R449" t="s">
        <v>961</v>
      </c>
      <c r="S449" t="s">
        <v>961</v>
      </c>
    </row>
    <row r="450" spans="1:19" x14ac:dyDescent="0.25">
      <c r="A450" s="65">
        <f t="shared" si="12"/>
        <v>449</v>
      </c>
      <c r="B450" s="9" t="s">
        <v>2368</v>
      </c>
      <c r="C450" s="10">
        <v>44895</v>
      </c>
      <c r="D450" t="s">
        <v>2369</v>
      </c>
      <c r="E450" t="s">
        <v>1231</v>
      </c>
      <c r="F450" t="s">
        <v>1232</v>
      </c>
      <c r="G450" t="s">
        <v>281</v>
      </c>
      <c r="H450">
        <v>1</v>
      </c>
      <c r="I450" s="11">
        <v>905</v>
      </c>
      <c r="J450" s="47">
        <f t="shared" si="13"/>
        <v>905</v>
      </c>
      <c r="K450" t="s">
        <v>1133</v>
      </c>
      <c r="L450" t="s">
        <v>80</v>
      </c>
      <c r="M450" t="s">
        <v>799</v>
      </c>
      <c r="N450" t="s">
        <v>961</v>
      </c>
      <c r="O450" t="s">
        <v>961</v>
      </c>
      <c r="P450" t="s">
        <v>961</v>
      </c>
      <c r="Q450" t="s">
        <v>961</v>
      </c>
      <c r="R450" t="s">
        <v>961</v>
      </c>
      <c r="S450" t="s">
        <v>961</v>
      </c>
    </row>
    <row r="451" spans="1:19" x14ac:dyDescent="0.25">
      <c r="A451">
        <f t="shared" si="12"/>
        <v>450</v>
      </c>
      <c r="B451" s="9" t="s">
        <v>2371</v>
      </c>
      <c r="C451" s="10">
        <v>44895</v>
      </c>
      <c r="D451" t="s">
        <v>2393</v>
      </c>
      <c r="E451" t="s">
        <v>2394</v>
      </c>
      <c r="F451" t="s">
        <v>2395</v>
      </c>
      <c r="G451" t="s">
        <v>168</v>
      </c>
      <c r="H451">
        <v>1</v>
      </c>
      <c r="I451" s="11">
        <v>1322</v>
      </c>
      <c r="J451" s="47">
        <f t="shared" si="13"/>
        <v>1322</v>
      </c>
      <c r="K451" t="s">
        <v>2396</v>
      </c>
      <c r="L451" t="s">
        <v>192</v>
      </c>
      <c r="M451" t="s">
        <v>799</v>
      </c>
      <c r="N451" t="s">
        <v>961</v>
      </c>
      <c r="O451" t="s">
        <v>961</v>
      </c>
      <c r="P451" t="s">
        <v>961</v>
      </c>
      <c r="Q451" t="s">
        <v>961</v>
      </c>
      <c r="R451" t="s">
        <v>961</v>
      </c>
      <c r="S451" t="s">
        <v>961</v>
      </c>
    </row>
    <row r="452" spans="1:19" x14ac:dyDescent="0.25">
      <c r="A452">
        <f t="shared" ref="A452:A515" si="14">+A451+1</f>
        <v>451</v>
      </c>
      <c r="B452" s="102" t="s">
        <v>2372</v>
      </c>
      <c r="C452" s="10">
        <v>44896</v>
      </c>
      <c r="D452" t="s">
        <v>2397</v>
      </c>
      <c r="E452" t="s">
        <v>2398</v>
      </c>
      <c r="F452" t="s">
        <v>2399</v>
      </c>
      <c r="G452" t="s">
        <v>168</v>
      </c>
      <c r="H452">
        <v>1</v>
      </c>
      <c r="I452" s="11">
        <v>905</v>
      </c>
      <c r="J452" s="47">
        <f t="shared" ref="J452:J515" si="15">I452/H452</f>
        <v>905</v>
      </c>
      <c r="K452" t="s">
        <v>1133</v>
      </c>
      <c r="L452" t="s">
        <v>192</v>
      </c>
      <c r="M452" t="s">
        <v>799</v>
      </c>
      <c r="N452" t="s">
        <v>961</v>
      </c>
      <c r="O452" t="s">
        <v>961</v>
      </c>
      <c r="P452" t="s">
        <v>961</v>
      </c>
      <c r="Q452" t="s">
        <v>961</v>
      </c>
      <c r="R452" t="s">
        <v>961</v>
      </c>
      <c r="S452" t="s">
        <v>961</v>
      </c>
    </row>
    <row r="453" spans="1:19" x14ac:dyDescent="0.25">
      <c r="A453">
        <f t="shared" si="14"/>
        <v>452</v>
      </c>
      <c r="B453" s="9" t="s">
        <v>2373</v>
      </c>
      <c r="C453" s="10">
        <v>44896</v>
      </c>
      <c r="D453" t="s">
        <v>2400</v>
      </c>
      <c r="E453" t="s">
        <v>2401</v>
      </c>
      <c r="F453" t="s">
        <v>2402</v>
      </c>
      <c r="G453" t="s">
        <v>291</v>
      </c>
      <c r="H453">
        <v>1</v>
      </c>
      <c r="I453" s="11">
        <v>1200</v>
      </c>
      <c r="J453" s="47">
        <f t="shared" si="15"/>
        <v>1200</v>
      </c>
      <c r="K453" t="s">
        <v>2403</v>
      </c>
      <c r="L453" t="s">
        <v>192</v>
      </c>
      <c r="M453" t="s">
        <v>799</v>
      </c>
      <c r="N453" t="s">
        <v>961</v>
      </c>
      <c r="O453" t="s">
        <v>961</v>
      </c>
      <c r="P453" t="s">
        <v>961</v>
      </c>
      <c r="Q453" t="s">
        <v>961</v>
      </c>
      <c r="R453" t="s">
        <v>961</v>
      </c>
      <c r="S453" t="s">
        <v>961</v>
      </c>
    </row>
    <row r="454" spans="1:19" x14ac:dyDescent="0.25">
      <c r="A454" s="65">
        <f t="shared" si="14"/>
        <v>453</v>
      </c>
      <c r="B454" s="9" t="s">
        <v>2374</v>
      </c>
      <c r="C454" s="10">
        <v>44887</v>
      </c>
      <c r="D454" t="s">
        <v>318</v>
      </c>
      <c r="E454" t="s">
        <v>319</v>
      </c>
      <c r="F454" t="s">
        <v>2404</v>
      </c>
      <c r="G454" t="s">
        <v>281</v>
      </c>
      <c r="H454">
        <v>1</v>
      </c>
      <c r="I454" s="11">
        <v>1750</v>
      </c>
      <c r="J454" s="47">
        <f t="shared" si="15"/>
        <v>1750</v>
      </c>
      <c r="K454" t="s">
        <v>2405</v>
      </c>
      <c r="L454" t="s">
        <v>80</v>
      </c>
      <c r="M454" t="s">
        <v>799</v>
      </c>
      <c r="N454" t="s">
        <v>961</v>
      </c>
      <c r="O454" t="s">
        <v>961</v>
      </c>
      <c r="P454" t="s">
        <v>961</v>
      </c>
      <c r="Q454" t="s">
        <v>961</v>
      </c>
      <c r="R454" t="s">
        <v>961</v>
      </c>
      <c r="S454" t="s">
        <v>961</v>
      </c>
    </row>
    <row r="455" spans="1:19" x14ac:dyDescent="0.25">
      <c r="A455">
        <f t="shared" si="14"/>
        <v>454</v>
      </c>
      <c r="B455" s="102" t="s">
        <v>2375</v>
      </c>
      <c r="C455" s="10">
        <v>44897</v>
      </c>
      <c r="D455" t="s">
        <v>2406</v>
      </c>
      <c r="E455" t="s">
        <v>2407</v>
      </c>
      <c r="F455" t="s">
        <v>2408</v>
      </c>
      <c r="G455" t="s">
        <v>168</v>
      </c>
      <c r="H455">
        <v>1</v>
      </c>
      <c r="I455" s="11">
        <v>991</v>
      </c>
      <c r="J455" s="47">
        <f t="shared" si="15"/>
        <v>991</v>
      </c>
      <c r="K455" t="s">
        <v>2236</v>
      </c>
      <c r="L455" t="s">
        <v>518</v>
      </c>
      <c r="M455" t="s">
        <v>961</v>
      </c>
      <c r="N455" t="s">
        <v>961</v>
      </c>
      <c r="O455" t="s">
        <v>961</v>
      </c>
      <c r="P455" t="s">
        <v>961</v>
      </c>
      <c r="Q455" t="s">
        <v>961</v>
      </c>
      <c r="R455" t="s">
        <v>961</v>
      </c>
      <c r="S455" t="s">
        <v>961</v>
      </c>
    </row>
    <row r="456" spans="1:19" x14ac:dyDescent="0.25">
      <c r="A456">
        <f t="shared" si="14"/>
        <v>455</v>
      </c>
      <c r="B456" s="9" t="s">
        <v>2376</v>
      </c>
      <c r="C456" s="10">
        <v>44897</v>
      </c>
      <c r="D456" t="s">
        <v>2409</v>
      </c>
      <c r="E456" t="s">
        <v>2410</v>
      </c>
      <c r="F456" t="s">
        <v>2411</v>
      </c>
      <c r="G456" t="s">
        <v>168</v>
      </c>
      <c r="H456">
        <v>1</v>
      </c>
      <c r="I456" s="11">
        <v>2985.3</v>
      </c>
      <c r="J456" s="47">
        <f t="shared" si="15"/>
        <v>2985.3</v>
      </c>
      <c r="K456" t="s">
        <v>2412</v>
      </c>
      <c r="L456" t="s">
        <v>2413</v>
      </c>
      <c r="M456" t="s">
        <v>961</v>
      </c>
      <c r="N456" t="s">
        <v>961</v>
      </c>
      <c r="O456" t="s">
        <v>961</v>
      </c>
      <c r="P456" t="s">
        <v>961</v>
      </c>
      <c r="Q456" t="s">
        <v>961</v>
      </c>
      <c r="R456" t="s">
        <v>961</v>
      </c>
      <c r="S456" t="s">
        <v>961</v>
      </c>
    </row>
    <row r="457" spans="1:19" x14ac:dyDescent="0.25">
      <c r="A457" s="78">
        <f t="shared" si="14"/>
        <v>456</v>
      </c>
      <c r="B457" s="9" t="s">
        <v>2377</v>
      </c>
      <c r="C457" s="10">
        <v>44898</v>
      </c>
      <c r="D457" t="s">
        <v>2315</v>
      </c>
      <c r="E457" t="s">
        <v>2202</v>
      </c>
      <c r="F457" t="s">
        <v>2203</v>
      </c>
      <c r="G457" t="s">
        <v>281</v>
      </c>
      <c r="H457">
        <v>1</v>
      </c>
      <c r="I457" s="11">
        <v>3012.52</v>
      </c>
      <c r="J457" s="47">
        <f t="shared" si="15"/>
        <v>3012.52</v>
      </c>
      <c r="K457" t="s">
        <v>2414</v>
      </c>
      <c r="L457" t="s">
        <v>80</v>
      </c>
      <c r="M457" t="s">
        <v>961</v>
      </c>
      <c r="N457" t="s">
        <v>961</v>
      </c>
      <c r="O457" t="s">
        <v>961</v>
      </c>
      <c r="P457" t="s">
        <v>961</v>
      </c>
      <c r="Q457" t="s">
        <v>961</v>
      </c>
      <c r="R457" t="s">
        <v>961</v>
      </c>
      <c r="S457" t="s">
        <v>961</v>
      </c>
    </row>
    <row r="458" spans="1:19" x14ac:dyDescent="0.25">
      <c r="A458">
        <f t="shared" si="14"/>
        <v>457</v>
      </c>
      <c r="B458" s="9" t="s">
        <v>2378</v>
      </c>
      <c r="C458" s="10">
        <v>44891</v>
      </c>
      <c r="D458" t="s">
        <v>2415</v>
      </c>
      <c r="E458" t="s">
        <v>2416</v>
      </c>
      <c r="F458" t="s">
        <v>2417</v>
      </c>
      <c r="G458" t="s">
        <v>168</v>
      </c>
      <c r="H458">
        <v>1</v>
      </c>
      <c r="I458" s="11">
        <v>964.57</v>
      </c>
      <c r="J458" s="47">
        <f t="shared" si="15"/>
        <v>964.57</v>
      </c>
      <c r="K458" t="s">
        <v>1139</v>
      </c>
      <c r="L458" t="s">
        <v>193</v>
      </c>
      <c r="M458" t="s">
        <v>961</v>
      </c>
      <c r="N458" t="s">
        <v>961</v>
      </c>
      <c r="O458" t="s">
        <v>961</v>
      </c>
      <c r="P458" t="s">
        <v>961</v>
      </c>
      <c r="Q458" t="s">
        <v>961</v>
      </c>
      <c r="R458" t="s">
        <v>961</v>
      </c>
      <c r="S458" t="s">
        <v>961</v>
      </c>
    </row>
    <row r="459" spans="1:19" x14ac:dyDescent="0.25">
      <c r="A459" s="79">
        <f t="shared" si="14"/>
        <v>458</v>
      </c>
      <c r="B459" s="9" t="s">
        <v>2379</v>
      </c>
      <c r="C459" s="10">
        <v>44893</v>
      </c>
      <c r="D459" t="s">
        <v>2418</v>
      </c>
      <c r="E459" t="s">
        <v>2419</v>
      </c>
      <c r="F459" t="s">
        <v>2420</v>
      </c>
      <c r="G459" t="s">
        <v>168</v>
      </c>
      <c r="H459">
        <v>1</v>
      </c>
      <c r="I459" s="11">
        <v>2739.3</v>
      </c>
      <c r="J459" s="47">
        <f t="shared" si="15"/>
        <v>2739.3</v>
      </c>
      <c r="K459" t="s">
        <v>2421</v>
      </c>
      <c r="L459" t="s">
        <v>2436</v>
      </c>
      <c r="M459" t="s">
        <v>961</v>
      </c>
      <c r="N459" t="s">
        <v>961</v>
      </c>
      <c r="O459" t="s">
        <v>961</v>
      </c>
      <c r="P459" t="s">
        <v>961</v>
      </c>
      <c r="Q459" t="s">
        <v>961</v>
      </c>
      <c r="R459" t="s">
        <v>961</v>
      </c>
      <c r="S459" t="s">
        <v>961</v>
      </c>
    </row>
    <row r="460" spans="1:19" x14ac:dyDescent="0.25">
      <c r="A460" s="65">
        <f t="shared" si="14"/>
        <v>459</v>
      </c>
      <c r="B460" s="9" t="s">
        <v>2380</v>
      </c>
      <c r="C460" s="10">
        <v>44894</v>
      </c>
      <c r="D460" t="s">
        <v>2364</v>
      </c>
      <c r="E460" t="s">
        <v>2365</v>
      </c>
      <c r="F460" t="s">
        <v>2366</v>
      </c>
      <c r="G460" t="s">
        <v>281</v>
      </c>
      <c r="H460">
        <v>1</v>
      </c>
      <c r="I460" s="11">
        <v>609.96</v>
      </c>
      <c r="J460" s="47">
        <f t="shared" si="15"/>
        <v>609.96</v>
      </c>
      <c r="K460" t="s">
        <v>1349</v>
      </c>
      <c r="L460" t="s">
        <v>80</v>
      </c>
      <c r="M460" t="s">
        <v>961</v>
      </c>
      <c r="N460" t="s">
        <v>961</v>
      </c>
      <c r="O460" t="s">
        <v>961</v>
      </c>
      <c r="P460" t="s">
        <v>961</v>
      </c>
      <c r="Q460" t="s">
        <v>961</v>
      </c>
      <c r="R460" t="s">
        <v>961</v>
      </c>
      <c r="S460" t="s">
        <v>961</v>
      </c>
    </row>
    <row r="461" spans="1:19" x14ac:dyDescent="0.25">
      <c r="A461">
        <f t="shared" si="14"/>
        <v>460</v>
      </c>
      <c r="B461" s="9" t="s">
        <v>2381</v>
      </c>
      <c r="C461" s="10">
        <v>44900</v>
      </c>
      <c r="D461" t="s">
        <v>2422</v>
      </c>
      <c r="E461" t="s">
        <v>2423</v>
      </c>
      <c r="F461" t="s">
        <v>2424</v>
      </c>
      <c r="G461" t="s">
        <v>168</v>
      </c>
      <c r="H461">
        <v>1</v>
      </c>
      <c r="I461" s="11">
        <v>3326</v>
      </c>
      <c r="J461" s="47">
        <f t="shared" si="15"/>
        <v>3326</v>
      </c>
      <c r="K461" t="s">
        <v>2425</v>
      </c>
      <c r="L461" t="s">
        <v>732</v>
      </c>
      <c r="M461" t="s">
        <v>961</v>
      </c>
      <c r="N461" t="s">
        <v>961</v>
      </c>
      <c r="O461" t="s">
        <v>961</v>
      </c>
      <c r="P461" t="s">
        <v>961</v>
      </c>
      <c r="Q461" t="s">
        <v>961</v>
      </c>
      <c r="R461" t="s">
        <v>961</v>
      </c>
      <c r="S461" t="s">
        <v>961</v>
      </c>
    </row>
    <row r="462" spans="1:19" x14ac:dyDescent="0.25">
      <c r="A462">
        <f t="shared" si="14"/>
        <v>461</v>
      </c>
      <c r="B462" s="9" t="s">
        <v>2382</v>
      </c>
      <c r="C462" s="10">
        <v>44902</v>
      </c>
      <c r="D462" t="s">
        <v>2432</v>
      </c>
      <c r="E462" t="s">
        <v>2433</v>
      </c>
      <c r="F462" t="s">
        <v>2434</v>
      </c>
      <c r="G462" t="s">
        <v>168</v>
      </c>
      <c r="H462">
        <v>1</v>
      </c>
      <c r="I462" s="11">
        <v>1171.5</v>
      </c>
      <c r="J462" s="47">
        <f t="shared" si="15"/>
        <v>1171.5</v>
      </c>
      <c r="K462" t="s">
        <v>1182</v>
      </c>
      <c r="L462" t="s">
        <v>2435</v>
      </c>
      <c r="M462" t="s">
        <v>961</v>
      </c>
      <c r="N462" t="s">
        <v>961</v>
      </c>
      <c r="O462" t="s">
        <v>961</v>
      </c>
      <c r="P462" t="s">
        <v>961</v>
      </c>
      <c r="Q462" t="s">
        <v>961</v>
      </c>
      <c r="R462" t="s">
        <v>961</v>
      </c>
      <c r="S462" t="s">
        <v>961</v>
      </c>
    </row>
    <row r="463" spans="1:19" x14ac:dyDescent="0.25">
      <c r="A463" s="65">
        <f t="shared" si="14"/>
        <v>462</v>
      </c>
      <c r="B463" s="9" t="s">
        <v>2383</v>
      </c>
      <c r="C463" s="10">
        <v>44902</v>
      </c>
      <c r="D463" t="s">
        <v>1674</v>
      </c>
      <c r="E463" t="s">
        <v>1675</v>
      </c>
      <c r="F463" t="s">
        <v>1676</v>
      </c>
      <c r="G463" t="s">
        <v>281</v>
      </c>
      <c r="H463">
        <v>1</v>
      </c>
      <c r="I463" s="11">
        <v>993</v>
      </c>
      <c r="J463" s="47">
        <f t="shared" si="15"/>
        <v>993</v>
      </c>
      <c r="K463" t="s">
        <v>2437</v>
      </c>
      <c r="L463" t="s">
        <v>80</v>
      </c>
      <c r="M463" t="s">
        <v>961</v>
      </c>
      <c r="N463" t="s">
        <v>961</v>
      </c>
      <c r="O463" t="s">
        <v>961</v>
      </c>
      <c r="P463" t="s">
        <v>961</v>
      </c>
      <c r="Q463" t="s">
        <v>961</v>
      </c>
      <c r="R463" t="s">
        <v>961</v>
      </c>
      <c r="S463" t="s">
        <v>961</v>
      </c>
    </row>
    <row r="464" spans="1:19" x14ac:dyDescent="0.25">
      <c r="A464">
        <f t="shared" si="14"/>
        <v>463</v>
      </c>
      <c r="B464" s="9" t="s">
        <v>2384</v>
      </c>
      <c r="C464" s="10">
        <v>44902</v>
      </c>
      <c r="D464" t="s">
        <v>2438</v>
      </c>
      <c r="E464" t="s">
        <v>2439</v>
      </c>
      <c r="F464" t="s">
        <v>2440</v>
      </c>
      <c r="G464" t="s">
        <v>168</v>
      </c>
      <c r="H464">
        <v>1</v>
      </c>
      <c r="I464" s="11">
        <v>1837</v>
      </c>
      <c r="J464" s="47">
        <f t="shared" si="15"/>
        <v>1837</v>
      </c>
      <c r="K464" t="s">
        <v>2441</v>
      </c>
      <c r="L464" t="s">
        <v>192</v>
      </c>
      <c r="M464" t="s">
        <v>961</v>
      </c>
      <c r="N464" t="s">
        <v>961</v>
      </c>
      <c r="O464" t="s">
        <v>961</v>
      </c>
      <c r="P464" t="s">
        <v>961</v>
      </c>
      <c r="Q464" t="s">
        <v>961</v>
      </c>
      <c r="R464" t="s">
        <v>961</v>
      </c>
      <c r="S464" t="s">
        <v>961</v>
      </c>
    </row>
    <row r="465" spans="1:19" x14ac:dyDescent="0.25">
      <c r="A465">
        <f t="shared" si="14"/>
        <v>464</v>
      </c>
      <c r="B465" s="9" t="s">
        <v>2385</v>
      </c>
      <c r="C465" s="10">
        <v>44902</v>
      </c>
      <c r="D465" t="s">
        <v>2442</v>
      </c>
      <c r="E465" t="s">
        <v>2443</v>
      </c>
      <c r="F465" t="s">
        <v>2444</v>
      </c>
      <c r="G465" t="s">
        <v>168</v>
      </c>
      <c r="H465">
        <v>1</v>
      </c>
      <c r="I465" s="11">
        <v>1075</v>
      </c>
      <c r="J465" s="47">
        <f t="shared" si="15"/>
        <v>1075</v>
      </c>
      <c r="K465" t="s">
        <v>2445</v>
      </c>
      <c r="L465" t="s">
        <v>676</v>
      </c>
      <c r="M465" t="s">
        <v>961</v>
      </c>
      <c r="N465" t="s">
        <v>961</v>
      </c>
      <c r="O465" t="s">
        <v>961</v>
      </c>
      <c r="P465" t="s">
        <v>961</v>
      </c>
      <c r="Q465" t="s">
        <v>961</v>
      </c>
      <c r="R465" t="s">
        <v>961</v>
      </c>
      <c r="S465" t="s">
        <v>961</v>
      </c>
    </row>
    <row r="466" spans="1:19" x14ac:dyDescent="0.25">
      <c r="A466">
        <f t="shared" si="14"/>
        <v>465</v>
      </c>
      <c r="B466" s="9" t="s">
        <v>2386</v>
      </c>
      <c r="C466" s="10">
        <v>44599</v>
      </c>
      <c r="D466" t="s">
        <v>2446</v>
      </c>
      <c r="E466" t="s">
        <v>2447</v>
      </c>
      <c r="F466" t="s">
        <v>2448</v>
      </c>
      <c r="G466" t="s">
        <v>168</v>
      </c>
      <c r="H466">
        <v>1</v>
      </c>
      <c r="I466" s="11">
        <v>1800</v>
      </c>
      <c r="J466" s="47">
        <f t="shared" si="15"/>
        <v>1800</v>
      </c>
      <c r="K466" t="s">
        <v>2449</v>
      </c>
      <c r="L466" t="s">
        <v>2468</v>
      </c>
      <c r="M466" t="s">
        <v>961</v>
      </c>
      <c r="N466" t="s">
        <v>961</v>
      </c>
      <c r="O466" t="s">
        <v>961</v>
      </c>
      <c r="P466" t="s">
        <v>961</v>
      </c>
      <c r="Q466" t="s">
        <v>961</v>
      </c>
      <c r="R466" t="s">
        <v>961</v>
      </c>
      <c r="S466" t="s">
        <v>961</v>
      </c>
    </row>
    <row r="467" spans="1:19" x14ac:dyDescent="0.25">
      <c r="A467">
        <f t="shared" si="14"/>
        <v>466</v>
      </c>
      <c r="B467" s="9" t="s">
        <v>2387</v>
      </c>
      <c r="C467" s="10">
        <v>44904</v>
      </c>
      <c r="D467" t="s">
        <v>2464</v>
      </c>
      <c r="E467" t="s">
        <v>2465</v>
      </c>
      <c r="F467" t="s">
        <v>2466</v>
      </c>
      <c r="G467" t="s">
        <v>168</v>
      </c>
      <c r="H467">
        <v>1</v>
      </c>
      <c r="I467" s="11">
        <v>2122</v>
      </c>
      <c r="J467" s="47">
        <f t="shared" si="15"/>
        <v>2122</v>
      </c>
      <c r="K467" t="s">
        <v>2467</v>
      </c>
      <c r="L467" t="s">
        <v>676</v>
      </c>
      <c r="M467" t="s">
        <v>961</v>
      </c>
      <c r="N467" t="s">
        <v>961</v>
      </c>
      <c r="O467" t="s">
        <v>961</v>
      </c>
      <c r="P467" t="s">
        <v>961</v>
      </c>
      <c r="Q467" t="s">
        <v>961</v>
      </c>
      <c r="R467" t="s">
        <v>961</v>
      </c>
      <c r="S467" t="s">
        <v>961</v>
      </c>
    </row>
    <row r="468" spans="1:19" x14ac:dyDescent="0.25">
      <c r="A468" s="65">
        <f t="shared" si="14"/>
        <v>467</v>
      </c>
      <c r="B468" s="9" t="s">
        <v>2388</v>
      </c>
      <c r="C468" s="10">
        <v>44905</v>
      </c>
      <c r="D468" t="s">
        <v>2469</v>
      </c>
      <c r="E468" t="s">
        <v>2470</v>
      </c>
      <c r="F468" t="s">
        <v>2471</v>
      </c>
      <c r="G468" t="s">
        <v>281</v>
      </c>
      <c r="H468">
        <v>1</v>
      </c>
      <c r="I468" s="11">
        <v>1086</v>
      </c>
      <c r="J468" s="47">
        <f t="shared" si="15"/>
        <v>1086</v>
      </c>
      <c r="K468" t="s">
        <v>328</v>
      </c>
      <c r="L468" t="s">
        <v>80</v>
      </c>
      <c r="M468" t="s">
        <v>961</v>
      </c>
      <c r="N468" t="s">
        <v>961</v>
      </c>
      <c r="O468" t="s">
        <v>961</v>
      </c>
      <c r="P468" t="s">
        <v>961</v>
      </c>
      <c r="Q468" t="s">
        <v>961</v>
      </c>
      <c r="R468" t="s">
        <v>961</v>
      </c>
      <c r="S468" t="s">
        <v>961</v>
      </c>
    </row>
    <row r="469" spans="1:19" x14ac:dyDescent="0.25">
      <c r="A469" s="65">
        <f t="shared" si="14"/>
        <v>468</v>
      </c>
      <c r="B469" s="9" t="s">
        <v>2389</v>
      </c>
      <c r="C469" s="10">
        <v>44897</v>
      </c>
      <c r="D469" t="s">
        <v>643</v>
      </c>
      <c r="E469" t="s">
        <v>644</v>
      </c>
      <c r="F469" t="s">
        <v>645</v>
      </c>
      <c r="G469" t="s">
        <v>281</v>
      </c>
      <c r="H469">
        <v>1</v>
      </c>
      <c r="I469" s="11">
        <v>1049.8399999999999</v>
      </c>
      <c r="J469" s="47">
        <f t="shared" si="15"/>
        <v>1049.8399999999999</v>
      </c>
      <c r="K469" t="s">
        <v>2472</v>
      </c>
      <c r="L469" t="s">
        <v>80</v>
      </c>
      <c r="M469" t="s">
        <v>961</v>
      </c>
      <c r="N469" t="s">
        <v>961</v>
      </c>
      <c r="O469" t="s">
        <v>961</v>
      </c>
      <c r="P469" t="s">
        <v>961</v>
      </c>
      <c r="Q469" t="s">
        <v>961</v>
      </c>
      <c r="R469" t="s">
        <v>961</v>
      </c>
      <c r="S469" t="s">
        <v>961</v>
      </c>
    </row>
    <row r="470" spans="1:19" x14ac:dyDescent="0.25">
      <c r="A470" s="65">
        <f t="shared" si="14"/>
        <v>469</v>
      </c>
      <c r="B470" s="9" t="s">
        <v>2390</v>
      </c>
      <c r="C470" s="10">
        <v>44907</v>
      </c>
      <c r="D470" t="s">
        <v>1094</v>
      </c>
      <c r="E470" t="s">
        <v>1095</v>
      </c>
      <c r="F470" t="s">
        <v>1096</v>
      </c>
      <c r="G470" t="s">
        <v>281</v>
      </c>
      <c r="H470">
        <v>1</v>
      </c>
      <c r="I470" s="11">
        <v>3689</v>
      </c>
      <c r="J470" s="47">
        <f t="shared" si="15"/>
        <v>3689</v>
      </c>
      <c r="K470" t="s">
        <v>2473</v>
      </c>
      <c r="L470" t="s">
        <v>80</v>
      </c>
      <c r="M470" t="s">
        <v>961</v>
      </c>
      <c r="N470" t="s">
        <v>961</v>
      </c>
      <c r="O470" t="s">
        <v>961</v>
      </c>
      <c r="P470" t="s">
        <v>961</v>
      </c>
      <c r="Q470" t="s">
        <v>961</v>
      </c>
      <c r="R470" t="s">
        <v>961</v>
      </c>
      <c r="S470" t="s">
        <v>961</v>
      </c>
    </row>
    <row r="471" spans="1:19" x14ac:dyDescent="0.25">
      <c r="A471">
        <f t="shared" si="14"/>
        <v>470</v>
      </c>
      <c r="B471" s="9" t="s">
        <v>2391</v>
      </c>
      <c r="C471" s="10">
        <v>44907</v>
      </c>
      <c r="D471" t="s">
        <v>2474</v>
      </c>
      <c r="E471" t="s">
        <v>2475</v>
      </c>
      <c r="F471" t="s">
        <v>2476</v>
      </c>
      <c r="G471" t="s">
        <v>168</v>
      </c>
      <c r="H471">
        <v>1</v>
      </c>
      <c r="I471" s="11">
        <v>1000</v>
      </c>
      <c r="J471" s="47">
        <f t="shared" si="15"/>
        <v>1000</v>
      </c>
      <c r="K471" t="s">
        <v>2477</v>
      </c>
      <c r="L471" t="s">
        <v>2481</v>
      </c>
      <c r="M471" t="s">
        <v>961</v>
      </c>
      <c r="N471" t="s">
        <v>961</v>
      </c>
      <c r="O471" t="s">
        <v>961</v>
      </c>
      <c r="P471" t="s">
        <v>961</v>
      </c>
      <c r="Q471" t="s">
        <v>961</v>
      </c>
      <c r="R471" t="s">
        <v>961</v>
      </c>
      <c r="S471" t="s">
        <v>961</v>
      </c>
    </row>
    <row r="472" spans="1:19" x14ac:dyDescent="0.25">
      <c r="A472">
        <f t="shared" si="14"/>
        <v>471</v>
      </c>
      <c r="B472" s="9" t="s">
        <v>2392</v>
      </c>
      <c r="C472" s="10">
        <v>44904</v>
      </c>
      <c r="D472" t="s">
        <v>2478</v>
      </c>
      <c r="E472" t="s">
        <v>2479</v>
      </c>
      <c r="F472" t="s">
        <v>2480</v>
      </c>
      <c r="G472" t="s">
        <v>168</v>
      </c>
      <c r="H472">
        <v>1</v>
      </c>
      <c r="I472" s="11">
        <v>916.4</v>
      </c>
      <c r="J472" s="47">
        <f t="shared" si="15"/>
        <v>916.4</v>
      </c>
      <c r="K472" t="s">
        <v>395</v>
      </c>
      <c r="L472" t="s">
        <v>277</v>
      </c>
      <c r="M472" t="s">
        <v>961</v>
      </c>
      <c r="N472" t="s">
        <v>961</v>
      </c>
      <c r="O472" t="s">
        <v>961</v>
      </c>
      <c r="P472" t="s">
        <v>961</v>
      </c>
      <c r="Q472" t="s">
        <v>961</v>
      </c>
      <c r="R472" t="s">
        <v>961</v>
      </c>
      <c r="S472" t="s">
        <v>961</v>
      </c>
    </row>
    <row r="473" spans="1:19" x14ac:dyDescent="0.25">
      <c r="A473" s="65">
        <f t="shared" si="14"/>
        <v>472</v>
      </c>
      <c r="B473" s="9" t="s">
        <v>2427</v>
      </c>
      <c r="C473" s="10">
        <v>44909</v>
      </c>
      <c r="D473" t="s">
        <v>2478</v>
      </c>
      <c r="E473" t="s">
        <v>2479</v>
      </c>
      <c r="F473" t="s">
        <v>2482</v>
      </c>
      <c r="G473" t="s">
        <v>281</v>
      </c>
      <c r="H473">
        <v>1</v>
      </c>
      <c r="I473" s="11">
        <v>3929</v>
      </c>
      <c r="J473" s="47">
        <f t="shared" si="15"/>
        <v>3929</v>
      </c>
      <c r="K473" t="s">
        <v>2483</v>
      </c>
      <c r="L473" t="s">
        <v>80</v>
      </c>
      <c r="M473" t="s">
        <v>961</v>
      </c>
      <c r="N473" t="s">
        <v>961</v>
      </c>
      <c r="O473" t="s">
        <v>961</v>
      </c>
      <c r="P473" t="s">
        <v>961</v>
      </c>
      <c r="Q473" t="s">
        <v>961</v>
      </c>
      <c r="R473" t="s">
        <v>961</v>
      </c>
      <c r="S473" t="s">
        <v>961</v>
      </c>
    </row>
    <row r="474" spans="1:19" x14ac:dyDescent="0.25">
      <c r="A474">
        <f t="shared" si="14"/>
        <v>473</v>
      </c>
      <c r="B474" s="9" t="s">
        <v>2428</v>
      </c>
      <c r="C474" s="10">
        <v>44909</v>
      </c>
      <c r="D474" t="s">
        <v>2484</v>
      </c>
      <c r="E474" t="s">
        <v>2485</v>
      </c>
      <c r="F474" t="s">
        <v>2486</v>
      </c>
      <c r="G474" t="s">
        <v>291</v>
      </c>
      <c r="H474">
        <v>1</v>
      </c>
      <c r="I474" s="11">
        <v>1166</v>
      </c>
      <c r="J474" s="47">
        <f t="shared" si="15"/>
        <v>1166</v>
      </c>
      <c r="K474" t="s">
        <v>2487</v>
      </c>
      <c r="L474" t="s">
        <v>2488</v>
      </c>
      <c r="M474" t="s">
        <v>961</v>
      </c>
      <c r="N474" t="s">
        <v>961</v>
      </c>
      <c r="O474" t="s">
        <v>961</v>
      </c>
      <c r="P474" t="s">
        <v>961</v>
      </c>
      <c r="Q474" t="s">
        <v>961</v>
      </c>
      <c r="R474" t="s">
        <v>961</v>
      </c>
      <c r="S474" t="s">
        <v>961</v>
      </c>
    </row>
    <row r="475" spans="1:19" x14ac:dyDescent="0.25">
      <c r="A475">
        <f t="shared" si="14"/>
        <v>474</v>
      </c>
      <c r="B475" s="9" t="s">
        <v>2429</v>
      </c>
      <c r="C475" s="10">
        <v>44910</v>
      </c>
      <c r="D475" t="s">
        <v>2489</v>
      </c>
      <c r="E475" t="s">
        <v>2490</v>
      </c>
      <c r="F475" t="s">
        <v>2491</v>
      </c>
      <c r="G475" t="s">
        <v>168</v>
      </c>
      <c r="H475">
        <v>1</v>
      </c>
      <c r="I475" s="11">
        <v>1194</v>
      </c>
      <c r="J475" s="47">
        <f t="shared" si="15"/>
        <v>1194</v>
      </c>
      <c r="K475" t="s">
        <v>2492</v>
      </c>
      <c r="L475" t="s">
        <v>2527</v>
      </c>
      <c r="M475" t="s">
        <v>961</v>
      </c>
      <c r="N475" t="s">
        <v>961</v>
      </c>
      <c r="O475" t="s">
        <v>961</v>
      </c>
      <c r="P475" t="s">
        <v>961</v>
      </c>
      <c r="Q475" t="s">
        <v>961</v>
      </c>
      <c r="R475" t="s">
        <v>961</v>
      </c>
      <c r="S475" t="s">
        <v>961</v>
      </c>
    </row>
    <row r="476" spans="1:19" x14ac:dyDescent="0.25">
      <c r="A476" s="65">
        <f t="shared" si="14"/>
        <v>475</v>
      </c>
      <c r="B476" s="9" t="s">
        <v>2430</v>
      </c>
      <c r="C476" s="10">
        <v>44903</v>
      </c>
      <c r="D476" t="s">
        <v>1381</v>
      </c>
      <c r="E476" t="s">
        <v>1382</v>
      </c>
      <c r="F476" t="s">
        <v>2493</v>
      </c>
      <c r="G476" t="s">
        <v>281</v>
      </c>
      <c r="H476">
        <v>1</v>
      </c>
      <c r="I476" s="11">
        <v>1015.68</v>
      </c>
      <c r="J476" s="47">
        <f t="shared" si="15"/>
        <v>1015.68</v>
      </c>
      <c r="K476" t="s">
        <v>423</v>
      </c>
      <c r="L476" t="s">
        <v>80</v>
      </c>
      <c r="M476" t="s">
        <v>961</v>
      </c>
      <c r="N476" t="s">
        <v>961</v>
      </c>
      <c r="O476" t="s">
        <v>961</v>
      </c>
      <c r="P476" t="s">
        <v>961</v>
      </c>
      <c r="Q476" t="s">
        <v>961</v>
      </c>
      <c r="R476" t="s">
        <v>961</v>
      </c>
      <c r="S476" t="s">
        <v>961</v>
      </c>
    </row>
    <row r="477" spans="1:19" x14ac:dyDescent="0.25">
      <c r="A477">
        <f t="shared" si="14"/>
        <v>476</v>
      </c>
      <c r="B477" s="9" t="s">
        <v>2431</v>
      </c>
      <c r="C477" s="10">
        <v>44911</v>
      </c>
      <c r="D477" t="s">
        <v>2494</v>
      </c>
      <c r="E477" t="s">
        <v>2495</v>
      </c>
      <c r="F477" t="s">
        <v>2496</v>
      </c>
      <c r="G477" t="s">
        <v>291</v>
      </c>
      <c r="H477">
        <v>1</v>
      </c>
      <c r="I477" s="11">
        <v>2282.25</v>
      </c>
      <c r="J477" s="47">
        <f t="shared" si="15"/>
        <v>2282.25</v>
      </c>
      <c r="K477" t="s">
        <v>2497</v>
      </c>
      <c r="L477" t="s">
        <v>2498</v>
      </c>
      <c r="M477" t="s">
        <v>961</v>
      </c>
      <c r="N477" t="s">
        <v>961</v>
      </c>
      <c r="O477" t="s">
        <v>961</v>
      </c>
      <c r="P477" t="s">
        <v>961</v>
      </c>
      <c r="Q477" t="s">
        <v>961</v>
      </c>
      <c r="R477" t="s">
        <v>961</v>
      </c>
      <c r="S477" t="s">
        <v>961</v>
      </c>
    </row>
    <row r="478" spans="1:19" x14ac:dyDescent="0.25">
      <c r="A478" s="65">
        <f t="shared" si="14"/>
        <v>477</v>
      </c>
      <c r="B478" s="9" t="s">
        <v>2450</v>
      </c>
      <c r="C478" s="10">
        <v>44911</v>
      </c>
      <c r="D478" t="s">
        <v>2499</v>
      </c>
      <c r="E478" t="s">
        <v>1530</v>
      </c>
      <c r="F478" t="s">
        <v>1531</v>
      </c>
      <c r="G478" t="s">
        <v>281</v>
      </c>
      <c r="H478">
        <v>1</v>
      </c>
      <c r="I478" s="11">
        <v>1744</v>
      </c>
      <c r="J478" s="47">
        <f t="shared" si="15"/>
        <v>1744</v>
      </c>
      <c r="K478" t="s">
        <v>244</v>
      </c>
      <c r="L478" t="s">
        <v>80</v>
      </c>
      <c r="M478" t="s">
        <v>961</v>
      </c>
      <c r="N478" t="s">
        <v>961</v>
      </c>
      <c r="O478" t="s">
        <v>961</v>
      </c>
      <c r="P478" t="s">
        <v>961</v>
      </c>
      <c r="Q478" t="s">
        <v>961</v>
      </c>
      <c r="R478" t="s">
        <v>961</v>
      </c>
      <c r="S478" t="s">
        <v>961</v>
      </c>
    </row>
    <row r="479" spans="1:19" x14ac:dyDescent="0.25">
      <c r="A479" s="65">
        <f t="shared" si="14"/>
        <v>478</v>
      </c>
      <c r="B479" s="9" t="s">
        <v>2451</v>
      </c>
      <c r="C479" s="10">
        <v>44911</v>
      </c>
      <c r="D479" t="s">
        <v>2500</v>
      </c>
      <c r="E479" t="s">
        <v>2501</v>
      </c>
      <c r="F479" t="s">
        <v>2502</v>
      </c>
      <c r="G479" t="s">
        <v>281</v>
      </c>
      <c r="H479">
        <v>1</v>
      </c>
      <c r="I479" s="11">
        <v>3328.2</v>
      </c>
      <c r="J479" s="47">
        <f t="shared" si="15"/>
        <v>3328.2</v>
      </c>
      <c r="K479" t="s">
        <v>2503</v>
      </c>
      <c r="L479" t="s">
        <v>80</v>
      </c>
      <c r="M479" t="s">
        <v>961</v>
      </c>
      <c r="N479" t="s">
        <v>961</v>
      </c>
      <c r="O479" t="s">
        <v>961</v>
      </c>
      <c r="P479" t="s">
        <v>961</v>
      </c>
      <c r="Q479" t="s">
        <v>961</v>
      </c>
      <c r="R479" t="s">
        <v>961</v>
      </c>
      <c r="S479" t="s">
        <v>961</v>
      </c>
    </row>
    <row r="480" spans="1:19" x14ac:dyDescent="0.25">
      <c r="A480" s="65">
        <f t="shared" si="14"/>
        <v>479</v>
      </c>
      <c r="B480" s="9" t="s">
        <v>2452</v>
      </c>
      <c r="C480" s="10">
        <v>44912</v>
      </c>
      <c r="D480" t="s">
        <v>2210</v>
      </c>
      <c r="E480" t="s">
        <v>2211</v>
      </c>
      <c r="F480" t="s">
        <v>2212</v>
      </c>
      <c r="G480" t="s">
        <v>281</v>
      </c>
      <c r="H480">
        <v>1</v>
      </c>
      <c r="I480" s="11">
        <v>1612</v>
      </c>
      <c r="J480" s="47">
        <f t="shared" si="15"/>
        <v>1612</v>
      </c>
      <c r="K480" t="s">
        <v>2504</v>
      </c>
      <c r="L480" t="s">
        <v>80</v>
      </c>
      <c r="M480" t="s">
        <v>961</v>
      </c>
      <c r="N480" t="s">
        <v>961</v>
      </c>
      <c r="O480" t="s">
        <v>961</v>
      </c>
      <c r="P480" t="s">
        <v>961</v>
      </c>
      <c r="Q480" t="s">
        <v>961</v>
      </c>
      <c r="R480" t="s">
        <v>961</v>
      </c>
      <c r="S480" t="s">
        <v>961</v>
      </c>
    </row>
    <row r="481" spans="1:19" x14ac:dyDescent="0.25">
      <c r="A481">
        <f t="shared" si="14"/>
        <v>480</v>
      </c>
      <c r="B481" s="9" t="s">
        <v>2453</v>
      </c>
      <c r="C481" s="10">
        <v>44907</v>
      </c>
      <c r="D481" t="s">
        <v>2505</v>
      </c>
      <c r="E481" t="s">
        <v>2506</v>
      </c>
      <c r="F481" t="s">
        <v>2507</v>
      </c>
      <c r="G481" t="s">
        <v>168</v>
      </c>
      <c r="H481">
        <v>1</v>
      </c>
      <c r="I481" s="11">
        <v>1056</v>
      </c>
      <c r="J481" s="47">
        <f t="shared" si="15"/>
        <v>1056</v>
      </c>
      <c r="K481" t="s">
        <v>2508</v>
      </c>
      <c r="L481" t="s">
        <v>2509</v>
      </c>
      <c r="M481" t="s">
        <v>961</v>
      </c>
      <c r="N481" t="s">
        <v>961</v>
      </c>
      <c r="O481" t="s">
        <v>961</v>
      </c>
      <c r="P481" t="s">
        <v>961</v>
      </c>
      <c r="Q481" t="s">
        <v>961</v>
      </c>
      <c r="R481" t="s">
        <v>961</v>
      </c>
      <c r="S481" t="s">
        <v>961</v>
      </c>
    </row>
    <row r="482" spans="1:19" x14ac:dyDescent="0.25">
      <c r="A482" s="65">
        <f t="shared" si="14"/>
        <v>481</v>
      </c>
      <c r="B482" s="9" t="s">
        <v>2454</v>
      </c>
      <c r="C482" s="10">
        <v>44914</v>
      </c>
      <c r="D482" t="s">
        <v>1587</v>
      </c>
      <c r="E482" t="s">
        <v>1588</v>
      </c>
      <c r="F482" t="s">
        <v>1589</v>
      </c>
      <c r="G482" t="s">
        <v>281</v>
      </c>
      <c r="H482">
        <v>1</v>
      </c>
      <c r="I482" s="11">
        <v>1200</v>
      </c>
      <c r="J482" s="47">
        <f t="shared" si="15"/>
        <v>1200</v>
      </c>
      <c r="K482" t="s">
        <v>2510</v>
      </c>
      <c r="L482" t="s">
        <v>80</v>
      </c>
      <c r="M482" t="s">
        <v>961</v>
      </c>
      <c r="N482" t="s">
        <v>961</v>
      </c>
      <c r="O482" t="s">
        <v>961</v>
      </c>
      <c r="P482" t="s">
        <v>961</v>
      </c>
      <c r="Q482" t="s">
        <v>961</v>
      </c>
      <c r="R482" t="s">
        <v>961</v>
      </c>
      <c r="S482" t="s">
        <v>961</v>
      </c>
    </row>
    <row r="483" spans="1:19" x14ac:dyDescent="0.25">
      <c r="A483">
        <f t="shared" si="14"/>
        <v>482</v>
      </c>
      <c r="B483" s="9" t="s">
        <v>2455</v>
      </c>
      <c r="C483" s="10">
        <v>44914</v>
      </c>
      <c r="D483" t="s">
        <v>2511</v>
      </c>
      <c r="E483" t="s">
        <v>2512</v>
      </c>
      <c r="F483" t="s">
        <v>2513</v>
      </c>
      <c r="G483" t="s">
        <v>168</v>
      </c>
      <c r="H483">
        <v>1</v>
      </c>
      <c r="I483" s="11">
        <v>1191</v>
      </c>
      <c r="J483" s="47">
        <f t="shared" si="15"/>
        <v>1191</v>
      </c>
      <c r="K483" t="s">
        <v>2514</v>
      </c>
      <c r="L483" t="s">
        <v>192</v>
      </c>
      <c r="M483" t="s">
        <v>961</v>
      </c>
      <c r="N483" t="s">
        <v>961</v>
      </c>
      <c r="O483" t="s">
        <v>961</v>
      </c>
      <c r="P483" t="s">
        <v>961</v>
      </c>
      <c r="Q483" t="s">
        <v>961</v>
      </c>
      <c r="R483" t="s">
        <v>961</v>
      </c>
      <c r="S483" t="s">
        <v>961</v>
      </c>
    </row>
    <row r="484" spans="1:19" x14ac:dyDescent="0.25">
      <c r="A484">
        <f t="shared" si="14"/>
        <v>483</v>
      </c>
      <c r="B484" s="9" t="s">
        <v>2456</v>
      </c>
      <c r="C484" s="10">
        <v>44904</v>
      </c>
      <c r="D484" t="s">
        <v>2515</v>
      </c>
      <c r="E484" t="s">
        <v>2516</v>
      </c>
      <c r="F484" t="s">
        <v>2517</v>
      </c>
      <c r="G484" t="s">
        <v>168</v>
      </c>
      <c r="H484">
        <v>1</v>
      </c>
      <c r="I484" s="11">
        <v>3623.46</v>
      </c>
      <c r="J484" s="47">
        <f t="shared" si="15"/>
        <v>3623.46</v>
      </c>
      <c r="K484" t="s">
        <v>2518</v>
      </c>
      <c r="L484" t="s">
        <v>193</v>
      </c>
      <c r="M484" t="s">
        <v>961</v>
      </c>
      <c r="N484" t="s">
        <v>961</v>
      </c>
      <c r="O484" t="s">
        <v>961</v>
      </c>
      <c r="P484" t="s">
        <v>961</v>
      </c>
      <c r="Q484" t="s">
        <v>961</v>
      </c>
      <c r="R484" t="s">
        <v>961</v>
      </c>
      <c r="S484" t="s">
        <v>961</v>
      </c>
    </row>
    <row r="485" spans="1:19" x14ac:dyDescent="0.25">
      <c r="A485">
        <f t="shared" si="14"/>
        <v>484</v>
      </c>
      <c r="B485" s="102" t="s">
        <v>2457</v>
      </c>
      <c r="C485" s="10">
        <v>44915</v>
      </c>
      <c r="D485" t="s">
        <v>2519</v>
      </c>
      <c r="E485" t="s">
        <v>2520</v>
      </c>
      <c r="F485" t="s">
        <v>2521</v>
      </c>
      <c r="G485" t="s">
        <v>168</v>
      </c>
      <c r="H485">
        <v>1</v>
      </c>
      <c r="I485" s="11">
        <v>1870</v>
      </c>
      <c r="J485" s="47">
        <f t="shared" si="15"/>
        <v>1870</v>
      </c>
      <c r="K485" t="s">
        <v>2522</v>
      </c>
      <c r="L485" t="s">
        <v>2523</v>
      </c>
      <c r="M485" t="s">
        <v>961</v>
      </c>
      <c r="N485" t="s">
        <v>961</v>
      </c>
      <c r="O485" t="s">
        <v>961</v>
      </c>
      <c r="P485" t="s">
        <v>961</v>
      </c>
      <c r="Q485" t="s">
        <v>961</v>
      </c>
      <c r="R485" t="s">
        <v>961</v>
      </c>
      <c r="S485" t="s">
        <v>961</v>
      </c>
    </row>
    <row r="486" spans="1:19" x14ac:dyDescent="0.25">
      <c r="A486" s="65">
        <f t="shared" si="14"/>
        <v>485</v>
      </c>
      <c r="B486" s="9" t="s">
        <v>2458</v>
      </c>
      <c r="C486" s="10">
        <v>44903</v>
      </c>
      <c r="D486" t="s">
        <v>808</v>
      </c>
      <c r="E486" t="s">
        <v>809</v>
      </c>
      <c r="F486" t="s">
        <v>2525</v>
      </c>
      <c r="G486" t="s">
        <v>281</v>
      </c>
      <c r="H486">
        <v>1</v>
      </c>
      <c r="I486" s="11">
        <v>4621</v>
      </c>
      <c r="J486" s="47">
        <f t="shared" si="15"/>
        <v>4621</v>
      </c>
      <c r="K486" t="s">
        <v>2526</v>
      </c>
      <c r="L486" t="s">
        <v>80</v>
      </c>
      <c r="M486" t="s">
        <v>961</v>
      </c>
      <c r="N486" t="s">
        <v>961</v>
      </c>
      <c r="O486" t="s">
        <v>961</v>
      </c>
      <c r="P486" t="s">
        <v>961</v>
      </c>
      <c r="Q486" t="s">
        <v>961</v>
      </c>
      <c r="R486" t="s">
        <v>961</v>
      </c>
      <c r="S486" t="s">
        <v>961</v>
      </c>
    </row>
    <row r="487" spans="1:19" x14ac:dyDescent="0.25">
      <c r="A487" s="65">
        <f t="shared" si="14"/>
        <v>486</v>
      </c>
      <c r="B487" s="9" t="s">
        <v>2459</v>
      </c>
      <c r="C487" s="10">
        <v>44916</v>
      </c>
      <c r="D487" t="s">
        <v>347</v>
      </c>
      <c r="E487" t="s">
        <v>2528</v>
      </c>
      <c r="F487" t="s">
        <v>2529</v>
      </c>
      <c r="G487" t="s">
        <v>281</v>
      </c>
      <c r="H487">
        <v>1</v>
      </c>
      <c r="I487" s="11">
        <v>968</v>
      </c>
      <c r="J487" s="47">
        <f t="shared" si="15"/>
        <v>968</v>
      </c>
      <c r="K487" t="s">
        <v>2530</v>
      </c>
      <c r="L487" t="s">
        <v>80</v>
      </c>
      <c r="M487" t="s">
        <v>961</v>
      </c>
      <c r="N487" t="s">
        <v>961</v>
      </c>
      <c r="O487" t="s">
        <v>961</v>
      </c>
      <c r="P487" t="s">
        <v>961</v>
      </c>
      <c r="Q487" t="s">
        <v>961</v>
      </c>
      <c r="R487" t="s">
        <v>961</v>
      </c>
      <c r="S487" t="s">
        <v>961</v>
      </c>
    </row>
    <row r="488" spans="1:19" x14ac:dyDescent="0.25">
      <c r="A488">
        <f t="shared" si="14"/>
        <v>487</v>
      </c>
      <c r="B488" s="9" t="s">
        <v>2460</v>
      </c>
      <c r="C488" s="10">
        <v>44916</v>
      </c>
      <c r="D488" t="s">
        <v>2531</v>
      </c>
      <c r="E488" t="s">
        <v>2532</v>
      </c>
      <c r="F488" t="s">
        <v>2533</v>
      </c>
      <c r="G488" t="s">
        <v>168</v>
      </c>
      <c r="H488">
        <v>1</v>
      </c>
      <c r="I488" s="11">
        <v>912</v>
      </c>
      <c r="J488" s="47">
        <f t="shared" si="15"/>
        <v>912</v>
      </c>
      <c r="K488" t="s">
        <v>2534</v>
      </c>
      <c r="L488" t="s">
        <v>301</v>
      </c>
      <c r="M488" t="s">
        <v>961</v>
      </c>
      <c r="N488" t="s">
        <v>961</v>
      </c>
      <c r="O488" t="s">
        <v>961</v>
      </c>
      <c r="P488" t="s">
        <v>961</v>
      </c>
      <c r="Q488" t="s">
        <v>961</v>
      </c>
      <c r="R488" t="s">
        <v>961</v>
      </c>
      <c r="S488" t="s">
        <v>961</v>
      </c>
    </row>
    <row r="489" spans="1:19" x14ac:dyDescent="0.25">
      <c r="A489">
        <f t="shared" si="14"/>
        <v>488</v>
      </c>
      <c r="B489" s="102" t="s">
        <v>2461</v>
      </c>
      <c r="C489" s="10">
        <v>44917</v>
      </c>
      <c r="D489" t="s">
        <v>2535</v>
      </c>
      <c r="E489" t="s">
        <v>2536</v>
      </c>
      <c r="F489" t="s">
        <v>2537</v>
      </c>
      <c r="G489" t="s">
        <v>168</v>
      </c>
      <c r="H489">
        <v>1</v>
      </c>
      <c r="I489" s="11">
        <v>1500</v>
      </c>
      <c r="J489" s="47">
        <f t="shared" si="15"/>
        <v>1500</v>
      </c>
      <c r="K489" t="s">
        <v>2239</v>
      </c>
      <c r="L489" t="s">
        <v>1369</v>
      </c>
      <c r="M489" t="s">
        <v>961</v>
      </c>
      <c r="N489" t="s">
        <v>961</v>
      </c>
      <c r="O489" t="s">
        <v>961</v>
      </c>
      <c r="P489" t="s">
        <v>961</v>
      </c>
      <c r="Q489" t="s">
        <v>961</v>
      </c>
      <c r="R489" t="s">
        <v>961</v>
      </c>
      <c r="S489" t="s">
        <v>961</v>
      </c>
    </row>
    <row r="490" spans="1:19" x14ac:dyDescent="0.25">
      <c r="A490">
        <f t="shared" si="14"/>
        <v>489</v>
      </c>
      <c r="B490" s="102" t="s">
        <v>2462</v>
      </c>
      <c r="C490" s="10">
        <v>44918</v>
      </c>
      <c r="D490" t="s">
        <v>2538</v>
      </c>
      <c r="E490" t="s">
        <v>2539</v>
      </c>
      <c r="F490" t="s">
        <v>2540</v>
      </c>
      <c r="G490" t="s">
        <v>168</v>
      </c>
      <c r="H490">
        <v>1</v>
      </c>
      <c r="I490" s="11">
        <v>6066</v>
      </c>
      <c r="J490" s="47">
        <f t="shared" si="15"/>
        <v>6066</v>
      </c>
      <c r="K490" t="s">
        <v>2541</v>
      </c>
      <c r="L490" t="s">
        <v>2542</v>
      </c>
      <c r="M490" t="s">
        <v>961</v>
      </c>
      <c r="N490" t="s">
        <v>961</v>
      </c>
      <c r="O490" t="s">
        <v>961</v>
      </c>
      <c r="P490" t="s">
        <v>961</v>
      </c>
      <c r="Q490" t="s">
        <v>961</v>
      </c>
      <c r="R490" t="s">
        <v>961</v>
      </c>
      <c r="S490" t="s">
        <v>961</v>
      </c>
    </row>
    <row r="491" spans="1:19" x14ac:dyDescent="0.25">
      <c r="A491">
        <f t="shared" si="14"/>
        <v>490</v>
      </c>
      <c r="B491" s="9" t="s">
        <v>2463</v>
      </c>
      <c r="C491" s="10">
        <v>44921</v>
      </c>
      <c r="D491" t="s">
        <v>2543</v>
      </c>
      <c r="E491" t="s">
        <v>2544</v>
      </c>
      <c r="F491" t="s">
        <v>2545</v>
      </c>
      <c r="G491" t="s">
        <v>168</v>
      </c>
      <c r="H491">
        <v>1</v>
      </c>
      <c r="I491" s="11">
        <v>3216</v>
      </c>
      <c r="J491" s="47">
        <f t="shared" si="15"/>
        <v>3216</v>
      </c>
      <c r="K491" t="s">
        <v>2546</v>
      </c>
      <c r="L491" t="s">
        <v>192</v>
      </c>
      <c r="M491" t="s">
        <v>961</v>
      </c>
      <c r="N491" t="s">
        <v>961</v>
      </c>
      <c r="O491" t="s">
        <v>961</v>
      </c>
      <c r="P491" t="s">
        <v>961</v>
      </c>
      <c r="Q491" t="s">
        <v>961</v>
      </c>
      <c r="R491" t="s">
        <v>961</v>
      </c>
      <c r="S491" t="s">
        <v>961</v>
      </c>
    </row>
    <row r="492" spans="1:19" x14ac:dyDescent="0.25">
      <c r="A492" s="64">
        <f t="shared" si="14"/>
        <v>491</v>
      </c>
      <c r="B492" s="102" t="s">
        <v>2547</v>
      </c>
      <c r="C492" s="10">
        <v>44922</v>
      </c>
      <c r="D492" t="s">
        <v>2551</v>
      </c>
      <c r="E492" t="s">
        <v>2552</v>
      </c>
      <c r="F492" t="s">
        <v>2553</v>
      </c>
      <c r="G492" t="s">
        <v>168</v>
      </c>
      <c r="H492">
        <v>1</v>
      </c>
      <c r="I492" s="11">
        <v>9401.01</v>
      </c>
      <c r="J492" s="47">
        <f t="shared" si="15"/>
        <v>9401.01</v>
      </c>
      <c r="K492" t="s">
        <v>2550</v>
      </c>
      <c r="L492" t="s">
        <v>2562</v>
      </c>
      <c r="M492" t="s">
        <v>961</v>
      </c>
      <c r="N492" t="s">
        <v>961</v>
      </c>
      <c r="O492" t="s">
        <v>961</v>
      </c>
      <c r="P492" t="s">
        <v>961</v>
      </c>
      <c r="Q492" t="s">
        <v>961</v>
      </c>
      <c r="R492" t="s">
        <v>961</v>
      </c>
      <c r="S492" t="s">
        <v>961</v>
      </c>
    </row>
    <row r="493" spans="1:19" x14ac:dyDescent="0.25">
      <c r="A493">
        <f t="shared" si="14"/>
        <v>492</v>
      </c>
      <c r="B493" s="9" t="s">
        <v>2548</v>
      </c>
      <c r="C493" s="10">
        <v>44905</v>
      </c>
      <c r="D493" t="s">
        <v>2554</v>
      </c>
      <c r="E493" t="s">
        <v>2555</v>
      </c>
      <c r="F493" t="s">
        <v>2556</v>
      </c>
      <c r="G493" t="s">
        <v>168</v>
      </c>
      <c r="H493">
        <v>1</v>
      </c>
      <c r="I493" s="11">
        <v>3144.6</v>
      </c>
      <c r="J493" s="47">
        <f t="shared" si="15"/>
        <v>3144.6</v>
      </c>
      <c r="K493" t="s">
        <v>2557</v>
      </c>
      <c r="L493" t="s">
        <v>2561</v>
      </c>
      <c r="M493" t="s">
        <v>961</v>
      </c>
      <c r="N493" t="s">
        <v>961</v>
      </c>
      <c r="O493" t="s">
        <v>961</v>
      </c>
      <c r="P493" t="s">
        <v>961</v>
      </c>
      <c r="Q493" t="s">
        <v>961</v>
      </c>
      <c r="R493" t="s">
        <v>961</v>
      </c>
      <c r="S493" t="s">
        <v>961</v>
      </c>
    </row>
    <row r="494" spans="1:19" x14ac:dyDescent="0.25">
      <c r="A494" s="64">
        <f t="shared" si="14"/>
        <v>493</v>
      </c>
      <c r="B494" s="9" t="s">
        <v>2549</v>
      </c>
      <c r="C494" s="10">
        <v>44916</v>
      </c>
      <c r="D494" t="s">
        <v>2558</v>
      </c>
      <c r="E494" t="s">
        <v>2559</v>
      </c>
      <c r="F494" t="s">
        <v>2560</v>
      </c>
      <c r="G494" t="s">
        <v>168</v>
      </c>
      <c r="H494">
        <v>1</v>
      </c>
      <c r="I494" s="11">
        <v>1560.9</v>
      </c>
      <c r="J494" s="47">
        <f t="shared" si="15"/>
        <v>1560.9</v>
      </c>
      <c r="K494" t="s">
        <v>1147</v>
      </c>
      <c r="L494" t="s">
        <v>2563</v>
      </c>
      <c r="M494" t="s">
        <v>961</v>
      </c>
      <c r="N494" t="s">
        <v>961</v>
      </c>
      <c r="O494" t="s">
        <v>961</v>
      </c>
      <c r="P494" t="s">
        <v>961</v>
      </c>
      <c r="Q494" t="s">
        <v>961</v>
      </c>
      <c r="R494" t="s">
        <v>961</v>
      </c>
      <c r="S494" t="s">
        <v>961</v>
      </c>
    </row>
    <row r="495" spans="1:19" x14ac:dyDescent="0.25">
      <c r="A495">
        <f t="shared" si="14"/>
        <v>494</v>
      </c>
      <c r="B495" s="9" t="s">
        <v>2564</v>
      </c>
      <c r="C495" s="10">
        <v>44914</v>
      </c>
      <c r="D495" t="s">
        <v>2566</v>
      </c>
      <c r="E495" t="s">
        <v>2567</v>
      </c>
      <c r="F495" t="s">
        <v>2568</v>
      </c>
      <c r="G495" t="s">
        <v>2569</v>
      </c>
      <c r="H495">
        <v>1</v>
      </c>
      <c r="I495" s="11">
        <v>959.21</v>
      </c>
      <c r="J495" s="47">
        <f t="shared" si="15"/>
        <v>959.21</v>
      </c>
      <c r="K495" t="s">
        <v>2421</v>
      </c>
      <c r="L495" t="s">
        <v>606</v>
      </c>
      <c r="M495" t="s">
        <v>961</v>
      </c>
      <c r="N495" t="s">
        <v>961</v>
      </c>
      <c r="O495" t="s">
        <v>961</v>
      </c>
      <c r="P495" t="s">
        <v>961</v>
      </c>
      <c r="Q495" t="s">
        <v>961</v>
      </c>
      <c r="R495" t="s">
        <v>961</v>
      </c>
      <c r="S495" t="s">
        <v>961</v>
      </c>
    </row>
    <row r="496" spans="1:19" x14ac:dyDescent="0.25">
      <c r="A496" s="64">
        <f t="shared" si="14"/>
        <v>495</v>
      </c>
      <c r="B496" s="9" t="s">
        <v>2565</v>
      </c>
      <c r="C496" s="10">
        <v>44923</v>
      </c>
      <c r="D496" t="s">
        <v>2570</v>
      </c>
      <c r="E496" t="s">
        <v>2571</v>
      </c>
      <c r="F496" t="s">
        <v>2572</v>
      </c>
      <c r="G496" t="s">
        <v>168</v>
      </c>
      <c r="H496">
        <v>1</v>
      </c>
      <c r="I496" s="11">
        <v>2067.12</v>
      </c>
      <c r="J496" s="47">
        <f t="shared" si="15"/>
        <v>2067.12</v>
      </c>
      <c r="K496" t="s">
        <v>2573</v>
      </c>
      <c r="L496" t="s">
        <v>449</v>
      </c>
      <c r="M496" t="s">
        <v>961</v>
      </c>
      <c r="N496" t="s">
        <v>961</v>
      </c>
      <c r="O496" t="s">
        <v>961</v>
      </c>
      <c r="P496" t="s">
        <v>961</v>
      </c>
      <c r="Q496" t="s">
        <v>961</v>
      </c>
      <c r="R496" t="s">
        <v>961</v>
      </c>
      <c r="S496" t="s">
        <v>961</v>
      </c>
    </row>
    <row r="497" spans="1:19" x14ac:dyDescent="0.25">
      <c r="A497">
        <f t="shared" si="14"/>
        <v>496</v>
      </c>
      <c r="B497" s="9" t="s">
        <v>2575</v>
      </c>
      <c r="C497" s="10">
        <v>44923</v>
      </c>
      <c r="D497" t="s">
        <v>2576</v>
      </c>
      <c r="E497" t="s">
        <v>2577</v>
      </c>
      <c r="F497" t="s">
        <v>2578</v>
      </c>
      <c r="G497" t="s">
        <v>168</v>
      </c>
      <c r="H497">
        <v>1</v>
      </c>
      <c r="I497" s="11">
        <v>1232.8800000000001</v>
      </c>
      <c r="J497" s="47">
        <f t="shared" si="15"/>
        <v>1232.8800000000001</v>
      </c>
      <c r="K497" t="s">
        <v>2579</v>
      </c>
      <c r="L497" t="s">
        <v>2580</v>
      </c>
      <c r="M497" t="s">
        <v>961</v>
      </c>
      <c r="N497" t="s">
        <v>961</v>
      </c>
      <c r="O497" t="s">
        <v>961</v>
      </c>
      <c r="P497" t="s">
        <v>961</v>
      </c>
      <c r="Q497" t="s">
        <v>961</v>
      </c>
      <c r="R497" t="s">
        <v>961</v>
      </c>
      <c r="S497" t="s">
        <v>961</v>
      </c>
    </row>
    <row r="498" spans="1:19" x14ac:dyDescent="0.25">
      <c r="A498" s="65">
        <f t="shared" si="14"/>
        <v>497</v>
      </c>
      <c r="B498" s="102" t="s">
        <v>2583</v>
      </c>
      <c r="C498" s="10">
        <v>44914</v>
      </c>
      <c r="D498" t="s">
        <v>2584</v>
      </c>
      <c r="E498" t="s">
        <v>2585</v>
      </c>
      <c r="F498" t="s">
        <v>2586</v>
      </c>
      <c r="G498" t="s">
        <v>281</v>
      </c>
      <c r="H498">
        <v>1</v>
      </c>
      <c r="I498" s="11">
        <v>1235.82</v>
      </c>
      <c r="J498" s="47">
        <f t="shared" si="15"/>
        <v>1235.82</v>
      </c>
      <c r="K498" t="s">
        <v>2587</v>
      </c>
      <c r="L498" t="s">
        <v>80</v>
      </c>
      <c r="M498" t="s">
        <v>961</v>
      </c>
      <c r="N498" t="s">
        <v>961</v>
      </c>
      <c r="O498" t="s">
        <v>961</v>
      </c>
      <c r="P498" t="s">
        <v>961</v>
      </c>
      <c r="Q498" t="s">
        <v>961</v>
      </c>
      <c r="R498" t="s">
        <v>961</v>
      </c>
      <c r="S498" t="s">
        <v>961</v>
      </c>
    </row>
    <row r="499" spans="1:19" x14ac:dyDescent="0.25">
      <c r="A499" s="76">
        <f t="shared" si="14"/>
        <v>498</v>
      </c>
      <c r="B499" s="9" t="s">
        <v>27</v>
      </c>
      <c r="C499" s="10" t="s">
        <v>27</v>
      </c>
      <c r="D499" t="s">
        <v>27</v>
      </c>
      <c r="J499" s="47" t="e">
        <f t="shared" si="15"/>
        <v>#DIV/0!</v>
      </c>
    </row>
    <row r="500" spans="1:19" x14ac:dyDescent="0.25">
      <c r="A500">
        <f t="shared" si="14"/>
        <v>499</v>
      </c>
      <c r="J500" s="47" t="e">
        <f t="shared" si="15"/>
        <v>#DIV/0!</v>
      </c>
    </row>
    <row r="501" spans="1:19" x14ac:dyDescent="0.25">
      <c r="A501">
        <f t="shared" si="14"/>
        <v>500</v>
      </c>
      <c r="J501" s="47" t="e">
        <f t="shared" si="15"/>
        <v>#DIV/0!</v>
      </c>
    </row>
    <row r="502" spans="1:19" x14ac:dyDescent="0.25">
      <c r="A502">
        <f t="shared" si="14"/>
        <v>501</v>
      </c>
      <c r="J502" s="47" t="e">
        <f t="shared" si="15"/>
        <v>#DIV/0!</v>
      </c>
    </row>
    <row r="503" spans="1:19" x14ac:dyDescent="0.25">
      <c r="A503">
        <f t="shared" si="14"/>
        <v>502</v>
      </c>
      <c r="J503" s="47" t="e">
        <f t="shared" si="15"/>
        <v>#DIV/0!</v>
      </c>
    </row>
    <row r="504" spans="1:19" x14ac:dyDescent="0.25">
      <c r="A504">
        <f t="shared" si="14"/>
        <v>503</v>
      </c>
      <c r="J504" s="47" t="e">
        <f t="shared" si="15"/>
        <v>#DIV/0!</v>
      </c>
    </row>
    <row r="505" spans="1:19" x14ac:dyDescent="0.25">
      <c r="A505">
        <f t="shared" si="14"/>
        <v>504</v>
      </c>
      <c r="J505" s="47" t="e">
        <f t="shared" si="15"/>
        <v>#DIV/0!</v>
      </c>
    </row>
    <row r="506" spans="1:19" x14ac:dyDescent="0.25">
      <c r="A506">
        <f t="shared" si="14"/>
        <v>505</v>
      </c>
      <c r="J506" s="47" t="e">
        <f t="shared" si="15"/>
        <v>#DIV/0!</v>
      </c>
    </row>
    <row r="507" spans="1:19" x14ac:dyDescent="0.25">
      <c r="A507">
        <f t="shared" si="14"/>
        <v>506</v>
      </c>
      <c r="J507" s="47" t="e">
        <f t="shared" si="15"/>
        <v>#DIV/0!</v>
      </c>
    </row>
    <row r="508" spans="1:19" x14ac:dyDescent="0.25">
      <c r="A508">
        <f t="shared" si="14"/>
        <v>507</v>
      </c>
      <c r="J508" s="47" t="e">
        <f t="shared" si="15"/>
        <v>#DIV/0!</v>
      </c>
    </row>
    <row r="509" spans="1:19" x14ac:dyDescent="0.25">
      <c r="A509">
        <f t="shared" si="14"/>
        <v>508</v>
      </c>
      <c r="J509" s="47" t="e">
        <f t="shared" si="15"/>
        <v>#DIV/0!</v>
      </c>
    </row>
    <row r="510" spans="1:19" x14ac:dyDescent="0.25">
      <c r="A510">
        <f t="shared" si="14"/>
        <v>509</v>
      </c>
      <c r="J510" s="47" t="e">
        <f t="shared" si="15"/>
        <v>#DIV/0!</v>
      </c>
    </row>
    <row r="511" spans="1:19" x14ac:dyDescent="0.25">
      <c r="A511">
        <f t="shared" si="14"/>
        <v>510</v>
      </c>
      <c r="J511" s="47" t="e">
        <f t="shared" si="15"/>
        <v>#DIV/0!</v>
      </c>
    </row>
    <row r="512" spans="1:19" x14ac:dyDescent="0.25">
      <c r="A512">
        <f t="shared" si="14"/>
        <v>511</v>
      </c>
      <c r="J512" s="47" t="e">
        <f t="shared" si="15"/>
        <v>#DIV/0!</v>
      </c>
    </row>
    <row r="513" spans="1:10" x14ac:dyDescent="0.25">
      <c r="A513">
        <f t="shared" si="14"/>
        <v>512</v>
      </c>
      <c r="J513" s="47" t="e">
        <f t="shared" si="15"/>
        <v>#DIV/0!</v>
      </c>
    </row>
    <row r="514" spans="1:10" x14ac:dyDescent="0.25">
      <c r="A514">
        <f t="shared" si="14"/>
        <v>513</v>
      </c>
      <c r="J514" s="47" t="e">
        <f t="shared" si="15"/>
        <v>#DIV/0!</v>
      </c>
    </row>
    <row r="515" spans="1:10" x14ac:dyDescent="0.25">
      <c r="A515">
        <f t="shared" si="14"/>
        <v>514</v>
      </c>
      <c r="J515" s="47" t="e">
        <f t="shared" si="15"/>
        <v>#DIV/0!</v>
      </c>
    </row>
    <row r="516" spans="1:10" x14ac:dyDescent="0.25">
      <c r="A516">
        <f t="shared" ref="A516:A579" si="16">+A515+1</f>
        <v>515</v>
      </c>
      <c r="J516" s="47" t="e">
        <f t="shared" ref="J516:J579" si="17">I516/H516</f>
        <v>#DIV/0!</v>
      </c>
    </row>
    <row r="517" spans="1:10" x14ac:dyDescent="0.25">
      <c r="A517">
        <f t="shared" si="16"/>
        <v>516</v>
      </c>
      <c r="J517" s="47" t="e">
        <f t="shared" si="17"/>
        <v>#DIV/0!</v>
      </c>
    </row>
    <row r="518" spans="1:10" x14ac:dyDescent="0.25">
      <c r="A518">
        <f t="shared" si="16"/>
        <v>517</v>
      </c>
      <c r="J518" s="47" t="e">
        <f t="shared" si="17"/>
        <v>#DIV/0!</v>
      </c>
    </row>
    <row r="519" spans="1:10" x14ac:dyDescent="0.25">
      <c r="A519">
        <f t="shared" si="16"/>
        <v>518</v>
      </c>
      <c r="J519" s="47" t="e">
        <f t="shared" si="17"/>
        <v>#DIV/0!</v>
      </c>
    </row>
    <row r="520" spans="1:10" x14ac:dyDescent="0.25">
      <c r="A520">
        <f t="shared" si="16"/>
        <v>519</v>
      </c>
      <c r="J520" s="47" t="e">
        <f t="shared" si="17"/>
        <v>#DIV/0!</v>
      </c>
    </row>
    <row r="521" spans="1:10" x14ac:dyDescent="0.25">
      <c r="A521">
        <f t="shared" si="16"/>
        <v>520</v>
      </c>
      <c r="J521" s="47" t="e">
        <f t="shared" si="17"/>
        <v>#DIV/0!</v>
      </c>
    </row>
    <row r="522" spans="1:10" x14ac:dyDescent="0.25">
      <c r="A522">
        <f t="shared" si="16"/>
        <v>521</v>
      </c>
      <c r="J522" s="47" t="e">
        <f t="shared" si="17"/>
        <v>#DIV/0!</v>
      </c>
    </row>
    <row r="523" spans="1:10" x14ac:dyDescent="0.25">
      <c r="A523">
        <f t="shared" si="16"/>
        <v>522</v>
      </c>
      <c r="J523" s="47" t="e">
        <f t="shared" si="17"/>
        <v>#DIV/0!</v>
      </c>
    </row>
    <row r="524" spans="1:10" x14ac:dyDescent="0.25">
      <c r="A524">
        <f t="shared" si="16"/>
        <v>523</v>
      </c>
      <c r="J524" s="47" t="e">
        <f t="shared" si="17"/>
        <v>#DIV/0!</v>
      </c>
    </row>
    <row r="525" spans="1:10" x14ac:dyDescent="0.25">
      <c r="A525">
        <f t="shared" si="16"/>
        <v>524</v>
      </c>
      <c r="J525" s="47" t="e">
        <f t="shared" si="17"/>
        <v>#DIV/0!</v>
      </c>
    </row>
    <row r="526" spans="1:10" x14ac:dyDescent="0.25">
      <c r="A526">
        <f t="shared" si="16"/>
        <v>525</v>
      </c>
      <c r="J526" s="47" t="e">
        <f t="shared" si="17"/>
        <v>#DIV/0!</v>
      </c>
    </row>
    <row r="527" spans="1:10" x14ac:dyDescent="0.25">
      <c r="A527">
        <f t="shared" si="16"/>
        <v>526</v>
      </c>
      <c r="J527" s="47" t="e">
        <f t="shared" si="17"/>
        <v>#DIV/0!</v>
      </c>
    </row>
    <row r="528" spans="1:10" x14ac:dyDescent="0.25">
      <c r="A528">
        <f t="shared" si="16"/>
        <v>527</v>
      </c>
      <c r="J528" s="47" t="e">
        <f t="shared" si="17"/>
        <v>#DIV/0!</v>
      </c>
    </row>
    <row r="529" spans="1:10" x14ac:dyDescent="0.25">
      <c r="A529">
        <f t="shared" si="16"/>
        <v>528</v>
      </c>
      <c r="J529" s="47" t="e">
        <f t="shared" si="17"/>
        <v>#DIV/0!</v>
      </c>
    </row>
    <row r="530" spans="1:10" x14ac:dyDescent="0.25">
      <c r="A530">
        <f t="shared" si="16"/>
        <v>529</v>
      </c>
      <c r="J530" s="47" t="e">
        <f t="shared" si="17"/>
        <v>#DIV/0!</v>
      </c>
    </row>
    <row r="531" spans="1:10" x14ac:dyDescent="0.25">
      <c r="A531">
        <f t="shared" si="16"/>
        <v>530</v>
      </c>
      <c r="J531" s="47" t="e">
        <f t="shared" si="17"/>
        <v>#DIV/0!</v>
      </c>
    </row>
    <row r="532" spans="1:10" x14ac:dyDescent="0.25">
      <c r="A532">
        <f t="shared" si="16"/>
        <v>531</v>
      </c>
      <c r="J532" s="47" t="e">
        <f t="shared" si="17"/>
        <v>#DIV/0!</v>
      </c>
    </row>
    <row r="533" spans="1:10" x14ac:dyDescent="0.25">
      <c r="A533">
        <f t="shared" si="16"/>
        <v>532</v>
      </c>
      <c r="J533" s="47" t="e">
        <f t="shared" si="17"/>
        <v>#DIV/0!</v>
      </c>
    </row>
    <row r="534" spans="1:10" x14ac:dyDescent="0.25">
      <c r="A534">
        <f t="shared" si="16"/>
        <v>533</v>
      </c>
      <c r="J534" s="47" t="e">
        <f t="shared" si="17"/>
        <v>#DIV/0!</v>
      </c>
    </row>
    <row r="535" spans="1:10" x14ac:dyDescent="0.25">
      <c r="A535">
        <f t="shared" si="16"/>
        <v>534</v>
      </c>
      <c r="J535" s="47" t="e">
        <f t="shared" si="17"/>
        <v>#DIV/0!</v>
      </c>
    </row>
    <row r="536" spans="1:10" x14ac:dyDescent="0.25">
      <c r="A536">
        <f t="shared" si="16"/>
        <v>535</v>
      </c>
      <c r="J536" s="47" t="e">
        <f t="shared" si="17"/>
        <v>#DIV/0!</v>
      </c>
    </row>
    <row r="537" spans="1:10" x14ac:dyDescent="0.25">
      <c r="A537">
        <f t="shared" si="16"/>
        <v>536</v>
      </c>
      <c r="J537" s="47" t="e">
        <f t="shared" si="17"/>
        <v>#DIV/0!</v>
      </c>
    </row>
    <row r="538" spans="1:10" x14ac:dyDescent="0.25">
      <c r="A538">
        <f t="shared" si="16"/>
        <v>537</v>
      </c>
      <c r="J538" s="47" t="e">
        <f t="shared" si="17"/>
        <v>#DIV/0!</v>
      </c>
    </row>
    <row r="539" spans="1:10" x14ac:dyDescent="0.25">
      <c r="A539">
        <f t="shared" si="16"/>
        <v>538</v>
      </c>
      <c r="J539" s="47" t="e">
        <f t="shared" si="17"/>
        <v>#DIV/0!</v>
      </c>
    </row>
    <row r="540" spans="1:10" x14ac:dyDescent="0.25">
      <c r="A540">
        <f t="shared" si="16"/>
        <v>539</v>
      </c>
      <c r="J540" s="47" t="e">
        <f t="shared" si="17"/>
        <v>#DIV/0!</v>
      </c>
    </row>
    <row r="541" spans="1:10" x14ac:dyDescent="0.25">
      <c r="A541">
        <f t="shared" si="16"/>
        <v>540</v>
      </c>
      <c r="J541" s="47" t="e">
        <f t="shared" si="17"/>
        <v>#DIV/0!</v>
      </c>
    </row>
    <row r="542" spans="1:10" x14ac:dyDescent="0.25">
      <c r="A542">
        <f t="shared" si="16"/>
        <v>541</v>
      </c>
      <c r="J542" s="47" t="e">
        <f t="shared" si="17"/>
        <v>#DIV/0!</v>
      </c>
    </row>
    <row r="543" spans="1:10" x14ac:dyDescent="0.25">
      <c r="A543">
        <f t="shared" si="16"/>
        <v>542</v>
      </c>
      <c r="J543" s="47" t="e">
        <f t="shared" si="17"/>
        <v>#DIV/0!</v>
      </c>
    </row>
    <row r="544" spans="1:10" x14ac:dyDescent="0.25">
      <c r="A544">
        <f t="shared" si="16"/>
        <v>543</v>
      </c>
      <c r="J544" s="47" t="e">
        <f t="shared" si="17"/>
        <v>#DIV/0!</v>
      </c>
    </row>
    <row r="545" spans="1:10" x14ac:dyDescent="0.25">
      <c r="A545">
        <f t="shared" si="16"/>
        <v>544</v>
      </c>
      <c r="J545" s="47" t="e">
        <f t="shared" si="17"/>
        <v>#DIV/0!</v>
      </c>
    </row>
    <row r="546" spans="1:10" x14ac:dyDescent="0.25">
      <c r="A546">
        <f t="shared" si="16"/>
        <v>545</v>
      </c>
      <c r="J546" s="47" t="e">
        <f t="shared" si="17"/>
        <v>#DIV/0!</v>
      </c>
    </row>
    <row r="547" spans="1:10" x14ac:dyDescent="0.25">
      <c r="A547">
        <f t="shared" si="16"/>
        <v>546</v>
      </c>
      <c r="J547" s="47" t="e">
        <f t="shared" si="17"/>
        <v>#DIV/0!</v>
      </c>
    </row>
    <row r="548" spans="1:10" x14ac:dyDescent="0.25">
      <c r="A548">
        <f t="shared" si="16"/>
        <v>547</v>
      </c>
      <c r="J548" s="47" t="e">
        <f t="shared" si="17"/>
        <v>#DIV/0!</v>
      </c>
    </row>
    <row r="549" spans="1:10" x14ac:dyDescent="0.25">
      <c r="A549">
        <f t="shared" si="16"/>
        <v>548</v>
      </c>
      <c r="J549" s="47" t="e">
        <f t="shared" si="17"/>
        <v>#DIV/0!</v>
      </c>
    </row>
    <row r="550" spans="1:10" x14ac:dyDescent="0.25">
      <c r="A550">
        <f t="shared" si="16"/>
        <v>549</v>
      </c>
      <c r="J550" s="47" t="e">
        <f t="shared" si="17"/>
        <v>#DIV/0!</v>
      </c>
    </row>
    <row r="551" spans="1:10" x14ac:dyDescent="0.25">
      <c r="A551">
        <f t="shared" si="16"/>
        <v>550</v>
      </c>
      <c r="J551" s="47" t="e">
        <f t="shared" si="17"/>
        <v>#DIV/0!</v>
      </c>
    </row>
    <row r="552" spans="1:10" x14ac:dyDescent="0.25">
      <c r="A552">
        <f t="shared" si="16"/>
        <v>551</v>
      </c>
      <c r="J552" s="47" t="e">
        <f t="shared" si="17"/>
        <v>#DIV/0!</v>
      </c>
    </row>
    <row r="553" spans="1:10" x14ac:dyDescent="0.25">
      <c r="A553">
        <f t="shared" si="16"/>
        <v>552</v>
      </c>
      <c r="J553" s="47" t="e">
        <f t="shared" si="17"/>
        <v>#DIV/0!</v>
      </c>
    </row>
    <row r="554" spans="1:10" x14ac:dyDescent="0.25">
      <c r="A554">
        <f t="shared" si="16"/>
        <v>553</v>
      </c>
      <c r="J554" s="47" t="e">
        <f t="shared" si="17"/>
        <v>#DIV/0!</v>
      </c>
    </row>
    <row r="555" spans="1:10" x14ac:dyDescent="0.25">
      <c r="A555">
        <f t="shared" si="16"/>
        <v>554</v>
      </c>
      <c r="J555" s="47" t="e">
        <f t="shared" si="17"/>
        <v>#DIV/0!</v>
      </c>
    </row>
    <row r="556" spans="1:10" x14ac:dyDescent="0.25">
      <c r="A556">
        <f t="shared" si="16"/>
        <v>555</v>
      </c>
      <c r="J556" s="47" t="e">
        <f t="shared" si="17"/>
        <v>#DIV/0!</v>
      </c>
    </row>
    <row r="557" spans="1:10" x14ac:dyDescent="0.25">
      <c r="A557">
        <f t="shared" si="16"/>
        <v>556</v>
      </c>
      <c r="J557" s="47" t="e">
        <f t="shared" si="17"/>
        <v>#DIV/0!</v>
      </c>
    </row>
    <row r="558" spans="1:10" x14ac:dyDescent="0.25">
      <c r="A558">
        <f t="shared" si="16"/>
        <v>557</v>
      </c>
      <c r="J558" s="47" t="e">
        <f t="shared" si="17"/>
        <v>#DIV/0!</v>
      </c>
    </row>
    <row r="559" spans="1:10" x14ac:dyDescent="0.25">
      <c r="A559">
        <f t="shared" si="16"/>
        <v>558</v>
      </c>
      <c r="J559" s="47" t="e">
        <f t="shared" si="17"/>
        <v>#DIV/0!</v>
      </c>
    </row>
    <row r="560" spans="1:10" x14ac:dyDescent="0.25">
      <c r="A560">
        <f t="shared" si="16"/>
        <v>559</v>
      </c>
      <c r="J560" s="47" t="e">
        <f t="shared" si="17"/>
        <v>#DIV/0!</v>
      </c>
    </row>
    <row r="561" spans="1:10" x14ac:dyDescent="0.25">
      <c r="A561">
        <f t="shared" si="16"/>
        <v>560</v>
      </c>
      <c r="J561" s="47" t="e">
        <f t="shared" si="17"/>
        <v>#DIV/0!</v>
      </c>
    </row>
    <row r="562" spans="1:10" x14ac:dyDescent="0.25">
      <c r="A562">
        <f t="shared" si="16"/>
        <v>561</v>
      </c>
      <c r="J562" s="47" t="e">
        <f t="shared" si="17"/>
        <v>#DIV/0!</v>
      </c>
    </row>
    <row r="563" spans="1:10" x14ac:dyDescent="0.25">
      <c r="A563">
        <f t="shared" si="16"/>
        <v>562</v>
      </c>
      <c r="J563" s="47" t="e">
        <f t="shared" si="17"/>
        <v>#DIV/0!</v>
      </c>
    </row>
    <row r="564" spans="1:10" x14ac:dyDescent="0.25">
      <c r="A564">
        <f t="shared" si="16"/>
        <v>563</v>
      </c>
      <c r="J564" s="47" t="e">
        <f t="shared" si="17"/>
        <v>#DIV/0!</v>
      </c>
    </row>
    <row r="565" spans="1:10" x14ac:dyDescent="0.25">
      <c r="A565">
        <f t="shared" si="16"/>
        <v>564</v>
      </c>
      <c r="J565" s="47" t="e">
        <f t="shared" si="17"/>
        <v>#DIV/0!</v>
      </c>
    </row>
    <row r="566" spans="1:10" x14ac:dyDescent="0.25">
      <c r="A566">
        <f t="shared" si="16"/>
        <v>565</v>
      </c>
      <c r="J566" s="47" t="e">
        <f t="shared" si="17"/>
        <v>#DIV/0!</v>
      </c>
    </row>
    <row r="567" spans="1:10" x14ac:dyDescent="0.25">
      <c r="A567">
        <f t="shared" si="16"/>
        <v>566</v>
      </c>
      <c r="J567" s="47" t="e">
        <f t="shared" si="17"/>
        <v>#DIV/0!</v>
      </c>
    </row>
    <row r="568" spans="1:10" x14ac:dyDescent="0.25">
      <c r="A568">
        <f t="shared" si="16"/>
        <v>567</v>
      </c>
      <c r="J568" s="47" t="e">
        <f t="shared" si="17"/>
        <v>#DIV/0!</v>
      </c>
    </row>
    <row r="569" spans="1:10" x14ac:dyDescent="0.25">
      <c r="A569">
        <f t="shared" si="16"/>
        <v>568</v>
      </c>
      <c r="J569" s="47" t="e">
        <f t="shared" si="17"/>
        <v>#DIV/0!</v>
      </c>
    </row>
    <row r="570" spans="1:10" x14ac:dyDescent="0.25">
      <c r="A570">
        <f t="shared" si="16"/>
        <v>569</v>
      </c>
      <c r="J570" s="47" t="e">
        <f t="shared" si="17"/>
        <v>#DIV/0!</v>
      </c>
    </row>
    <row r="571" spans="1:10" x14ac:dyDescent="0.25">
      <c r="A571">
        <f t="shared" si="16"/>
        <v>570</v>
      </c>
      <c r="J571" s="47" t="e">
        <f t="shared" si="17"/>
        <v>#DIV/0!</v>
      </c>
    </row>
    <row r="572" spans="1:10" x14ac:dyDescent="0.25">
      <c r="A572">
        <f t="shared" si="16"/>
        <v>571</v>
      </c>
      <c r="J572" s="47" t="e">
        <f t="shared" si="17"/>
        <v>#DIV/0!</v>
      </c>
    </row>
    <row r="573" spans="1:10" x14ac:dyDescent="0.25">
      <c r="A573">
        <f t="shared" si="16"/>
        <v>572</v>
      </c>
      <c r="J573" s="47" t="e">
        <f t="shared" si="17"/>
        <v>#DIV/0!</v>
      </c>
    </row>
    <row r="574" spans="1:10" x14ac:dyDescent="0.25">
      <c r="A574">
        <f t="shared" si="16"/>
        <v>573</v>
      </c>
      <c r="J574" s="47" t="e">
        <f t="shared" si="17"/>
        <v>#DIV/0!</v>
      </c>
    </row>
    <row r="575" spans="1:10" x14ac:dyDescent="0.25">
      <c r="A575">
        <f t="shared" si="16"/>
        <v>574</v>
      </c>
      <c r="J575" s="47" t="e">
        <f t="shared" si="17"/>
        <v>#DIV/0!</v>
      </c>
    </row>
    <row r="576" spans="1:10" x14ac:dyDescent="0.25">
      <c r="A576">
        <f t="shared" si="16"/>
        <v>575</v>
      </c>
      <c r="J576" s="47" t="e">
        <f t="shared" si="17"/>
        <v>#DIV/0!</v>
      </c>
    </row>
    <row r="577" spans="1:10" x14ac:dyDescent="0.25">
      <c r="A577">
        <f t="shared" si="16"/>
        <v>576</v>
      </c>
      <c r="J577" s="47" t="e">
        <f t="shared" si="17"/>
        <v>#DIV/0!</v>
      </c>
    </row>
    <row r="578" spans="1:10" x14ac:dyDescent="0.25">
      <c r="A578">
        <f t="shared" si="16"/>
        <v>577</v>
      </c>
      <c r="J578" s="47" t="e">
        <f t="shared" si="17"/>
        <v>#DIV/0!</v>
      </c>
    </row>
    <row r="579" spans="1:10" x14ac:dyDescent="0.25">
      <c r="A579">
        <f t="shared" si="16"/>
        <v>578</v>
      </c>
      <c r="J579" s="47" t="e">
        <f t="shared" si="17"/>
        <v>#DIV/0!</v>
      </c>
    </row>
    <row r="580" spans="1:10" x14ac:dyDescent="0.25">
      <c r="A580">
        <f t="shared" ref="A580:A643" si="18">+A579+1</f>
        <v>579</v>
      </c>
      <c r="J580" s="47" t="e">
        <f t="shared" ref="J580:J643" si="19">I580/H580</f>
        <v>#DIV/0!</v>
      </c>
    </row>
    <row r="581" spans="1:10" x14ac:dyDescent="0.25">
      <c r="A581">
        <f t="shared" si="18"/>
        <v>580</v>
      </c>
      <c r="J581" s="47" t="e">
        <f t="shared" si="19"/>
        <v>#DIV/0!</v>
      </c>
    </row>
    <row r="582" spans="1:10" x14ac:dyDescent="0.25">
      <c r="A582">
        <f t="shared" si="18"/>
        <v>581</v>
      </c>
      <c r="J582" s="47" t="e">
        <f t="shared" si="19"/>
        <v>#DIV/0!</v>
      </c>
    </row>
    <row r="583" spans="1:10" x14ac:dyDescent="0.25">
      <c r="A583">
        <f t="shared" si="18"/>
        <v>582</v>
      </c>
      <c r="J583" s="47" t="e">
        <f t="shared" si="19"/>
        <v>#DIV/0!</v>
      </c>
    </row>
    <row r="584" spans="1:10" x14ac:dyDescent="0.25">
      <c r="A584">
        <f t="shared" si="18"/>
        <v>583</v>
      </c>
      <c r="J584" s="47" t="e">
        <f t="shared" si="19"/>
        <v>#DIV/0!</v>
      </c>
    </row>
    <row r="585" spans="1:10" x14ac:dyDescent="0.25">
      <c r="A585">
        <f t="shared" si="18"/>
        <v>584</v>
      </c>
      <c r="J585" s="47" t="e">
        <f t="shared" si="19"/>
        <v>#DIV/0!</v>
      </c>
    </row>
    <row r="586" spans="1:10" x14ac:dyDescent="0.25">
      <c r="A586">
        <f t="shared" si="18"/>
        <v>585</v>
      </c>
      <c r="J586" s="47" t="e">
        <f t="shared" si="19"/>
        <v>#DIV/0!</v>
      </c>
    </row>
    <row r="587" spans="1:10" x14ac:dyDescent="0.25">
      <c r="A587">
        <f t="shared" si="18"/>
        <v>586</v>
      </c>
      <c r="J587" s="47" t="e">
        <f t="shared" si="19"/>
        <v>#DIV/0!</v>
      </c>
    </row>
    <row r="588" spans="1:10" x14ac:dyDescent="0.25">
      <c r="A588">
        <f t="shared" si="18"/>
        <v>587</v>
      </c>
      <c r="J588" s="47" t="e">
        <f t="shared" si="19"/>
        <v>#DIV/0!</v>
      </c>
    </row>
    <row r="589" spans="1:10" x14ac:dyDescent="0.25">
      <c r="A589">
        <f t="shared" si="18"/>
        <v>588</v>
      </c>
      <c r="J589" s="47" t="e">
        <f t="shared" si="19"/>
        <v>#DIV/0!</v>
      </c>
    </row>
    <row r="590" spans="1:10" x14ac:dyDescent="0.25">
      <c r="A590">
        <f t="shared" si="18"/>
        <v>589</v>
      </c>
      <c r="J590" s="47" t="e">
        <f t="shared" si="19"/>
        <v>#DIV/0!</v>
      </c>
    </row>
    <row r="591" spans="1:10" x14ac:dyDescent="0.25">
      <c r="A591">
        <f t="shared" si="18"/>
        <v>590</v>
      </c>
      <c r="J591" s="47" t="e">
        <f t="shared" si="19"/>
        <v>#DIV/0!</v>
      </c>
    </row>
    <row r="592" spans="1:10" x14ac:dyDescent="0.25">
      <c r="A592">
        <f t="shared" si="18"/>
        <v>591</v>
      </c>
      <c r="J592" s="47" t="e">
        <f t="shared" si="19"/>
        <v>#DIV/0!</v>
      </c>
    </row>
    <row r="593" spans="1:10" x14ac:dyDescent="0.25">
      <c r="A593">
        <f t="shared" si="18"/>
        <v>592</v>
      </c>
      <c r="J593" s="47" t="e">
        <f t="shared" si="19"/>
        <v>#DIV/0!</v>
      </c>
    </row>
    <row r="594" spans="1:10" x14ac:dyDescent="0.25">
      <c r="A594">
        <f t="shared" si="18"/>
        <v>593</v>
      </c>
      <c r="J594" s="47" t="e">
        <f t="shared" si="19"/>
        <v>#DIV/0!</v>
      </c>
    </row>
    <row r="595" spans="1:10" x14ac:dyDescent="0.25">
      <c r="A595">
        <f t="shared" si="18"/>
        <v>594</v>
      </c>
      <c r="J595" s="47" t="e">
        <f t="shared" si="19"/>
        <v>#DIV/0!</v>
      </c>
    </row>
    <row r="596" spans="1:10" x14ac:dyDescent="0.25">
      <c r="A596">
        <f t="shared" si="18"/>
        <v>595</v>
      </c>
      <c r="J596" s="47" t="e">
        <f t="shared" si="19"/>
        <v>#DIV/0!</v>
      </c>
    </row>
    <row r="597" spans="1:10" x14ac:dyDescent="0.25">
      <c r="A597">
        <f t="shared" si="18"/>
        <v>596</v>
      </c>
      <c r="J597" s="47" t="e">
        <f t="shared" si="19"/>
        <v>#DIV/0!</v>
      </c>
    </row>
    <row r="598" spans="1:10" x14ac:dyDescent="0.25">
      <c r="A598">
        <f t="shared" si="18"/>
        <v>597</v>
      </c>
      <c r="J598" s="47" t="e">
        <f t="shared" si="19"/>
        <v>#DIV/0!</v>
      </c>
    </row>
    <row r="599" spans="1:10" x14ac:dyDescent="0.25">
      <c r="A599">
        <f t="shared" si="18"/>
        <v>598</v>
      </c>
      <c r="J599" s="47" t="e">
        <f t="shared" si="19"/>
        <v>#DIV/0!</v>
      </c>
    </row>
    <row r="600" spans="1:10" x14ac:dyDescent="0.25">
      <c r="A600">
        <f t="shared" si="18"/>
        <v>599</v>
      </c>
      <c r="J600" s="47" t="e">
        <f t="shared" si="19"/>
        <v>#DIV/0!</v>
      </c>
    </row>
    <row r="601" spans="1:10" x14ac:dyDescent="0.25">
      <c r="A601">
        <f t="shared" si="18"/>
        <v>600</v>
      </c>
      <c r="J601" s="47" t="e">
        <f t="shared" si="19"/>
        <v>#DIV/0!</v>
      </c>
    </row>
    <row r="602" spans="1:10" x14ac:dyDescent="0.25">
      <c r="A602">
        <f t="shared" si="18"/>
        <v>601</v>
      </c>
      <c r="J602" s="47" t="e">
        <f t="shared" si="19"/>
        <v>#DIV/0!</v>
      </c>
    </row>
    <row r="603" spans="1:10" x14ac:dyDescent="0.25">
      <c r="A603">
        <f t="shared" si="18"/>
        <v>602</v>
      </c>
      <c r="J603" s="47" t="e">
        <f t="shared" si="19"/>
        <v>#DIV/0!</v>
      </c>
    </row>
    <row r="604" spans="1:10" x14ac:dyDescent="0.25">
      <c r="A604">
        <f t="shared" si="18"/>
        <v>603</v>
      </c>
      <c r="J604" s="47" t="e">
        <f t="shared" si="19"/>
        <v>#DIV/0!</v>
      </c>
    </row>
    <row r="605" spans="1:10" x14ac:dyDescent="0.25">
      <c r="A605">
        <f t="shared" si="18"/>
        <v>604</v>
      </c>
      <c r="J605" s="47" t="e">
        <f t="shared" si="19"/>
        <v>#DIV/0!</v>
      </c>
    </row>
    <row r="606" spans="1:10" x14ac:dyDescent="0.25">
      <c r="A606">
        <f t="shared" si="18"/>
        <v>605</v>
      </c>
      <c r="J606" s="47" t="e">
        <f t="shared" si="19"/>
        <v>#DIV/0!</v>
      </c>
    </row>
    <row r="607" spans="1:10" x14ac:dyDescent="0.25">
      <c r="A607">
        <f t="shared" si="18"/>
        <v>606</v>
      </c>
      <c r="J607" s="47" t="e">
        <f t="shared" si="19"/>
        <v>#DIV/0!</v>
      </c>
    </row>
    <row r="608" spans="1:10" x14ac:dyDescent="0.25">
      <c r="A608">
        <f t="shared" si="18"/>
        <v>607</v>
      </c>
      <c r="J608" s="47" t="e">
        <f t="shared" si="19"/>
        <v>#DIV/0!</v>
      </c>
    </row>
    <row r="609" spans="1:10" x14ac:dyDescent="0.25">
      <c r="A609">
        <f t="shared" si="18"/>
        <v>608</v>
      </c>
      <c r="J609" s="47" t="e">
        <f t="shared" si="19"/>
        <v>#DIV/0!</v>
      </c>
    </row>
    <row r="610" spans="1:10" x14ac:dyDescent="0.25">
      <c r="A610">
        <f t="shared" si="18"/>
        <v>609</v>
      </c>
      <c r="J610" s="47" t="e">
        <f t="shared" si="19"/>
        <v>#DIV/0!</v>
      </c>
    </row>
    <row r="611" spans="1:10" x14ac:dyDescent="0.25">
      <c r="A611">
        <f t="shared" si="18"/>
        <v>610</v>
      </c>
      <c r="J611" s="47" t="e">
        <f t="shared" si="19"/>
        <v>#DIV/0!</v>
      </c>
    </row>
    <row r="612" spans="1:10" x14ac:dyDescent="0.25">
      <c r="A612">
        <f t="shared" si="18"/>
        <v>611</v>
      </c>
      <c r="J612" s="47" t="e">
        <f t="shared" si="19"/>
        <v>#DIV/0!</v>
      </c>
    </row>
    <row r="613" spans="1:10" x14ac:dyDescent="0.25">
      <c r="A613">
        <f t="shared" si="18"/>
        <v>612</v>
      </c>
      <c r="J613" s="47" t="e">
        <f t="shared" si="19"/>
        <v>#DIV/0!</v>
      </c>
    </row>
    <row r="614" spans="1:10" x14ac:dyDescent="0.25">
      <c r="A614">
        <f t="shared" si="18"/>
        <v>613</v>
      </c>
      <c r="J614" s="47" t="e">
        <f t="shared" si="19"/>
        <v>#DIV/0!</v>
      </c>
    </row>
    <row r="615" spans="1:10" x14ac:dyDescent="0.25">
      <c r="A615">
        <f t="shared" si="18"/>
        <v>614</v>
      </c>
      <c r="J615" s="47" t="e">
        <f t="shared" si="19"/>
        <v>#DIV/0!</v>
      </c>
    </row>
    <row r="616" spans="1:10" x14ac:dyDescent="0.25">
      <c r="A616">
        <f t="shared" si="18"/>
        <v>615</v>
      </c>
      <c r="J616" s="47" t="e">
        <f t="shared" si="19"/>
        <v>#DIV/0!</v>
      </c>
    </row>
    <row r="617" spans="1:10" x14ac:dyDescent="0.25">
      <c r="A617">
        <f t="shared" si="18"/>
        <v>616</v>
      </c>
      <c r="J617" s="47" t="e">
        <f t="shared" si="19"/>
        <v>#DIV/0!</v>
      </c>
    </row>
    <row r="618" spans="1:10" x14ac:dyDescent="0.25">
      <c r="A618">
        <f t="shared" si="18"/>
        <v>617</v>
      </c>
      <c r="J618" s="47" t="e">
        <f t="shared" si="19"/>
        <v>#DIV/0!</v>
      </c>
    </row>
    <row r="619" spans="1:10" x14ac:dyDescent="0.25">
      <c r="A619">
        <f t="shared" si="18"/>
        <v>618</v>
      </c>
      <c r="J619" s="47" t="e">
        <f t="shared" si="19"/>
        <v>#DIV/0!</v>
      </c>
    </row>
    <row r="620" spans="1:10" x14ac:dyDescent="0.25">
      <c r="A620">
        <f t="shared" si="18"/>
        <v>619</v>
      </c>
      <c r="J620" s="47" t="e">
        <f t="shared" si="19"/>
        <v>#DIV/0!</v>
      </c>
    </row>
    <row r="621" spans="1:10" x14ac:dyDescent="0.25">
      <c r="A621">
        <f t="shared" si="18"/>
        <v>620</v>
      </c>
      <c r="J621" s="47" t="e">
        <f t="shared" si="19"/>
        <v>#DIV/0!</v>
      </c>
    </row>
    <row r="622" spans="1:10" x14ac:dyDescent="0.25">
      <c r="A622">
        <f t="shared" si="18"/>
        <v>621</v>
      </c>
      <c r="J622" s="47" t="e">
        <f t="shared" si="19"/>
        <v>#DIV/0!</v>
      </c>
    </row>
    <row r="623" spans="1:10" x14ac:dyDescent="0.25">
      <c r="A623">
        <f t="shared" si="18"/>
        <v>622</v>
      </c>
      <c r="J623" s="47" t="e">
        <f t="shared" si="19"/>
        <v>#DIV/0!</v>
      </c>
    </row>
    <row r="624" spans="1:10" x14ac:dyDescent="0.25">
      <c r="A624">
        <f t="shared" si="18"/>
        <v>623</v>
      </c>
      <c r="J624" s="47" t="e">
        <f t="shared" si="19"/>
        <v>#DIV/0!</v>
      </c>
    </row>
    <row r="625" spans="1:10" x14ac:dyDescent="0.25">
      <c r="A625">
        <f t="shared" si="18"/>
        <v>624</v>
      </c>
      <c r="J625" s="47" t="e">
        <f t="shared" si="19"/>
        <v>#DIV/0!</v>
      </c>
    </row>
    <row r="626" spans="1:10" x14ac:dyDescent="0.25">
      <c r="A626">
        <f t="shared" si="18"/>
        <v>625</v>
      </c>
      <c r="J626" s="47" t="e">
        <f t="shared" si="19"/>
        <v>#DIV/0!</v>
      </c>
    </row>
    <row r="627" spans="1:10" x14ac:dyDescent="0.25">
      <c r="A627">
        <f t="shared" si="18"/>
        <v>626</v>
      </c>
      <c r="J627" s="47" t="e">
        <f t="shared" si="19"/>
        <v>#DIV/0!</v>
      </c>
    </row>
    <row r="628" spans="1:10" x14ac:dyDescent="0.25">
      <c r="A628">
        <f t="shared" si="18"/>
        <v>627</v>
      </c>
      <c r="J628" s="47" t="e">
        <f t="shared" si="19"/>
        <v>#DIV/0!</v>
      </c>
    </row>
    <row r="629" spans="1:10" x14ac:dyDescent="0.25">
      <c r="A629">
        <f t="shared" si="18"/>
        <v>628</v>
      </c>
      <c r="J629" s="47" t="e">
        <f t="shared" si="19"/>
        <v>#DIV/0!</v>
      </c>
    </row>
    <row r="630" spans="1:10" x14ac:dyDescent="0.25">
      <c r="A630">
        <f t="shared" si="18"/>
        <v>629</v>
      </c>
      <c r="J630" s="47" t="e">
        <f t="shared" si="19"/>
        <v>#DIV/0!</v>
      </c>
    </row>
    <row r="631" spans="1:10" x14ac:dyDescent="0.25">
      <c r="A631">
        <f t="shared" si="18"/>
        <v>630</v>
      </c>
      <c r="J631" s="47" t="e">
        <f t="shared" si="19"/>
        <v>#DIV/0!</v>
      </c>
    </row>
    <row r="632" spans="1:10" x14ac:dyDescent="0.25">
      <c r="A632">
        <f t="shared" si="18"/>
        <v>631</v>
      </c>
      <c r="J632" s="47" t="e">
        <f t="shared" si="19"/>
        <v>#DIV/0!</v>
      </c>
    </row>
    <row r="633" spans="1:10" x14ac:dyDescent="0.25">
      <c r="A633">
        <f t="shared" si="18"/>
        <v>632</v>
      </c>
      <c r="J633" s="47" t="e">
        <f t="shared" si="19"/>
        <v>#DIV/0!</v>
      </c>
    </row>
    <row r="634" spans="1:10" x14ac:dyDescent="0.25">
      <c r="A634">
        <f t="shared" si="18"/>
        <v>633</v>
      </c>
      <c r="J634" s="47" t="e">
        <f t="shared" si="19"/>
        <v>#DIV/0!</v>
      </c>
    </row>
    <row r="635" spans="1:10" x14ac:dyDescent="0.25">
      <c r="A635">
        <f t="shared" si="18"/>
        <v>634</v>
      </c>
      <c r="J635" s="47" t="e">
        <f t="shared" si="19"/>
        <v>#DIV/0!</v>
      </c>
    </row>
    <row r="636" spans="1:10" x14ac:dyDescent="0.25">
      <c r="A636">
        <f t="shared" si="18"/>
        <v>635</v>
      </c>
      <c r="J636" s="47" t="e">
        <f t="shared" si="19"/>
        <v>#DIV/0!</v>
      </c>
    </row>
    <row r="637" spans="1:10" x14ac:dyDescent="0.25">
      <c r="A637">
        <f t="shared" si="18"/>
        <v>636</v>
      </c>
      <c r="J637" s="47" t="e">
        <f t="shared" si="19"/>
        <v>#DIV/0!</v>
      </c>
    </row>
    <row r="638" spans="1:10" x14ac:dyDescent="0.25">
      <c r="A638">
        <f t="shared" si="18"/>
        <v>637</v>
      </c>
      <c r="J638" s="47" t="e">
        <f t="shared" si="19"/>
        <v>#DIV/0!</v>
      </c>
    </row>
    <row r="639" spans="1:10" x14ac:dyDescent="0.25">
      <c r="A639">
        <f t="shared" si="18"/>
        <v>638</v>
      </c>
      <c r="J639" s="47" t="e">
        <f t="shared" si="19"/>
        <v>#DIV/0!</v>
      </c>
    </row>
    <row r="640" spans="1:10" x14ac:dyDescent="0.25">
      <c r="A640">
        <f t="shared" si="18"/>
        <v>639</v>
      </c>
      <c r="J640" s="47" t="e">
        <f t="shared" si="19"/>
        <v>#DIV/0!</v>
      </c>
    </row>
    <row r="641" spans="1:10" x14ac:dyDescent="0.25">
      <c r="A641">
        <f t="shared" si="18"/>
        <v>640</v>
      </c>
      <c r="J641" s="47" t="e">
        <f t="shared" si="19"/>
        <v>#DIV/0!</v>
      </c>
    </row>
    <row r="642" spans="1:10" x14ac:dyDescent="0.25">
      <c r="A642">
        <f t="shared" si="18"/>
        <v>641</v>
      </c>
      <c r="J642" s="47" t="e">
        <f t="shared" si="19"/>
        <v>#DIV/0!</v>
      </c>
    </row>
    <row r="643" spans="1:10" x14ac:dyDescent="0.25">
      <c r="A643">
        <f t="shared" si="18"/>
        <v>642</v>
      </c>
      <c r="J643" s="47" t="e">
        <f t="shared" si="19"/>
        <v>#DIV/0!</v>
      </c>
    </row>
    <row r="644" spans="1:10" x14ac:dyDescent="0.25">
      <c r="A644">
        <f t="shared" ref="A644:A707" si="20">+A643+1</f>
        <v>643</v>
      </c>
      <c r="J644" s="47" t="e">
        <f t="shared" ref="J644:J707" si="21">I644/H644</f>
        <v>#DIV/0!</v>
      </c>
    </row>
    <row r="645" spans="1:10" x14ac:dyDescent="0.25">
      <c r="A645">
        <f t="shared" si="20"/>
        <v>644</v>
      </c>
      <c r="J645" s="47" t="e">
        <f t="shared" si="21"/>
        <v>#DIV/0!</v>
      </c>
    </row>
    <row r="646" spans="1:10" x14ac:dyDescent="0.25">
      <c r="A646">
        <f t="shared" si="20"/>
        <v>645</v>
      </c>
      <c r="J646" s="47" t="e">
        <f t="shared" si="21"/>
        <v>#DIV/0!</v>
      </c>
    </row>
    <row r="647" spans="1:10" x14ac:dyDescent="0.25">
      <c r="A647">
        <f t="shared" si="20"/>
        <v>646</v>
      </c>
      <c r="J647" s="47" t="e">
        <f t="shared" si="21"/>
        <v>#DIV/0!</v>
      </c>
    </row>
    <row r="648" spans="1:10" x14ac:dyDescent="0.25">
      <c r="A648">
        <f t="shared" si="20"/>
        <v>647</v>
      </c>
      <c r="J648" s="47" t="e">
        <f t="shared" si="21"/>
        <v>#DIV/0!</v>
      </c>
    </row>
    <row r="649" spans="1:10" x14ac:dyDescent="0.25">
      <c r="A649">
        <f t="shared" si="20"/>
        <v>648</v>
      </c>
      <c r="J649" s="47" t="e">
        <f t="shared" si="21"/>
        <v>#DIV/0!</v>
      </c>
    </row>
    <row r="650" spans="1:10" x14ac:dyDescent="0.25">
      <c r="A650">
        <f t="shared" si="20"/>
        <v>649</v>
      </c>
      <c r="J650" s="47" t="e">
        <f t="shared" si="21"/>
        <v>#DIV/0!</v>
      </c>
    </row>
    <row r="651" spans="1:10" x14ac:dyDescent="0.25">
      <c r="A651">
        <f t="shared" si="20"/>
        <v>650</v>
      </c>
      <c r="J651" s="47" t="e">
        <f t="shared" si="21"/>
        <v>#DIV/0!</v>
      </c>
    </row>
    <row r="652" spans="1:10" x14ac:dyDescent="0.25">
      <c r="A652">
        <f t="shared" si="20"/>
        <v>651</v>
      </c>
      <c r="J652" s="47" t="e">
        <f t="shared" si="21"/>
        <v>#DIV/0!</v>
      </c>
    </row>
    <row r="653" spans="1:10" x14ac:dyDescent="0.25">
      <c r="A653">
        <f t="shared" si="20"/>
        <v>652</v>
      </c>
      <c r="J653" s="47" t="e">
        <f t="shared" si="21"/>
        <v>#DIV/0!</v>
      </c>
    </row>
    <row r="654" spans="1:10" x14ac:dyDescent="0.25">
      <c r="A654">
        <f t="shared" si="20"/>
        <v>653</v>
      </c>
      <c r="J654" s="47" t="e">
        <f t="shared" si="21"/>
        <v>#DIV/0!</v>
      </c>
    </row>
    <row r="655" spans="1:10" x14ac:dyDescent="0.25">
      <c r="A655">
        <f t="shared" si="20"/>
        <v>654</v>
      </c>
      <c r="J655" s="47" t="e">
        <f t="shared" si="21"/>
        <v>#DIV/0!</v>
      </c>
    </row>
    <row r="656" spans="1:10" x14ac:dyDescent="0.25">
      <c r="A656">
        <f t="shared" si="20"/>
        <v>655</v>
      </c>
      <c r="J656" s="47" t="e">
        <f t="shared" si="21"/>
        <v>#DIV/0!</v>
      </c>
    </row>
    <row r="657" spans="1:10" x14ac:dyDescent="0.25">
      <c r="A657">
        <f t="shared" si="20"/>
        <v>656</v>
      </c>
      <c r="J657" s="47" t="e">
        <f t="shared" si="21"/>
        <v>#DIV/0!</v>
      </c>
    </row>
    <row r="658" spans="1:10" x14ac:dyDescent="0.25">
      <c r="A658">
        <f t="shared" si="20"/>
        <v>657</v>
      </c>
      <c r="J658" s="47" t="e">
        <f t="shared" si="21"/>
        <v>#DIV/0!</v>
      </c>
    </row>
    <row r="659" spans="1:10" x14ac:dyDescent="0.25">
      <c r="A659">
        <f t="shared" si="20"/>
        <v>658</v>
      </c>
      <c r="J659" s="47" t="e">
        <f t="shared" si="21"/>
        <v>#DIV/0!</v>
      </c>
    </row>
    <row r="660" spans="1:10" x14ac:dyDescent="0.25">
      <c r="A660">
        <f t="shared" si="20"/>
        <v>659</v>
      </c>
      <c r="J660" s="47" t="e">
        <f t="shared" si="21"/>
        <v>#DIV/0!</v>
      </c>
    </row>
    <row r="661" spans="1:10" x14ac:dyDescent="0.25">
      <c r="A661">
        <f t="shared" si="20"/>
        <v>660</v>
      </c>
      <c r="J661" s="47" t="e">
        <f t="shared" si="21"/>
        <v>#DIV/0!</v>
      </c>
    </row>
    <row r="662" spans="1:10" x14ac:dyDescent="0.25">
      <c r="A662">
        <f t="shared" si="20"/>
        <v>661</v>
      </c>
      <c r="J662" s="47" t="e">
        <f t="shared" si="21"/>
        <v>#DIV/0!</v>
      </c>
    </row>
    <row r="663" spans="1:10" x14ac:dyDescent="0.25">
      <c r="A663">
        <f t="shared" si="20"/>
        <v>662</v>
      </c>
      <c r="J663" s="47" t="e">
        <f t="shared" si="21"/>
        <v>#DIV/0!</v>
      </c>
    </row>
    <row r="664" spans="1:10" x14ac:dyDescent="0.25">
      <c r="A664">
        <f t="shared" si="20"/>
        <v>663</v>
      </c>
      <c r="J664" s="47" t="e">
        <f t="shared" si="21"/>
        <v>#DIV/0!</v>
      </c>
    </row>
    <row r="665" spans="1:10" x14ac:dyDescent="0.25">
      <c r="A665">
        <f t="shared" si="20"/>
        <v>664</v>
      </c>
      <c r="J665" s="47" t="e">
        <f t="shared" si="21"/>
        <v>#DIV/0!</v>
      </c>
    </row>
    <row r="666" spans="1:10" x14ac:dyDescent="0.25">
      <c r="A666">
        <f t="shared" si="20"/>
        <v>665</v>
      </c>
      <c r="J666" s="47" t="e">
        <f t="shared" si="21"/>
        <v>#DIV/0!</v>
      </c>
    </row>
    <row r="667" spans="1:10" x14ac:dyDescent="0.25">
      <c r="A667">
        <f t="shared" si="20"/>
        <v>666</v>
      </c>
      <c r="J667" s="47" t="e">
        <f t="shared" si="21"/>
        <v>#DIV/0!</v>
      </c>
    </row>
    <row r="668" spans="1:10" x14ac:dyDescent="0.25">
      <c r="A668">
        <f t="shared" si="20"/>
        <v>667</v>
      </c>
      <c r="J668" s="47" t="e">
        <f t="shared" si="21"/>
        <v>#DIV/0!</v>
      </c>
    </row>
    <row r="669" spans="1:10" x14ac:dyDescent="0.25">
      <c r="A669">
        <f t="shared" si="20"/>
        <v>668</v>
      </c>
      <c r="J669" s="47" t="e">
        <f t="shared" si="21"/>
        <v>#DIV/0!</v>
      </c>
    </row>
    <row r="670" spans="1:10" x14ac:dyDescent="0.25">
      <c r="A670">
        <f t="shared" si="20"/>
        <v>669</v>
      </c>
      <c r="J670" s="47" t="e">
        <f t="shared" si="21"/>
        <v>#DIV/0!</v>
      </c>
    </row>
    <row r="671" spans="1:10" x14ac:dyDescent="0.25">
      <c r="A671">
        <f t="shared" si="20"/>
        <v>670</v>
      </c>
      <c r="J671" s="47" t="e">
        <f t="shared" si="21"/>
        <v>#DIV/0!</v>
      </c>
    </row>
    <row r="672" spans="1:10" x14ac:dyDescent="0.25">
      <c r="A672">
        <f t="shared" si="20"/>
        <v>671</v>
      </c>
      <c r="J672" s="47" t="e">
        <f t="shared" si="21"/>
        <v>#DIV/0!</v>
      </c>
    </row>
    <row r="673" spans="1:10" x14ac:dyDescent="0.25">
      <c r="A673">
        <f t="shared" si="20"/>
        <v>672</v>
      </c>
      <c r="J673" s="47" t="e">
        <f t="shared" si="21"/>
        <v>#DIV/0!</v>
      </c>
    </row>
    <row r="674" spans="1:10" x14ac:dyDescent="0.25">
      <c r="A674">
        <f t="shared" si="20"/>
        <v>673</v>
      </c>
      <c r="J674" s="47" t="e">
        <f t="shared" si="21"/>
        <v>#DIV/0!</v>
      </c>
    </row>
    <row r="675" spans="1:10" x14ac:dyDescent="0.25">
      <c r="A675">
        <f t="shared" si="20"/>
        <v>674</v>
      </c>
      <c r="J675" s="47" t="e">
        <f t="shared" si="21"/>
        <v>#DIV/0!</v>
      </c>
    </row>
    <row r="676" spans="1:10" x14ac:dyDescent="0.25">
      <c r="A676">
        <f t="shared" si="20"/>
        <v>675</v>
      </c>
      <c r="J676" s="47" t="e">
        <f t="shared" si="21"/>
        <v>#DIV/0!</v>
      </c>
    </row>
    <row r="677" spans="1:10" x14ac:dyDescent="0.25">
      <c r="A677">
        <f t="shared" si="20"/>
        <v>676</v>
      </c>
      <c r="J677" s="47" t="e">
        <f t="shared" si="21"/>
        <v>#DIV/0!</v>
      </c>
    </row>
    <row r="678" spans="1:10" x14ac:dyDescent="0.25">
      <c r="A678">
        <f t="shared" si="20"/>
        <v>677</v>
      </c>
      <c r="J678" s="47" t="e">
        <f t="shared" si="21"/>
        <v>#DIV/0!</v>
      </c>
    </row>
    <row r="679" spans="1:10" x14ac:dyDescent="0.25">
      <c r="A679">
        <f t="shared" si="20"/>
        <v>678</v>
      </c>
      <c r="J679" s="47" t="e">
        <f t="shared" si="21"/>
        <v>#DIV/0!</v>
      </c>
    </row>
    <row r="680" spans="1:10" x14ac:dyDescent="0.25">
      <c r="A680">
        <f t="shared" si="20"/>
        <v>679</v>
      </c>
      <c r="J680" s="47" t="e">
        <f t="shared" si="21"/>
        <v>#DIV/0!</v>
      </c>
    </row>
    <row r="681" spans="1:10" x14ac:dyDescent="0.25">
      <c r="A681">
        <f t="shared" si="20"/>
        <v>680</v>
      </c>
      <c r="J681" s="47" t="e">
        <f t="shared" si="21"/>
        <v>#DIV/0!</v>
      </c>
    </row>
    <row r="682" spans="1:10" x14ac:dyDescent="0.25">
      <c r="A682">
        <f t="shared" si="20"/>
        <v>681</v>
      </c>
      <c r="J682" s="47" t="e">
        <f t="shared" si="21"/>
        <v>#DIV/0!</v>
      </c>
    </row>
    <row r="683" spans="1:10" x14ac:dyDescent="0.25">
      <c r="A683">
        <f t="shared" si="20"/>
        <v>682</v>
      </c>
      <c r="J683" s="47" t="e">
        <f t="shared" si="21"/>
        <v>#DIV/0!</v>
      </c>
    </row>
    <row r="684" spans="1:10" x14ac:dyDescent="0.25">
      <c r="A684">
        <f t="shared" si="20"/>
        <v>683</v>
      </c>
      <c r="J684" s="47" t="e">
        <f t="shared" si="21"/>
        <v>#DIV/0!</v>
      </c>
    </row>
    <row r="685" spans="1:10" x14ac:dyDescent="0.25">
      <c r="A685">
        <f t="shared" si="20"/>
        <v>684</v>
      </c>
      <c r="J685" s="47" t="e">
        <f t="shared" si="21"/>
        <v>#DIV/0!</v>
      </c>
    </row>
    <row r="686" spans="1:10" x14ac:dyDescent="0.25">
      <c r="A686">
        <f t="shared" si="20"/>
        <v>685</v>
      </c>
      <c r="J686" s="47" t="e">
        <f t="shared" si="21"/>
        <v>#DIV/0!</v>
      </c>
    </row>
    <row r="687" spans="1:10" x14ac:dyDescent="0.25">
      <c r="A687">
        <f t="shared" si="20"/>
        <v>686</v>
      </c>
      <c r="J687" s="47" t="e">
        <f t="shared" si="21"/>
        <v>#DIV/0!</v>
      </c>
    </row>
    <row r="688" spans="1:10" x14ac:dyDescent="0.25">
      <c r="A688">
        <f t="shared" si="20"/>
        <v>687</v>
      </c>
      <c r="J688" s="47" t="e">
        <f t="shared" si="21"/>
        <v>#DIV/0!</v>
      </c>
    </row>
    <row r="689" spans="1:10" x14ac:dyDescent="0.25">
      <c r="A689">
        <f t="shared" si="20"/>
        <v>688</v>
      </c>
      <c r="J689" s="47" t="e">
        <f t="shared" si="21"/>
        <v>#DIV/0!</v>
      </c>
    </row>
    <row r="690" spans="1:10" x14ac:dyDescent="0.25">
      <c r="A690">
        <f t="shared" si="20"/>
        <v>689</v>
      </c>
      <c r="J690" s="47" t="e">
        <f t="shared" si="21"/>
        <v>#DIV/0!</v>
      </c>
    </row>
    <row r="691" spans="1:10" x14ac:dyDescent="0.25">
      <c r="A691">
        <f t="shared" si="20"/>
        <v>690</v>
      </c>
      <c r="J691" s="47" t="e">
        <f t="shared" si="21"/>
        <v>#DIV/0!</v>
      </c>
    </row>
    <row r="692" spans="1:10" x14ac:dyDescent="0.25">
      <c r="A692">
        <f t="shared" si="20"/>
        <v>691</v>
      </c>
      <c r="J692" s="47" t="e">
        <f t="shared" si="21"/>
        <v>#DIV/0!</v>
      </c>
    </row>
    <row r="693" spans="1:10" x14ac:dyDescent="0.25">
      <c r="A693">
        <f t="shared" si="20"/>
        <v>692</v>
      </c>
      <c r="J693" s="47" t="e">
        <f t="shared" si="21"/>
        <v>#DIV/0!</v>
      </c>
    </row>
    <row r="694" spans="1:10" x14ac:dyDescent="0.25">
      <c r="A694">
        <f t="shared" si="20"/>
        <v>693</v>
      </c>
      <c r="J694" s="47" t="e">
        <f t="shared" si="21"/>
        <v>#DIV/0!</v>
      </c>
    </row>
    <row r="695" spans="1:10" x14ac:dyDescent="0.25">
      <c r="A695">
        <f t="shared" si="20"/>
        <v>694</v>
      </c>
      <c r="J695" s="47" t="e">
        <f t="shared" si="21"/>
        <v>#DIV/0!</v>
      </c>
    </row>
    <row r="696" spans="1:10" x14ac:dyDescent="0.25">
      <c r="A696">
        <f t="shared" si="20"/>
        <v>695</v>
      </c>
      <c r="J696" s="47" t="e">
        <f t="shared" si="21"/>
        <v>#DIV/0!</v>
      </c>
    </row>
    <row r="697" spans="1:10" x14ac:dyDescent="0.25">
      <c r="A697">
        <f t="shared" si="20"/>
        <v>696</v>
      </c>
      <c r="J697" s="47" t="e">
        <f t="shared" si="21"/>
        <v>#DIV/0!</v>
      </c>
    </row>
    <row r="698" spans="1:10" x14ac:dyDescent="0.25">
      <c r="A698">
        <f t="shared" si="20"/>
        <v>697</v>
      </c>
      <c r="J698" s="47" t="e">
        <f t="shared" si="21"/>
        <v>#DIV/0!</v>
      </c>
    </row>
    <row r="699" spans="1:10" x14ac:dyDescent="0.25">
      <c r="A699">
        <f t="shared" si="20"/>
        <v>698</v>
      </c>
      <c r="J699" s="47" t="e">
        <f t="shared" si="21"/>
        <v>#DIV/0!</v>
      </c>
    </row>
    <row r="700" spans="1:10" x14ac:dyDescent="0.25">
      <c r="A700">
        <f t="shared" si="20"/>
        <v>699</v>
      </c>
      <c r="J700" s="47" t="e">
        <f t="shared" si="21"/>
        <v>#DIV/0!</v>
      </c>
    </row>
    <row r="701" spans="1:10" x14ac:dyDescent="0.25">
      <c r="A701">
        <f t="shared" si="20"/>
        <v>700</v>
      </c>
      <c r="J701" s="47" t="e">
        <f t="shared" si="21"/>
        <v>#DIV/0!</v>
      </c>
    </row>
    <row r="702" spans="1:10" x14ac:dyDescent="0.25">
      <c r="A702">
        <f t="shared" si="20"/>
        <v>701</v>
      </c>
      <c r="J702" s="47" t="e">
        <f t="shared" si="21"/>
        <v>#DIV/0!</v>
      </c>
    </row>
    <row r="703" spans="1:10" x14ac:dyDescent="0.25">
      <c r="A703">
        <f t="shared" si="20"/>
        <v>702</v>
      </c>
      <c r="J703" s="47" t="e">
        <f t="shared" si="21"/>
        <v>#DIV/0!</v>
      </c>
    </row>
    <row r="704" spans="1:10" x14ac:dyDescent="0.25">
      <c r="A704">
        <f t="shared" si="20"/>
        <v>703</v>
      </c>
      <c r="J704" s="47" t="e">
        <f t="shared" si="21"/>
        <v>#DIV/0!</v>
      </c>
    </row>
    <row r="705" spans="1:10" x14ac:dyDescent="0.25">
      <c r="A705">
        <f t="shared" si="20"/>
        <v>704</v>
      </c>
      <c r="J705" s="47" t="e">
        <f t="shared" si="21"/>
        <v>#DIV/0!</v>
      </c>
    </row>
    <row r="706" spans="1:10" x14ac:dyDescent="0.25">
      <c r="A706">
        <f t="shared" si="20"/>
        <v>705</v>
      </c>
      <c r="J706" s="47" t="e">
        <f t="shared" si="21"/>
        <v>#DIV/0!</v>
      </c>
    </row>
    <row r="707" spans="1:10" x14ac:dyDescent="0.25">
      <c r="A707">
        <f t="shared" si="20"/>
        <v>706</v>
      </c>
      <c r="J707" s="47" t="e">
        <f t="shared" si="21"/>
        <v>#DIV/0!</v>
      </c>
    </row>
    <row r="708" spans="1:10" x14ac:dyDescent="0.25">
      <c r="A708">
        <f t="shared" ref="A708:A771" si="22">+A707+1</f>
        <v>707</v>
      </c>
      <c r="J708" s="47" t="e">
        <f t="shared" ref="J708:J771" si="23">I708/H708</f>
        <v>#DIV/0!</v>
      </c>
    </row>
    <row r="709" spans="1:10" x14ac:dyDescent="0.25">
      <c r="A709">
        <f t="shared" si="22"/>
        <v>708</v>
      </c>
      <c r="J709" s="47" t="e">
        <f t="shared" si="23"/>
        <v>#DIV/0!</v>
      </c>
    </row>
    <row r="710" spans="1:10" x14ac:dyDescent="0.25">
      <c r="A710">
        <f t="shared" si="22"/>
        <v>709</v>
      </c>
      <c r="J710" s="47" t="e">
        <f t="shared" si="23"/>
        <v>#DIV/0!</v>
      </c>
    </row>
    <row r="711" spans="1:10" x14ac:dyDescent="0.25">
      <c r="A711">
        <f t="shared" si="22"/>
        <v>710</v>
      </c>
      <c r="J711" s="47" t="e">
        <f t="shared" si="23"/>
        <v>#DIV/0!</v>
      </c>
    </row>
    <row r="712" spans="1:10" x14ac:dyDescent="0.25">
      <c r="A712">
        <f t="shared" si="22"/>
        <v>711</v>
      </c>
      <c r="J712" s="47" t="e">
        <f t="shared" si="23"/>
        <v>#DIV/0!</v>
      </c>
    </row>
    <row r="713" spans="1:10" x14ac:dyDescent="0.25">
      <c r="A713">
        <f t="shared" si="22"/>
        <v>712</v>
      </c>
      <c r="J713" s="47" t="e">
        <f t="shared" si="23"/>
        <v>#DIV/0!</v>
      </c>
    </row>
    <row r="714" spans="1:10" x14ac:dyDescent="0.25">
      <c r="A714">
        <f t="shared" si="22"/>
        <v>713</v>
      </c>
      <c r="J714" s="47" t="e">
        <f t="shared" si="23"/>
        <v>#DIV/0!</v>
      </c>
    </row>
    <row r="715" spans="1:10" x14ac:dyDescent="0.25">
      <c r="A715">
        <f t="shared" si="22"/>
        <v>714</v>
      </c>
      <c r="J715" s="47" t="e">
        <f t="shared" si="23"/>
        <v>#DIV/0!</v>
      </c>
    </row>
    <row r="716" spans="1:10" x14ac:dyDescent="0.25">
      <c r="A716">
        <f t="shared" si="22"/>
        <v>715</v>
      </c>
      <c r="J716" s="47" t="e">
        <f t="shared" si="23"/>
        <v>#DIV/0!</v>
      </c>
    </row>
    <row r="717" spans="1:10" x14ac:dyDescent="0.25">
      <c r="A717">
        <f t="shared" si="22"/>
        <v>716</v>
      </c>
      <c r="J717" s="47" t="e">
        <f t="shared" si="23"/>
        <v>#DIV/0!</v>
      </c>
    </row>
    <row r="718" spans="1:10" x14ac:dyDescent="0.25">
      <c r="A718">
        <f t="shared" si="22"/>
        <v>717</v>
      </c>
      <c r="J718" s="47" t="e">
        <f t="shared" si="23"/>
        <v>#DIV/0!</v>
      </c>
    </row>
    <row r="719" spans="1:10" x14ac:dyDescent="0.25">
      <c r="A719">
        <f t="shared" si="22"/>
        <v>718</v>
      </c>
      <c r="J719" s="47" t="e">
        <f t="shared" si="23"/>
        <v>#DIV/0!</v>
      </c>
    </row>
    <row r="720" spans="1:10" x14ac:dyDescent="0.25">
      <c r="A720">
        <f t="shared" si="22"/>
        <v>719</v>
      </c>
      <c r="J720" s="47" t="e">
        <f t="shared" si="23"/>
        <v>#DIV/0!</v>
      </c>
    </row>
    <row r="721" spans="1:10" x14ac:dyDescent="0.25">
      <c r="A721">
        <f t="shared" si="22"/>
        <v>720</v>
      </c>
      <c r="J721" s="47" t="e">
        <f t="shared" si="23"/>
        <v>#DIV/0!</v>
      </c>
    </row>
    <row r="722" spans="1:10" x14ac:dyDescent="0.25">
      <c r="A722">
        <f t="shared" si="22"/>
        <v>721</v>
      </c>
      <c r="J722" s="47" t="e">
        <f t="shared" si="23"/>
        <v>#DIV/0!</v>
      </c>
    </row>
    <row r="723" spans="1:10" x14ac:dyDescent="0.25">
      <c r="A723">
        <f t="shared" si="22"/>
        <v>722</v>
      </c>
      <c r="J723" s="47" t="e">
        <f t="shared" si="23"/>
        <v>#DIV/0!</v>
      </c>
    </row>
    <row r="724" spans="1:10" x14ac:dyDescent="0.25">
      <c r="A724">
        <f t="shared" si="22"/>
        <v>723</v>
      </c>
      <c r="J724" s="47" t="e">
        <f t="shared" si="23"/>
        <v>#DIV/0!</v>
      </c>
    </row>
    <row r="725" spans="1:10" x14ac:dyDescent="0.25">
      <c r="A725">
        <f t="shared" si="22"/>
        <v>724</v>
      </c>
      <c r="J725" s="47" t="e">
        <f t="shared" si="23"/>
        <v>#DIV/0!</v>
      </c>
    </row>
    <row r="726" spans="1:10" x14ac:dyDescent="0.25">
      <c r="A726">
        <f t="shared" si="22"/>
        <v>725</v>
      </c>
      <c r="J726" s="47" t="e">
        <f t="shared" si="23"/>
        <v>#DIV/0!</v>
      </c>
    </row>
    <row r="727" spans="1:10" x14ac:dyDescent="0.25">
      <c r="A727">
        <f t="shared" si="22"/>
        <v>726</v>
      </c>
      <c r="J727" s="47" t="e">
        <f t="shared" si="23"/>
        <v>#DIV/0!</v>
      </c>
    </row>
    <row r="728" spans="1:10" x14ac:dyDescent="0.25">
      <c r="A728">
        <f t="shared" si="22"/>
        <v>727</v>
      </c>
      <c r="J728" s="47" t="e">
        <f t="shared" si="23"/>
        <v>#DIV/0!</v>
      </c>
    </row>
    <row r="729" spans="1:10" x14ac:dyDescent="0.25">
      <c r="A729">
        <f t="shared" si="22"/>
        <v>728</v>
      </c>
      <c r="J729" s="47" t="e">
        <f t="shared" si="23"/>
        <v>#DIV/0!</v>
      </c>
    </row>
    <row r="730" spans="1:10" x14ac:dyDescent="0.25">
      <c r="A730">
        <f t="shared" si="22"/>
        <v>729</v>
      </c>
      <c r="J730" s="47" t="e">
        <f t="shared" si="23"/>
        <v>#DIV/0!</v>
      </c>
    </row>
    <row r="731" spans="1:10" x14ac:dyDescent="0.25">
      <c r="A731">
        <f t="shared" si="22"/>
        <v>730</v>
      </c>
      <c r="J731" s="47" t="e">
        <f t="shared" si="23"/>
        <v>#DIV/0!</v>
      </c>
    </row>
    <row r="732" spans="1:10" x14ac:dyDescent="0.25">
      <c r="A732">
        <f t="shared" si="22"/>
        <v>731</v>
      </c>
      <c r="J732" s="47" t="e">
        <f t="shared" si="23"/>
        <v>#DIV/0!</v>
      </c>
    </row>
    <row r="733" spans="1:10" x14ac:dyDescent="0.25">
      <c r="A733">
        <f t="shared" si="22"/>
        <v>732</v>
      </c>
      <c r="J733" s="47" t="e">
        <f t="shared" si="23"/>
        <v>#DIV/0!</v>
      </c>
    </row>
    <row r="734" spans="1:10" x14ac:dyDescent="0.25">
      <c r="A734">
        <f t="shared" si="22"/>
        <v>733</v>
      </c>
      <c r="J734" s="47" t="e">
        <f t="shared" si="23"/>
        <v>#DIV/0!</v>
      </c>
    </row>
    <row r="735" spans="1:10" x14ac:dyDescent="0.25">
      <c r="A735">
        <f t="shared" si="22"/>
        <v>734</v>
      </c>
      <c r="J735" s="47" t="e">
        <f t="shared" si="23"/>
        <v>#DIV/0!</v>
      </c>
    </row>
    <row r="736" spans="1:10" x14ac:dyDescent="0.25">
      <c r="A736">
        <f t="shared" si="22"/>
        <v>735</v>
      </c>
      <c r="J736" s="47" t="e">
        <f t="shared" si="23"/>
        <v>#DIV/0!</v>
      </c>
    </row>
    <row r="737" spans="1:10" x14ac:dyDescent="0.25">
      <c r="A737">
        <f t="shared" si="22"/>
        <v>736</v>
      </c>
      <c r="J737" s="47" t="e">
        <f t="shared" si="23"/>
        <v>#DIV/0!</v>
      </c>
    </row>
    <row r="738" spans="1:10" x14ac:dyDescent="0.25">
      <c r="A738">
        <f t="shared" si="22"/>
        <v>737</v>
      </c>
      <c r="J738" s="47" t="e">
        <f t="shared" si="23"/>
        <v>#DIV/0!</v>
      </c>
    </row>
    <row r="739" spans="1:10" x14ac:dyDescent="0.25">
      <c r="A739">
        <f t="shared" si="22"/>
        <v>738</v>
      </c>
      <c r="J739" s="47" t="e">
        <f t="shared" si="23"/>
        <v>#DIV/0!</v>
      </c>
    </row>
    <row r="740" spans="1:10" x14ac:dyDescent="0.25">
      <c r="A740">
        <f t="shared" si="22"/>
        <v>739</v>
      </c>
      <c r="J740" s="47" t="e">
        <f t="shared" si="23"/>
        <v>#DIV/0!</v>
      </c>
    </row>
    <row r="741" spans="1:10" x14ac:dyDescent="0.25">
      <c r="A741">
        <f t="shared" si="22"/>
        <v>740</v>
      </c>
      <c r="J741" s="47" t="e">
        <f t="shared" si="23"/>
        <v>#DIV/0!</v>
      </c>
    </row>
    <row r="742" spans="1:10" x14ac:dyDescent="0.25">
      <c r="A742">
        <f t="shared" si="22"/>
        <v>741</v>
      </c>
      <c r="J742" s="47" t="e">
        <f t="shared" si="23"/>
        <v>#DIV/0!</v>
      </c>
    </row>
    <row r="743" spans="1:10" x14ac:dyDescent="0.25">
      <c r="A743">
        <f t="shared" si="22"/>
        <v>742</v>
      </c>
      <c r="J743" s="47" t="e">
        <f t="shared" si="23"/>
        <v>#DIV/0!</v>
      </c>
    </row>
    <row r="744" spans="1:10" x14ac:dyDescent="0.25">
      <c r="A744">
        <f t="shared" si="22"/>
        <v>743</v>
      </c>
      <c r="J744" s="47" t="e">
        <f t="shared" si="23"/>
        <v>#DIV/0!</v>
      </c>
    </row>
    <row r="745" spans="1:10" x14ac:dyDescent="0.25">
      <c r="A745">
        <f t="shared" si="22"/>
        <v>744</v>
      </c>
      <c r="J745" s="47" t="e">
        <f t="shared" si="23"/>
        <v>#DIV/0!</v>
      </c>
    </row>
    <row r="746" spans="1:10" x14ac:dyDescent="0.25">
      <c r="A746">
        <f t="shared" si="22"/>
        <v>745</v>
      </c>
      <c r="J746" s="47" t="e">
        <f t="shared" si="23"/>
        <v>#DIV/0!</v>
      </c>
    </row>
    <row r="747" spans="1:10" x14ac:dyDescent="0.25">
      <c r="A747">
        <f t="shared" si="22"/>
        <v>746</v>
      </c>
      <c r="J747" s="47" t="e">
        <f t="shared" si="23"/>
        <v>#DIV/0!</v>
      </c>
    </row>
    <row r="748" spans="1:10" x14ac:dyDescent="0.25">
      <c r="A748">
        <f t="shared" si="22"/>
        <v>747</v>
      </c>
      <c r="J748" s="47" t="e">
        <f t="shared" si="23"/>
        <v>#DIV/0!</v>
      </c>
    </row>
    <row r="749" spans="1:10" x14ac:dyDescent="0.25">
      <c r="A749">
        <f t="shared" si="22"/>
        <v>748</v>
      </c>
      <c r="J749" s="47" t="e">
        <f t="shared" si="23"/>
        <v>#DIV/0!</v>
      </c>
    </row>
    <row r="750" spans="1:10" x14ac:dyDescent="0.25">
      <c r="A750">
        <f t="shared" si="22"/>
        <v>749</v>
      </c>
      <c r="J750" s="47" t="e">
        <f t="shared" si="23"/>
        <v>#DIV/0!</v>
      </c>
    </row>
    <row r="751" spans="1:10" x14ac:dyDescent="0.25">
      <c r="A751">
        <f t="shared" si="22"/>
        <v>750</v>
      </c>
      <c r="J751" s="47" t="e">
        <f t="shared" si="23"/>
        <v>#DIV/0!</v>
      </c>
    </row>
    <row r="752" spans="1:10" x14ac:dyDescent="0.25">
      <c r="A752">
        <f t="shared" si="22"/>
        <v>751</v>
      </c>
      <c r="J752" s="47" t="e">
        <f t="shared" si="23"/>
        <v>#DIV/0!</v>
      </c>
    </row>
    <row r="753" spans="1:10" x14ac:dyDescent="0.25">
      <c r="A753">
        <f t="shared" si="22"/>
        <v>752</v>
      </c>
      <c r="J753" s="47" t="e">
        <f t="shared" si="23"/>
        <v>#DIV/0!</v>
      </c>
    </row>
    <row r="754" spans="1:10" x14ac:dyDescent="0.25">
      <c r="A754">
        <f t="shared" si="22"/>
        <v>753</v>
      </c>
      <c r="J754" s="47" t="e">
        <f t="shared" si="23"/>
        <v>#DIV/0!</v>
      </c>
    </row>
    <row r="755" spans="1:10" x14ac:dyDescent="0.25">
      <c r="A755">
        <f t="shared" si="22"/>
        <v>754</v>
      </c>
      <c r="J755" s="47" t="e">
        <f t="shared" si="23"/>
        <v>#DIV/0!</v>
      </c>
    </row>
    <row r="756" spans="1:10" x14ac:dyDescent="0.25">
      <c r="A756">
        <f t="shared" si="22"/>
        <v>755</v>
      </c>
      <c r="J756" s="47" t="e">
        <f t="shared" si="23"/>
        <v>#DIV/0!</v>
      </c>
    </row>
    <row r="757" spans="1:10" x14ac:dyDescent="0.25">
      <c r="A757">
        <f t="shared" si="22"/>
        <v>756</v>
      </c>
      <c r="J757" s="47" t="e">
        <f t="shared" si="23"/>
        <v>#DIV/0!</v>
      </c>
    </row>
    <row r="758" spans="1:10" x14ac:dyDescent="0.25">
      <c r="A758">
        <f t="shared" si="22"/>
        <v>757</v>
      </c>
      <c r="J758" s="47" t="e">
        <f t="shared" si="23"/>
        <v>#DIV/0!</v>
      </c>
    </row>
    <row r="759" spans="1:10" x14ac:dyDescent="0.25">
      <c r="A759">
        <f t="shared" si="22"/>
        <v>758</v>
      </c>
      <c r="J759" s="47" t="e">
        <f t="shared" si="23"/>
        <v>#DIV/0!</v>
      </c>
    </row>
    <row r="760" spans="1:10" x14ac:dyDescent="0.25">
      <c r="A760">
        <f t="shared" si="22"/>
        <v>759</v>
      </c>
      <c r="J760" s="47" t="e">
        <f t="shared" si="23"/>
        <v>#DIV/0!</v>
      </c>
    </row>
    <row r="761" spans="1:10" x14ac:dyDescent="0.25">
      <c r="A761">
        <f t="shared" si="22"/>
        <v>760</v>
      </c>
      <c r="J761" s="47" t="e">
        <f t="shared" si="23"/>
        <v>#DIV/0!</v>
      </c>
    </row>
    <row r="762" spans="1:10" x14ac:dyDescent="0.25">
      <c r="A762">
        <f t="shared" si="22"/>
        <v>761</v>
      </c>
      <c r="J762" s="47" t="e">
        <f t="shared" si="23"/>
        <v>#DIV/0!</v>
      </c>
    </row>
    <row r="763" spans="1:10" x14ac:dyDescent="0.25">
      <c r="A763">
        <f t="shared" si="22"/>
        <v>762</v>
      </c>
      <c r="J763" s="47" t="e">
        <f t="shared" si="23"/>
        <v>#DIV/0!</v>
      </c>
    </row>
    <row r="764" spans="1:10" x14ac:dyDescent="0.25">
      <c r="A764">
        <f t="shared" si="22"/>
        <v>763</v>
      </c>
      <c r="J764" s="47" t="e">
        <f t="shared" si="23"/>
        <v>#DIV/0!</v>
      </c>
    </row>
    <row r="765" spans="1:10" x14ac:dyDescent="0.25">
      <c r="A765">
        <f t="shared" si="22"/>
        <v>764</v>
      </c>
      <c r="J765" s="47" t="e">
        <f t="shared" si="23"/>
        <v>#DIV/0!</v>
      </c>
    </row>
    <row r="766" spans="1:10" x14ac:dyDescent="0.25">
      <c r="A766">
        <f t="shared" si="22"/>
        <v>765</v>
      </c>
      <c r="J766" s="47" t="e">
        <f t="shared" si="23"/>
        <v>#DIV/0!</v>
      </c>
    </row>
    <row r="767" spans="1:10" x14ac:dyDescent="0.25">
      <c r="A767">
        <f t="shared" si="22"/>
        <v>766</v>
      </c>
      <c r="J767" s="47" t="e">
        <f t="shared" si="23"/>
        <v>#DIV/0!</v>
      </c>
    </row>
    <row r="768" spans="1:10" x14ac:dyDescent="0.25">
      <c r="A768">
        <f t="shared" si="22"/>
        <v>767</v>
      </c>
      <c r="J768" s="47" t="e">
        <f t="shared" si="23"/>
        <v>#DIV/0!</v>
      </c>
    </row>
    <row r="769" spans="1:10" x14ac:dyDescent="0.25">
      <c r="A769">
        <f t="shared" si="22"/>
        <v>768</v>
      </c>
      <c r="J769" s="47" t="e">
        <f t="shared" si="23"/>
        <v>#DIV/0!</v>
      </c>
    </row>
    <row r="770" spans="1:10" x14ac:dyDescent="0.25">
      <c r="A770">
        <f t="shared" si="22"/>
        <v>769</v>
      </c>
      <c r="J770" s="47" t="e">
        <f t="shared" si="23"/>
        <v>#DIV/0!</v>
      </c>
    </row>
    <row r="771" spans="1:10" x14ac:dyDescent="0.25">
      <c r="A771">
        <f t="shared" si="22"/>
        <v>770</v>
      </c>
      <c r="J771" s="47" t="e">
        <f t="shared" si="23"/>
        <v>#DIV/0!</v>
      </c>
    </row>
    <row r="772" spans="1:10" x14ac:dyDescent="0.25">
      <c r="A772">
        <f t="shared" ref="A772:A835" si="24">+A771+1</f>
        <v>771</v>
      </c>
      <c r="J772" s="47" t="e">
        <f t="shared" ref="J772:J835" si="25">I772/H772</f>
        <v>#DIV/0!</v>
      </c>
    </row>
    <row r="773" spans="1:10" x14ac:dyDescent="0.25">
      <c r="A773">
        <f t="shared" si="24"/>
        <v>772</v>
      </c>
      <c r="J773" s="47" t="e">
        <f t="shared" si="25"/>
        <v>#DIV/0!</v>
      </c>
    </row>
    <row r="774" spans="1:10" x14ac:dyDescent="0.25">
      <c r="A774">
        <f t="shared" si="24"/>
        <v>773</v>
      </c>
      <c r="J774" s="47" t="e">
        <f t="shared" si="25"/>
        <v>#DIV/0!</v>
      </c>
    </row>
    <row r="775" spans="1:10" x14ac:dyDescent="0.25">
      <c r="A775">
        <f t="shared" si="24"/>
        <v>774</v>
      </c>
      <c r="J775" s="47" t="e">
        <f t="shared" si="25"/>
        <v>#DIV/0!</v>
      </c>
    </row>
    <row r="776" spans="1:10" x14ac:dyDescent="0.25">
      <c r="A776">
        <f t="shared" si="24"/>
        <v>775</v>
      </c>
      <c r="J776" s="47" t="e">
        <f t="shared" si="25"/>
        <v>#DIV/0!</v>
      </c>
    </row>
    <row r="777" spans="1:10" x14ac:dyDescent="0.25">
      <c r="A777">
        <f t="shared" si="24"/>
        <v>776</v>
      </c>
      <c r="J777" s="47" t="e">
        <f t="shared" si="25"/>
        <v>#DIV/0!</v>
      </c>
    </row>
    <row r="778" spans="1:10" x14ac:dyDescent="0.25">
      <c r="A778">
        <f t="shared" si="24"/>
        <v>777</v>
      </c>
      <c r="J778" s="47" t="e">
        <f t="shared" si="25"/>
        <v>#DIV/0!</v>
      </c>
    </row>
    <row r="779" spans="1:10" x14ac:dyDescent="0.25">
      <c r="A779">
        <f t="shared" si="24"/>
        <v>778</v>
      </c>
      <c r="J779" s="47" t="e">
        <f t="shared" si="25"/>
        <v>#DIV/0!</v>
      </c>
    </row>
    <row r="780" spans="1:10" x14ac:dyDescent="0.25">
      <c r="A780">
        <f t="shared" si="24"/>
        <v>779</v>
      </c>
      <c r="J780" s="47" t="e">
        <f t="shared" si="25"/>
        <v>#DIV/0!</v>
      </c>
    </row>
    <row r="781" spans="1:10" x14ac:dyDescent="0.25">
      <c r="A781">
        <f t="shared" si="24"/>
        <v>780</v>
      </c>
      <c r="J781" s="47" t="e">
        <f t="shared" si="25"/>
        <v>#DIV/0!</v>
      </c>
    </row>
    <row r="782" spans="1:10" x14ac:dyDescent="0.25">
      <c r="A782">
        <f t="shared" si="24"/>
        <v>781</v>
      </c>
      <c r="J782" s="47" t="e">
        <f t="shared" si="25"/>
        <v>#DIV/0!</v>
      </c>
    </row>
    <row r="783" spans="1:10" x14ac:dyDescent="0.25">
      <c r="A783">
        <f t="shared" si="24"/>
        <v>782</v>
      </c>
      <c r="J783" s="47" t="e">
        <f t="shared" si="25"/>
        <v>#DIV/0!</v>
      </c>
    </row>
    <row r="784" spans="1:10" x14ac:dyDescent="0.25">
      <c r="A784">
        <f t="shared" si="24"/>
        <v>783</v>
      </c>
      <c r="J784" s="47" t="e">
        <f t="shared" si="25"/>
        <v>#DIV/0!</v>
      </c>
    </row>
    <row r="785" spans="1:10" x14ac:dyDescent="0.25">
      <c r="A785">
        <f t="shared" si="24"/>
        <v>784</v>
      </c>
      <c r="J785" s="47" t="e">
        <f t="shared" si="25"/>
        <v>#DIV/0!</v>
      </c>
    </row>
    <row r="786" spans="1:10" x14ac:dyDescent="0.25">
      <c r="A786">
        <f t="shared" si="24"/>
        <v>785</v>
      </c>
      <c r="J786" s="47" t="e">
        <f t="shared" si="25"/>
        <v>#DIV/0!</v>
      </c>
    </row>
    <row r="787" spans="1:10" x14ac:dyDescent="0.25">
      <c r="A787">
        <f t="shared" si="24"/>
        <v>786</v>
      </c>
      <c r="J787" s="47" t="e">
        <f t="shared" si="25"/>
        <v>#DIV/0!</v>
      </c>
    </row>
    <row r="788" spans="1:10" x14ac:dyDescent="0.25">
      <c r="A788">
        <f t="shared" si="24"/>
        <v>787</v>
      </c>
      <c r="J788" s="47" t="e">
        <f t="shared" si="25"/>
        <v>#DIV/0!</v>
      </c>
    </row>
    <row r="789" spans="1:10" x14ac:dyDescent="0.25">
      <c r="A789">
        <f t="shared" si="24"/>
        <v>788</v>
      </c>
      <c r="J789" s="47" t="e">
        <f t="shared" si="25"/>
        <v>#DIV/0!</v>
      </c>
    </row>
    <row r="790" spans="1:10" x14ac:dyDescent="0.25">
      <c r="A790">
        <f t="shared" si="24"/>
        <v>789</v>
      </c>
      <c r="J790" s="47" t="e">
        <f t="shared" si="25"/>
        <v>#DIV/0!</v>
      </c>
    </row>
    <row r="791" spans="1:10" x14ac:dyDescent="0.25">
      <c r="A791">
        <f t="shared" si="24"/>
        <v>790</v>
      </c>
      <c r="J791" s="47" t="e">
        <f t="shared" si="25"/>
        <v>#DIV/0!</v>
      </c>
    </row>
    <row r="792" spans="1:10" x14ac:dyDescent="0.25">
      <c r="A792">
        <f t="shared" si="24"/>
        <v>791</v>
      </c>
      <c r="J792" s="47" t="e">
        <f t="shared" si="25"/>
        <v>#DIV/0!</v>
      </c>
    </row>
    <row r="793" spans="1:10" x14ac:dyDescent="0.25">
      <c r="A793">
        <f t="shared" si="24"/>
        <v>792</v>
      </c>
      <c r="J793" s="47" t="e">
        <f t="shared" si="25"/>
        <v>#DIV/0!</v>
      </c>
    </row>
    <row r="794" spans="1:10" x14ac:dyDescent="0.25">
      <c r="A794">
        <f t="shared" si="24"/>
        <v>793</v>
      </c>
      <c r="J794" s="47" t="e">
        <f t="shared" si="25"/>
        <v>#DIV/0!</v>
      </c>
    </row>
    <row r="795" spans="1:10" x14ac:dyDescent="0.25">
      <c r="A795">
        <f t="shared" si="24"/>
        <v>794</v>
      </c>
      <c r="J795" s="47" t="e">
        <f t="shared" si="25"/>
        <v>#DIV/0!</v>
      </c>
    </row>
    <row r="796" spans="1:10" x14ac:dyDescent="0.25">
      <c r="A796">
        <f t="shared" si="24"/>
        <v>795</v>
      </c>
      <c r="J796" s="47" t="e">
        <f t="shared" si="25"/>
        <v>#DIV/0!</v>
      </c>
    </row>
    <row r="797" spans="1:10" x14ac:dyDescent="0.25">
      <c r="A797">
        <f t="shared" si="24"/>
        <v>796</v>
      </c>
      <c r="J797" s="47" t="e">
        <f t="shared" si="25"/>
        <v>#DIV/0!</v>
      </c>
    </row>
    <row r="798" spans="1:10" x14ac:dyDescent="0.25">
      <c r="A798">
        <f t="shared" si="24"/>
        <v>797</v>
      </c>
      <c r="J798" s="47" t="e">
        <f t="shared" si="25"/>
        <v>#DIV/0!</v>
      </c>
    </row>
    <row r="799" spans="1:10" x14ac:dyDescent="0.25">
      <c r="A799">
        <f t="shared" si="24"/>
        <v>798</v>
      </c>
      <c r="J799" s="47" t="e">
        <f t="shared" si="25"/>
        <v>#DIV/0!</v>
      </c>
    </row>
    <row r="800" spans="1:10" x14ac:dyDescent="0.25">
      <c r="A800">
        <f t="shared" si="24"/>
        <v>799</v>
      </c>
      <c r="J800" s="47" t="e">
        <f t="shared" si="25"/>
        <v>#DIV/0!</v>
      </c>
    </row>
    <row r="801" spans="1:10" x14ac:dyDescent="0.25">
      <c r="A801">
        <f t="shared" si="24"/>
        <v>800</v>
      </c>
      <c r="J801" s="47" t="e">
        <f t="shared" si="25"/>
        <v>#DIV/0!</v>
      </c>
    </row>
    <row r="802" spans="1:10" x14ac:dyDescent="0.25">
      <c r="A802">
        <f t="shared" si="24"/>
        <v>801</v>
      </c>
      <c r="J802" s="47" t="e">
        <f t="shared" si="25"/>
        <v>#DIV/0!</v>
      </c>
    </row>
    <row r="803" spans="1:10" x14ac:dyDescent="0.25">
      <c r="A803">
        <f t="shared" si="24"/>
        <v>802</v>
      </c>
      <c r="J803" s="47" t="e">
        <f t="shared" si="25"/>
        <v>#DIV/0!</v>
      </c>
    </row>
    <row r="804" spans="1:10" x14ac:dyDescent="0.25">
      <c r="A804">
        <f t="shared" si="24"/>
        <v>803</v>
      </c>
      <c r="J804" s="47" t="e">
        <f t="shared" si="25"/>
        <v>#DIV/0!</v>
      </c>
    </row>
    <row r="805" spans="1:10" x14ac:dyDescent="0.25">
      <c r="A805">
        <f t="shared" si="24"/>
        <v>804</v>
      </c>
      <c r="J805" s="47" t="e">
        <f t="shared" si="25"/>
        <v>#DIV/0!</v>
      </c>
    </row>
    <row r="806" spans="1:10" x14ac:dyDescent="0.25">
      <c r="A806">
        <f t="shared" si="24"/>
        <v>805</v>
      </c>
      <c r="J806" s="47" t="e">
        <f t="shared" si="25"/>
        <v>#DIV/0!</v>
      </c>
    </row>
    <row r="807" spans="1:10" x14ac:dyDescent="0.25">
      <c r="A807">
        <f t="shared" si="24"/>
        <v>806</v>
      </c>
      <c r="J807" s="47" t="e">
        <f t="shared" si="25"/>
        <v>#DIV/0!</v>
      </c>
    </row>
    <row r="808" spans="1:10" x14ac:dyDescent="0.25">
      <c r="A808">
        <f t="shared" si="24"/>
        <v>807</v>
      </c>
      <c r="J808" s="47" t="e">
        <f t="shared" si="25"/>
        <v>#DIV/0!</v>
      </c>
    </row>
    <row r="809" spans="1:10" x14ac:dyDescent="0.25">
      <c r="A809">
        <f t="shared" si="24"/>
        <v>808</v>
      </c>
      <c r="J809" s="47" t="e">
        <f t="shared" si="25"/>
        <v>#DIV/0!</v>
      </c>
    </row>
    <row r="810" spans="1:10" x14ac:dyDescent="0.25">
      <c r="A810">
        <f t="shared" si="24"/>
        <v>809</v>
      </c>
      <c r="J810" s="47" t="e">
        <f t="shared" si="25"/>
        <v>#DIV/0!</v>
      </c>
    </row>
    <row r="811" spans="1:10" x14ac:dyDescent="0.25">
      <c r="A811">
        <f t="shared" si="24"/>
        <v>810</v>
      </c>
      <c r="J811" s="47" t="e">
        <f t="shared" si="25"/>
        <v>#DIV/0!</v>
      </c>
    </row>
    <row r="812" spans="1:10" x14ac:dyDescent="0.25">
      <c r="A812">
        <f t="shared" si="24"/>
        <v>811</v>
      </c>
      <c r="J812" s="47" t="e">
        <f t="shared" si="25"/>
        <v>#DIV/0!</v>
      </c>
    </row>
    <row r="813" spans="1:10" x14ac:dyDescent="0.25">
      <c r="A813">
        <f t="shared" si="24"/>
        <v>812</v>
      </c>
      <c r="J813" s="47" t="e">
        <f t="shared" si="25"/>
        <v>#DIV/0!</v>
      </c>
    </row>
    <row r="814" spans="1:10" x14ac:dyDescent="0.25">
      <c r="A814">
        <f t="shared" si="24"/>
        <v>813</v>
      </c>
      <c r="J814" s="47" t="e">
        <f t="shared" si="25"/>
        <v>#DIV/0!</v>
      </c>
    </row>
    <row r="815" spans="1:10" x14ac:dyDescent="0.25">
      <c r="A815">
        <f t="shared" si="24"/>
        <v>814</v>
      </c>
      <c r="J815" s="47" t="e">
        <f t="shared" si="25"/>
        <v>#DIV/0!</v>
      </c>
    </row>
    <row r="816" spans="1:10" x14ac:dyDescent="0.25">
      <c r="A816">
        <f t="shared" si="24"/>
        <v>815</v>
      </c>
      <c r="J816" s="47" t="e">
        <f t="shared" si="25"/>
        <v>#DIV/0!</v>
      </c>
    </row>
    <row r="817" spans="1:10" x14ac:dyDescent="0.25">
      <c r="A817">
        <f t="shared" si="24"/>
        <v>816</v>
      </c>
      <c r="J817" s="47" t="e">
        <f t="shared" si="25"/>
        <v>#DIV/0!</v>
      </c>
    </row>
    <row r="818" spans="1:10" x14ac:dyDescent="0.25">
      <c r="A818">
        <f t="shared" si="24"/>
        <v>817</v>
      </c>
      <c r="J818" s="47" t="e">
        <f t="shared" si="25"/>
        <v>#DIV/0!</v>
      </c>
    </row>
    <row r="819" spans="1:10" x14ac:dyDescent="0.25">
      <c r="A819">
        <f t="shared" si="24"/>
        <v>818</v>
      </c>
      <c r="J819" s="47" t="e">
        <f t="shared" si="25"/>
        <v>#DIV/0!</v>
      </c>
    </row>
    <row r="820" spans="1:10" x14ac:dyDescent="0.25">
      <c r="A820">
        <f t="shared" si="24"/>
        <v>819</v>
      </c>
      <c r="J820" s="47" t="e">
        <f t="shared" si="25"/>
        <v>#DIV/0!</v>
      </c>
    </row>
    <row r="821" spans="1:10" x14ac:dyDescent="0.25">
      <c r="A821">
        <f t="shared" si="24"/>
        <v>820</v>
      </c>
      <c r="J821" s="47" t="e">
        <f t="shared" si="25"/>
        <v>#DIV/0!</v>
      </c>
    </row>
    <row r="822" spans="1:10" x14ac:dyDescent="0.25">
      <c r="A822">
        <f t="shared" si="24"/>
        <v>821</v>
      </c>
      <c r="J822" s="47" t="e">
        <f t="shared" si="25"/>
        <v>#DIV/0!</v>
      </c>
    </row>
    <row r="823" spans="1:10" x14ac:dyDescent="0.25">
      <c r="A823">
        <f t="shared" si="24"/>
        <v>822</v>
      </c>
      <c r="J823" s="47" t="e">
        <f t="shared" si="25"/>
        <v>#DIV/0!</v>
      </c>
    </row>
    <row r="824" spans="1:10" x14ac:dyDescent="0.25">
      <c r="A824">
        <f t="shared" si="24"/>
        <v>823</v>
      </c>
      <c r="J824" s="47" t="e">
        <f t="shared" si="25"/>
        <v>#DIV/0!</v>
      </c>
    </row>
    <row r="825" spans="1:10" x14ac:dyDescent="0.25">
      <c r="A825">
        <f t="shared" si="24"/>
        <v>824</v>
      </c>
      <c r="J825" s="47" t="e">
        <f t="shared" si="25"/>
        <v>#DIV/0!</v>
      </c>
    </row>
    <row r="826" spans="1:10" x14ac:dyDescent="0.25">
      <c r="A826">
        <f t="shared" si="24"/>
        <v>825</v>
      </c>
      <c r="J826" s="47" t="e">
        <f t="shared" si="25"/>
        <v>#DIV/0!</v>
      </c>
    </row>
    <row r="827" spans="1:10" x14ac:dyDescent="0.25">
      <c r="A827">
        <f t="shared" si="24"/>
        <v>826</v>
      </c>
      <c r="J827" s="47" t="e">
        <f t="shared" si="25"/>
        <v>#DIV/0!</v>
      </c>
    </row>
    <row r="828" spans="1:10" x14ac:dyDescent="0.25">
      <c r="A828">
        <f t="shared" si="24"/>
        <v>827</v>
      </c>
      <c r="J828" s="47" t="e">
        <f t="shared" si="25"/>
        <v>#DIV/0!</v>
      </c>
    </row>
    <row r="829" spans="1:10" x14ac:dyDescent="0.25">
      <c r="A829">
        <f t="shared" si="24"/>
        <v>828</v>
      </c>
      <c r="J829" s="47" t="e">
        <f t="shared" si="25"/>
        <v>#DIV/0!</v>
      </c>
    </row>
    <row r="830" spans="1:10" x14ac:dyDescent="0.25">
      <c r="A830">
        <f t="shared" si="24"/>
        <v>829</v>
      </c>
      <c r="J830" s="47" t="e">
        <f t="shared" si="25"/>
        <v>#DIV/0!</v>
      </c>
    </row>
    <row r="831" spans="1:10" x14ac:dyDescent="0.25">
      <c r="A831">
        <f t="shared" si="24"/>
        <v>830</v>
      </c>
      <c r="J831" s="47" t="e">
        <f t="shared" si="25"/>
        <v>#DIV/0!</v>
      </c>
    </row>
    <row r="832" spans="1:10" x14ac:dyDescent="0.25">
      <c r="A832">
        <f t="shared" si="24"/>
        <v>831</v>
      </c>
      <c r="J832" s="47" t="e">
        <f t="shared" si="25"/>
        <v>#DIV/0!</v>
      </c>
    </row>
    <row r="833" spans="1:10" x14ac:dyDescent="0.25">
      <c r="A833">
        <f t="shared" si="24"/>
        <v>832</v>
      </c>
      <c r="J833" s="47" t="e">
        <f t="shared" si="25"/>
        <v>#DIV/0!</v>
      </c>
    </row>
    <row r="834" spans="1:10" x14ac:dyDescent="0.25">
      <c r="A834">
        <f t="shared" si="24"/>
        <v>833</v>
      </c>
      <c r="J834" s="47" t="e">
        <f t="shared" si="25"/>
        <v>#DIV/0!</v>
      </c>
    </row>
    <row r="835" spans="1:10" x14ac:dyDescent="0.25">
      <c r="A835">
        <f t="shared" si="24"/>
        <v>834</v>
      </c>
      <c r="J835" s="47" t="e">
        <f t="shared" si="25"/>
        <v>#DIV/0!</v>
      </c>
    </row>
    <row r="836" spans="1:10" x14ac:dyDescent="0.25">
      <c r="A836">
        <f t="shared" ref="A836:A899" si="26">+A835+1</f>
        <v>835</v>
      </c>
      <c r="J836" s="47" t="e">
        <f t="shared" ref="J836:J899" si="27">I836/H836</f>
        <v>#DIV/0!</v>
      </c>
    </row>
    <row r="837" spans="1:10" x14ac:dyDescent="0.25">
      <c r="A837">
        <f t="shared" si="26"/>
        <v>836</v>
      </c>
      <c r="J837" s="47" t="e">
        <f t="shared" si="27"/>
        <v>#DIV/0!</v>
      </c>
    </row>
    <row r="838" spans="1:10" x14ac:dyDescent="0.25">
      <c r="A838">
        <f t="shared" si="26"/>
        <v>837</v>
      </c>
      <c r="J838" s="47" t="e">
        <f t="shared" si="27"/>
        <v>#DIV/0!</v>
      </c>
    </row>
    <row r="839" spans="1:10" x14ac:dyDescent="0.25">
      <c r="A839">
        <f t="shared" si="26"/>
        <v>838</v>
      </c>
      <c r="J839" s="47" t="e">
        <f t="shared" si="27"/>
        <v>#DIV/0!</v>
      </c>
    </row>
    <row r="840" spans="1:10" x14ac:dyDescent="0.25">
      <c r="A840">
        <f t="shared" si="26"/>
        <v>839</v>
      </c>
      <c r="J840" s="47" t="e">
        <f t="shared" si="27"/>
        <v>#DIV/0!</v>
      </c>
    </row>
    <row r="841" spans="1:10" x14ac:dyDescent="0.25">
      <c r="A841">
        <f t="shared" si="26"/>
        <v>840</v>
      </c>
      <c r="J841" s="47" t="e">
        <f t="shared" si="27"/>
        <v>#DIV/0!</v>
      </c>
    </row>
    <row r="842" spans="1:10" x14ac:dyDescent="0.25">
      <c r="A842">
        <f t="shared" si="26"/>
        <v>841</v>
      </c>
      <c r="J842" s="47" t="e">
        <f t="shared" si="27"/>
        <v>#DIV/0!</v>
      </c>
    </row>
    <row r="843" spans="1:10" x14ac:dyDescent="0.25">
      <c r="A843">
        <f t="shared" si="26"/>
        <v>842</v>
      </c>
      <c r="J843" s="47" t="e">
        <f t="shared" si="27"/>
        <v>#DIV/0!</v>
      </c>
    </row>
    <row r="844" spans="1:10" x14ac:dyDescent="0.25">
      <c r="A844">
        <f t="shared" si="26"/>
        <v>843</v>
      </c>
      <c r="J844" s="47" t="e">
        <f t="shared" si="27"/>
        <v>#DIV/0!</v>
      </c>
    </row>
    <row r="845" spans="1:10" x14ac:dyDescent="0.25">
      <c r="A845">
        <f t="shared" si="26"/>
        <v>844</v>
      </c>
      <c r="J845" s="47" t="e">
        <f t="shared" si="27"/>
        <v>#DIV/0!</v>
      </c>
    </row>
    <row r="846" spans="1:10" x14ac:dyDescent="0.25">
      <c r="A846">
        <f t="shared" si="26"/>
        <v>845</v>
      </c>
      <c r="J846" s="47" t="e">
        <f t="shared" si="27"/>
        <v>#DIV/0!</v>
      </c>
    </row>
    <row r="847" spans="1:10" x14ac:dyDescent="0.25">
      <c r="A847">
        <f t="shared" si="26"/>
        <v>846</v>
      </c>
      <c r="J847" s="47" t="e">
        <f t="shared" si="27"/>
        <v>#DIV/0!</v>
      </c>
    </row>
    <row r="848" spans="1:10" x14ac:dyDescent="0.25">
      <c r="A848">
        <f t="shared" si="26"/>
        <v>847</v>
      </c>
      <c r="J848" s="47" t="e">
        <f t="shared" si="27"/>
        <v>#DIV/0!</v>
      </c>
    </row>
    <row r="849" spans="1:10" x14ac:dyDescent="0.25">
      <c r="A849">
        <f t="shared" si="26"/>
        <v>848</v>
      </c>
      <c r="J849" s="47" t="e">
        <f t="shared" si="27"/>
        <v>#DIV/0!</v>
      </c>
    </row>
    <row r="850" spans="1:10" x14ac:dyDescent="0.25">
      <c r="A850">
        <f t="shared" si="26"/>
        <v>849</v>
      </c>
      <c r="J850" s="47" t="e">
        <f t="shared" si="27"/>
        <v>#DIV/0!</v>
      </c>
    </row>
    <row r="851" spans="1:10" x14ac:dyDescent="0.25">
      <c r="A851">
        <f t="shared" si="26"/>
        <v>850</v>
      </c>
      <c r="J851" s="47" t="e">
        <f t="shared" si="27"/>
        <v>#DIV/0!</v>
      </c>
    </row>
    <row r="852" spans="1:10" x14ac:dyDescent="0.25">
      <c r="A852">
        <f t="shared" si="26"/>
        <v>851</v>
      </c>
      <c r="J852" s="47" t="e">
        <f t="shared" si="27"/>
        <v>#DIV/0!</v>
      </c>
    </row>
    <row r="853" spans="1:10" x14ac:dyDescent="0.25">
      <c r="A853">
        <f t="shared" si="26"/>
        <v>852</v>
      </c>
      <c r="J853" s="47" t="e">
        <f t="shared" si="27"/>
        <v>#DIV/0!</v>
      </c>
    </row>
    <row r="854" spans="1:10" x14ac:dyDescent="0.25">
      <c r="A854">
        <f t="shared" si="26"/>
        <v>853</v>
      </c>
      <c r="J854" s="47" t="e">
        <f t="shared" si="27"/>
        <v>#DIV/0!</v>
      </c>
    </row>
    <row r="855" spans="1:10" x14ac:dyDescent="0.25">
      <c r="A855">
        <f t="shared" si="26"/>
        <v>854</v>
      </c>
      <c r="J855" s="47" t="e">
        <f t="shared" si="27"/>
        <v>#DIV/0!</v>
      </c>
    </row>
    <row r="856" spans="1:10" x14ac:dyDescent="0.25">
      <c r="A856">
        <f t="shared" si="26"/>
        <v>855</v>
      </c>
      <c r="J856" s="47" t="e">
        <f t="shared" si="27"/>
        <v>#DIV/0!</v>
      </c>
    </row>
    <row r="857" spans="1:10" x14ac:dyDescent="0.25">
      <c r="A857">
        <f t="shared" si="26"/>
        <v>856</v>
      </c>
      <c r="J857" s="47" t="e">
        <f t="shared" si="27"/>
        <v>#DIV/0!</v>
      </c>
    </row>
    <row r="858" spans="1:10" x14ac:dyDescent="0.25">
      <c r="A858">
        <f t="shared" si="26"/>
        <v>857</v>
      </c>
      <c r="J858" s="47" t="e">
        <f t="shared" si="27"/>
        <v>#DIV/0!</v>
      </c>
    </row>
    <row r="859" spans="1:10" x14ac:dyDescent="0.25">
      <c r="A859">
        <f t="shared" si="26"/>
        <v>858</v>
      </c>
      <c r="J859" s="47" t="e">
        <f t="shared" si="27"/>
        <v>#DIV/0!</v>
      </c>
    </row>
    <row r="860" spans="1:10" x14ac:dyDescent="0.25">
      <c r="A860">
        <f t="shared" si="26"/>
        <v>859</v>
      </c>
      <c r="J860" s="47" t="e">
        <f t="shared" si="27"/>
        <v>#DIV/0!</v>
      </c>
    </row>
    <row r="861" spans="1:10" x14ac:dyDescent="0.25">
      <c r="A861">
        <f t="shared" si="26"/>
        <v>860</v>
      </c>
      <c r="J861" s="47" t="e">
        <f t="shared" si="27"/>
        <v>#DIV/0!</v>
      </c>
    </row>
    <row r="862" spans="1:10" x14ac:dyDescent="0.25">
      <c r="A862">
        <f t="shared" si="26"/>
        <v>861</v>
      </c>
      <c r="J862" s="47" t="e">
        <f t="shared" si="27"/>
        <v>#DIV/0!</v>
      </c>
    </row>
    <row r="863" spans="1:10" x14ac:dyDescent="0.25">
      <c r="A863">
        <f t="shared" si="26"/>
        <v>862</v>
      </c>
      <c r="J863" s="47" t="e">
        <f t="shared" si="27"/>
        <v>#DIV/0!</v>
      </c>
    </row>
    <row r="864" spans="1:10" x14ac:dyDescent="0.25">
      <c r="A864">
        <f t="shared" si="26"/>
        <v>863</v>
      </c>
      <c r="J864" s="47" t="e">
        <f t="shared" si="27"/>
        <v>#DIV/0!</v>
      </c>
    </row>
    <row r="865" spans="1:10" x14ac:dyDescent="0.25">
      <c r="A865">
        <f t="shared" si="26"/>
        <v>864</v>
      </c>
      <c r="J865" s="47" t="e">
        <f t="shared" si="27"/>
        <v>#DIV/0!</v>
      </c>
    </row>
    <row r="866" spans="1:10" x14ac:dyDescent="0.25">
      <c r="A866">
        <f t="shared" si="26"/>
        <v>865</v>
      </c>
      <c r="J866" s="47" t="e">
        <f t="shared" si="27"/>
        <v>#DIV/0!</v>
      </c>
    </row>
    <row r="867" spans="1:10" x14ac:dyDescent="0.25">
      <c r="A867">
        <f t="shared" si="26"/>
        <v>866</v>
      </c>
      <c r="J867" s="47" t="e">
        <f t="shared" si="27"/>
        <v>#DIV/0!</v>
      </c>
    </row>
    <row r="868" spans="1:10" x14ac:dyDescent="0.25">
      <c r="A868">
        <f t="shared" si="26"/>
        <v>867</v>
      </c>
      <c r="J868" s="47" t="e">
        <f t="shared" si="27"/>
        <v>#DIV/0!</v>
      </c>
    </row>
    <row r="869" spans="1:10" x14ac:dyDescent="0.25">
      <c r="A869">
        <f t="shared" si="26"/>
        <v>868</v>
      </c>
      <c r="J869" s="47" t="e">
        <f t="shared" si="27"/>
        <v>#DIV/0!</v>
      </c>
    </row>
    <row r="870" spans="1:10" x14ac:dyDescent="0.25">
      <c r="A870">
        <f t="shared" si="26"/>
        <v>869</v>
      </c>
      <c r="J870" s="47" t="e">
        <f t="shared" si="27"/>
        <v>#DIV/0!</v>
      </c>
    </row>
    <row r="871" spans="1:10" x14ac:dyDescent="0.25">
      <c r="A871">
        <f t="shared" si="26"/>
        <v>870</v>
      </c>
      <c r="J871" s="47" t="e">
        <f t="shared" si="27"/>
        <v>#DIV/0!</v>
      </c>
    </row>
    <row r="872" spans="1:10" x14ac:dyDescent="0.25">
      <c r="A872">
        <f t="shared" si="26"/>
        <v>871</v>
      </c>
      <c r="J872" s="47" t="e">
        <f t="shared" si="27"/>
        <v>#DIV/0!</v>
      </c>
    </row>
    <row r="873" spans="1:10" x14ac:dyDescent="0.25">
      <c r="A873">
        <f t="shared" si="26"/>
        <v>872</v>
      </c>
      <c r="J873" s="47" t="e">
        <f t="shared" si="27"/>
        <v>#DIV/0!</v>
      </c>
    </row>
    <row r="874" spans="1:10" x14ac:dyDescent="0.25">
      <c r="A874">
        <f t="shared" si="26"/>
        <v>873</v>
      </c>
      <c r="J874" s="47" t="e">
        <f t="shared" si="27"/>
        <v>#DIV/0!</v>
      </c>
    </row>
    <row r="875" spans="1:10" x14ac:dyDescent="0.25">
      <c r="A875">
        <f t="shared" si="26"/>
        <v>874</v>
      </c>
      <c r="J875" s="47" t="e">
        <f t="shared" si="27"/>
        <v>#DIV/0!</v>
      </c>
    </row>
    <row r="876" spans="1:10" x14ac:dyDescent="0.25">
      <c r="A876">
        <f t="shared" si="26"/>
        <v>875</v>
      </c>
      <c r="J876" s="47" t="e">
        <f t="shared" si="27"/>
        <v>#DIV/0!</v>
      </c>
    </row>
    <row r="877" spans="1:10" x14ac:dyDescent="0.25">
      <c r="A877">
        <f t="shared" si="26"/>
        <v>876</v>
      </c>
      <c r="J877" s="47" t="e">
        <f t="shared" si="27"/>
        <v>#DIV/0!</v>
      </c>
    </row>
    <row r="878" spans="1:10" x14ac:dyDescent="0.25">
      <c r="A878">
        <f t="shared" si="26"/>
        <v>877</v>
      </c>
      <c r="J878" s="47" t="e">
        <f t="shared" si="27"/>
        <v>#DIV/0!</v>
      </c>
    </row>
    <row r="879" spans="1:10" x14ac:dyDescent="0.25">
      <c r="A879">
        <f t="shared" si="26"/>
        <v>878</v>
      </c>
      <c r="J879" s="47" t="e">
        <f t="shared" si="27"/>
        <v>#DIV/0!</v>
      </c>
    </row>
    <row r="880" spans="1:10" x14ac:dyDescent="0.25">
      <c r="A880">
        <f t="shared" si="26"/>
        <v>879</v>
      </c>
      <c r="J880" s="47" t="e">
        <f t="shared" si="27"/>
        <v>#DIV/0!</v>
      </c>
    </row>
    <row r="881" spans="1:10" x14ac:dyDescent="0.25">
      <c r="A881">
        <f t="shared" si="26"/>
        <v>880</v>
      </c>
      <c r="J881" s="47" t="e">
        <f t="shared" si="27"/>
        <v>#DIV/0!</v>
      </c>
    </row>
    <row r="882" spans="1:10" x14ac:dyDescent="0.25">
      <c r="A882">
        <f t="shared" si="26"/>
        <v>881</v>
      </c>
      <c r="J882" s="47" t="e">
        <f t="shared" si="27"/>
        <v>#DIV/0!</v>
      </c>
    </row>
    <row r="883" spans="1:10" x14ac:dyDescent="0.25">
      <c r="A883">
        <f t="shared" si="26"/>
        <v>882</v>
      </c>
      <c r="J883" s="47" t="e">
        <f t="shared" si="27"/>
        <v>#DIV/0!</v>
      </c>
    </row>
    <row r="884" spans="1:10" x14ac:dyDescent="0.25">
      <c r="A884">
        <f t="shared" si="26"/>
        <v>883</v>
      </c>
      <c r="J884" s="47" t="e">
        <f t="shared" si="27"/>
        <v>#DIV/0!</v>
      </c>
    </row>
    <row r="885" spans="1:10" x14ac:dyDescent="0.25">
      <c r="A885">
        <f t="shared" si="26"/>
        <v>884</v>
      </c>
      <c r="J885" s="47" t="e">
        <f t="shared" si="27"/>
        <v>#DIV/0!</v>
      </c>
    </row>
    <row r="886" spans="1:10" x14ac:dyDescent="0.25">
      <c r="A886">
        <f t="shared" si="26"/>
        <v>885</v>
      </c>
      <c r="J886" s="47" t="e">
        <f t="shared" si="27"/>
        <v>#DIV/0!</v>
      </c>
    </row>
    <row r="887" spans="1:10" x14ac:dyDescent="0.25">
      <c r="A887">
        <f t="shared" si="26"/>
        <v>886</v>
      </c>
      <c r="J887" s="47" t="e">
        <f t="shared" si="27"/>
        <v>#DIV/0!</v>
      </c>
    </row>
    <row r="888" spans="1:10" x14ac:dyDescent="0.25">
      <c r="A888">
        <f t="shared" si="26"/>
        <v>887</v>
      </c>
      <c r="J888" s="47" t="e">
        <f t="shared" si="27"/>
        <v>#DIV/0!</v>
      </c>
    </row>
    <row r="889" spans="1:10" x14ac:dyDescent="0.25">
      <c r="A889">
        <f t="shared" si="26"/>
        <v>888</v>
      </c>
      <c r="J889" s="47" t="e">
        <f t="shared" si="27"/>
        <v>#DIV/0!</v>
      </c>
    </row>
    <row r="890" spans="1:10" x14ac:dyDescent="0.25">
      <c r="A890">
        <f t="shared" si="26"/>
        <v>889</v>
      </c>
      <c r="J890" s="47" t="e">
        <f t="shared" si="27"/>
        <v>#DIV/0!</v>
      </c>
    </row>
    <row r="891" spans="1:10" x14ac:dyDescent="0.25">
      <c r="A891">
        <f t="shared" si="26"/>
        <v>890</v>
      </c>
      <c r="J891" s="47" t="e">
        <f t="shared" si="27"/>
        <v>#DIV/0!</v>
      </c>
    </row>
    <row r="892" spans="1:10" x14ac:dyDescent="0.25">
      <c r="A892">
        <f t="shared" si="26"/>
        <v>891</v>
      </c>
      <c r="J892" s="47" t="e">
        <f t="shared" si="27"/>
        <v>#DIV/0!</v>
      </c>
    </row>
    <row r="893" spans="1:10" x14ac:dyDescent="0.25">
      <c r="A893">
        <f t="shared" si="26"/>
        <v>892</v>
      </c>
      <c r="J893" s="47" t="e">
        <f t="shared" si="27"/>
        <v>#DIV/0!</v>
      </c>
    </row>
    <row r="894" spans="1:10" x14ac:dyDescent="0.25">
      <c r="A894">
        <f t="shared" si="26"/>
        <v>893</v>
      </c>
      <c r="J894" s="47" t="e">
        <f t="shared" si="27"/>
        <v>#DIV/0!</v>
      </c>
    </row>
    <row r="895" spans="1:10" x14ac:dyDescent="0.25">
      <c r="A895">
        <f t="shared" si="26"/>
        <v>894</v>
      </c>
      <c r="J895" s="47" t="e">
        <f t="shared" si="27"/>
        <v>#DIV/0!</v>
      </c>
    </row>
    <row r="896" spans="1:10" x14ac:dyDescent="0.25">
      <c r="A896">
        <f t="shared" si="26"/>
        <v>895</v>
      </c>
      <c r="J896" s="47" t="e">
        <f t="shared" si="27"/>
        <v>#DIV/0!</v>
      </c>
    </row>
    <row r="897" spans="1:10" x14ac:dyDescent="0.25">
      <c r="A897">
        <f t="shared" si="26"/>
        <v>896</v>
      </c>
      <c r="J897" s="47" t="e">
        <f t="shared" si="27"/>
        <v>#DIV/0!</v>
      </c>
    </row>
    <row r="898" spans="1:10" x14ac:dyDescent="0.25">
      <c r="A898">
        <f t="shared" si="26"/>
        <v>897</v>
      </c>
      <c r="J898" s="47" t="e">
        <f t="shared" si="27"/>
        <v>#DIV/0!</v>
      </c>
    </row>
    <row r="899" spans="1:10" x14ac:dyDescent="0.25">
      <c r="A899">
        <f t="shared" si="26"/>
        <v>898</v>
      </c>
      <c r="J899" s="47" t="e">
        <f t="shared" si="27"/>
        <v>#DIV/0!</v>
      </c>
    </row>
    <row r="900" spans="1:10" x14ac:dyDescent="0.25">
      <c r="A900">
        <f t="shared" ref="A900:A963" si="28">+A899+1</f>
        <v>899</v>
      </c>
      <c r="J900" s="47" t="e">
        <f t="shared" ref="J900:J963" si="29">I900/H900</f>
        <v>#DIV/0!</v>
      </c>
    </row>
    <row r="901" spans="1:10" x14ac:dyDescent="0.25">
      <c r="A901">
        <f t="shared" si="28"/>
        <v>900</v>
      </c>
      <c r="J901" s="47" t="e">
        <f t="shared" si="29"/>
        <v>#DIV/0!</v>
      </c>
    </row>
    <row r="902" spans="1:10" x14ac:dyDescent="0.25">
      <c r="A902">
        <f t="shared" si="28"/>
        <v>901</v>
      </c>
      <c r="J902" s="47" t="e">
        <f t="shared" si="29"/>
        <v>#DIV/0!</v>
      </c>
    </row>
    <row r="903" spans="1:10" x14ac:dyDescent="0.25">
      <c r="A903">
        <f t="shared" si="28"/>
        <v>902</v>
      </c>
      <c r="J903" s="47" t="e">
        <f t="shared" si="29"/>
        <v>#DIV/0!</v>
      </c>
    </row>
    <row r="904" spans="1:10" x14ac:dyDescent="0.25">
      <c r="A904">
        <f t="shared" si="28"/>
        <v>903</v>
      </c>
      <c r="J904" s="47" t="e">
        <f t="shared" si="29"/>
        <v>#DIV/0!</v>
      </c>
    </row>
    <row r="905" spans="1:10" x14ac:dyDescent="0.25">
      <c r="A905">
        <f t="shared" si="28"/>
        <v>904</v>
      </c>
      <c r="J905" s="47" t="e">
        <f t="shared" si="29"/>
        <v>#DIV/0!</v>
      </c>
    </row>
    <row r="906" spans="1:10" x14ac:dyDescent="0.25">
      <c r="A906">
        <f t="shared" si="28"/>
        <v>905</v>
      </c>
      <c r="J906" s="47" t="e">
        <f t="shared" si="29"/>
        <v>#DIV/0!</v>
      </c>
    </row>
    <row r="907" spans="1:10" x14ac:dyDescent="0.25">
      <c r="A907">
        <f t="shared" si="28"/>
        <v>906</v>
      </c>
      <c r="J907" s="47" t="e">
        <f t="shared" si="29"/>
        <v>#DIV/0!</v>
      </c>
    </row>
    <row r="908" spans="1:10" x14ac:dyDescent="0.25">
      <c r="A908">
        <f t="shared" si="28"/>
        <v>907</v>
      </c>
      <c r="J908" s="47" t="e">
        <f t="shared" si="29"/>
        <v>#DIV/0!</v>
      </c>
    </row>
    <row r="909" spans="1:10" x14ac:dyDescent="0.25">
      <c r="A909">
        <f t="shared" si="28"/>
        <v>908</v>
      </c>
      <c r="J909" s="47" t="e">
        <f t="shared" si="29"/>
        <v>#DIV/0!</v>
      </c>
    </row>
    <row r="910" spans="1:10" x14ac:dyDescent="0.25">
      <c r="A910">
        <f t="shared" si="28"/>
        <v>909</v>
      </c>
      <c r="J910" s="47" t="e">
        <f t="shared" si="29"/>
        <v>#DIV/0!</v>
      </c>
    </row>
    <row r="911" spans="1:10" x14ac:dyDescent="0.25">
      <c r="A911">
        <f t="shared" si="28"/>
        <v>910</v>
      </c>
      <c r="J911" s="47" t="e">
        <f t="shared" si="29"/>
        <v>#DIV/0!</v>
      </c>
    </row>
    <row r="912" spans="1:10" x14ac:dyDescent="0.25">
      <c r="A912">
        <f t="shared" si="28"/>
        <v>911</v>
      </c>
      <c r="J912" s="47" t="e">
        <f t="shared" si="29"/>
        <v>#DIV/0!</v>
      </c>
    </row>
    <row r="913" spans="1:10" x14ac:dyDescent="0.25">
      <c r="A913">
        <f t="shared" si="28"/>
        <v>912</v>
      </c>
      <c r="J913" s="47" t="e">
        <f t="shared" si="29"/>
        <v>#DIV/0!</v>
      </c>
    </row>
    <row r="914" spans="1:10" x14ac:dyDescent="0.25">
      <c r="A914">
        <f t="shared" si="28"/>
        <v>913</v>
      </c>
      <c r="J914" s="47" t="e">
        <f t="shared" si="29"/>
        <v>#DIV/0!</v>
      </c>
    </row>
    <row r="915" spans="1:10" x14ac:dyDescent="0.25">
      <c r="A915">
        <f t="shared" si="28"/>
        <v>914</v>
      </c>
      <c r="J915" s="47" t="e">
        <f t="shared" si="29"/>
        <v>#DIV/0!</v>
      </c>
    </row>
    <row r="916" spans="1:10" x14ac:dyDescent="0.25">
      <c r="A916">
        <f t="shared" si="28"/>
        <v>915</v>
      </c>
      <c r="J916" s="47" t="e">
        <f t="shared" si="29"/>
        <v>#DIV/0!</v>
      </c>
    </row>
    <row r="917" spans="1:10" x14ac:dyDescent="0.25">
      <c r="A917">
        <f t="shared" si="28"/>
        <v>916</v>
      </c>
      <c r="J917" s="47" t="e">
        <f t="shared" si="29"/>
        <v>#DIV/0!</v>
      </c>
    </row>
    <row r="918" spans="1:10" x14ac:dyDescent="0.25">
      <c r="A918">
        <f t="shared" si="28"/>
        <v>917</v>
      </c>
      <c r="J918" s="47" t="e">
        <f t="shared" si="29"/>
        <v>#DIV/0!</v>
      </c>
    </row>
    <row r="919" spans="1:10" x14ac:dyDescent="0.25">
      <c r="A919">
        <f t="shared" si="28"/>
        <v>918</v>
      </c>
      <c r="J919" s="47" t="e">
        <f t="shared" si="29"/>
        <v>#DIV/0!</v>
      </c>
    </row>
    <row r="920" spans="1:10" x14ac:dyDescent="0.25">
      <c r="A920">
        <f t="shared" si="28"/>
        <v>919</v>
      </c>
      <c r="J920" s="47" t="e">
        <f t="shared" si="29"/>
        <v>#DIV/0!</v>
      </c>
    </row>
    <row r="921" spans="1:10" x14ac:dyDescent="0.25">
      <c r="A921">
        <f t="shared" si="28"/>
        <v>920</v>
      </c>
      <c r="J921" s="47" t="e">
        <f t="shared" si="29"/>
        <v>#DIV/0!</v>
      </c>
    </row>
    <row r="922" spans="1:10" x14ac:dyDescent="0.25">
      <c r="A922">
        <f t="shared" si="28"/>
        <v>921</v>
      </c>
      <c r="J922" s="47" t="e">
        <f t="shared" si="29"/>
        <v>#DIV/0!</v>
      </c>
    </row>
    <row r="923" spans="1:10" x14ac:dyDescent="0.25">
      <c r="A923">
        <f t="shared" si="28"/>
        <v>922</v>
      </c>
      <c r="J923" s="47" t="e">
        <f t="shared" si="29"/>
        <v>#DIV/0!</v>
      </c>
    </row>
    <row r="924" spans="1:10" x14ac:dyDescent="0.25">
      <c r="A924">
        <f t="shared" si="28"/>
        <v>923</v>
      </c>
      <c r="J924" s="47" t="e">
        <f t="shared" si="29"/>
        <v>#DIV/0!</v>
      </c>
    </row>
    <row r="925" spans="1:10" x14ac:dyDescent="0.25">
      <c r="A925">
        <f t="shared" si="28"/>
        <v>924</v>
      </c>
      <c r="J925" s="47" t="e">
        <f t="shared" si="29"/>
        <v>#DIV/0!</v>
      </c>
    </row>
    <row r="926" spans="1:10" x14ac:dyDescent="0.25">
      <c r="A926">
        <f t="shared" si="28"/>
        <v>925</v>
      </c>
      <c r="J926" s="47" t="e">
        <f t="shared" si="29"/>
        <v>#DIV/0!</v>
      </c>
    </row>
    <row r="927" spans="1:10" x14ac:dyDescent="0.25">
      <c r="A927">
        <f t="shared" si="28"/>
        <v>926</v>
      </c>
      <c r="J927" s="47" t="e">
        <f t="shared" si="29"/>
        <v>#DIV/0!</v>
      </c>
    </row>
    <row r="928" spans="1:10" x14ac:dyDescent="0.25">
      <c r="A928">
        <f t="shared" si="28"/>
        <v>927</v>
      </c>
      <c r="J928" s="47" t="e">
        <f t="shared" si="29"/>
        <v>#DIV/0!</v>
      </c>
    </row>
    <row r="929" spans="1:10" x14ac:dyDescent="0.25">
      <c r="A929">
        <f t="shared" si="28"/>
        <v>928</v>
      </c>
      <c r="J929" s="47" t="e">
        <f t="shared" si="29"/>
        <v>#DIV/0!</v>
      </c>
    </row>
    <row r="930" spans="1:10" x14ac:dyDescent="0.25">
      <c r="A930">
        <f t="shared" si="28"/>
        <v>929</v>
      </c>
      <c r="J930" s="47" t="e">
        <f t="shared" si="29"/>
        <v>#DIV/0!</v>
      </c>
    </row>
    <row r="931" spans="1:10" x14ac:dyDescent="0.25">
      <c r="A931">
        <f t="shared" si="28"/>
        <v>930</v>
      </c>
      <c r="J931" s="47" t="e">
        <f t="shared" si="29"/>
        <v>#DIV/0!</v>
      </c>
    </row>
    <row r="932" spans="1:10" x14ac:dyDescent="0.25">
      <c r="A932">
        <f t="shared" si="28"/>
        <v>931</v>
      </c>
      <c r="J932" s="47" t="e">
        <f t="shared" si="29"/>
        <v>#DIV/0!</v>
      </c>
    </row>
    <row r="933" spans="1:10" x14ac:dyDescent="0.25">
      <c r="A933">
        <f t="shared" si="28"/>
        <v>932</v>
      </c>
      <c r="J933" s="47" t="e">
        <f t="shared" si="29"/>
        <v>#DIV/0!</v>
      </c>
    </row>
    <row r="934" spans="1:10" x14ac:dyDescent="0.25">
      <c r="A934">
        <f t="shared" si="28"/>
        <v>933</v>
      </c>
      <c r="J934" s="47" t="e">
        <f t="shared" si="29"/>
        <v>#DIV/0!</v>
      </c>
    </row>
    <row r="935" spans="1:10" x14ac:dyDescent="0.25">
      <c r="A935">
        <f t="shared" si="28"/>
        <v>934</v>
      </c>
      <c r="J935" s="47" t="e">
        <f t="shared" si="29"/>
        <v>#DIV/0!</v>
      </c>
    </row>
    <row r="936" spans="1:10" x14ac:dyDescent="0.25">
      <c r="A936">
        <f t="shared" si="28"/>
        <v>935</v>
      </c>
      <c r="J936" s="47" t="e">
        <f t="shared" si="29"/>
        <v>#DIV/0!</v>
      </c>
    </row>
    <row r="937" spans="1:10" x14ac:dyDescent="0.25">
      <c r="A937">
        <f t="shared" si="28"/>
        <v>936</v>
      </c>
      <c r="J937" s="47" t="e">
        <f t="shared" si="29"/>
        <v>#DIV/0!</v>
      </c>
    </row>
    <row r="938" spans="1:10" x14ac:dyDescent="0.25">
      <c r="A938">
        <f t="shared" si="28"/>
        <v>937</v>
      </c>
      <c r="J938" s="47" t="e">
        <f t="shared" si="29"/>
        <v>#DIV/0!</v>
      </c>
    </row>
    <row r="939" spans="1:10" x14ac:dyDescent="0.25">
      <c r="A939">
        <f t="shared" si="28"/>
        <v>938</v>
      </c>
      <c r="J939" s="47" t="e">
        <f t="shared" si="29"/>
        <v>#DIV/0!</v>
      </c>
    </row>
    <row r="940" spans="1:10" x14ac:dyDescent="0.25">
      <c r="A940">
        <f t="shared" si="28"/>
        <v>939</v>
      </c>
      <c r="J940" s="47" t="e">
        <f t="shared" si="29"/>
        <v>#DIV/0!</v>
      </c>
    </row>
    <row r="941" spans="1:10" x14ac:dyDescent="0.25">
      <c r="A941">
        <f t="shared" si="28"/>
        <v>940</v>
      </c>
      <c r="J941" s="47" t="e">
        <f t="shared" si="29"/>
        <v>#DIV/0!</v>
      </c>
    </row>
    <row r="942" spans="1:10" x14ac:dyDescent="0.25">
      <c r="A942">
        <f t="shared" si="28"/>
        <v>941</v>
      </c>
      <c r="J942" s="47" t="e">
        <f t="shared" si="29"/>
        <v>#DIV/0!</v>
      </c>
    </row>
    <row r="943" spans="1:10" x14ac:dyDescent="0.25">
      <c r="A943">
        <f t="shared" si="28"/>
        <v>942</v>
      </c>
      <c r="J943" s="47" t="e">
        <f t="shared" si="29"/>
        <v>#DIV/0!</v>
      </c>
    </row>
    <row r="944" spans="1:10" x14ac:dyDescent="0.25">
      <c r="A944">
        <f t="shared" si="28"/>
        <v>943</v>
      </c>
      <c r="J944" s="47" t="e">
        <f t="shared" si="29"/>
        <v>#DIV/0!</v>
      </c>
    </row>
    <row r="945" spans="1:10" x14ac:dyDescent="0.25">
      <c r="A945">
        <f t="shared" si="28"/>
        <v>944</v>
      </c>
      <c r="J945" s="47" t="e">
        <f t="shared" si="29"/>
        <v>#DIV/0!</v>
      </c>
    </row>
    <row r="946" spans="1:10" x14ac:dyDescent="0.25">
      <c r="A946">
        <f t="shared" si="28"/>
        <v>945</v>
      </c>
      <c r="J946" s="47" t="e">
        <f t="shared" si="29"/>
        <v>#DIV/0!</v>
      </c>
    </row>
    <row r="947" spans="1:10" x14ac:dyDescent="0.25">
      <c r="A947">
        <f t="shared" si="28"/>
        <v>946</v>
      </c>
      <c r="J947" s="47" t="e">
        <f t="shared" si="29"/>
        <v>#DIV/0!</v>
      </c>
    </row>
    <row r="948" spans="1:10" x14ac:dyDescent="0.25">
      <c r="A948">
        <f t="shared" si="28"/>
        <v>947</v>
      </c>
      <c r="J948" s="47" t="e">
        <f t="shared" si="29"/>
        <v>#DIV/0!</v>
      </c>
    </row>
    <row r="949" spans="1:10" x14ac:dyDescent="0.25">
      <c r="A949">
        <f t="shared" si="28"/>
        <v>948</v>
      </c>
      <c r="J949" s="47" t="e">
        <f t="shared" si="29"/>
        <v>#DIV/0!</v>
      </c>
    </row>
    <row r="950" spans="1:10" x14ac:dyDescent="0.25">
      <c r="A950">
        <f t="shared" si="28"/>
        <v>949</v>
      </c>
      <c r="J950" s="47" t="e">
        <f t="shared" si="29"/>
        <v>#DIV/0!</v>
      </c>
    </row>
    <row r="951" spans="1:10" x14ac:dyDescent="0.25">
      <c r="A951">
        <f t="shared" si="28"/>
        <v>950</v>
      </c>
      <c r="J951" s="47" t="e">
        <f t="shared" si="29"/>
        <v>#DIV/0!</v>
      </c>
    </row>
    <row r="952" spans="1:10" x14ac:dyDescent="0.25">
      <c r="A952">
        <f t="shared" si="28"/>
        <v>951</v>
      </c>
      <c r="J952" s="47" t="e">
        <f t="shared" si="29"/>
        <v>#DIV/0!</v>
      </c>
    </row>
    <row r="953" spans="1:10" x14ac:dyDescent="0.25">
      <c r="A953">
        <f t="shared" si="28"/>
        <v>952</v>
      </c>
      <c r="J953" s="47" t="e">
        <f t="shared" si="29"/>
        <v>#DIV/0!</v>
      </c>
    </row>
    <row r="954" spans="1:10" x14ac:dyDescent="0.25">
      <c r="A954">
        <f t="shared" si="28"/>
        <v>953</v>
      </c>
      <c r="J954" s="47" t="e">
        <f t="shared" si="29"/>
        <v>#DIV/0!</v>
      </c>
    </row>
    <row r="955" spans="1:10" x14ac:dyDescent="0.25">
      <c r="A955">
        <f t="shared" si="28"/>
        <v>954</v>
      </c>
      <c r="J955" s="47" t="e">
        <f t="shared" si="29"/>
        <v>#DIV/0!</v>
      </c>
    </row>
    <row r="956" spans="1:10" x14ac:dyDescent="0.25">
      <c r="A956">
        <f t="shared" si="28"/>
        <v>955</v>
      </c>
      <c r="J956" s="47" t="e">
        <f t="shared" si="29"/>
        <v>#DIV/0!</v>
      </c>
    </row>
    <row r="957" spans="1:10" x14ac:dyDescent="0.25">
      <c r="A957">
        <f t="shared" si="28"/>
        <v>956</v>
      </c>
      <c r="J957" s="47" t="e">
        <f t="shared" si="29"/>
        <v>#DIV/0!</v>
      </c>
    </row>
    <row r="958" spans="1:10" x14ac:dyDescent="0.25">
      <c r="A958">
        <f t="shared" si="28"/>
        <v>957</v>
      </c>
      <c r="J958" s="47" t="e">
        <f t="shared" si="29"/>
        <v>#DIV/0!</v>
      </c>
    </row>
    <row r="959" spans="1:10" x14ac:dyDescent="0.25">
      <c r="A959">
        <f t="shared" si="28"/>
        <v>958</v>
      </c>
      <c r="J959" s="47" t="e">
        <f t="shared" si="29"/>
        <v>#DIV/0!</v>
      </c>
    </row>
    <row r="960" spans="1:10" x14ac:dyDescent="0.25">
      <c r="A960">
        <f t="shared" si="28"/>
        <v>959</v>
      </c>
      <c r="J960" s="47" t="e">
        <f t="shared" si="29"/>
        <v>#DIV/0!</v>
      </c>
    </row>
    <row r="961" spans="1:10" x14ac:dyDescent="0.25">
      <c r="A961">
        <f t="shared" si="28"/>
        <v>960</v>
      </c>
      <c r="J961" s="47" t="e">
        <f t="shared" si="29"/>
        <v>#DIV/0!</v>
      </c>
    </row>
    <row r="962" spans="1:10" x14ac:dyDescent="0.25">
      <c r="A962">
        <f t="shared" si="28"/>
        <v>961</v>
      </c>
      <c r="J962" s="47" t="e">
        <f t="shared" si="29"/>
        <v>#DIV/0!</v>
      </c>
    </row>
    <row r="963" spans="1:10" x14ac:dyDescent="0.25">
      <c r="A963">
        <f t="shared" si="28"/>
        <v>962</v>
      </c>
      <c r="J963" s="47" t="e">
        <f t="shared" si="29"/>
        <v>#DIV/0!</v>
      </c>
    </row>
    <row r="964" spans="1:10" x14ac:dyDescent="0.25">
      <c r="A964">
        <f t="shared" ref="A964:A999" si="30">+A963+1</f>
        <v>963</v>
      </c>
      <c r="J964" s="47" t="e">
        <f t="shared" ref="J964:J1000" si="31">I964/H964</f>
        <v>#DIV/0!</v>
      </c>
    </row>
    <row r="965" spans="1:10" x14ac:dyDescent="0.25">
      <c r="A965">
        <f t="shared" si="30"/>
        <v>964</v>
      </c>
      <c r="J965" s="47" t="e">
        <f t="shared" si="31"/>
        <v>#DIV/0!</v>
      </c>
    </row>
    <row r="966" spans="1:10" x14ac:dyDescent="0.25">
      <c r="A966">
        <f t="shared" si="30"/>
        <v>965</v>
      </c>
      <c r="J966" s="47" t="e">
        <f t="shared" si="31"/>
        <v>#DIV/0!</v>
      </c>
    </row>
    <row r="967" spans="1:10" x14ac:dyDescent="0.25">
      <c r="A967">
        <f t="shared" si="30"/>
        <v>966</v>
      </c>
      <c r="J967" s="47" t="e">
        <f t="shared" si="31"/>
        <v>#DIV/0!</v>
      </c>
    </row>
    <row r="968" spans="1:10" x14ac:dyDescent="0.25">
      <c r="A968">
        <f t="shared" si="30"/>
        <v>967</v>
      </c>
      <c r="J968" s="47" t="e">
        <f t="shared" si="31"/>
        <v>#DIV/0!</v>
      </c>
    </row>
    <row r="969" spans="1:10" x14ac:dyDescent="0.25">
      <c r="A969">
        <f t="shared" si="30"/>
        <v>968</v>
      </c>
      <c r="J969" s="47" t="e">
        <f t="shared" si="31"/>
        <v>#DIV/0!</v>
      </c>
    </row>
    <row r="970" spans="1:10" x14ac:dyDescent="0.25">
      <c r="A970">
        <f t="shared" si="30"/>
        <v>969</v>
      </c>
      <c r="J970" s="47" t="e">
        <f t="shared" si="31"/>
        <v>#DIV/0!</v>
      </c>
    </row>
    <row r="971" spans="1:10" x14ac:dyDescent="0.25">
      <c r="A971">
        <f t="shared" si="30"/>
        <v>970</v>
      </c>
      <c r="J971" s="47" t="e">
        <f t="shared" si="31"/>
        <v>#DIV/0!</v>
      </c>
    </row>
    <row r="972" spans="1:10" x14ac:dyDescent="0.25">
      <c r="A972">
        <f t="shared" si="30"/>
        <v>971</v>
      </c>
      <c r="J972" s="47" t="e">
        <f t="shared" si="31"/>
        <v>#DIV/0!</v>
      </c>
    </row>
    <row r="973" spans="1:10" x14ac:dyDescent="0.25">
      <c r="A973">
        <f t="shared" si="30"/>
        <v>972</v>
      </c>
      <c r="J973" s="47" t="e">
        <f t="shared" si="31"/>
        <v>#DIV/0!</v>
      </c>
    </row>
    <row r="974" spans="1:10" x14ac:dyDescent="0.25">
      <c r="A974">
        <f t="shared" si="30"/>
        <v>973</v>
      </c>
      <c r="J974" s="47" t="e">
        <f t="shared" si="31"/>
        <v>#DIV/0!</v>
      </c>
    </row>
    <row r="975" spans="1:10" x14ac:dyDescent="0.25">
      <c r="A975">
        <f t="shared" si="30"/>
        <v>974</v>
      </c>
      <c r="J975" s="47" t="e">
        <f t="shared" si="31"/>
        <v>#DIV/0!</v>
      </c>
    </row>
    <row r="976" spans="1:10" x14ac:dyDescent="0.25">
      <c r="A976">
        <f t="shared" si="30"/>
        <v>975</v>
      </c>
      <c r="J976" s="47" t="e">
        <f t="shared" si="31"/>
        <v>#DIV/0!</v>
      </c>
    </row>
    <row r="977" spans="1:10" x14ac:dyDescent="0.25">
      <c r="A977">
        <f t="shared" si="30"/>
        <v>976</v>
      </c>
      <c r="J977" s="47" t="e">
        <f t="shared" si="31"/>
        <v>#DIV/0!</v>
      </c>
    </row>
    <row r="978" spans="1:10" x14ac:dyDescent="0.25">
      <c r="A978">
        <f t="shared" si="30"/>
        <v>977</v>
      </c>
      <c r="J978" s="47" t="e">
        <f t="shared" si="31"/>
        <v>#DIV/0!</v>
      </c>
    </row>
    <row r="979" spans="1:10" x14ac:dyDescent="0.25">
      <c r="A979">
        <f t="shared" si="30"/>
        <v>978</v>
      </c>
      <c r="J979" s="47" t="e">
        <f t="shared" si="31"/>
        <v>#DIV/0!</v>
      </c>
    </row>
    <row r="980" spans="1:10" x14ac:dyDescent="0.25">
      <c r="A980">
        <f t="shared" si="30"/>
        <v>979</v>
      </c>
      <c r="J980" s="47" t="e">
        <f t="shared" si="31"/>
        <v>#DIV/0!</v>
      </c>
    </row>
    <row r="981" spans="1:10" x14ac:dyDescent="0.25">
      <c r="A981">
        <f t="shared" si="30"/>
        <v>980</v>
      </c>
      <c r="J981" s="47" t="e">
        <f t="shared" si="31"/>
        <v>#DIV/0!</v>
      </c>
    </row>
    <row r="982" spans="1:10" x14ac:dyDescent="0.25">
      <c r="A982">
        <f t="shared" si="30"/>
        <v>981</v>
      </c>
      <c r="J982" s="47" t="e">
        <f t="shared" si="31"/>
        <v>#DIV/0!</v>
      </c>
    </row>
    <row r="983" spans="1:10" x14ac:dyDescent="0.25">
      <c r="A983">
        <f t="shared" si="30"/>
        <v>982</v>
      </c>
      <c r="J983" s="47" t="e">
        <f t="shared" si="31"/>
        <v>#DIV/0!</v>
      </c>
    </row>
    <row r="984" spans="1:10" x14ac:dyDescent="0.25">
      <c r="A984">
        <f t="shared" si="30"/>
        <v>983</v>
      </c>
      <c r="J984" s="47" t="e">
        <f t="shared" si="31"/>
        <v>#DIV/0!</v>
      </c>
    </row>
    <row r="985" spans="1:10" x14ac:dyDescent="0.25">
      <c r="A985">
        <f t="shared" si="30"/>
        <v>984</v>
      </c>
      <c r="J985" s="47" t="e">
        <f t="shared" si="31"/>
        <v>#DIV/0!</v>
      </c>
    </row>
    <row r="986" spans="1:10" x14ac:dyDescent="0.25">
      <c r="A986">
        <f t="shared" si="30"/>
        <v>985</v>
      </c>
      <c r="J986" s="47" t="e">
        <f t="shared" si="31"/>
        <v>#DIV/0!</v>
      </c>
    </row>
    <row r="987" spans="1:10" x14ac:dyDescent="0.25">
      <c r="A987">
        <f t="shared" si="30"/>
        <v>986</v>
      </c>
      <c r="J987" s="47" t="e">
        <f t="shared" si="31"/>
        <v>#DIV/0!</v>
      </c>
    </row>
    <row r="988" spans="1:10" x14ac:dyDescent="0.25">
      <c r="A988">
        <f t="shared" si="30"/>
        <v>987</v>
      </c>
      <c r="J988" s="47" t="e">
        <f t="shared" si="31"/>
        <v>#DIV/0!</v>
      </c>
    </row>
    <row r="989" spans="1:10" x14ac:dyDescent="0.25">
      <c r="A989">
        <f t="shared" si="30"/>
        <v>988</v>
      </c>
      <c r="J989" s="47" t="e">
        <f t="shared" si="31"/>
        <v>#DIV/0!</v>
      </c>
    </row>
    <row r="990" spans="1:10" x14ac:dyDescent="0.25">
      <c r="A990">
        <f t="shared" si="30"/>
        <v>989</v>
      </c>
      <c r="J990" s="47" t="e">
        <f t="shared" si="31"/>
        <v>#DIV/0!</v>
      </c>
    </row>
    <row r="991" spans="1:10" x14ac:dyDescent="0.25">
      <c r="A991">
        <f t="shared" si="30"/>
        <v>990</v>
      </c>
      <c r="J991" s="47" t="e">
        <f t="shared" si="31"/>
        <v>#DIV/0!</v>
      </c>
    </row>
    <row r="992" spans="1:10" x14ac:dyDescent="0.25">
      <c r="A992">
        <f t="shared" si="30"/>
        <v>991</v>
      </c>
      <c r="J992" s="47" t="e">
        <f t="shared" si="31"/>
        <v>#DIV/0!</v>
      </c>
    </row>
    <row r="993" spans="1:10" x14ac:dyDescent="0.25">
      <c r="A993">
        <f t="shared" si="30"/>
        <v>992</v>
      </c>
      <c r="J993" s="47" t="e">
        <f t="shared" si="31"/>
        <v>#DIV/0!</v>
      </c>
    </row>
    <row r="994" spans="1:10" x14ac:dyDescent="0.25">
      <c r="A994">
        <f t="shared" si="30"/>
        <v>993</v>
      </c>
      <c r="J994" s="47" t="e">
        <f t="shared" si="31"/>
        <v>#DIV/0!</v>
      </c>
    </row>
    <row r="995" spans="1:10" x14ac:dyDescent="0.25">
      <c r="A995">
        <f t="shared" si="30"/>
        <v>994</v>
      </c>
      <c r="J995" s="47" t="e">
        <f t="shared" si="31"/>
        <v>#DIV/0!</v>
      </c>
    </row>
    <row r="996" spans="1:10" x14ac:dyDescent="0.25">
      <c r="A996">
        <f t="shared" si="30"/>
        <v>995</v>
      </c>
      <c r="J996" s="47" t="e">
        <f t="shared" si="31"/>
        <v>#DIV/0!</v>
      </c>
    </row>
    <row r="997" spans="1:10" x14ac:dyDescent="0.25">
      <c r="A997">
        <f t="shared" si="30"/>
        <v>996</v>
      </c>
      <c r="J997" s="47" t="e">
        <f t="shared" si="31"/>
        <v>#DIV/0!</v>
      </c>
    </row>
    <row r="998" spans="1:10" x14ac:dyDescent="0.25">
      <c r="A998">
        <f t="shared" si="30"/>
        <v>997</v>
      </c>
      <c r="J998" s="47" t="e">
        <f t="shared" si="31"/>
        <v>#DIV/0!</v>
      </c>
    </row>
    <row r="999" spans="1:10" x14ac:dyDescent="0.25">
      <c r="A999">
        <f t="shared" si="30"/>
        <v>998</v>
      </c>
      <c r="J999" s="47" t="e">
        <f t="shared" si="31"/>
        <v>#DIV/0!</v>
      </c>
    </row>
    <row r="1000" spans="1:10" x14ac:dyDescent="0.25">
      <c r="J1000" s="47" t="e">
        <f t="shared" si="31"/>
        <v>#DIV/0!</v>
      </c>
    </row>
  </sheetData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2"/>
  <sheetViews>
    <sheetView topLeftCell="A69" workbookViewId="0">
      <selection activeCell="G52" sqref="G52"/>
    </sheetView>
  </sheetViews>
  <sheetFormatPr baseColWidth="10" defaultRowHeight="15" customHeight="1" x14ac:dyDescent="0.25"/>
  <cols>
    <col min="2" max="2" width="34.140625" customWidth="1"/>
    <col min="4" max="4" width="7.85546875" customWidth="1"/>
    <col min="5" max="5" width="9.140625" customWidth="1"/>
    <col min="7" max="7" width="45.7109375" customWidth="1"/>
  </cols>
  <sheetData>
    <row r="1" spans="1:8" ht="15" customHeight="1" x14ac:dyDescent="0.25">
      <c r="A1" s="3" t="s">
        <v>2</v>
      </c>
      <c r="B1" s="4" t="s">
        <v>3</v>
      </c>
      <c r="C1" s="4" t="s">
        <v>5</v>
      </c>
      <c r="D1" s="4" t="s">
        <v>15</v>
      </c>
      <c r="E1" s="7" t="s">
        <v>6</v>
      </c>
      <c r="F1" s="5" t="s">
        <v>8</v>
      </c>
      <c r="G1" s="6" t="s">
        <v>10</v>
      </c>
      <c r="H1" s="1" t="s">
        <v>11</v>
      </c>
    </row>
    <row r="2" spans="1:8" ht="15" customHeight="1" x14ac:dyDescent="0.25">
      <c r="A2" s="10">
        <v>44566</v>
      </c>
      <c r="B2" t="s">
        <v>165</v>
      </c>
      <c r="C2" t="s">
        <v>96</v>
      </c>
      <c r="D2" t="s">
        <v>30</v>
      </c>
      <c r="E2" t="s">
        <v>168</v>
      </c>
      <c r="F2" s="11">
        <v>1736.6</v>
      </c>
      <c r="G2" t="s">
        <v>169</v>
      </c>
      <c r="H2" t="s">
        <v>170</v>
      </c>
    </row>
    <row r="3" spans="1:8" ht="15" customHeight="1" x14ac:dyDescent="0.25">
      <c r="A3" s="10">
        <v>44564</v>
      </c>
      <c r="B3" t="s">
        <v>172</v>
      </c>
      <c r="C3" t="s">
        <v>96</v>
      </c>
      <c r="D3" t="s">
        <v>32</v>
      </c>
      <c r="E3" t="s">
        <v>168</v>
      </c>
      <c r="F3" s="11">
        <v>8352.84</v>
      </c>
      <c r="G3" t="s">
        <v>175</v>
      </c>
      <c r="H3" t="s">
        <v>176</v>
      </c>
    </row>
    <row r="4" spans="1:8" ht="15" customHeight="1" x14ac:dyDescent="0.25">
      <c r="A4" s="10">
        <v>44567</v>
      </c>
      <c r="B4" t="s">
        <v>178</v>
      </c>
      <c r="C4" t="s">
        <v>96</v>
      </c>
      <c r="D4" t="s">
        <v>30</v>
      </c>
      <c r="E4" t="s">
        <v>168</v>
      </c>
      <c r="F4" s="11">
        <v>1184.1500000000001</v>
      </c>
      <c r="G4" t="s">
        <v>181</v>
      </c>
      <c r="H4" t="s">
        <v>192</v>
      </c>
    </row>
    <row r="5" spans="1:8" ht="15" customHeight="1" x14ac:dyDescent="0.25">
      <c r="A5" s="10">
        <v>44569</v>
      </c>
      <c r="B5" t="s">
        <v>182</v>
      </c>
      <c r="C5" t="s">
        <v>96</v>
      </c>
      <c r="D5" t="s">
        <v>30</v>
      </c>
      <c r="E5" t="s">
        <v>168</v>
      </c>
      <c r="F5" s="11">
        <v>2192</v>
      </c>
      <c r="G5" t="s">
        <v>363</v>
      </c>
      <c r="H5" t="s">
        <v>193</v>
      </c>
    </row>
    <row r="6" spans="1:8" ht="15" customHeight="1" x14ac:dyDescent="0.25">
      <c r="A6" s="10">
        <v>44571</v>
      </c>
      <c r="B6" t="s">
        <v>188</v>
      </c>
      <c r="C6" t="s">
        <v>96</v>
      </c>
      <c r="D6" t="s">
        <v>30</v>
      </c>
      <c r="E6" t="s">
        <v>168</v>
      </c>
      <c r="F6" s="11">
        <v>1040.25</v>
      </c>
      <c r="G6" t="s">
        <v>191</v>
      </c>
      <c r="H6" t="s">
        <v>192</v>
      </c>
    </row>
    <row r="7" spans="1:8" ht="15" customHeight="1" x14ac:dyDescent="0.25">
      <c r="A7" s="10">
        <v>44571</v>
      </c>
      <c r="B7" t="s">
        <v>194</v>
      </c>
      <c r="C7" t="s">
        <v>96</v>
      </c>
      <c r="D7" t="s">
        <v>32</v>
      </c>
      <c r="E7" t="s">
        <v>168</v>
      </c>
      <c r="F7" s="11">
        <v>1700.67</v>
      </c>
      <c r="G7" t="s">
        <v>197</v>
      </c>
      <c r="H7" t="s">
        <v>198</v>
      </c>
    </row>
    <row r="8" spans="1:8" ht="15" customHeight="1" x14ac:dyDescent="0.25">
      <c r="A8" s="10">
        <v>44566</v>
      </c>
      <c r="B8" t="s">
        <v>202</v>
      </c>
      <c r="C8" t="s">
        <v>360</v>
      </c>
      <c r="D8" t="s">
        <v>30</v>
      </c>
      <c r="E8" t="s">
        <v>168</v>
      </c>
      <c r="F8" s="11">
        <v>1003.2</v>
      </c>
      <c r="G8" t="s">
        <v>205</v>
      </c>
      <c r="H8" t="s">
        <v>206</v>
      </c>
    </row>
    <row r="9" spans="1:8" ht="15" customHeight="1" x14ac:dyDescent="0.25">
      <c r="A9" s="10">
        <v>44572</v>
      </c>
      <c r="B9" t="s">
        <v>207</v>
      </c>
      <c r="C9" t="s">
        <v>360</v>
      </c>
      <c r="D9" t="s">
        <v>30</v>
      </c>
      <c r="E9" t="s">
        <v>168</v>
      </c>
      <c r="F9" s="11">
        <v>1482.95</v>
      </c>
      <c r="G9" t="s">
        <v>210</v>
      </c>
      <c r="H9" t="s">
        <v>231</v>
      </c>
    </row>
    <row r="10" spans="1:8" ht="15" customHeight="1" x14ac:dyDescent="0.25">
      <c r="A10" s="10">
        <v>44572</v>
      </c>
      <c r="B10" t="s">
        <v>211</v>
      </c>
      <c r="C10" t="s">
        <v>96</v>
      </c>
      <c r="D10" t="s">
        <v>30</v>
      </c>
      <c r="E10" t="s">
        <v>168</v>
      </c>
      <c r="F10" s="11">
        <v>1491.02</v>
      </c>
      <c r="G10" t="s">
        <v>214</v>
      </c>
      <c r="H10" t="s">
        <v>215</v>
      </c>
    </row>
    <row r="11" spans="1:8" ht="15" customHeight="1" x14ac:dyDescent="0.25">
      <c r="A11" s="10">
        <v>44564</v>
      </c>
      <c r="B11" t="s">
        <v>223</v>
      </c>
      <c r="C11" t="s">
        <v>361</v>
      </c>
      <c r="D11" t="s">
        <v>30</v>
      </c>
      <c r="E11" t="s">
        <v>168</v>
      </c>
      <c r="F11" s="11">
        <v>1798</v>
      </c>
      <c r="G11" t="s">
        <v>226</v>
      </c>
      <c r="H11" t="s">
        <v>192</v>
      </c>
    </row>
    <row r="12" spans="1:8" ht="15" customHeight="1" x14ac:dyDescent="0.25">
      <c r="A12" s="10">
        <v>44568</v>
      </c>
      <c r="B12" t="s">
        <v>227</v>
      </c>
      <c r="C12" t="s">
        <v>96</v>
      </c>
      <c r="D12" t="s">
        <v>30</v>
      </c>
      <c r="E12" t="s">
        <v>168</v>
      </c>
      <c r="F12" s="11">
        <v>4469.8999999999996</v>
      </c>
      <c r="G12" t="s">
        <v>230</v>
      </c>
      <c r="H12" t="s">
        <v>272</v>
      </c>
    </row>
    <row r="13" spans="1:8" ht="15" customHeight="1" x14ac:dyDescent="0.25">
      <c r="A13" s="10">
        <v>44573</v>
      </c>
      <c r="B13" t="s">
        <v>232</v>
      </c>
      <c r="C13" t="s">
        <v>96</v>
      </c>
      <c r="D13" t="s">
        <v>30</v>
      </c>
      <c r="E13" t="s">
        <v>168</v>
      </c>
      <c r="F13" s="11">
        <v>3067.2</v>
      </c>
      <c r="G13" t="s">
        <v>235</v>
      </c>
      <c r="H13" t="s">
        <v>343</v>
      </c>
    </row>
    <row r="14" spans="1:8" ht="15" customHeight="1" x14ac:dyDescent="0.25">
      <c r="A14" s="10">
        <v>44574</v>
      </c>
      <c r="B14" t="s">
        <v>236</v>
      </c>
      <c r="C14" t="s">
        <v>362</v>
      </c>
      <c r="D14" t="s">
        <v>32</v>
      </c>
      <c r="E14" t="s">
        <v>168</v>
      </c>
      <c r="F14" s="11">
        <v>1575.86</v>
      </c>
      <c r="G14" t="s">
        <v>239</v>
      </c>
      <c r="H14" t="s">
        <v>240</v>
      </c>
    </row>
    <row r="15" spans="1:8" ht="15" customHeight="1" x14ac:dyDescent="0.25">
      <c r="A15" s="10">
        <v>44574</v>
      </c>
      <c r="B15" t="s">
        <v>241</v>
      </c>
      <c r="C15" t="s">
        <v>96</v>
      </c>
      <c r="D15" t="s">
        <v>30</v>
      </c>
      <c r="E15" t="s">
        <v>168</v>
      </c>
      <c r="F15" s="11">
        <v>540</v>
      </c>
      <c r="G15" t="s">
        <v>244</v>
      </c>
      <c r="H15" t="s">
        <v>80</v>
      </c>
    </row>
    <row r="16" spans="1:8" ht="15" customHeight="1" x14ac:dyDescent="0.25">
      <c r="A16" s="10">
        <v>44575</v>
      </c>
      <c r="B16" t="s">
        <v>245</v>
      </c>
      <c r="C16" t="s">
        <v>96</v>
      </c>
      <c r="D16" t="s">
        <v>32</v>
      </c>
      <c r="E16" t="s">
        <v>168</v>
      </c>
      <c r="F16" s="11">
        <v>1796.26</v>
      </c>
      <c r="G16" t="s">
        <v>248</v>
      </c>
      <c r="H16" t="s">
        <v>264</v>
      </c>
    </row>
    <row r="17" spans="1:8" ht="15" customHeight="1" x14ac:dyDescent="0.25">
      <c r="A17" s="10">
        <v>44575</v>
      </c>
      <c r="B17" t="s">
        <v>249</v>
      </c>
      <c r="C17" t="s">
        <v>96</v>
      </c>
      <c r="D17" t="s">
        <v>30</v>
      </c>
      <c r="E17" t="s">
        <v>251</v>
      </c>
      <c r="F17" s="11">
        <v>1241.0999999999999</v>
      </c>
      <c r="G17" t="s">
        <v>252</v>
      </c>
      <c r="H17" t="s">
        <v>253</v>
      </c>
    </row>
    <row r="18" spans="1:8" ht="15" customHeight="1" x14ac:dyDescent="0.25">
      <c r="A18" s="10">
        <v>44576</v>
      </c>
      <c r="B18" t="s">
        <v>254</v>
      </c>
      <c r="C18" t="s">
        <v>96</v>
      </c>
      <c r="D18" t="s">
        <v>30</v>
      </c>
      <c r="E18" t="s">
        <v>168</v>
      </c>
      <c r="F18" s="11">
        <v>1068.75</v>
      </c>
      <c r="G18" t="s">
        <v>257</v>
      </c>
      <c r="H18" t="s">
        <v>258</v>
      </c>
    </row>
    <row r="19" spans="1:8" ht="15" customHeight="1" x14ac:dyDescent="0.25">
      <c r="A19" s="10">
        <v>44578</v>
      </c>
      <c r="B19" t="s">
        <v>260</v>
      </c>
      <c r="C19" t="s">
        <v>96</v>
      </c>
      <c r="D19" t="s">
        <v>30</v>
      </c>
      <c r="E19" t="s">
        <v>168</v>
      </c>
      <c r="F19" s="11">
        <v>1379</v>
      </c>
      <c r="G19" t="s">
        <v>263</v>
      </c>
      <c r="H19" t="s">
        <v>278</v>
      </c>
    </row>
    <row r="20" spans="1:8" ht="15" customHeight="1" x14ac:dyDescent="0.25">
      <c r="A20" s="10">
        <v>44579</v>
      </c>
      <c r="B20" t="s">
        <v>267</v>
      </c>
      <c r="C20" t="s">
        <v>361</v>
      </c>
      <c r="D20" t="s">
        <v>30</v>
      </c>
      <c r="E20" t="s">
        <v>168</v>
      </c>
      <c r="F20" s="11">
        <v>1167</v>
      </c>
      <c r="G20" t="s">
        <v>270</v>
      </c>
      <c r="H20" t="s">
        <v>271</v>
      </c>
    </row>
    <row r="21" spans="1:8" ht="15" customHeight="1" x14ac:dyDescent="0.25">
      <c r="A21" s="10">
        <v>44579</v>
      </c>
      <c r="B21" t="s">
        <v>273</v>
      </c>
      <c r="C21" t="s">
        <v>96</v>
      </c>
      <c r="D21" t="s">
        <v>30</v>
      </c>
      <c r="E21" t="s">
        <v>168</v>
      </c>
      <c r="F21" s="11">
        <v>860</v>
      </c>
      <c r="G21" t="s">
        <v>276</v>
      </c>
      <c r="H21" t="s">
        <v>277</v>
      </c>
    </row>
    <row r="22" spans="1:8" ht="15" customHeight="1" x14ac:dyDescent="0.25">
      <c r="A22" s="10">
        <v>44580</v>
      </c>
      <c r="B22" t="s">
        <v>182</v>
      </c>
      <c r="C22" t="s">
        <v>96</v>
      </c>
      <c r="D22" t="s">
        <v>30</v>
      </c>
      <c r="E22" t="s">
        <v>281</v>
      </c>
      <c r="F22" s="11">
        <v>1326</v>
      </c>
      <c r="G22" t="s">
        <v>282</v>
      </c>
      <c r="H22" t="s">
        <v>80</v>
      </c>
    </row>
    <row r="23" spans="1:8" ht="15" customHeight="1" x14ac:dyDescent="0.25">
      <c r="A23" s="10">
        <v>44580</v>
      </c>
      <c r="B23" t="s">
        <v>293</v>
      </c>
      <c r="C23" t="s">
        <v>96</v>
      </c>
      <c r="D23" t="s">
        <v>30</v>
      </c>
      <c r="E23" t="s">
        <v>168</v>
      </c>
      <c r="F23" s="11">
        <v>1139.5999999999999</v>
      </c>
      <c r="G23" t="s">
        <v>286</v>
      </c>
      <c r="H23" t="s">
        <v>277</v>
      </c>
    </row>
    <row r="24" spans="1:8" ht="15" customHeight="1" x14ac:dyDescent="0.25">
      <c r="A24" s="10">
        <v>44583</v>
      </c>
      <c r="B24" t="s">
        <v>288</v>
      </c>
      <c r="C24" t="s">
        <v>96</v>
      </c>
      <c r="D24" t="s">
        <v>30</v>
      </c>
      <c r="E24" t="s">
        <v>291</v>
      </c>
      <c r="F24" s="11">
        <v>1482</v>
      </c>
      <c r="G24" t="s">
        <v>292</v>
      </c>
      <c r="H24" t="s">
        <v>301</v>
      </c>
    </row>
    <row r="25" spans="1:8" ht="15" customHeight="1" x14ac:dyDescent="0.25">
      <c r="A25" s="10">
        <v>44585</v>
      </c>
      <c r="B25" t="s">
        <v>296</v>
      </c>
      <c r="C25" t="s">
        <v>96</v>
      </c>
      <c r="D25" t="s">
        <v>30</v>
      </c>
      <c r="E25" t="s">
        <v>168</v>
      </c>
      <c r="F25" s="11">
        <v>1531.4</v>
      </c>
      <c r="G25" t="s">
        <v>299</v>
      </c>
      <c r="H25" t="s">
        <v>300</v>
      </c>
    </row>
    <row r="26" spans="1:8" ht="15" customHeight="1" x14ac:dyDescent="0.25">
      <c r="A26" s="10">
        <v>44585</v>
      </c>
      <c r="B26" t="s">
        <v>302</v>
      </c>
      <c r="C26" t="s">
        <v>96</v>
      </c>
      <c r="D26" t="s">
        <v>30</v>
      </c>
      <c r="E26" t="s">
        <v>168</v>
      </c>
      <c r="F26" s="11">
        <v>2723.65</v>
      </c>
      <c r="G26" t="s">
        <v>305</v>
      </c>
      <c r="H26" t="s">
        <v>364</v>
      </c>
    </row>
    <row r="27" spans="1:8" ht="15" customHeight="1" x14ac:dyDescent="0.25">
      <c r="A27" s="10">
        <v>44586</v>
      </c>
      <c r="B27" t="s">
        <v>307</v>
      </c>
      <c r="C27" t="s">
        <v>96</v>
      </c>
      <c r="D27" t="s">
        <v>30</v>
      </c>
      <c r="E27" t="s">
        <v>291</v>
      </c>
      <c r="F27" s="11">
        <v>1294.8499999999999</v>
      </c>
      <c r="G27" t="s">
        <v>310</v>
      </c>
      <c r="H27" t="s">
        <v>322</v>
      </c>
    </row>
    <row r="28" spans="1:8" ht="15" customHeight="1" x14ac:dyDescent="0.25">
      <c r="A28" s="10">
        <v>44580</v>
      </c>
      <c r="B28" t="s">
        <v>314</v>
      </c>
      <c r="C28" t="s">
        <v>96</v>
      </c>
      <c r="D28" t="s">
        <v>30</v>
      </c>
      <c r="E28" t="s">
        <v>168</v>
      </c>
      <c r="F28" s="11">
        <v>1091.8399999999999</v>
      </c>
      <c r="G28" t="s">
        <v>317</v>
      </c>
      <c r="H28" t="s">
        <v>323</v>
      </c>
    </row>
    <row r="29" spans="1:8" ht="15" customHeight="1" x14ac:dyDescent="0.25">
      <c r="A29" s="10">
        <v>44583</v>
      </c>
      <c r="B29" t="s">
        <v>318</v>
      </c>
      <c r="C29" t="s">
        <v>96</v>
      </c>
      <c r="D29" t="s">
        <v>30</v>
      </c>
      <c r="E29" t="s">
        <v>168</v>
      </c>
      <c r="F29" s="11">
        <v>1041.75</v>
      </c>
      <c r="G29" t="s">
        <v>321</v>
      </c>
      <c r="H29" t="s">
        <v>324</v>
      </c>
    </row>
    <row r="30" spans="1:8" ht="15" customHeight="1" x14ac:dyDescent="0.25">
      <c r="A30" s="10">
        <v>44587</v>
      </c>
      <c r="B30" t="s">
        <v>325</v>
      </c>
      <c r="C30" t="s">
        <v>96</v>
      </c>
      <c r="D30" t="s">
        <v>30</v>
      </c>
      <c r="E30" t="s">
        <v>281</v>
      </c>
      <c r="F30" s="11">
        <v>980.4</v>
      </c>
      <c r="G30" t="s">
        <v>328</v>
      </c>
      <c r="H30" t="s">
        <v>329</v>
      </c>
    </row>
    <row r="31" spans="1:8" ht="15" customHeight="1" x14ac:dyDescent="0.25">
      <c r="A31" s="10">
        <v>44581</v>
      </c>
      <c r="B31" t="s">
        <v>241</v>
      </c>
      <c r="C31" t="s">
        <v>96</v>
      </c>
      <c r="D31" t="s">
        <v>30</v>
      </c>
      <c r="E31" t="s">
        <v>281</v>
      </c>
      <c r="F31" s="11">
        <v>5355.9</v>
      </c>
      <c r="G31" t="s">
        <v>333</v>
      </c>
      <c r="H31" t="s">
        <v>80</v>
      </c>
    </row>
    <row r="32" spans="1:8" ht="15" customHeight="1" x14ac:dyDescent="0.25">
      <c r="A32" s="10">
        <v>44588</v>
      </c>
      <c r="B32" t="s">
        <v>334</v>
      </c>
      <c r="C32" t="s">
        <v>96</v>
      </c>
      <c r="D32" t="s">
        <v>30</v>
      </c>
      <c r="E32" t="s">
        <v>281</v>
      </c>
      <c r="F32" s="11">
        <v>1574.15</v>
      </c>
      <c r="G32" t="s">
        <v>337</v>
      </c>
      <c r="H32" t="s">
        <v>329</v>
      </c>
    </row>
    <row r="33" spans="1:10" ht="15" customHeight="1" x14ac:dyDescent="0.25">
      <c r="A33" s="10">
        <v>44585</v>
      </c>
      <c r="B33" t="s">
        <v>339</v>
      </c>
      <c r="C33" t="s">
        <v>96</v>
      </c>
      <c r="D33" t="s">
        <v>30</v>
      </c>
      <c r="E33" t="s">
        <v>281</v>
      </c>
      <c r="F33" s="11">
        <v>480</v>
      </c>
      <c r="G33" t="s">
        <v>342</v>
      </c>
      <c r="H33" t="s">
        <v>329</v>
      </c>
    </row>
    <row r="34" spans="1:10" ht="15" customHeight="1" x14ac:dyDescent="0.25">
      <c r="A34" s="10">
        <v>44589</v>
      </c>
      <c r="B34" t="s">
        <v>347</v>
      </c>
      <c r="C34" t="s">
        <v>96</v>
      </c>
      <c r="D34" t="s">
        <v>30</v>
      </c>
      <c r="E34" t="s">
        <v>281</v>
      </c>
      <c r="F34" s="11">
        <v>1470.6</v>
      </c>
      <c r="G34" t="s">
        <v>350</v>
      </c>
      <c r="H34" t="s">
        <v>329</v>
      </c>
    </row>
    <row r="35" spans="1:10" ht="15" customHeight="1" x14ac:dyDescent="0.25">
      <c r="A35" s="10">
        <v>44589</v>
      </c>
      <c r="B35" t="s">
        <v>351</v>
      </c>
      <c r="C35" t="s">
        <v>96</v>
      </c>
      <c r="D35" t="s">
        <v>30</v>
      </c>
      <c r="E35" t="s">
        <v>168</v>
      </c>
      <c r="F35" s="11">
        <v>1407.9</v>
      </c>
      <c r="G35" t="s">
        <v>354</v>
      </c>
      <c r="H35" t="s">
        <v>388</v>
      </c>
    </row>
    <row r="36" spans="1:10" ht="15" customHeight="1" x14ac:dyDescent="0.25">
      <c r="A36" s="10">
        <v>44590</v>
      </c>
      <c r="B36" t="s">
        <v>356</v>
      </c>
      <c r="C36" t="s">
        <v>96</v>
      </c>
      <c r="D36" t="s">
        <v>30</v>
      </c>
      <c r="E36" t="s">
        <v>168</v>
      </c>
      <c r="F36" s="11">
        <v>1099.8</v>
      </c>
      <c r="G36" t="s">
        <v>359</v>
      </c>
      <c r="H36" t="s">
        <v>278</v>
      </c>
    </row>
    <row r="37" spans="1:10" ht="15" customHeight="1" x14ac:dyDescent="0.25">
      <c r="A37" s="10">
        <v>44581</v>
      </c>
      <c r="B37" t="s">
        <v>379</v>
      </c>
      <c r="C37" t="s">
        <v>96</v>
      </c>
      <c r="D37" t="s">
        <v>30</v>
      </c>
      <c r="E37" t="s">
        <v>168</v>
      </c>
      <c r="F37" s="11">
        <v>4530</v>
      </c>
      <c r="G37" t="s">
        <v>381</v>
      </c>
      <c r="H37" t="s">
        <v>382</v>
      </c>
    </row>
    <row r="38" spans="1:10" ht="15" customHeight="1" x14ac:dyDescent="0.25">
      <c r="A38" s="10">
        <v>44586</v>
      </c>
      <c r="B38" t="s">
        <v>392</v>
      </c>
      <c r="C38" t="s">
        <v>360</v>
      </c>
      <c r="D38" t="s">
        <v>30</v>
      </c>
      <c r="E38" t="s">
        <v>281</v>
      </c>
      <c r="F38" s="11">
        <v>1351.98</v>
      </c>
      <c r="G38" t="s">
        <v>395</v>
      </c>
      <c r="H38" t="s">
        <v>329</v>
      </c>
    </row>
    <row r="39" spans="1:10" ht="15" customHeight="1" x14ac:dyDescent="0.25">
      <c r="A39" s="10">
        <v>44590</v>
      </c>
      <c r="B39" t="s">
        <v>420</v>
      </c>
      <c r="C39" t="s">
        <v>96</v>
      </c>
      <c r="D39" t="s">
        <v>30</v>
      </c>
      <c r="E39" t="s">
        <v>168</v>
      </c>
      <c r="F39" s="11">
        <v>1164.17</v>
      </c>
      <c r="G39" t="s">
        <v>425</v>
      </c>
      <c r="H39" t="s">
        <v>452</v>
      </c>
    </row>
    <row r="40" spans="1:10" ht="15" customHeight="1" x14ac:dyDescent="0.25">
      <c r="A40" s="10">
        <v>44580</v>
      </c>
      <c r="B40" t="s">
        <v>450</v>
      </c>
      <c r="C40" t="s">
        <v>360</v>
      </c>
      <c r="D40" t="s">
        <v>30</v>
      </c>
      <c r="E40" t="s">
        <v>168</v>
      </c>
      <c r="F40" s="11">
        <v>1415.31</v>
      </c>
      <c r="G40" t="s">
        <v>451</v>
      </c>
      <c r="H40" t="s">
        <v>355</v>
      </c>
    </row>
    <row r="41" spans="1:10" ht="15" customHeight="1" x14ac:dyDescent="0.25">
      <c r="A41" s="10">
        <v>44586</v>
      </c>
      <c r="B41" t="s">
        <v>702</v>
      </c>
      <c r="C41" t="s">
        <v>96</v>
      </c>
      <c r="D41" t="s">
        <v>30</v>
      </c>
      <c r="E41" t="s">
        <v>291</v>
      </c>
      <c r="F41" s="11">
        <v>1967.4</v>
      </c>
      <c r="G41" t="s">
        <v>703</v>
      </c>
      <c r="H41" t="s">
        <v>240</v>
      </c>
    </row>
    <row r="44" spans="1:10" ht="15" customHeight="1" thickBot="1" x14ac:dyDescent="0.3">
      <c r="A44" s="106" t="s">
        <v>16</v>
      </c>
      <c r="B44" s="106"/>
      <c r="C44" s="106"/>
      <c r="D44" s="106"/>
      <c r="E44" s="106"/>
      <c r="F44" s="106"/>
      <c r="G44" s="8"/>
    </row>
    <row r="45" spans="1:10" ht="15" customHeight="1" x14ac:dyDescent="0.25">
      <c r="A45" s="9" t="s">
        <v>17</v>
      </c>
      <c r="B45" s="10"/>
      <c r="C45" s="11">
        <f>SUM(F2:F41)</f>
        <v>73575.449999999983</v>
      </c>
      <c r="D45" s="12"/>
      <c r="E45" s="13" t="s">
        <v>18</v>
      </c>
      <c r="F45" s="14"/>
      <c r="G45" s="8"/>
      <c r="H45" s="15" t="s">
        <v>19</v>
      </c>
      <c r="I45" s="16">
        <v>34</v>
      </c>
      <c r="J45" s="17"/>
    </row>
    <row r="46" spans="1:10" ht="15" customHeight="1" x14ac:dyDescent="0.25">
      <c r="A46" s="9"/>
      <c r="B46" s="10"/>
      <c r="C46" s="11"/>
      <c r="D46" s="12"/>
      <c r="E46" s="18" t="s">
        <v>20</v>
      </c>
      <c r="F46" s="19">
        <v>73575.449999999983</v>
      </c>
      <c r="G46" s="8"/>
      <c r="H46" s="18" t="s">
        <v>21</v>
      </c>
      <c r="I46" s="20">
        <v>3</v>
      </c>
      <c r="J46" s="21">
        <f>I46/I$45</f>
        <v>8.8235294117647065E-2</v>
      </c>
    </row>
    <row r="47" spans="1:10" ht="15" customHeight="1" thickBot="1" x14ac:dyDescent="0.3">
      <c r="A47" s="9" t="s">
        <v>22</v>
      </c>
      <c r="B47" s="10"/>
      <c r="C47" s="22">
        <v>25</v>
      </c>
      <c r="D47" s="12"/>
      <c r="E47" s="23" t="s">
        <v>23</v>
      </c>
      <c r="F47" s="24">
        <f>C45/C47</f>
        <v>2943.0179999999991</v>
      </c>
      <c r="G47" s="8"/>
      <c r="H47" s="18" t="s">
        <v>24</v>
      </c>
      <c r="I47" s="20">
        <v>30</v>
      </c>
      <c r="J47" s="21">
        <f>I47/I$45</f>
        <v>0.88235294117647056</v>
      </c>
    </row>
    <row r="48" spans="1:10" ht="15" customHeight="1" thickBot="1" x14ac:dyDescent="0.3">
      <c r="A48" s="9" t="s">
        <v>25</v>
      </c>
      <c r="B48" s="10"/>
      <c r="C48">
        <v>40</v>
      </c>
      <c r="D48" s="12"/>
      <c r="E48" s="12"/>
      <c r="F48" s="25"/>
      <c r="G48" s="8"/>
      <c r="H48" s="23" t="s">
        <v>26</v>
      </c>
      <c r="I48" s="26">
        <v>1</v>
      </c>
      <c r="J48" s="27">
        <f>I48/I$45</f>
        <v>2.9411764705882353E-2</v>
      </c>
    </row>
    <row r="49" spans="1:10" ht="15" customHeight="1" x14ac:dyDescent="0.25">
      <c r="A49" s="9"/>
      <c r="B49" s="10"/>
      <c r="D49" s="12" t="s">
        <v>27</v>
      </c>
      <c r="E49" s="13" t="s">
        <v>28</v>
      </c>
      <c r="F49" s="14"/>
      <c r="G49" s="8"/>
    </row>
    <row r="50" spans="1:10" ht="15" customHeight="1" thickBot="1" x14ac:dyDescent="0.3">
      <c r="A50" s="9" t="s">
        <v>29</v>
      </c>
      <c r="B50" s="10"/>
      <c r="C50">
        <v>36</v>
      </c>
      <c r="D50" s="12" t="s">
        <v>27</v>
      </c>
      <c r="E50" s="18" t="s">
        <v>30</v>
      </c>
      <c r="F50" s="21">
        <f>C50/C$48</f>
        <v>0.9</v>
      </c>
      <c r="G50" s="8"/>
    </row>
    <row r="51" spans="1:10" ht="15" customHeight="1" thickBot="1" x14ac:dyDescent="0.3">
      <c r="A51" s="9" t="s">
        <v>31</v>
      </c>
      <c r="B51" s="10"/>
      <c r="C51">
        <v>4</v>
      </c>
      <c r="D51" s="12"/>
      <c r="E51" s="23" t="s">
        <v>32</v>
      </c>
      <c r="F51" s="27">
        <f>C51/C$48</f>
        <v>0.1</v>
      </c>
      <c r="G51" s="8"/>
      <c r="H51" s="15" t="s">
        <v>33</v>
      </c>
      <c r="I51" s="16">
        <v>26</v>
      </c>
      <c r="J51" s="17"/>
    </row>
    <row r="52" spans="1:10" ht="15" customHeight="1" thickBot="1" x14ac:dyDescent="0.3">
      <c r="A52" s="9"/>
      <c r="B52" s="10"/>
      <c r="D52" s="12"/>
      <c r="E52" s="12"/>
      <c r="F52" s="25"/>
      <c r="G52" s="8"/>
      <c r="H52" s="28" t="s">
        <v>34</v>
      </c>
      <c r="I52" s="20">
        <v>13</v>
      </c>
      <c r="J52" s="21">
        <f>I52/I$51</f>
        <v>0.5</v>
      </c>
    </row>
    <row r="53" spans="1:10" ht="15" customHeight="1" x14ac:dyDescent="0.25">
      <c r="A53" s="9" t="s">
        <v>35</v>
      </c>
      <c r="B53" s="10"/>
      <c r="D53" s="12"/>
      <c r="E53" s="13" t="s">
        <v>36</v>
      </c>
      <c r="F53" s="14"/>
      <c r="G53" s="8"/>
      <c r="H53" s="28" t="s">
        <v>37</v>
      </c>
      <c r="I53" s="20">
        <v>9</v>
      </c>
      <c r="J53" s="21">
        <f>I53/I$51</f>
        <v>0.34615384615384615</v>
      </c>
    </row>
    <row r="54" spans="1:10" ht="15" customHeight="1" thickBot="1" x14ac:dyDescent="0.3">
      <c r="A54" s="9" t="s">
        <v>38</v>
      </c>
      <c r="B54" s="10"/>
      <c r="C54">
        <v>1</v>
      </c>
      <c r="D54" s="12"/>
      <c r="E54" s="29" t="s">
        <v>38</v>
      </c>
      <c r="F54" s="21">
        <f>C54/C$63</f>
        <v>1.0526315789473684E-2</v>
      </c>
      <c r="G54" s="8"/>
      <c r="H54" s="30" t="s">
        <v>39</v>
      </c>
      <c r="I54" s="26">
        <v>4</v>
      </c>
      <c r="J54" s="27">
        <f>I54/I$51</f>
        <v>0.15384615384615385</v>
      </c>
    </row>
    <row r="55" spans="1:10" ht="15" customHeight="1" thickBot="1" x14ac:dyDescent="0.3">
      <c r="A55" s="9" t="s">
        <v>19</v>
      </c>
      <c r="B55" s="10"/>
      <c r="C55">
        <v>34</v>
      </c>
      <c r="D55" s="12"/>
      <c r="E55" s="29" t="s">
        <v>19</v>
      </c>
      <c r="F55" s="21">
        <f t="shared" ref="F55:F62" si="0">C55/C$63</f>
        <v>0.35789473684210527</v>
      </c>
      <c r="G55" s="8"/>
    </row>
    <row r="56" spans="1:10" ht="15" customHeight="1" x14ac:dyDescent="0.25">
      <c r="A56" s="9" t="s">
        <v>40</v>
      </c>
      <c r="B56" s="10"/>
      <c r="C56">
        <v>26</v>
      </c>
      <c r="D56" s="12"/>
      <c r="E56" s="29" t="s">
        <v>40</v>
      </c>
      <c r="F56" s="21">
        <f t="shared" si="0"/>
        <v>0.27368421052631581</v>
      </c>
      <c r="G56" s="12" t="s">
        <v>27</v>
      </c>
      <c r="H56" s="15" t="s">
        <v>365</v>
      </c>
      <c r="I56" s="16">
        <v>1</v>
      </c>
      <c r="J56" s="14">
        <f t="shared" ref="J56:J67" si="1">I56/I$51</f>
        <v>3.8461538461538464E-2</v>
      </c>
    </row>
    <row r="57" spans="1:10" ht="15" customHeight="1" x14ac:dyDescent="0.25">
      <c r="A57" s="9" t="s">
        <v>41</v>
      </c>
      <c r="B57" s="10"/>
      <c r="C57">
        <v>0</v>
      </c>
      <c r="D57" s="12"/>
      <c r="E57" s="29" t="s">
        <v>41</v>
      </c>
      <c r="F57" s="21">
        <f t="shared" si="0"/>
        <v>0</v>
      </c>
      <c r="G57" s="8"/>
      <c r="H57" s="28" t="s">
        <v>366</v>
      </c>
      <c r="I57" s="68">
        <v>3</v>
      </c>
      <c r="J57" s="21">
        <f t="shared" si="1"/>
        <v>0.11538461538461539</v>
      </c>
    </row>
    <row r="58" spans="1:10" ht="15" customHeight="1" x14ac:dyDescent="0.25">
      <c r="A58" s="9" t="s">
        <v>42</v>
      </c>
      <c r="B58" s="10"/>
      <c r="C58">
        <v>6</v>
      </c>
      <c r="D58" s="12"/>
      <c r="E58" s="29" t="s">
        <v>42</v>
      </c>
      <c r="F58" s="21">
        <f t="shared" si="0"/>
        <v>6.3157894736842107E-2</v>
      </c>
      <c r="G58" s="8"/>
      <c r="H58" s="28" t="s">
        <v>367</v>
      </c>
      <c r="I58" s="20">
        <v>3</v>
      </c>
      <c r="J58" s="21">
        <f t="shared" si="1"/>
        <v>0.11538461538461539</v>
      </c>
    </row>
    <row r="59" spans="1:10" ht="15" customHeight="1" x14ac:dyDescent="0.25">
      <c r="A59" s="9" t="s">
        <v>43</v>
      </c>
      <c r="B59" s="10"/>
      <c r="C59">
        <v>4</v>
      </c>
      <c r="D59" s="12"/>
      <c r="E59" s="29" t="s">
        <v>43</v>
      </c>
      <c r="F59" s="21">
        <f t="shared" si="0"/>
        <v>4.2105263157894736E-2</v>
      </c>
      <c r="G59" s="8"/>
      <c r="H59" s="28" t="s">
        <v>368</v>
      </c>
      <c r="I59" s="20">
        <v>6</v>
      </c>
      <c r="J59" s="21">
        <f t="shared" si="1"/>
        <v>0.23076923076923078</v>
      </c>
    </row>
    <row r="60" spans="1:10" ht="15" customHeight="1" x14ac:dyDescent="0.25">
      <c r="A60" s="9" t="s">
        <v>44</v>
      </c>
      <c r="B60" s="10"/>
      <c r="C60">
        <v>15</v>
      </c>
      <c r="D60" s="12"/>
      <c r="E60" s="29" t="s">
        <v>44</v>
      </c>
      <c r="F60" s="21">
        <f t="shared" si="0"/>
        <v>0.15789473684210525</v>
      </c>
      <c r="G60" s="8"/>
      <c r="H60" s="28" t="s">
        <v>369</v>
      </c>
      <c r="I60" s="20">
        <v>6</v>
      </c>
      <c r="J60" s="21">
        <f t="shared" si="1"/>
        <v>0.23076923076923078</v>
      </c>
    </row>
    <row r="61" spans="1:10" ht="15" customHeight="1" x14ac:dyDescent="0.25">
      <c r="A61" s="9" t="s">
        <v>45</v>
      </c>
      <c r="B61" s="10"/>
      <c r="C61">
        <v>0</v>
      </c>
      <c r="D61" s="12"/>
      <c r="E61" s="29" t="s">
        <v>45</v>
      </c>
      <c r="F61" s="21">
        <f t="shared" si="0"/>
        <v>0</v>
      </c>
      <c r="G61" s="8"/>
      <c r="H61" s="28" t="s">
        <v>370</v>
      </c>
      <c r="I61" s="20">
        <v>6</v>
      </c>
      <c r="J61" s="21">
        <f t="shared" si="1"/>
        <v>0.23076923076923078</v>
      </c>
    </row>
    <row r="62" spans="1:10" ht="15" customHeight="1" thickBot="1" x14ac:dyDescent="0.3">
      <c r="A62" s="9" t="s">
        <v>46</v>
      </c>
      <c r="B62" s="10"/>
      <c r="C62">
        <v>9</v>
      </c>
      <c r="D62" s="12"/>
      <c r="E62" s="31" t="s">
        <v>46</v>
      </c>
      <c r="F62" s="27">
        <f t="shared" si="0"/>
        <v>9.4736842105263161E-2</v>
      </c>
      <c r="G62" s="12" t="s">
        <v>27</v>
      </c>
      <c r="H62" s="69" t="s">
        <v>371</v>
      </c>
      <c r="I62" s="68">
        <v>0</v>
      </c>
      <c r="J62" s="21">
        <f t="shared" si="1"/>
        <v>0</v>
      </c>
    </row>
    <row r="63" spans="1:10" ht="15" customHeight="1" thickBot="1" x14ac:dyDescent="0.3">
      <c r="A63" s="9" t="s">
        <v>47</v>
      </c>
      <c r="B63" s="10"/>
      <c r="C63">
        <f>SUM(C54:C62)</f>
        <v>95</v>
      </c>
      <c r="D63" s="12"/>
      <c r="E63" s="9"/>
      <c r="F63" s="25"/>
      <c r="G63" s="8"/>
      <c r="H63" s="69" t="s">
        <v>372</v>
      </c>
      <c r="I63" s="68">
        <v>1</v>
      </c>
      <c r="J63" s="21">
        <f t="shared" si="1"/>
        <v>3.8461538461538464E-2</v>
      </c>
    </row>
    <row r="64" spans="1:10" ht="15" customHeight="1" x14ac:dyDescent="0.25">
      <c r="A64" s="9"/>
      <c r="B64" s="10"/>
      <c r="D64" s="12"/>
      <c r="E64" s="32" t="s">
        <v>49</v>
      </c>
      <c r="F64" s="14"/>
      <c r="G64" s="8"/>
      <c r="H64" s="69" t="s">
        <v>373</v>
      </c>
      <c r="I64" s="68">
        <v>0</v>
      </c>
      <c r="J64" s="21">
        <f t="shared" si="1"/>
        <v>0</v>
      </c>
    </row>
    <row r="65" spans="1:10" ht="15" customHeight="1" x14ac:dyDescent="0.25">
      <c r="A65" s="9" t="s">
        <v>51</v>
      </c>
      <c r="B65" s="10"/>
      <c r="D65" s="12"/>
      <c r="E65" s="29" t="s">
        <v>52</v>
      </c>
      <c r="F65" s="21">
        <f>C66/C$76</f>
        <v>0.3300970873786408</v>
      </c>
      <c r="G65" s="8"/>
      <c r="H65" s="28" t="s">
        <v>374</v>
      </c>
      <c r="I65" s="68">
        <v>0</v>
      </c>
      <c r="J65" s="21">
        <f t="shared" si="1"/>
        <v>0</v>
      </c>
    </row>
    <row r="66" spans="1:10" ht="15" customHeight="1" x14ac:dyDescent="0.25">
      <c r="A66" s="9" t="s">
        <v>52</v>
      </c>
      <c r="B66" s="10"/>
      <c r="C66">
        <v>34</v>
      </c>
      <c r="D66" s="12"/>
      <c r="E66" s="29" t="s">
        <v>53</v>
      </c>
      <c r="F66" s="21">
        <f t="shared" ref="F66:F74" si="2">C67/C$76</f>
        <v>0.25242718446601942</v>
      </c>
      <c r="G66" s="8"/>
      <c r="H66" s="69" t="s">
        <v>375</v>
      </c>
      <c r="I66" s="68">
        <v>0</v>
      </c>
      <c r="J66" s="21">
        <f t="shared" si="1"/>
        <v>0</v>
      </c>
    </row>
    <row r="67" spans="1:10" ht="15" customHeight="1" thickBot="1" x14ac:dyDescent="0.3">
      <c r="A67" s="9" t="s">
        <v>53</v>
      </c>
      <c r="B67" s="10"/>
      <c r="C67">
        <v>26</v>
      </c>
      <c r="D67" s="12"/>
      <c r="E67" s="29" t="s">
        <v>54</v>
      </c>
      <c r="F67" s="21">
        <f t="shared" si="2"/>
        <v>9.7087378640776698E-2</v>
      </c>
      <c r="G67" s="8"/>
      <c r="H67" s="70" t="s">
        <v>376</v>
      </c>
      <c r="I67" s="26">
        <v>0</v>
      </c>
      <c r="J67" s="27">
        <f t="shared" si="1"/>
        <v>0</v>
      </c>
    </row>
    <row r="68" spans="1:10" ht="15" customHeight="1" x14ac:dyDescent="0.25">
      <c r="A68" s="9" t="s">
        <v>54</v>
      </c>
      <c r="B68" s="10"/>
      <c r="C68">
        <v>10</v>
      </c>
      <c r="D68" s="12"/>
      <c r="E68" s="29" t="s">
        <v>56</v>
      </c>
      <c r="F68" s="21">
        <f t="shared" si="2"/>
        <v>0.10679611650485436</v>
      </c>
      <c r="G68" s="8"/>
    </row>
    <row r="69" spans="1:10" ht="15" customHeight="1" thickBot="1" x14ac:dyDescent="0.3">
      <c r="A69" s="9" t="s">
        <v>56</v>
      </c>
      <c r="B69" s="10"/>
      <c r="C69">
        <v>11</v>
      </c>
      <c r="D69" s="12"/>
      <c r="E69" s="29" t="s">
        <v>58</v>
      </c>
      <c r="F69" s="21">
        <f t="shared" si="2"/>
        <v>0.12621359223300971</v>
      </c>
      <c r="G69" s="12" t="s">
        <v>27</v>
      </c>
    </row>
    <row r="70" spans="1:10" ht="15" customHeight="1" x14ac:dyDescent="0.25">
      <c r="A70" s="9" t="s">
        <v>58</v>
      </c>
      <c r="B70" s="10"/>
      <c r="C70">
        <v>13</v>
      </c>
      <c r="D70" s="12"/>
      <c r="E70" s="29" t="s">
        <v>60</v>
      </c>
      <c r="F70" s="21">
        <f t="shared" si="2"/>
        <v>0</v>
      </c>
      <c r="G70" s="8"/>
      <c r="H70" s="15" t="s">
        <v>42</v>
      </c>
      <c r="I70" s="16">
        <v>6</v>
      </c>
      <c r="J70" s="17"/>
    </row>
    <row r="71" spans="1:10" ht="15" customHeight="1" x14ac:dyDescent="0.25">
      <c r="A71" s="9" t="s">
        <v>60</v>
      </c>
      <c r="B71" s="10"/>
      <c r="C71">
        <v>0</v>
      </c>
      <c r="D71" s="12"/>
      <c r="E71" s="29" t="s">
        <v>62</v>
      </c>
      <c r="F71" s="21">
        <f t="shared" si="2"/>
        <v>0</v>
      </c>
      <c r="G71" s="8"/>
      <c r="H71" s="28" t="s">
        <v>48</v>
      </c>
      <c r="I71" s="20">
        <v>1</v>
      </c>
      <c r="J71" s="21">
        <f>I71/I$70</f>
        <v>0.16666666666666666</v>
      </c>
    </row>
    <row r="72" spans="1:10" ht="15" customHeight="1" thickBot="1" x14ac:dyDescent="0.3">
      <c r="A72" s="9" t="s">
        <v>62</v>
      </c>
      <c r="B72" s="10"/>
      <c r="C72">
        <v>0</v>
      </c>
      <c r="D72" s="12"/>
      <c r="E72" s="29" t="s">
        <v>64</v>
      </c>
      <c r="F72" s="21">
        <f t="shared" si="2"/>
        <v>0</v>
      </c>
      <c r="G72" s="8"/>
      <c r="H72" s="30" t="s">
        <v>50</v>
      </c>
      <c r="I72" s="26">
        <v>5</v>
      </c>
      <c r="J72" s="27">
        <f>I72/I$70</f>
        <v>0.83333333333333337</v>
      </c>
    </row>
    <row r="73" spans="1:10" ht="15" customHeight="1" x14ac:dyDescent="0.25">
      <c r="A73" s="9" t="s">
        <v>64</v>
      </c>
      <c r="B73" s="10"/>
      <c r="C73">
        <v>0</v>
      </c>
      <c r="D73" s="12"/>
      <c r="E73" s="29" t="s">
        <v>66</v>
      </c>
      <c r="F73" s="21">
        <f t="shared" si="2"/>
        <v>9.7087378640776691E-3</v>
      </c>
      <c r="G73" s="8"/>
    </row>
    <row r="74" spans="1:10" ht="15" customHeight="1" thickBot="1" x14ac:dyDescent="0.3">
      <c r="A74" s="9" t="s">
        <v>66</v>
      </c>
      <c r="B74" s="10"/>
      <c r="C74">
        <v>1</v>
      </c>
      <c r="D74" s="12"/>
      <c r="E74" s="31" t="s">
        <v>68</v>
      </c>
      <c r="F74" s="27">
        <f t="shared" si="2"/>
        <v>7.7669902912621352E-2</v>
      </c>
      <c r="G74" s="8"/>
    </row>
    <row r="75" spans="1:10" ht="15" customHeight="1" thickBot="1" x14ac:dyDescent="0.3">
      <c r="A75" s="9" t="s">
        <v>68</v>
      </c>
      <c r="B75" s="10"/>
      <c r="C75">
        <v>8</v>
      </c>
      <c r="D75" s="12"/>
      <c r="E75" s="9"/>
      <c r="F75" s="25"/>
      <c r="G75" s="8"/>
      <c r="H75" s="15" t="s">
        <v>55</v>
      </c>
      <c r="I75" s="16">
        <v>4</v>
      </c>
      <c r="J75" s="17"/>
    </row>
    <row r="76" spans="1:10" ht="15" customHeight="1" x14ac:dyDescent="0.25">
      <c r="A76" s="9" t="s">
        <v>70</v>
      </c>
      <c r="B76" s="10"/>
      <c r="C76">
        <f>SUM(C66:C75)</f>
        <v>103</v>
      </c>
      <c r="D76" s="12"/>
      <c r="E76" s="32" t="s">
        <v>71</v>
      </c>
      <c r="F76" s="14"/>
      <c r="G76" s="8"/>
      <c r="H76" s="28" t="s">
        <v>57</v>
      </c>
      <c r="I76" s="20">
        <v>1</v>
      </c>
      <c r="J76" s="21">
        <f t="shared" ref="J76:J81" si="3">I76/I$75</f>
        <v>0.25</v>
      </c>
    </row>
    <row r="77" spans="1:10" ht="15" customHeight="1" x14ac:dyDescent="0.25">
      <c r="A77" s="9"/>
      <c r="B77" s="10"/>
      <c r="D77" s="12"/>
      <c r="E77" s="33" t="s">
        <v>72</v>
      </c>
      <c r="F77" s="21">
        <f>C78/C$48</f>
        <v>0.77500000000000002</v>
      </c>
      <c r="G77" s="8"/>
      <c r="H77" s="28" t="s">
        <v>59</v>
      </c>
      <c r="I77" s="20">
        <v>3</v>
      </c>
      <c r="J77" s="21">
        <f t="shared" si="3"/>
        <v>0.75</v>
      </c>
    </row>
    <row r="78" spans="1:10" ht="15" customHeight="1" x14ac:dyDescent="0.25">
      <c r="A78" s="9" t="s">
        <v>73</v>
      </c>
      <c r="B78" s="10"/>
      <c r="C78">
        <v>31</v>
      </c>
      <c r="D78" s="12"/>
      <c r="E78" s="33" t="s">
        <v>74</v>
      </c>
      <c r="F78" s="21">
        <f>C79/C$48</f>
        <v>0.05</v>
      </c>
      <c r="G78" s="8"/>
      <c r="H78" s="28" t="s">
        <v>61</v>
      </c>
      <c r="I78" s="20">
        <v>0</v>
      </c>
      <c r="J78" s="21">
        <f t="shared" si="3"/>
        <v>0</v>
      </c>
    </row>
    <row r="79" spans="1:10" ht="15" customHeight="1" thickBot="1" x14ac:dyDescent="0.3">
      <c r="A79" s="9" t="s">
        <v>75</v>
      </c>
      <c r="B79" s="10"/>
      <c r="C79">
        <v>2</v>
      </c>
      <c r="D79" s="12"/>
      <c r="E79" s="34" t="s">
        <v>76</v>
      </c>
      <c r="F79" s="27">
        <f>C80/C$48</f>
        <v>0.17499999999999999</v>
      </c>
      <c r="G79" s="8"/>
      <c r="H79" s="28" t="s">
        <v>63</v>
      </c>
      <c r="I79" s="20">
        <v>0</v>
      </c>
      <c r="J79" s="21">
        <f t="shared" si="3"/>
        <v>0</v>
      </c>
    </row>
    <row r="80" spans="1:10" ht="15" customHeight="1" thickBot="1" x14ac:dyDescent="0.3">
      <c r="A80" s="9" t="s">
        <v>77</v>
      </c>
      <c r="B80" s="10"/>
      <c r="C80">
        <v>7</v>
      </c>
      <c r="D80" s="12"/>
      <c r="E80" s="35"/>
      <c r="F80" s="25"/>
      <c r="G80" s="12" t="s">
        <v>27</v>
      </c>
      <c r="H80" s="28" t="s">
        <v>65</v>
      </c>
      <c r="I80" s="20">
        <v>0</v>
      </c>
      <c r="J80" s="21">
        <f t="shared" si="3"/>
        <v>0</v>
      </c>
    </row>
    <row r="81" spans="1:10" ht="15" customHeight="1" thickBot="1" x14ac:dyDescent="0.3">
      <c r="A81" s="9"/>
      <c r="B81" s="10"/>
      <c r="D81" s="12"/>
      <c r="E81" s="36" t="s">
        <v>28</v>
      </c>
      <c r="F81" s="14"/>
      <c r="G81" s="8"/>
      <c r="H81" s="30" t="s">
        <v>67</v>
      </c>
      <c r="I81" s="26">
        <v>1</v>
      </c>
      <c r="J81" s="27">
        <f t="shared" si="3"/>
        <v>0.25</v>
      </c>
    </row>
    <row r="82" spans="1:10" ht="15" customHeight="1" x14ac:dyDescent="0.25">
      <c r="A82" s="9" t="s">
        <v>28</v>
      </c>
      <c r="B82" s="10"/>
      <c r="D82" s="12"/>
      <c r="E82" s="29" t="s">
        <v>78</v>
      </c>
      <c r="F82" s="21">
        <f>C83/C$48</f>
        <v>0.82499999999999996</v>
      </c>
      <c r="G82" s="8"/>
    </row>
    <row r="83" spans="1:10" ht="15" customHeight="1" thickBot="1" x14ac:dyDescent="0.3">
      <c r="A83" s="9" t="s">
        <v>79</v>
      </c>
      <c r="B83" s="10"/>
      <c r="C83">
        <v>33</v>
      </c>
      <c r="D83" s="12"/>
      <c r="E83" s="31" t="s">
        <v>80</v>
      </c>
      <c r="F83" s="27">
        <f>C84/C$48</f>
        <v>0.17499999999999999</v>
      </c>
      <c r="G83" s="8"/>
    </row>
    <row r="84" spans="1:10" ht="15" customHeight="1" thickBot="1" x14ac:dyDescent="0.3">
      <c r="A84" s="9" t="s">
        <v>80</v>
      </c>
      <c r="B84" s="10"/>
      <c r="C84">
        <v>7</v>
      </c>
      <c r="D84" s="12"/>
      <c r="E84" s="37"/>
      <c r="F84" s="38"/>
      <c r="G84" s="8"/>
      <c r="H84" s="15" t="s">
        <v>44</v>
      </c>
      <c r="I84" s="16">
        <v>15</v>
      </c>
      <c r="J84" s="17"/>
    </row>
    <row r="85" spans="1:10" ht="15" customHeight="1" x14ac:dyDescent="0.25">
      <c r="A85" s="9"/>
      <c r="B85" s="10"/>
      <c r="D85" s="12"/>
      <c r="E85" s="15" t="s">
        <v>1166</v>
      </c>
      <c r="F85" s="14"/>
      <c r="G85" s="8"/>
      <c r="H85" s="28" t="s">
        <v>158</v>
      </c>
      <c r="I85" s="68">
        <v>0</v>
      </c>
      <c r="J85" s="21">
        <f>I85/I$84</f>
        <v>0</v>
      </c>
    </row>
    <row r="86" spans="1:10" ht="15" customHeight="1" x14ac:dyDescent="0.25">
      <c r="A86" t="s">
        <v>1166</v>
      </c>
      <c r="D86" s="12"/>
      <c r="E86" s="28" t="s">
        <v>1167</v>
      </c>
      <c r="F86" s="21">
        <f>C87/C$84</f>
        <v>1</v>
      </c>
      <c r="G86" s="8"/>
      <c r="H86" s="28" t="s">
        <v>82</v>
      </c>
      <c r="I86" s="20">
        <v>3</v>
      </c>
      <c r="J86" s="21">
        <f>I86/I$84</f>
        <v>0.2</v>
      </c>
    </row>
    <row r="87" spans="1:10" ht="15" customHeight="1" thickBot="1" x14ac:dyDescent="0.3">
      <c r="A87" t="s">
        <v>1167</v>
      </c>
      <c r="C87">
        <v>7</v>
      </c>
      <c r="D87" s="12"/>
      <c r="E87" s="30" t="s">
        <v>1168</v>
      </c>
      <c r="F87" s="27">
        <f>C88/C$84</f>
        <v>0</v>
      </c>
      <c r="G87" s="8"/>
      <c r="H87" s="28" t="s">
        <v>85</v>
      </c>
      <c r="I87" s="20">
        <v>3</v>
      </c>
      <c r="J87" s="21">
        <f>I87/I$84</f>
        <v>0.2</v>
      </c>
    </row>
    <row r="88" spans="1:10" ht="15" customHeight="1" thickBot="1" x14ac:dyDescent="0.3">
      <c r="A88" t="s">
        <v>1168</v>
      </c>
      <c r="C88">
        <v>0</v>
      </c>
      <c r="D88" s="12"/>
      <c r="E88" s="37"/>
      <c r="F88" s="38"/>
      <c r="G88" s="8"/>
      <c r="H88" s="28" t="s">
        <v>87</v>
      </c>
      <c r="I88" s="20">
        <v>1</v>
      </c>
      <c r="J88" s="21">
        <f>I88/I$84</f>
        <v>6.6666666666666666E-2</v>
      </c>
    </row>
    <row r="89" spans="1:10" ht="15" customHeight="1" thickBot="1" x14ac:dyDescent="0.3">
      <c r="A89" s="9"/>
      <c r="B89" s="10"/>
      <c r="C89" t="s">
        <v>27</v>
      </c>
      <c r="D89" s="12"/>
      <c r="E89" s="32" t="s">
        <v>81</v>
      </c>
      <c r="F89" s="14"/>
      <c r="G89" s="8"/>
      <c r="H89" s="30" t="s">
        <v>89</v>
      </c>
      <c r="I89" s="26">
        <v>8</v>
      </c>
      <c r="J89" s="27">
        <f>I89/I$84</f>
        <v>0.53333333333333333</v>
      </c>
    </row>
    <row r="90" spans="1:10" ht="15" customHeight="1" x14ac:dyDescent="0.25">
      <c r="A90" s="9" t="s">
        <v>83</v>
      </c>
      <c r="B90" s="10"/>
      <c r="D90" s="12"/>
      <c r="E90" s="29" t="s">
        <v>84</v>
      </c>
      <c r="F90" s="21">
        <f t="shared" ref="F90:F95" si="4">C91/C$48</f>
        <v>0.72499999999999998</v>
      </c>
      <c r="G90" s="8"/>
    </row>
    <row r="91" spans="1:10" ht="15" customHeight="1" thickBot="1" x14ac:dyDescent="0.3">
      <c r="A91" s="9" t="s">
        <v>84</v>
      </c>
      <c r="B91" s="10"/>
      <c r="C91">
        <v>29</v>
      </c>
      <c r="D91" s="12"/>
      <c r="E91" s="18" t="s">
        <v>86</v>
      </c>
      <c r="F91" s="21">
        <f t="shared" si="4"/>
        <v>7.4999999999999997E-2</v>
      </c>
      <c r="G91" s="8"/>
    </row>
    <row r="92" spans="1:10" ht="15" customHeight="1" x14ac:dyDescent="0.25">
      <c r="A92" s="9" t="s">
        <v>86</v>
      </c>
      <c r="B92" s="10"/>
      <c r="C92">
        <v>3</v>
      </c>
      <c r="D92" s="12"/>
      <c r="E92" s="18" t="s">
        <v>88</v>
      </c>
      <c r="F92" s="21">
        <f t="shared" si="4"/>
        <v>0</v>
      </c>
      <c r="G92" s="8"/>
      <c r="H92" s="15" t="s">
        <v>46</v>
      </c>
      <c r="I92" s="16">
        <v>9</v>
      </c>
      <c r="J92" s="17"/>
    </row>
    <row r="93" spans="1:10" ht="15" customHeight="1" x14ac:dyDescent="0.25">
      <c r="A93" s="9" t="s">
        <v>88</v>
      </c>
      <c r="B93" s="10"/>
      <c r="C93">
        <v>0</v>
      </c>
      <c r="D93" s="12"/>
      <c r="E93" s="18" t="s">
        <v>90</v>
      </c>
      <c r="F93" s="21">
        <f t="shared" si="4"/>
        <v>0</v>
      </c>
      <c r="G93" s="8"/>
      <c r="H93" s="28" t="s">
        <v>92</v>
      </c>
      <c r="I93" s="20">
        <v>3</v>
      </c>
      <c r="J93" s="21">
        <f>I93/I$92</f>
        <v>0.33333333333333331</v>
      </c>
    </row>
    <row r="94" spans="1:10" ht="15" customHeight="1" x14ac:dyDescent="0.25">
      <c r="A94" s="9" t="s">
        <v>90</v>
      </c>
      <c r="B94" s="10"/>
      <c r="C94">
        <v>0</v>
      </c>
      <c r="D94" s="12"/>
      <c r="E94" s="18" t="s">
        <v>91</v>
      </c>
      <c r="F94" s="21">
        <f t="shared" si="4"/>
        <v>0.17499999999999999</v>
      </c>
      <c r="G94" s="8"/>
      <c r="H94" s="28" t="s">
        <v>94</v>
      </c>
      <c r="I94" s="20">
        <v>1</v>
      </c>
      <c r="J94" s="21">
        <f t="shared" ref="J94:J102" si="5">I94/I$92</f>
        <v>0.1111111111111111</v>
      </c>
    </row>
    <row r="95" spans="1:10" ht="15" customHeight="1" thickBot="1" x14ac:dyDescent="0.3">
      <c r="A95" s="9" t="s">
        <v>91</v>
      </c>
      <c r="B95" s="10"/>
      <c r="C95">
        <v>7</v>
      </c>
      <c r="D95" s="12"/>
      <c r="E95" s="23" t="s">
        <v>46</v>
      </c>
      <c r="F95" s="27">
        <f t="shared" si="4"/>
        <v>2.5000000000000001E-2</v>
      </c>
      <c r="G95" s="8"/>
      <c r="H95" s="28" t="s">
        <v>97</v>
      </c>
      <c r="I95" s="20">
        <v>0</v>
      </c>
      <c r="J95" s="21">
        <f t="shared" si="5"/>
        <v>0</v>
      </c>
    </row>
    <row r="96" spans="1:10" ht="15" customHeight="1" thickBot="1" x14ac:dyDescent="0.3">
      <c r="A96" s="9" t="s">
        <v>46</v>
      </c>
      <c r="B96" s="10"/>
      <c r="C96">
        <v>1</v>
      </c>
      <c r="D96" s="12"/>
      <c r="E96" s="12"/>
      <c r="F96" s="25"/>
      <c r="G96" s="8"/>
      <c r="H96" s="28" t="s">
        <v>99</v>
      </c>
      <c r="I96" s="20">
        <v>0</v>
      </c>
      <c r="J96" s="21">
        <f t="shared" si="5"/>
        <v>0</v>
      </c>
    </row>
    <row r="97" spans="1:10" ht="15" customHeight="1" x14ac:dyDescent="0.25">
      <c r="A97" s="9"/>
      <c r="B97" s="10"/>
      <c r="D97" s="12"/>
      <c r="E97" s="13" t="s">
        <v>93</v>
      </c>
      <c r="F97" s="14"/>
      <c r="G97" s="8"/>
      <c r="H97" s="28" t="s">
        <v>101</v>
      </c>
      <c r="I97" s="20">
        <v>4</v>
      </c>
      <c r="J97" s="21">
        <f t="shared" si="5"/>
        <v>0.44444444444444442</v>
      </c>
    </row>
    <row r="98" spans="1:10" ht="15" customHeight="1" x14ac:dyDescent="0.25">
      <c r="A98" s="9" t="s">
        <v>95</v>
      </c>
      <c r="B98" s="10"/>
      <c r="C98">
        <v>3</v>
      </c>
      <c r="D98" s="12"/>
      <c r="E98" s="18" t="s">
        <v>96</v>
      </c>
      <c r="F98" s="21">
        <f>C99/C$48</f>
        <v>0.82499999999999996</v>
      </c>
      <c r="G98" s="8"/>
      <c r="H98" s="66" t="s">
        <v>159</v>
      </c>
      <c r="I98" s="68">
        <v>1</v>
      </c>
      <c r="J98" s="21">
        <f t="shared" si="5"/>
        <v>0.1111111111111111</v>
      </c>
    </row>
    <row r="99" spans="1:10" ht="15" customHeight="1" x14ac:dyDescent="0.25">
      <c r="A99" s="9" t="s">
        <v>96</v>
      </c>
      <c r="B99" s="10"/>
      <c r="C99">
        <v>33</v>
      </c>
      <c r="D99" s="12"/>
      <c r="E99" s="18" t="s">
        <v>98</v>
      </c>
      <c r="F99" s="21">
        <f>C100/C$48</f>
        <v>0.1</v>
      </c>
      <c r="G99" s="8"/>
      <c r="H99" s="66" t="s">
        <v>160</v>
      </c>
      <c r="I99" s="68">
        <v>0</v>
      </c>
      <c r="J99" s="21">
        <f t="shared" si="5"/>
        <v>0</v>
      </c>
    </row>
    <row r="100" spans="1:10" ht="15" customHeight="1" x14ac:dyDescent="0.25">
      <c r="A100" s="9" t="s">
        <v>98</v>
      </c>
      <c r="B100" s="10"/>
      <c r="C100">
        <v>4</v>
      </c>
      <c r="D100" s="12"/>
      <c r="E100" s="18" t="s">
        <v>100</v>
      </c>
      <c r="F100" s="21">
        <f>C101/C$48</f>
        <v>2.5000000000000001E-2</v>
      </c>
      <c r="G100" s="8"/>
      <c r="H100" s="66" t="s">
        <v>161</v>
      </c>
      <c r="I100" s="68">
        <v>0</v>
      </c>
      <c r="J100" s="21">
        <f t="shared" si="5"/>
        <v>0</v>
      </c>
    </row>
    <row r="101" spans="1:10" ht="15" customHeight="1" x14ac:dyDescent="0.25">
      <c r="A101" s="9" t="s">
        <v>100</v>
      </c>
      <c r="B101" s="10"/>
      <c r="C101">
        <v>1</v>
      </c>
      <c r="D101" s="12"/>
      <c r="E101" s="18" t="s">
        <v>102</v>
      </c>
      <c r="F101" s="21">
        <f>C102/C$48</f>
        <v>0.05</v>
      </c>
      <c r="G101" s="8"/>
      <c r="H101" s="66" t="s">
        <v>162</v>
      </c>
      <c r="I101" s="68">
        <v>0</v>
      </c>
      <c r="J101" s="21">
        <f t="shared" si="5"/>
        <v>0</v>
      </c>
    </row>
    <row r="102" spans="1:10" ht="15" customHeight="1" thickBot="1" x14ac:dyDescent="0.3">
      <c r="A102" s="9" t="s">
        <v>102</v>
      </c>
      <c r="B102" s="10"/>
      <c r="C102">
        <v>2</v>
      </c>
      <c r="E102" s="23" t="s">
        <v>103</v>
      </c>
      <c r="F102" s="27">
        <f>C103/C$48</f>
        <v>0</v>
      </c>
      <c r="H102" s="67" t="s">
        <v>163</v>
      </c>
      <c r="I102" s="26">
        <v>0</v>
      </c>
      <c r="J102" s="27">
        <f t="shared" si="5"/>
        <v>0</v>
      </c>
    </row>
    <row r="103" spans="1:10" ht="15" customHeight="1" x14ac:dyDescent="0.25">
      <c r="A103" s="9" t="s">
        <v>103</v>
      </c>
      <c r="B103" s="10"/>
      <c r="C103">
        <v>0</v>
      </c>
      <c r="E103" s="12"/>
      <c r="F103" s="25"/>
    </row>
    <row r="104" spans="1:10" ht="15" customHeight="1" x14ac:dyDescent="0.25">
      <c r="A104" s="9" t="s">
        <v>104</v>
      </c>
      <c r="B104" s="10"/>
      <c r="C104">
        <v>0</v>
      </c>
      <c r="E104" s="12"/>
      <c r="F104" s="25"/>
    </row>
    <row r="105" spans="1:10" ht="15" customHeight="1" x14ac:dyDescent="0.25">
      <c r="A105" s="9"/>
      <c r="B105" s="10"/>
      <c r="E105" s="12"/>
      <c r="F105" s="25"/>
    </row>
    <row r="106" spans="1:10" ht="15" customHeight="1" thickBot="1" x14ac:dyDescent="0.3"/>
    <row r="107" spans="1:10" ht="15" customHeight="1" x14ac:dyDescent="0.25">
      <c r="A107" s="89" t="s">
        <v>7</v>
      </c>
      <c r="B107" s="90"/>
    </row>
    <row r="108" spans="1:10" ht="15" customHeight="1" x14ac:dyDescent="0.25">
      <c r="A108" s="91" t="s">
        <v>84</v>
      </c>
      <c r="B108" s="92">
        <f>SUM(F2:F16,F18:F21,F23,F25:F26,F28:F29,F35:F37,F39:F40)</f>
        <v>55051.07</v>
      </c>
    </row>
    <row r="109" spans="1:10" ht="15" customHeight="1" x14ac:dyDescent="0.25">
      <c r="A109" s="91" t="s">
        <v>281</v>
      </c>
      <c r="B109" s="92">
        <f>SUM(F22,F30:F34,F38)</f>
        <v>12539.029999999999</v>
      </c>
    </row>
    <row r="110" spans="1:10" ht="15" customHeight="1" x14ac:dyDescent="0.25">
      <c r="A110" s="91" t="s">
        <v>291</v>
      </c>
      <c r="B110" s="92">
        <f>SUM(F24,F27,F41)</f>
        <v>4744.25</v>
      </c>
    </row>
    <row r="111" spans="1:10" ht="15" customHeight="1" x14ac:dyDescent="0.25">
      <c r="A111" s="91" t="s">
        <v>46</v>
      </c>
      <c r="B111" s="93">
        <v>1241.0999999999999</v>
      </c>
    </row>
    <row r="112" spans="1:10" ht="15" customHeight="1" thickBot="1" x14ac:dyDescent="0.3">
      <c r="A112" s="94"/>
      <c r="B112" s="95">
        <f>SUM(B108:B111)</f>
        <v>73575.450000000012</v>
      </c>
    </row>
  </sheetData>
  <mergeCells count="1">
    <mergeCell ref="A44:F4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topLeftCell="A49" workbookViewId="0">
      <selection activeCell="A36" sqref="A36"/>
    </sheetView>
  </sheetViews>
  <sheetFormatPr baseColWidth="10" defaultRowHeight="15" x14ac:dyDescent="0.25"/>
  <cols>
    <col min="2" max="2" width="34.42578125" customWidth="1"/>
    <col min="6" max="6" width="11.42578125" style="47"/>
    <col min="7" max="7" width="34.5703125" customWidth="1"/>
  </cols>
  <sheetData>
    <row r="1" spans="1:8" ht="15" customHeight="1" x14ac:dyDescent="0.25">
      <c r="A1" s="3" t="s">
        <v>2</v>
      </c>
      <c r="B1" s="4" t="s">
        <v>3</v>
      </c>
      <c r="C1" s="4" t="s">
        <v>5</v>
      </c>
      <c r="D1" s="4" t="s">
        <v>15</v>
      </c>
      <c r="E1" s="7" t="s">
        <v>6</v>
      </c>
      <c r="F1" s="72" t="s">
        <v>8</v>
      </c>
      <c r="G1" s="6" t="s">
        <v>10</v>
      </c>
      <c r="H1" s="1" t="s">
        <v>11</v>
      </c>
    </row>
    <row r="2" spans="1:8" x14ac:dyDescent="0.25">
      <c r="A2" s="10">
        <v>44593</v>
      </c>
      <c r="B2" t="s">
        <v>383</v>
      </c>
      <c r="C2" t="s">
        <v>96</v>
      </c>
      <c r="D2" t="s">
        <v>30</v>
      </c>
      <c r="E2" t="s">
        <v>168</v>
      </c>
      <c r="F2" s="75">
        <v>1296.9000000000001</v>
      </c>
      <c r="G2" t="s">
        <v>505</v>
      </c>
      <c r="H2" t="s">
        <v>506</v>
      </c>
    </row>
    <row r="3" spans="1:8" x14ac:dyDescent="0.25">
      <c r="A3" s="10">
        <v>44594</v>
      </c>
      <c r="B3" t="s">
        <v>507</v>
      </c>
      <c r="C3" t="s">
        <v>96</v>
      </c>
      <c r="D3" t="s">
        <v>32</v>
      </c>
      <c r="E3" t="s">
        <v>168</v>
      </c>
      <c r="F3" s="75">
        <v>3486.96</v>
      </c>
      <c r="G3" t="s">
        <v>508</v>
      </c>
      <c r="H3" t="s">
        <v>509</v>
      </c>
    </row>
    <row r="4" spans="1:8" x14ac:dyDescent="0.25">
      <c r="A4" s="10">
        <v>44594</v>
      </c>
      <c r="B4" t="s">
        <v>401</v>
      </c>
      <c r="C4" t="s">
        <v>96</v>
      </c>
      <c r="D4" t="s">
        <v>30</v>
      </c>
      <c r="E4" t="s">
        <v>281</v>
      </c>
      <c r="F4" s="75">
        <v>888</v>
      </c>
      <c r="G4" t="s">
        <v>404</v>
      </c>
      <c r="H4" t="s">
        <v>329</v>
      </c>
    </row>
    <row r="5" spans="1:8" x14ac:dyDescent="0.25">
      <c r="A5" s="10">
        <v>44595</v>
      </c>
      <c r="B5" t="s">
        <v>407</v>
      </c>
      <c r="C5" t="s">
        <v>96</v>
      </c>
      <c r="D5" t="s">
        <v>30</v>
      </c>
      <c r="E5" t="s">
        <v>168</v>
      </c>
      <c r="F5" s="75">
        <v>1982</v>
      </c>
      <c r="G5" t="s">
        <v>510</v>
      </c>
      <c r="H5" t="s">
        <v>511</v>
      </c>
    </row>
    <row r="6" spans="1:8" x14ac:dyDescent="0.25">
      <c r="A6" s="10">
        <v>44594</v>
      </c>
      <c r="B6" t="s">
        <v>512</v>
      </c>
      <c r="C6" t="s">
        <v>96</v>
      </c>
      <c r="D6" t="s">
        <v>30</v>
      </c>
      <c r="E6" t="s">
        <v>291</v>
      </c>
      <c r="F6" s="75">
        <v>1185</v>
      </c>
      <c r="G6" t="s">
        <v>414</v>
      </c>
      <c r="H6" t="s">
        <v>513</v>
      </c>
    </row>
    <row r="7" spans="1:8" x14ac:dyDescent="0.25">
      <c r="A7" s="10">
        <v>44596</v>
      </c>
      <c r="B7" t="s">
        <v>431</v>
      </c>
      <c r="C7" t="s">
        <v>103</v>
      </c>
      <c r="D7" t="s">
        <v>30</v>
      </c>
      <c r="E7" t="s">
        <v>168</v>
      </c>
      <c r="F7" s="75">
        <v>3188.7</v>
      </c>
      <c r="G7" t="s">
        <v>514</v>
      </c>
      <c r="H7" t="s">
        <v>515</v>
      </c>
    </row>
    <row r="8" spans="1:8" x14ac:dyDescent="0.25">
      <c r="A8" s="10">
        <v>44596</v>
      </c>
      <c r="B8" t="s">
        <v>427</v>
      </c>
      <c r="C8" t="s">
        <v>516</v>
      </c>
      <c r="D8" t="s">
        <v>30</v>
      </c>
      <c r="E8" t="s">
        <v>168</v>
      </c>
      <c r="F8" s="75">
        <v>1151</v>
      </c>
      <c r="G8" t="s">
        <v>517</v>
      </c>
      <c r="H8" t="s">
        <v>518</v>
      </c>
    </row>
    <row r="9" spans="1:8" x14ac:dyDescent="0.25">
      <c r="A9" s="10">
        <v>44597</v>
      </c>
      <c r="B9" t="s">
        <v>435</v>
      </c>
      <c r="C9" t="s">
        <v>96</v>
      </c>
      <c r="D9" t="s">
        <v>30</v>
      </c>
      <c r="E9" t="s">
        <v>281</v>
      </c>
      <c r="F9" s="75">
        <v>2123.1</v>
      </c>
      <c r="G9" t="s">
        <v>519</v>
      </c>
      <c r="H9" t="s">
        <v>329</v>
      </c>
    </row>
    <row r="10" spans="1:8" x14ac:dyDescent="0.25">
      <c r="A10" s="10">
        <v>44599</v>
      </c>
      <c r="B10" t="s">
        <v>445</v>
      </c>
      <c r="C10" t="s">
        <v>96</v>
      </c>
      <c r="D10" t="s">
        <v>30</v>
      </c>
      <c r="E10" t="s">
        <v>251</v>
      </c>
      <c r="F10" s="75">
        <v>592</v>
      </c>
      <c r="G10" t="s">
        <v>448</v>
      </c>
      <c r="H10" t="s">
        <v>520</v>
      </c>
    </row>
    <row r="11" spans="1:8" x14ac:dyDescent="0.25">
      <c r="A11" s="10">
        <v>44611</v>
      </c>
      <c r="B11" t="s">
        <v>450</v>
      </c>
      <c r="C11" t="s">
        <v>360</v>
      </c>
      <c r="D11" t="s">
        <v>30</v>
      </c>
      <c r="E11" t="s">
        <v>281</v>
      </c>
      <c r="F11" s="75">
        <v>1415.31</v>
      </c>
      <c r="G11" t="s">
        <v>451</v>
      </c>
      <c r="H11" t="s">
        <v>80</v>
      </c>
    </row>
    <row r="12" spans="1:8" x14ac:dyDescent="0.25">
      <c r="A12" s="10">
        <v>44600</v>
      </c>
      <c r="B12" t="s">
        <v>521</v>
      </c>
      <c r="C12" t="s">
        <v>96</v>
      </c>
      <c r="D12" t="s">
        <v>30</v>
      </c>
      <c r="E12" t="s">
        <v>168</v>
      </c>
      <c r="F12" s="75">
        <v>1688.15</v>
      </c>
      <c r="G12" t="s">
        <v>522</v>
      </c>
      <c r="H12" t="s">
        <v>523</v>
      </c>
    </row>
    <row r="13" spans="1:8" x14ac:dyDescent="0.25">
      <c r="A13" s="10">
        <v>44599</v>
      </c>
      <c r="B13" t="s">
        <v>461</v>
      </c>
      <c r="C13" t="s">
        <v>360</v>
      </c>
      <c r="D13" t="s">
        <v>30</v>
      </c>
      <c r="E13" t="s">
        <v>168</v>
      </c>
      <c r="F13" s="75">
        <v>599.84</v>
      </c>
      <c r="G13" t="s">
        <v>342</v>
      </c>
      <c r="H13" t="s">
        <v>524</v>
      </c>
    </row>
    <row r="14" spans="1:8" x14ac:dyDescent="0.25">
      <c r="A14" s="10">
        <v>44599</v>
      </c>
      <c r="B14" t="s">
        <v>466</v>
      </c>
      <c r="C14" t="s">
        <v>360</v>
      </c>
      <c r="D14" t="s">
        <v>30</v>
      </c>
      <c r="E14" t="s">
        <v>168</v>
      </c>
      <c r="F14" s="75">
        <v>1047.73</v>
      </c>
      <c r="G14" t="s">
        <v>525</v>
      </c>
      <c r="H14" t="s">
        <v>515</v>
      </c>
    </row>
    <row r="15" spans="1:8" x14ac:dyDescent="0.25">
      <c r="A15" s="10">
        <v>44603</v>
      </c>
      <c r="B15" t="s">
        <v>471</v>
      </c>
      <c r="C15" t="s">
        <v>360</v>
      </c>
      <c r="D15" t="s">
        <v>30</v>
      </c>
      <c r="E15" t="s">
        <v>281</v>
      </c>
      <c r="F15" s="75">
        <v>1446</v>
      </c>
      <c r="G15" t="s">
        <v>526</v>
      </c>
      <c r="H15" t="s">
        <v>329</v>
      </c>
    </row>
    <row r="16" spans="1:8" x14ac:dyDescent="0.25">
      <c r="A16" s="10">
        <v>44595</v>
      </c>
      <c r="B16" t="s">
        <v>527</v>
      </c>
      <c r="C16" t="s">
        <v>96</v>
      </c>
      <c r="D16" t="s">
        <v>30</v>
      </c>
      <c r="E16" t="s">
        <v>168</v>
      </c>
      <c r="F16" s="75">
        <v>2287.23</v>
      </c>
      <c r="G16" t="s">
        <v>528</v>
      </c>
      <c r="H16" t="s">
        <v>529</v>
      </c>
    </row>
    <row r="17" spans="1:10" x14ac:dyDescent="0.25">
      <c r="A17" s="10">
        <v>44603</v>
      </c>
      <c r="B17" t="s">
        <v>471</v>
      </c>
      <c r="C17" t="s">
        <v>360</v>
      </c>
      <c r="D17" t="s">
        <v>30</v>
      </c>
      <c r="E17" t="s">
        <v>281</v>
      </c>
      <c r="F17" s="75">
        <v>725</v>
      </c>
      <c r="G17" t="s">
        <v>205</v>
      </c>
      <c r="H17" t="s">
        <v>530</v>
      </c>
    </row>
    <row r="18" spans="1:10" x14ac:dyDescent="0.25">
      <c r="A18" s="10">
        <v>44607</v>
      </c>
      <c r="B18" t="s">
        <v>485</v>
      </c>
      <c r="C18" t="s">
        <v>360</v>
      </c>
      <c r="D18" t="s">
        <v>30</v>
      </c>
      <c r="E18" t="s">
        <v>281</v>
      </c>
      <c r="F18" s="75">
        <v>1665</v>
      </c>
      <c r="G18" t="s">
        <v>531</v>
      </c>
      <c r="H18" t="s">
        <v>532</v>
      </c>
    </row>
    <row r="19" spans="1:10" x14ac:dyDescent="0.25">
      <c r="A19" s="10">
        <v>44607</v>
      </c>
      <c r="B19" t="s">
        <v>489</v>
      </c>
      <c r="C19" t="s">
        <v>96</v>
      </c>
      <c r="D19" t="s">
        <v>30</v>
      </c>
      <c r="E19" t="s">
        <v>281</v>
      </c>
      <c r="F19" s="75">
        <v>500</v>
      </c>
      <c r="G19" t="s">
        <v>533</v>
      </c>
      <c r="H19" t="s">
        <v>329</v>
      </c>
    </row>
    <row r="20" spans="1:10" x14ac:dyDescent="0.25">
      <c r="A20" s="10">
        <v>44611</v>
      </c>
      <c r="B20" t="s">
        <v>507</v>
      </c>
      <c r="C20" t="s">
        <v>96</v>
      </c>
      <c r="D20" t="s">
        <v>32</v>
      </c>
      <c r="E20" t="s">
        <v>281</v>
      </c>
      <c r="F20" s="75">
        <v>2429.17</v>
      </c>
      <c r="G20" t="s">
        <v>534</v>
      </c>
      <c r="H20" t="s">
        <v>80</v>
      </c>
    </row>
    <row r="21" spans="1:10" x14ac:dyDescent="0.25">
      <c r="A21" s="10">
        <v>44606</v>
      </c>
      <c r="B21" t="s">
        <v>535</v>
      </c>
      <c r="C21" t="s">
        <v>96</v>
      </c>
      <c r="D21" t="s">
        <v>30</v>
      </c>
      <c r="E21" t="s">
        <v>281</v>
      </c>
      <c r="F21" s="75">
        <v>1206.9000000000001</v>
      </c>
      <c r="G21" t="s">
        <v>536</v>
      </c>
      <c r="H21" t="s">
        <v>329</v>
      </c>
    </row>
    <row r="22" spans="1:10" x14ac:dyDescent="0.25">
      <c r="A22" s="10">
        <v>44613</v>
      </c>
      <c r="B22" t="s">
        <v>501</v>
      </c>
      <c r="C22" t="s">
        <v>103</v>
      </c>
      <c r="D22" t="s">
        <v>30</v>
      </c>
      <c r="E22" t="s">
        <v>281</v>
      </c>
      <c r="F22" s="47">
        <v>863</v>
      </c>
      <c r="G22" t="s">
        <v>537</v>
      </c>
      <c r="H22" t="s">
        <v>329</v>
      </c>
    </row>
    <row r="23" spans="1:10" x14ac:dyDescent="0.25">
      <c r="A23" s="10">
        <v>44615</v>
      </c>
      <c r="B23" t="s">
        <v>539</v>
      </c>
      <c r="C23" t="s">
        <v>360</v>
      </c>
      <c r="D23" t="s">
        <v>30</v>
      </c>
      <c r="E23" t="s">
        <v>168</v>
      </c>
      <c r="F23" s="47">
        <v>2753.73</v>
      </c>
      <c r="G23" t="s">
        <v>543</v>
      </c>
      <c r="H23" t="s">
        <v>192</v>
      </c>
    </row>
    <row r="24" spans="1:10" x14ac:dyDescent="0.25">
      <c r="A24" s="10">
        <v>44616</v>
      </c>
      <c r="B24" t="s">
        <v>554</v>
      </c>
      <c r="C24" t="s">
        <v>360</v>
      </c>
      <c r="D24" t="s">
        <v>30</v>
      </c>
      <c r="E24" t="s">
        <v>168</v>
      </c>
      <c r="F24" s="47">
        <v>1250</v>
      </c>
      <c r="G24" t="s">
        <v>555</v>
      </c>
      <c r="H24" t="s">
        <v>569</v>
      </c>
    </row>
    <row r="25" spans="1:10" x14ac:dyDescent="0.25">
      <c r="A25" s="10">
        <v>44616</v>
      </c>
      <c r="B25" t="s">
        <v>550</v>
      </c>
      <c r="C25" t="s">
        <v>96</v>
      </c>
      <c r="D25" t="s">
        <v>30</v>
      </c>
      <c r="E25" t="s">
        <v>168</v>
      </c>
      <c r="F25" s="47">
        <v>1290</v>
      </c>
      <c r="G25" t="s">
        <v>556</v>
      </c>
      <c r="H25" t="s">
        <v>569</v>
      </c>
    </row>
    <row r="26" spans="1:10" x14ac:dyDescent="0.25">
      <c r="A26" s="10">
        <v>44618</v>
      </c>
      <c r="B26" t="s">
        <v>559</v>
      </c>
      <c r="C26" t="s">
        <v>360</v>
      </c>
      <c r="D26" t="s">
        <v>30</v>
      </c>
      <c r="E26" t="s">
        <v>168</v>
      </c>
      <c r="F26" s="47">
        <v>776</v>
      </c>
      <c r="G26" t="s">
        <v>568</v>
      </c>
      <c r="H26" t="s">
        <v>176</v>
      </c>
    </row>
    <row r="27" spans="1:10" x14ac:dyDescent="0.25">
      <c r="A27" s="10">
        <v>44618</v>
      </c>
      <c r="B27" t="s">
        <v>564</v>
      </c>
      <c r="C27" t="s">
        <v>360</v>
      </c>
      <c r="D27" t="s">
        <v>30</v>
      </c>
      <c r="E27" t="s">
        <v>168</v>
      </c>
      <c r="F27" s="47">
        <v>2247.0500000000002</v>
      </c>
      <c r="G27" t="s">
        <v>580</v>
      </c>
      <c r="H27" t="s">
        <v>176</v>
      </c>
    </row>
    <row r="28" spans="1:10" x14ac:dyDescent="0.25">
      <c r="A28" s="10">
        <v>44620</v>
      </c>
      <c r="B28" t="s">
        <v>574</v>
      </c>
      <c r="C28" t="s">
        <v>360</v>
      </c>
      <c r="D28" t="s">
        <v>32</v>
      </c>
      <c r="E28" t="s">
        <v>168</v>
      </c>
      <c r="F28" s="47">
        <v>1044</v>
      </c>
      <c r="G28" t="s">
        <v>575</v>
      </c>
      <c r="H28" t="s">
        <v>581</v>
      </c>
    </row>
    <row r="31" spans="1:10" ht="15.75" thickBot="1" x14ac:dyDescent="0.3">
      <c r="A31" s="106" t="s">
        <v>16</v>
      </c>
      <c r="B31" s="106"/>
      <c r="C31" s="106"/>
      <c r="D31" s="106"/>
      <c r="E31" s="106"/>
      <c r="F31" s="106"/>
      <c r="G31" s="8"/>
    </row>
    <row r="32" spans="1:10" x14ac:dyDescent="0.25">
      <c r="A32" s="9" t="s">
        <v>17</v>
      </c>
      <c r="B32" s="10"/>
      <c r="C32" s="11">
        <f>SUM(F2:F28)</f>
        <v>41127.770000000011</v>
      </c>
      <c r="D32" s="12"/>
      <c r="E32" s="13" t="s">
        <v>18</v>
      </c>
      <c r="F32" s="73"/>
      <c r="G32" s="8"/>
      <c r="H32" s="15" t="s">
        <v>19</v>
      </c>
      <c r="I32" s="16">
        <v>10</v>
      </c>
      <c r="J32" s="17"/>
    </row>
    <row r="33" spans="1:10" x14ac:dyDescent="0.25">
      <c r="A33" s="9"/>
      <c r="B33" s="10"/>
      <c r="C33" s="11"/>
      <c r="D33" s="12"/>
      <c r="E33" s="18" t="s">
        <v>20</v>
      </c>
      <c r="F33" s="74">
        <v>41127.770000000011</v>
      </c>
      <c r="G33" s="8"/>
      <c r="H33" s="18" t="s">
        <v>21</v>
      </c>
      <c r="I33" s="20">
        <v>1</v>
      </c>
      <c r="J33" s="21">
        <f>I33/I$32</f>
        <v>0.1</v>
      </c>
    </row>
    <row r="34" spans="1:10" ht="15.75" thickBot="1" x14ac:dyDescent="0.3">
      <c r="A34" s="9" t="s">
        <v>22</v>
      </c>
      <c r="B34" s="10"/>
      <c r="C34" s="22">
        <v>23</v>
      </c>
      <c r="D34" s="12"/>
      <c r="E34" s="23" t="s">
        <v>23</v>
      </c>
      <c r="F34" s="24">
        <f>C32/C34</f>
        <v>1788.1639130434787</v>
      </c>
      <c r="G34" s="8"/>
      <c r="H34" s="18" t="s">
        <v>24</v>
      </c>
      <c r="I34" s="20">
        <v>9</v>
      </c>
      <c r="J34" s="21">
        <f>I34/I$32</f>
        <v>0.9</v>
      </c>
    </row>
    <row r="35" spans="1:10" ht="15.75" thickBot="1" x14ac:dyDescent="0.3">
      <c r="A35" s="9" t="s">
        <v>25</v>
      </c>
      <c r="B35" s="10"/>
      <c r="C35">
        <v>27</v>
      </c>
      <c r="D35" s="12"/>
      <c r="E35" s="12"/>
      <c r="G35" s="8"/>
      <c r="H35" s="23" t="s">
        <v>26</v>
      </c>
      <c r="I35" s="26">
        <v>0</v>
      </c>
      <c r="J35" s="27">
        <f>I35/I$32</f>
        <v>0</v>
      </c>
    </row>
    <row r="36" spans="1:10" x14ac:dyDescent="0.25">
      <c r="A36" s="9"/>
      <c r="B36" s="10"/>
      <c r="D36" s="12" t="s">
        <v>27</v>
      </c>
      <c r="E36" s="13" t="s">
        <v>28</v>
      </c>
      <c r="F36" s="73"/>
      <c r="G36" s="8"/>
    </row>
    <row r="37" spans="1:10" ht="15.75" thickBot="1" x14ac:dyDescent="0.3">
      <c r="A37" s="9" t="s">
        <v>29</v>
      </c>
      <c r="B37" s="10"/>
      <c r="C37">
        <v>24</v>
      </c>
      <c r="D37" s="12" t="s">
        <v>27</v>
      </c>
      <c r="E37" s="18" t="s">
        <v>30</v>
      </c>
      <c r="F37" s="21">
        <f>C37/C$35</f>
        <v>0.88888888888888884</v>
      </c>
      <c r="G37" s="8"/>
    </row>
    <row r="38" spans="1:10" ht="15.75" thickBot="1" x14ac:dyDescent="0.3">
      <c r="A38" s="9" t="s">
        <v>31</v>
      </c>
      <c r="B38" s="10"/>
      <c r="C38">
        <v>3</v>
      </c>
      <c r="D38" s="12"/>
      <c r="E38" s="23" t="s">
        <v>32</v>
      </c>
      <c r="F38" s="27">
        <f>C38/C$35</f>
        <v>0.1111111111111111</v>
      </c>
      <c r="G38" s="8"/>
      <c r="H38" s="15" t="s">
        <v>33</v>
      </c>
      <c r="I38" s="16">
        <v>13</v>
      </c>
      <c r="J38" s="17"/>
    </row>
    <row r="39" spans="1:10" ht="15.75" thickBot="1" x14ac:dyDescent="0.3">
      <c r="A39" s="9"/>
      <c r="B39" s="10"/>
      <c r="D39" s="12"/>
      <c r="E39" s="12"/>
      <c r="F39" s="25"/>
      <c r="G39" s="8"/>
      <c r="H39" s="28" t="s">
        <v>34</v>
      </c>
      <c r="I39" s="20">
        <v>13</v>
      </c>
      <c r="J39" s="21">
        <f>I39/I$38</f>
        <v>1</v>
      </c>
    </row>
    <row r="40" spans="1:10" x14ac:dyDescent="0.25">
      <c r="A40" s="9" t="s">
        <v>35</v>
      </c>
      <c r="B40" s="10"/>
      <c r="D40" s="12"/>
      <c r="E40" s="13" t="s">
        <v>36</v>
      </c>
      <c r="F40" s="14"/>
      <c r="G40" s="8"/>
      <c r="H40" s="28" t="s">
        <v>37</v>
      </c>
      <c r="I40" s="20">
        <v>0</v>
      </c>
      <c r="J40" s="21">
        <f>I40/I$38</f>
        <v>0</v>
      </c>
    </row>
    <row r="41" spans="1:10" ht="15.75" thickBot="1" x14ac:dyDescent="0.3">
      <c r="A41" s="9" t="s">
        <v>38</v>
      </c>
      <c r="B41" s="10"/>
      <c r="C41">
        <v>2</v>
      </c>
      <c r="D41" s="12"/>
      <c r="E41" s="29" t="s">
        <v>38</v>
      </c>
      <c r="F41" s="21">
        <f>C41/C$50</f>
        <v>0.04</v>
      </c>
      <c r="G41" s="8"/>
      <c r="H41" s="30" t="s">
        <v>39</v>
      </c>
      <c r="I41" s="26">
        <v>0</v>
      </c>
      <c r="J41" s="27">
        <f>I41/I$38</f>
        <v>0</v>
      </c>
    </row>
    <row r="42" spans="1:10" ht="15.75" thickBot="1" x14ac:dyDescent="0.3">
      <c r="A42" s="9" t="s">
        <v>19</v>
      </c>
      <c r="B42" s="10"/>
      <c r="C42">
        <v>10</v>
      </c>
      <c r="D42" s="12"/>
      <c r="E42" s="29" t="s">
        <v>19</v>
      </c>
      <c r="F42" s="21">
        <f t="shared" ref="F42:F49" si="0">C42/C$50</f>
        <v>0.2</v>
      </c>
      <c r="G42" s="8"/>
    </row>
    <row r="43" spans="1:10" x14ac:dyDescent="0.25">
      <c r="A43" s="9" t="s">
        <v>40</v>
      </c>
      <c r="B43" s="10"/>
      <c r="C43">
        <v>13</v>
      </c>
      <c r="D43" s="12"/>
      <c r="E43" s="29" t="s">
        <v>40</v>
      </c>
      <c r="F43" s="21">
        <f t="shared" si="0"/>
        <v>0.26</v>
      </c>
      <c r="G43" s="12" t="s">
        <v>27</v>
      </c>
      <c r="H43" s="15" t="s">
        <v>365</v>
      </c>
      <c r="I43" s="16">
        <v>2</v>
      </c>
      <c r="J43" s="14">
        <f t="shared" ref="J43:J54" si="1">I43/I$38</f>
        <v>0.15384615384615385</v>
      </c>
    </row>
    <row r="44" spans="1:10" x14ac:dyDescent="0.25">
      <c r="A44" s="9" t="s">
        <v>41</v>
      </c>
      <c r="B44" s="10"/>
      <c r="C44">
        <v>2</v>
      </c>
      <c r="D44" s="12"/>
      <c r="E44" s="29" t="s">
        <v>41</v>
      </c>
      <c r="F44" s="21">
        <f t="shared" si="0"/>
        <v>0.04</v>
      </c>
      <c r="G44" s="8"/>
      <c r="H44" s="28" t="s">
        <v>366</v>
      </c>
      <c r="I44" s="68">
        <v>1</v>
      </c>
      <c r="J44" s="21">
        <f t="shared" si="1"/>
        <v>7.6923076923076927E-2</v>
      </c>
    </row>
    <row r="45" spans="1:10" x14ac:dyDescent="0.25">
      <c r="A45" s="9" t="s">
        <v>42</v>
      </c>
      <c r="B45" s="10"/>
      <c r="C45">
        <v>8</v>
      </c>
      <c r="D45" s="12"/>
      <c r="E45" s="29" t="s">
        <v>42</v>
      </c>
      <c r="F45" s="21">
        <f t="shared" si="0"/>
        <v>0.16</v>
      </c>
      <c r="G45" s="8"/>
      <c r="H45" s="28" t="s">
        <v>367</v>
      </c>
      <c r="I45" s="20">
        <v>1</v>
      </c>
      <c r="J45" s="21">
        <f t="shared" si="1"/>
        <v>7.6923076923076927E-2</v>
      </c>
    </row>
    <row r="46" spans="1:10" x14ac:dyDescent="0.25">
      <c r="A46" s="9" t="s">
        <v>43</v>
      </c>
      <c r="B46" s="10"/>
      <c r="C46">
        <v>5</v>
      </c>
      <c r="D46" s="12"/>
      <c r="E46" s="29" t="s">
        <v>43</v>
      </c>
      <c r="F46" s="21">
        <f t="shared" si="0"/>
        <v>0.1</v>
      </c>
      <c r="G46" s="8"/>
      <c r="H46" s="28" t="s">
        <v>368</v>
      </c>
      <c r="I46" s="20">
        <v>0</v>
      </c>
      <c r="J46" s="21">
        <f t="shared" si="1"/>
        <v>0</v>
      </c>
    </row>
    <row r="47" spans="1:10" x14ac:dyDescent="0.25">
      <c r="A47" s="9" t="s">
        <v>44</v>
      </c>
      <c r="B47" s="10"/>
      <c r="C47">
        <v>7</v>
      </c>
      <c r="D47" s="12"/>
      <c r="E47" s="29" t="s">
        <v>44</v>
      </c>
      <c r="F47" s="21">
        <f t="shared" si="0"/>
        <v>0.14000000000000001</v>
      </c>
      <c r="G47" s="8"/>
      <c r="H47" s="28" t="s">
        <v>369</v>
      </c>
      <c r="I47" s="20">
        <v>5</v>
      </c>
      <c r="J47" s="21">
        <f t="shared" si="1"/>
        <v>0.38461538461538464</v>
      </c>
    </row>
    <row r="48" spans="1:10" x14ac:dyDescent="0.25">
      <c r="A48" s="9" t="s">
        <v>45</v>
      </c>
      <c r="B48" s="10"/>
      <c r="C48">
        <v>1</v>
      </c>
      <c r="D48" s="12"/>
      <c r="E48" s="29" t="s">
        <v>45</v>
      </c>
      <c r="F48" s="21">
        <f t="shared" si="0"/>
        <v>0.02</v>
      </c>
      <c r="G48" s="8"/>
      <c r="H48" s="28" t="s">
        <v>370</v>
      </c>
      <c r="I48" s="20">
        <v>3</v>
      </c>
      <c r="J48" s="21">
        <f t="shared" si="1"/>
        <v>0.23076923076923078</v>
      </c>
    </row>
    <row r="49" spans="1:10" ht="15.75" thickBot="1" x14ac:dyDescent="0.3">
      <c r="A49" s="9" t="s">
        <v>46</v>
      </c>
      <c r="B49" s="10"/>
      <c r="C49">
        <v>2</v>
      </c>
      <c r="D49" s="12"/>
      <c r="E49" s="31" t="s">
        <v>46</v>
      </c>
      <c r="F49" s="27">
        <f t="shared" si="0"/>
        <v>0.04</v>
      </c>
      <c r="G49" s="12" t="s">
        <v>27</v>
      </c>
      <c r="H49" s="69" t="s">
        <v>371</v>
      </c>
      <c r="I49" s="68">
        <v>0</v>
      </c>
      <c r="J49" s="21">
        <f t="shared" si="1"/>
        <v>0</v>
      </c>
    </row>
    <row r="50" spans="1:10" ht="15.75" thickBot="1" x14ac:dyDescent="0.3">
      <c r="A50" s="9" t="s">
        <v>47</v>
      </c>
      <c r="B50" s="10"/>
      <c r="C50">
        <f>SUM(C41:C49)</f>
        <v>50</v>
      </c>
      <c r="D50" s="12"/>
      <c r="E50" s="9"/>
      <c r="F50" s="25"/>
      <c r="G50" s="8"/>
      <c r="H50" s="69" t="s">
        <v>372</v>
      </c>
      <c r="I50" s="20">
        <v>0</v>
      </c>
      <c r="J50" s="21">
        <f t="shared" si="1"/>
        <v>0</v>
      </c>
    </row>
    <row r="51" spans="1:10" x14ac:dyDescent="0.25">
      <c r="A51" s="9"/>
      <c r="B51" s="10"/>
      <c r="D51" s="12"/>
      <c r="E51" s="32" t="s">
        <v>49</v>
      </c>
      <c r="F51" s="14"/>
      <c r="G51" s="8"/>
      <c r="H51" s="69" t="s">
        <v>373</v>
      </c>
      <c r="I51" s="68">
        <v>1</v>
      </c>
      <c r="J51" s="21">
        <f t="shared" si="1"/>
        <v>7.6923076923076927E-2</v>
      </c>
    </row>
    <row r="52" spans="1:10" x14ac:dyDescent="0.25">
      <c r="A52" s="9" t="s">
        <v>51</v>
      </c>
      <c r="B52" s="10"/>
      <c r="D52" s="12"/>
      <c r="E52" s="29" t="s">
        <v>52</v>
      </c>
      <c r="F52" s="21">
        <f>C53/C$63</f>
        <v>0.46296296296296297</v>
      </c>
      <c r="G52" s="8"/>
      <c r="H52" s="69" t="s">
        <v>374</v>
      </c>
      <c r="I52" s="20">
        <v>0</v>
      </c>
      <c r="J52" s="21">
        <f t="shared" si="1"/>
        <v>0</v>
      </c>
    </row>
    <row r="53" spans="1:10" x14ac:dyDescent="0.25">
      <c r="A53" s="9" t="s">
        <v>52</v>
      </c>
      <c r="B53" s="10"/>
      <c r="C53">
        <v>25</v>
      </c>
      <c r="D53" s="12"/>
      <c r="E53" s="29" t="s">
        <v>53</v>
      </c>
      <c r="F53" s="21">
        <f t="shared" ref="F53:F61" si="2">C54/C$63</f>
        <v>9.2592592592592587E-2</v>
      </c>
      <c r="G53" s="8"/>
      <c r="H53" s="69" t="s">
        <v>375</v>
      </c>
      <c r="I53" s="20">
        <v>0</v>
      </c>
      <c r="J53" s="21">
        <f t="shared" si="1"/>
        <v>0</v>
      </c>
    </row>
    <row r="54" spans="1:10" ht="15.75" thickBot="1" x14ac:dyDescent="0.3">
      <c r="A54" s="9" t="s">
        <v>53</v>
      </c>
      <c r="B54" s="10"/>
      <c r="C54">
        <v>5</v>
      </c>
      <c r="D54" s="12"/>
      <c r="E54" s="29" t="s">
        <v>54</v>
      </c>
      <c r="F54" s="21">
        <f t="shared" si="2"/>
        <v>3.7037037037037035E-2</v>
      </c>
      <c r="G54" s="8"/>
      <c r="H54" s="70" t="s">
        <v>376</v>
      </c>
      <c r="I54" s="26">
        <v>0</v>
      </c>
      <c r="J54" s="27">
        <f t="shared" si="1"/>
        <v>0</v>
      </c>
    </row>
    <row r="55" spans="1:10" x14ac:dyDescent="0.25">
      <c r="A55" s="9" t="s">
        <v>54</v>
      </c>
      <c r="B55" s="10"/>
      <c r="C55">
        <v>2</v>
      </c>
      <c r="D55" s="12"/>
      <c r="E55" s="29" t="s">
        <v>56</v>
      </c>
      <c r="F55" s="21">
        <f t="shared" si="2"/>
        <v>0.1111111111111111</v>
      </c>
      <c r="G55" s="8"/>
    </row>
    <row r="56" spans="1:10" ht="15.75" thickBot="1" x14ac:dyDescent="0.3">
      <c r="A56" s="9" t="s">
        <v>56</v>
      </c>
      <c r="B56" s="10"/>
      <c r="C56">
        <v>6</v>
      </c>
      <c r="D56" s="12"/>
      <c r="E56" s="29" t="s">
        <v>58</v>
      </c>
      <c r="F56" s="21">
        <f t="shared" si="2"/>
        <v>0.14814814814814814</v>
      </c>
      <c r="G56" s="12" t="s">
        <v>27</v>
      </c>
    </row>
    <row r="57" spans="1:10" x14ac:dyDescent="0.25">
      <c r="A57" s="9" t="s">
        <v>58</v>
      </c>
      <c r="B57" s="10"/>
      <c r="C57">
        <v>8</v>
      </c>
      <c r="D57" s="12"/>
      <c r="E57" s="29" t="s">
        <v>60</v>
      </c>
      <c r="F57" s="21">
        <f t="shared" si="2"/>
        <v>1.8518518518518517E-2</v>
      </c>
      <c r="G57" s="8"/>
      <c r="H57" s="15" t="s">
        <v>42</v>
      </c>
      <c r="I57" s="16">
        <v>8</v>
      </c>
      <c r="J57" s="17"/>
    </row>
    <row r="58" spans="1:10" x14ac:dyDescent="0.25">
      <c r="A58" s="9" t="s">
        <v>60</v>
      </c>
      <c r="B58" s="10"/>
      <c r="C58">
        <v>1</v>
      </c>
      <c r="D58" s="12"/>
      <c r="E58" s="29" t="s">
        <v>62</v>
      </c>
      <c r="F58" s="21">
        <f t="shared" si="2"/>
        <v>1.8518518518518517E-2</v>
      </c>
      <c r="G58" s="8"/>
      <c r="H58" s="28" t="s">
        <v>48</v>
      </c>
      <c r="I58" s="20">
        <v>0</v>
      </c>
      <c r="J58" s="21">
        <f>I58/I$57</f>
        <v>0</v>
      </c>
    </row>
    <row r="59" spans="1:10" ht="15.75" thickBot="1" x14ac:dyDescent="0.3">
      <c r="A59" s="9" t="s">
        <v>62</v>
      </c>
      <c r="B59" s="10"/>
      <c r="C59">
        <v>1</v>
      </c>
      <c r="D59" s="12"/>
      <c r="E59" s="29" t="s">
        <v>64</v>
      </c>
      <c r="F59" s="21">
        <f t="shared" si="2"/>
        <v>0</v>
      </c>
      <c r="G59" s="8"/>
      <c r="H59" s="30" t="s">
        <v>50</v>
      </c>
      <c r="I59" s="26">
        <v>8</v>
      </c>
      <c r="J59" s="27">
        <f>I59/I$57</f>
        <v>1</v>
      </c>
    </row>
    <row r="60" spans="1:10" x14ac:dyDescent="0.25">
      <c r="A60" s="9" t="s">
        <v>64</v>
      </c>
      <c r="B60" s="10"/>
      <c r="C60">
        <v>0</v>
      </c>
      <c r="D60" s="12"/>
      <c r="E60" s="29" t="s">
        <v>66</v>
      </c>
      <c r="F60" s="21">
        <f t="shared" si="2"/>
        <v>3.7037037037037035E-2</v>
      </c>
      <c r="G60" s="8"/>
    </row>
    <row r="61" spans="1:10" ht="15.75" thickBot="1" x14ac:dyDescent="0.3">
      <c r="A61" s="9" t="s">
        <v>66</v>
      </c>
      <c r="B61" s="10"/>
      <c r="C61">
        <v>2</v>
      </c>
      <c r="D61" s="12"/>
      <c r="E61" s="31" t="s">
        <v>68</v>
      </c>
      <c r="F61" s="27">
        <f t="shared" si="2"/>
        <v>7.407407407407407E-2</v>
      </c>
      <c r="G61" s="8"/>
    </row>
    <row r="62" spans="1:10" ht="15.75" thickBot="1" x14ac:dyDescent="0.3">
      <c r="A62" s="9" t="s">
        <v>68</v>
      </c>
      <c r="B62" s="10"/>
      <c r="C62">
        <v>4</v>
      </c>
      <c r="D62" s="12"/>
      <c r="E62" s="9"/>
      <c r="F62" s="25"/>
      <c r="G62" s="8"/>
      <c r="H62" s="15" t="s">
        <v>55</v>
      </c>
      <c r="I62" s="16">
        <v>5</v>
      </c>
      <c r="J62" s="17"/>
    </row>
    <row r="63" spans="1:10" x14ac:dyDescent="0.25">
      <c r="A63" s="9" t="s">
        <v>70</v>
      </c>
      <c r="B63" s="10"/>
      <c r="C63">
        <f>SUM(C53:C62)</f>
        <v>54</v>
      </c>
      <c r="D63" s="12"/>
      <c r="E63" s="32" t="s">
        <v>71</v>
      </c>
      <c r="F63" s="14"/>
      <c r="G63" s="8"/>
      <c r="H63" s="28" t="s">
        <v>57</v>
      </c>
      <c r="I63" s="20">
        <v>1</v>
      </c>
      <c r="J63" s="21">
        <f t="shared" ref="J63:J68" si="3">I63/I$62</f>
        <v>0.2</v>
      </c>
    </row>
    <row r="64" spans="1:10" x14ac:dyDescent="0.25">
      <c r="A64" s="9"/>
      <c r="B64" s="10"/>
      <c r="D64" s="12"/>
      <c r="E64" s="33" t="s">
        <v>72</v>
      </c>
      <c r="F64" s="21">
        <f>C65/C$35</f>
        <v>0.77777777777777779</v>
      </c>
      <c r="G64" s="8"/>
      <c r="H64" s="28" t="s">
        <v>59</v>
      </c>
      <c r="I64" s="20">
        <v>1</v>
      </c>
      <c r="J64" s="21">
        <f t="shared" si="3"/>
        <v>0.2</v>
      </c>
    </row>
    <row r="65" spans="1:10" x14ac:dyDescent="0.25">
      <c r="A65" s="9" t="s">
        <v>73</v>
      </c>
      <c r="B65" s="10"/>
      <c r="C65">
        <v>21</v>
      </c>
      <c r="D65" s="12"/>
      <c r="E65" s="33" t="s">
        <v>74</v>
      </c>
      <c r="F65" s="21">
        <f>C66/C$35</f>
        <v>0.1111111111111111</v>
      </c>
      <c r="G65" s="8"/>
      <c r="H65" s="28" t="s">
        <v>61</v>
      </c>
      <c r="I65" s="20">
        <v>1</v>
      </c>
      <c r="J65" s="21">
        <f t="shared" si="3"/>
        <v>0.2</v>
      </c>
    </row>
    <row r="66" spans="1:10" ht="15.75" thickBot="1" x14ac:dyDescent="0.3">
      <c r="A66" s="9" t="s">
        <v>75</v>
      </c>
      <c r="B66" s="10"/>
      <c r="C66">
        <v>3</v>
      </c>
      <c r="D66" s="12"/>
      <c r="E66" s="34" t="s">
        <v>76</v>
      </c>
      <c r="F66" s="27">
        <f>C67/C$35</f>
        <v>0.1111111111111111</v>
      </c>
      <c r="G66" s="8"/>
      <c r="H66" s="28" t="s">
        <v>63</v>
      </c>
      <c r="I66" s="20">
        <v>2</v>
      </c>
      <c r="J66" s="21">
        <f t="shared" si="3"/>
        <v>0.4</v>
      </c>
    </row>
    <row r="67" spans="1:10" ht="15.75" thickBot="1" x14ac:dyDescent="0.3">
      <c r="A67" s="9" t="s">
        <v>77</v>
      </c>
      <c r="B67" s="10"/>
      <c r="C67">
        <v>3</v>
      </c>
      <c r="D67" s="12"/>
      <c r="E67" s="35"/>
      <c r="F67" s="25"/>
      <c r="G67" s="12" t="s">
        <v>27</v>
      </c>
      <c r="H67" s="28" t="s">
        <v>65</v>
      </c>
      <c r="I67" s="20">
        <v>0</v>
      </c>
      <c r="J67" s="21">
        <f t="shared" si="3"/>
        <v>0</v>
      </c>
    </row>
    <row r="68" spans="1:10" ht="15.75" thickBot="1" x14ac:dyDescent="0.3">
      <c r="A68" s="9"/>
      <c r="B68" s="10"/>
      <c r="D68" s="12"/>
      <c r="E68" s="36" t="s">
        <v>28</v>
      </c>
      <c r="F68" s="14"/>
      <c r="G68" s="8"/>
      <c r="H68" s="30" t="s">
        <v>67</v>
      </c>
      <c r="I68" s="26">
        <v>0</v>
      </c>
      <c r="J68" s="27">
        <f t="shared" si="3"/>
        <v>0</v>
      </c>
    </row>
    <row r="69" spans="1:10" x14ac:dyDescent="0.25">
      <c r="A69" s="9" t="s">
        <v>28</v>
      </c>
      <c r="B69" s="10"/>
      <c r="D69" s="12"/>
      <c r="E69" s="29" t="s">
        <v>78</v>
      </c>
      <c r="F69" s="21">
        <f>C70/C$35</f>
        <v>0.62962962962962965</v>
      </c>
      <c r="G69" s="8"/>
    </row>
    <row r="70" spans="1:10" ht="15.75" thickBot="1" x14ac:dyDescent="0.3">
      <c r="A70" s="9" t="s">
        <v>79</v>
      </c>
      <c r="B70" s="10"/>
      <c r="C70">
        <v>17</v>
      </c>
      <c r="D70" s="12"/>
      <c r="E70" s="31" t="s">
        <v>80</v>
      </c>
      <c r="F70" s="27">
        <f>C71/C$35</f>
        <v>0.37037037037037035</v>
      </c>
      <c r="G70" s="8"/>
    </row>
    <row r="71" spans="1:10" ht="15.75" thickBot="1" x14ac:dyDescent="0.3">
      <c r="A71" s="9" t="s">
        <v>80</v>
      </c>
      <c r="B71" s="10"/>
      <c r="C71">
        <v>10</v>
      </c>
      <c r="D71" s="12"/>
      <c r="E71" s="37"/>
      <c r="F71" s="38"/>
      <c r="G71" s="8"/>
    </row>
    <row r="72" spans="1:10" x14ac:dyDescent="0.25">
      <c r="A72" s="9"/>
      <c r="B72" s="10"/>
      <c r="D72" s="12"/>
      <c r="E72" s="15" t="s">
        <v>1166</v>
      </c>
      <c r="F72" s="14"/>
      <c r="G72" s="8"/>
      <c r="H72" s="15" t="s">
        <v>44</v>
      </c>
      <c r="I72" s="16">
        <v>7</v>
      </c>
      <c r="J72" s="17"/>
    </row>
    <row r="73" spans="1:10" x14ac:dyDescent="0.25">
      <c r="A73" t="s">
        <v>1166</v>
      </c>
      <c r="B73" s="10"/>
      <c r="D73" s="12"/>
      <c r="E73" s="28" t="s">
        <v>1167</v>
      </c>
      <c r="F73" s="21">
        <f>C74/C$71</f>
        <v>0.6</v>
      </c>
      <c r="G73" s="8"/>
      <c r="H73" s="28" t="s">
        <v>82</v>
      </c>
      <c r="I73" s="20">
        <v>1</v>
      </c>
      <c r="J73" s="21">
        <f>I73/I$72</f>
        <v>0.14285714285714285</v>
      </c>
    </row>
    <row r="74" spans="1:10" ht="15.75" thickBot="1" x14ac:dyDescent="0.3">
      <c r="A74" t="s">
        <v>1167</v>
      </c>
      <c r="B74" s="10"/>
      <c r="C74">
        <v>6</v>
      </c>
      <c r="D74" s="12"/>
      <c r="E74" s="30" t="s">
        <v>1168</v>
      </c>
      <c r="F74" s="27">
        <f>C75/C$71</f>
        <v>0.4</v>
      </c>
      <c r="G74" s="8"/>
      <c r="H74" s="28" t="s">
        <v>85</v>
      </c>
      <c r="I74" s="20">
        <v>6</v>
      </c>
      <c r="J74" s="21">
        <f>I74/I$72</f>
        <v>0.8571428571428571</v>
      </c>
    </row>
    <row r="75" spans="1:10" ht="15.75" thickBot="1" x14ac:dyDescent="0.3">
      <c r="A75" t="s">
        <v>1168</v>
      </c>
      <c r="B75" s="10"/>
      <c r="C75">
        <v>4</v>
      </c>
      <c r="D75" s="12"/>
      <c r="E75" s="37"/>
      <c r="F75" s="38"/>
      <c r="G75" s="8"/>
      <c r="H75" s="28" t="s">
        <v>87</v>
      </c>
      <c r="I75" s="20">
        <v>0</v>
      </c>
      <c r="J75" s="21">
        <f>I75/I$72</f>
        <v>0</v>
      </c>
    </row>
    <row r="76" spans="1:10" ht="15.75" thickBot="1" x14ac:dyDescent="0.3">
      <c r="A76" s="9"/>
      <c r="B76" s="10"/>
      <c r="C76" t="s">
        <v>27</v>
      </c>
      <c r="D76" s="12"/>
      <c r="E76" s="32" t="s">
        <v>81</v>
      </c>
      <c r="F76" s="14"/>
      <c r="G76" s="8"/>
      <c r="H76" s="30" t="s">
        <v>89</v>
      </c>
      <c r="I76" s="26">
        <v>0</v>
      </c>
      <c r="J76" s="27">
        <f>I76/I$72</f>
        <v>0</v>
      </c>
    </row>
    <row r="77" spans="1:10" x14ac:dyDescent="0.25">
      <c r="A77" s="9" t="s">
        <v>83</v>
      </c>
      <c r="B77" s="10"/>
      <c r="D77" s="12"/>
      <c r="E77" s="29" t="s">
        <v>84</v>
      </c>
      <c r="F77" s="21">
        <f t="shared" ref="F77:F82" si="4">C78/C$35</f>
        <v>0.55555555555555558</v>
      </c>
      <c r="G77" s="8"/>
    </row>
    <row r="78" spans="1:10" ht="15.75" thickBot="1" x14ac:dyDescent="0.3">
      <c r="A78" s="9" t="s">
        <v>84</v>
      </c>
      <c r="B78" s="10"/>
      <c r="C78">
        <v>15</v>
      </c>
      <c r="D78" s="12"/>
      <c r="E78" s="18" t="s">
        <v>86</v>
      </c>
      <c r="F78" s="21">
        <f t="shared" si="4"/>
        <v>3.7037037037037035E-2</v>
      </c>
      <c r="G78" s="8"/>
    </row>
    <row r="79" spans="1:10" x14ac:dyDescent="0.25">
      <c r="A79" s="9" t="s">
        <v>86</v>
      </c>
      <c r="B79" s="10"/>
      <c r="C79">
        <v>1</v>
      </c>
      <c r="D79" s="12"/>
      <c r="E79" s="18" t="s">
        <v>88</v>
      </c>
      <c r="F79" s="21">
        <f t="shared" si="4"/>
        <v>0</v>
      </c>
      <c r="G79" s="8"/>
      <c r="H79" s="15" t="s">
        <v>46</v>
      </c>
      <c r="I79" s="16">
        <v>2</v>
      </c>
      <c r="J79" s="17"/>
    </row>
    <row r="80" spans="1:10" x14ac:dyDescent="0.25">
      <c r="A80" s="9" t="s">
        <v>88</v>
      </c>
      <c r="B80" s="10"/>
      <c r="C80">
        <v>0</v>
      </c>
      <c r="D80" s="12"/>
      <c r="E80" s="18" t="s">
        <v>90</v>
      </c>
      <c r="F80" s="21">
        <f t="shared" si="4"/>
        <v>0</v>
      </c>
      <c r="G80" s="8"/>
      <c r="H80" s="28" t="s">
        <v>92</v>
      </c>
      <c r="I80" s="20">
        <v>0</v>
      </c>
      <c r="J80" s="21">
        <f>I80/I$79</f>
        <v>0</v>
      </c>
    </row>
    <row r="81" spans="1:10" x14ac:dyDescent="0.25">
      <c r="A81" s="9" t="s">
        <v>90</v>
      </c>
      <c r="B81" s="10"/>
      <c r="C81">
        <v>0</v>
      </c>
      <c r="D81" s="12"/>
      <c r="E81" s="18" t="s">
        <v>91</v>
      </c>
      <c r="F81" s="21">
        <f t="shared" si="4"/>
        <v>0.37037037037037035</v>
      </c>
      <c r="G81" s="8"/>
      <c r="H81" s="28" t="s">
        <v>94</v>
      </c>
      <c r="I81" s="20">
        <v>0</v>
      </c>
      <c r="J81" s="21">
        <f t="shared" ref="J81:J89" si="5">I81/I$79</f>
        <v>0</v>
      </c>
    </row>
    <row r="82" spans="1:10" ht="15.75" thickBot="1" x14ac:dyDescent="0.3">
      <c r="A82" s="9" t="s">
        <v>91</v>
      </c>
      <c r="B82" s="10"/>
      <c r="C82">
        <v>10</v>
      </c>
      <c r="D82" s="12"/>
      <c r="E82" s="23" t="s">
        <v>46</v>
      </c>
      <c r="F82" s="27">
        <f t="shared" si="4"/>
        <v>3.7037037037037035E-2</v>
      </c>
      <c r="G82" s="8"/>
      <c r="H82" s="28" t="s">
        <v>97</v>
      </c>
      <c r="I82" s="20">
        <v>0</v>
      </c>
      <c r="J82" s="21">
        <f t="shared" si="5"/>
        <v>0</v>
      </c>
    </row>
    <row r="83" spans="1:10" ht="15.75" thickBot="1" x14ac:dyDescent="0.3">
      <c r="A83" s="9" t="s">
        <v>46</v>
      </c>
      <c r="B83" s="10"/>
      <c r="C83">
        <v>1</v>
      </c>
      <c r="D83" s="12"/>
      <c r="E83" s="12"/>
      <c r="F83" s="25"/>
      <c r="G83" s="8"/>
      <c r="H83" s="28" t="s">
        <v>99</v>
      </c>
      <c r="I83" s="20">
        <v>0</v>
      </c>
      <c r="J83" s="21">
        <f t="shared" si="5"/>
        <v>0</v>
      </c>
    </row>
    <row r="84" spans="1:10" x14ac:dyDescent="0.25">
      <c r="A84" s="9"/>
      <c r="B84" s="10"/>
      <c r="D84" s="12"/>
      <c r="E84" s="13" t="s">
        <v>93</v>
      </c>
      <c r="F84" s="14"/>
      <c r="G84" s="8"/>
      <c r="H84" s="28" t="s">
        <v>101</v>
      </c>
      <c r="I84" s="20">
        <v>1</v>
      </c>
      <c r="J84" s="21">
        <f t="shared" si="5"/>
        <v>0.5</v>
      </c>
    </row>
    <row r="85" spans="1:10" x14ac:dyDescent="0.25">
      <c r="A85" s="9" t="s">
        <v>95</v>
      </c>
      <c r="B85" s="10"/>
      <c r="C85">
        <v>4</v>
      </c>
      <c r="D85" s="12"/>
      <c r="E85" s="18" t="s">
        <v>96</v>
      </c>
      <c r="F85" s="21">
        <f>C86/C$35</f>
        <v>0.48148148148148145</v>
      </c>
      <c r="G85" s="8"/>
      <c r="H85" s="66" t="s">
        <v>159</v>
      </c>
      <c r="I85" s="68">
        <v>0</v>
      </c>
      <c r="J85" s="21">
        <f t="shared" si="5"/>
        <v>0</v>
      </c>
    </row>
    <row r="86" spans="1:10" x14ac:dyDescent="0.25">
      <c r="A86" s="9" t="s">
        <v>96</v>
      </c>
      <c r="B86" s="10"/>
      <c r="C86">
        <v>13</v>
      </c>
      <c r="D86" s="12"/>
      <c r="E86" s="18" t="s">
        <v>98</v>
      </c>
      <c r="F86" s="21">
        <f>C87/C$35</f>
        <v>0.40740740740740738</v>
      </c>
      <c r="G86" s="8"/>
      <c r="H86" s="66" t="s">
        <v>160</v>
      </c>
      <c r="I86" s="68">
        <v>0</v>
      </c>
      <c r="J86" s="21">
        <f t="shared" si="5"/>
        <v>0</v>
      </c>
    </row>
    <row r="87" spans="1:10" x14ac:dyDescent="0.25">
      <c r="A87" s="9" t="s">
        <v>98</v>
      </c>
      <c r="B87" s="10"/>
      <c r="C87">
        <v>11</v>
      </c>
      <c r="D87" s="12"/>
      <c r="E87" s="18" t="s">
        <v>100</v>
      </c>
      <c r="F87" s="21">
        <f>C88/C$35</f>
        <v>7.407407407407407E-2</v>
      </c>
      <c r="G87" s="8"/>
      <c r="H87" s="66" t="s">
        <v>161</v>
      </c>
      <c r="I87" s="68">
        <v>0</v>
      </c>
      <c r="J87" s="21">
        <f t="shared" si="5"/>
        <v>0</v>
      </c>
    </row>
    <row r="88" spans="1:10" x14ac:dyDescent="0.25">
      <c r="A88" s="9" t="s">
        <v>100</v>
      </c>
      <c r="B88" s="10"/>
      <c r="C88">
        <v>2</v>
      </c>
      <c r="D88" s="12"/>
      <c r="E88" s="18" t="s">
        <v>102</v>
      </c>
      <c r="F88" s="21">
        <f>C89/C$35</f>
        <v>0</v>
      </c>
      <c r="G88" s="8"/>
      <c r="H88" s="66" t="s">
        <v>162</v>
      </c>
      <c r="I88" s="68">
        <v>0</v>
      </c>
      <c r="J88" s="21">
        <f t="shared" si="5"/>
        <v>0</v>
      </c>
    </row>
    <row r="89" spans="1:10" ht="15.75" thickBot="1" x14ac:dyDescent="0.3">
      <c r="A89" s="9" t="s">
        <v>102</v>
      </c>
      <c r="B89" s="10"/>
      <c r="C89">
        <v>0</v>
      </c>
      <c r="E89" s="23" t="s">
        <v>103</v>
      </c>
      <c r="F89" s="27">
        <f>C90/C$35</f>
        <v>3.7037037037037035E-2</v>
      </c>
      <c r="H89" s="67" t="s">
        <v>163</v>
      </c>
      <c r="I89" s="26">
        <v>0</v>
      </c>
      <c r="J89" s="27">
        <f t="shared" si="5"/>
        <v>0</v>
      </c>
    </row>
    <row r="90" spans="1:10" x14ac:dyDescent="0.25">
      <c r="A90" s="9" t="s">
        <v>103</v>
      </c>
      <c r="B90" s="10"/>
      <c r="C90">
        <v>1</v>
      </c>
      <c r="E90" s="12"/>
    </row>
    <row r="91" spans="1:10" x14ac:dyDescent="0.25">
      <c r="A91" s="9" t="s">
        <v>104</v>
      </c>
      <c r="B91" s="10"/>
      <c r="C91">
        <v>0</v>
      </c>
      <c r="E91" s="12"/>
    </row>
    <row r="92" spans="1:10" x14ac:dyDescent="0.25">
      <c r="A92" s="9"/>
      <c r="B92" s="10"/>
      <c r="E92" s="12"/>
    </row>
    <row r="93" spans="1:10" ht="15.75" thickBot="1" x14ac:dyDescent="0.3"/>
    <row r="94" spans="1:10" x14ac:dyDescent="0.25">
      <c r="A94" s="89" t="s">
        <v>7</v>
      </c>
      <c r="B94" s="90"/>
    </row>
    <row r="95" spans="1:10" x14ac:dyDescent="0.25">
      <c r="A95" s="91" t="s">
        <v>84</v>
      </c>
      <c r="B95" s="92">
        <f>SUM(F2:F3,F5,F7:F8,F12:F14,F16,F23:F28)</f>
        <v>26089.29</v>
      </c>
    </row>
    <row r="96" spans="1:10" x14ac:dyDescent="0.25">
      <c r="A96" s="91" t="s">
        <v>281</v>
      </c>
      <c r="B96" s="92">
        <f>SUM(F4,F9,F11,F15,F17:F22)</f>
        <v>13261.48</v>
      </c>
    </row>
    <row r="97" spans="1:2" x14ac:dyDescent="0.25">
      <c r="A97" s="91" t="s">
        <v>291</v>
      </c>
      <c r="B97" s="92">
        <f>SUM(F6,)</f>
        <v>1185</v>
      </c>
    </row>
    <row r="98" spans="1:2" x14ac:dyDescent="0.25">
      <c r="A98" s="91" t="s">
        <v>46</v>
      </c>
      <c r="B98" s="93">
        <v>592</v>
      </c>
    </row>
    <row r="99" spans="1:2" ht="15.75" thickBot="1" x14ac:dyDescent="0.3">
      <c r="A99" s="94"/>
      <c r="B99" s="95">
        <f>SUM(B95:B98)</f>
        <v>41127.770000000004</v>
      </c>
    </row>
  </sheetData>
  <mergeCells count="1">
    <mergeCell ref="A31:F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4"/>
  <sheetViews>
    <sheetView topLeftCell="A69" workbookViewId="0"/>
  </sheetViews>
  <sheetFormatPr baseColWidth="10" defaultRowHeight="15" customHeight="1" x14ac:dyDescent="0.25"/>
  <cols>
    <col min="2" max="2" width="34.140625" customWidth="1"/>
    <col min="3" max="3" width="12.28515625" customWidth="1"/>
    <col min="4" max="4" width="7" customWidth="1"/>
    <col min="6" max="6" width="13.28515625" customWidth="1"/>
    <col min="7" max="7" width="34.42578125" customWidth="1"/>
  </cols>
  <sheetData>
    <row r="1" spans="1:8" ht="15" customHeight="1" x14ac:dyDescent="0.25">
      <c r="A1" s="3" t="s">
        <v>2</v>
      </c>
      <c r="B1" s="4" t="s">
        <v>3</v>
      </c>
      <c r="C1" s="4" t="s">
        <v>5</v>
      </c>
      <c r="D1" s="4" t="s">
        <v>15</v>
      </c>
      <c r="E1" s="7" t="s">
        <v>6</v>
      </c>
      <c r="F1" s="5" t="s">
        <v>8</v>
      </c>
      <c r="G1" s="6" t="s">
        <v>10</v>
      </c>
      <c r="H1" s="1" t="s">
        <v>11</v>
      </c>
    </row>
    <row r="2" spans="1:8" ht="15" customHeight="1" x14ac:dyDescent="0.25">
      <c r="A2" s="10">
        <v>44621</v>
      </c>
      <c r="B2" t="s">
        <v>577</v>
      </c>
      <c r="C2" t="s">
        <v>96</v>
      </c>
      <c r="D2" t="s">
        <v>32</v>
      </c>
      <c r="E2" t="s">
        <v>168</v>
      </c>
      <c r="F2" s="47">
        <v>4290.8</v>
      </c>
      <c r="G2" t="s">
        <v>244</v>
      </c>
      <c r="H2" t="s">
        <v>587</v>
      </c>
    </row>
    <row r="3" spans="1:8" ht="15" customHeight="1" x14ac:dyDescent="0.25">
      <c r="A3" s="10">
        <v>44622</v>
      </c>
      <c r="B3" t="s">
        <v>583</v>
      </c>
      <c r="C3" t="s">
        <v>362</v>
      </c>
      <c r="D3" t="s">
        <v>30</v>
      </c>
      <c r="E3" t="s">
        <v>168</v>
      </c>
      <c r="F3" s="47">
        <v>925</v>
      </c>
      <c r="G3" t="s">
        <v>586</v>
      </c>
      <c r="H3" t="s">
        <v>595</v>
      </c>
    </row>
    <row r="4" spans="1:8" ht="15" customHeight="1" x14ac:dyDescent="0.25">
      <c r="A4" s="10">
        <v>44623</v>
      </c>
      <c r="B4" t="s">
        <v>590</v>
      </c>
      <c r="C4" t="s">
        <v>96</v>
      </c>
      <c r="D4" t="s">
        <v>30</v>
      </c>
      <c r="E4" t="s">
        <v>593</v>
      </c>
      <c r="F4" s="47">
        <v>824.83</v>
      </c>
      <c r="G4" t="s">
        <v>594</v>
      </c>
      <c r="H4" t="s">
        <v>606</v>
      </c>
    </row>
    <row r="5" spans="1:8" ht="15" customHeight="1" x14ac:dyDescent="0.25">
      <c r="A5" s="10">
        <v>44623</v>
      </c>
      <c r="B5" t="s">
        <v>596</v>
      </c>
      <c r="C5" t="s">
        <v>96</v>
      </c>
      <c r="D5" t="s">
        <v>30</v>
      </c>
      <c r="E5" t="s">
        <v>168</v>
      </c>
      <c r="F5" s="47">
        <v>900</v>
      </c>
      <c r="G5" t="s">
        <v>244</v>
      </c>
      <c r="H5" t="s">
        <v>605</v>
      </c>
    </row>
    <row r="6" spans="1:8" ht="15" customHeight="1" x14ac:dyDescent="0.25">
      <c r="A6" s="10">
        <v>44625</v>
      </c>
      <c r="B6" t="s">
        <v>600</v>
      </c>
      <c r="C6" t="s">
        <v>96</v>
      </c>
      <c r="D6" t="s">
        <v>30</v>
      </c>
      <c r="E6" t="s">
        <v>602</v>
      </c>
      <c r="F6" s="47">
        <v>3575</v>
      </c>
      <c r="G6" t="s">
        <v>603</v>
      </c>
      <c r="H6" t="s">
        <v>604</v>
      </c>
    </row>
    <row r="7" spans="1:8" ht="15" customHeight="1" x14ac:dyDescent="0.25">
      <c r="A7" s="10">
        <v>44623</v>
      </c>
      <c r="B7" t="s">
        <v>611</v>
      </c>
      <c r="C7" t="s">
        <v>96</v>
      </c>
      <c r="D7" t="s">
        <v>30</v>
      </c>
      <c r="E7" t="s">
        <v>168</v>
      </c>
      <c r="F7" s="47">
        <v>1592.99</v>
      </c>
      <c r="G7" t="s">
        <v>614</v>
      </c>
      <c r="H7" t="s">
        <v>623</v>
      </c>
    </row>
    <row r="8" spans="1:8" ht="15" customHeight="1" x14ac:dyDescent="0.25">
      <c r="A8" s="10">
        <v>44627</v>
      </c>
      <c r="B8" t="s">
        <v>535</v>
      </c>
      <c r="C8" t="s">
        <v>96</v>
      </c>
      <c r="D8" t="s">
        <v>30</v>
      </c>
      <c r="E8" t="s">
        <v>281</v>
      </c>
      <c r="F8" s="47">
        <v>1206.9000000000001</v>
      </c>
      <c r="G8" t="s">
        <v>536</v>
      </c>
      <c r="H8" t="s">
        <v>80</v>
      </c>
    </row>
    <row r="9" spans="1:8" ht="15" customHeight="1" x14ac:dyDescent="0.25">
      <c r="A9" s="10">
        <v>44629</v>
      </c>
      <c r="B9" t="s">
        <v>615</v>
      </c>
      <c r="C9" t="s">
        <v>96</v>
      </c>
      <c r="D9" t="s">
        <v>32</v>
      </c>
      <c r="E9" t="s">
        <v>168</v>
      </c>
      <c r="F9" s="47">
        <v>2154.6</v>
      </c>
      <c r="G9" t="s">
        <v>618</v>
      </c>
      <c r="H9" t="s">
        <v>192</v>
      </c>
    </row>
    <row r="10" spans="1:8" ht="15" customHeight="1" x14ac:dyDescent="0.25">
      <c r="A10" s="10">
        <v>44632</v>
      </c>
      <c r="B10" t="s">
        <v>619</v>
      </c>
      <c r="C10" t="s">
        <v>360</v>
      </c>
      <c r="D10" t="s">
        <v>30</v>
      </c>
      <c r="E10" t="s">
        <v>168</v>
      </c>
      <c r="F10" s="47">
        <v>1338</v>
      </c>
      <c r="G10" t="s">
        <v>760</v>
      </c>
      <c r="H10" t="s">
        <v>624</v>
      </c>
    </row>
    <row r="11" spans="1:8" ht="15" customHeight="1" x14ac:dyDescent="0.25">
      <c r="A11" s="10">
        <v>44634</v>
      </c>
      <c r="B11" t="s">
        <v>627</v>
      </c>
      <c r="C11" t="s">
        <v>360</v>
      </c>
      <c r="D11" t="s">
        <v>30</v>
      </c>
      <c r="E11" t="s">
        <v>281</v>
      </c>
      <c r="F11" s="47">
        <v>1917</v>
      </c>
      <c r="G11" t="s">
        <v>630</v>
      </c>
      <c r="H11" t="s">
        <v>329</v>
      </c>
    </row>
    <row r="12" spans="1:8" ht="15" customHeight="1" x14ac:dyDescent="0.25">
      <c r="A12" s="10">
        <v>44635</v>
      </c>
      <c r="B12" t="s">
        <v>631</v>
      </c>
      <c r="C12" t="s">
        <v>360</v>
      </c>
      <c r="D12" t="s">
        <v>32</v>
      </c>
      <c r="E12" t="s">
        <v>168</v>
      </c>
      <c r="F12" s="47">
        <v>1733.04</v>
      </c>
      <c r="G12" t="s">
        <v>634</v>
      </c>
      <c r="H12" t="s">
        <v>642</v>
      </c>
    </row>
    <row r="13" spans="1:8" ht="15" customHeight="1" x14ac:dyDescent="0.25">
      <c r="A13" s="10">
        <v>44628</v>
      </c>
      <c r="B13" t="s">
        <v>638</v>
      </c>
      <c r="C13" t="s">
        <v>96</v>
      </c>
      <c r="D13" t="s">
        <v>30</v>
      </c>
      <c r="E13" t="s">
        <v>251</v>
      </c>
      <c r="F13" s="47">
        <v>2463.65</v>
      </c>
      <c r="G13" t="s">
        <v>640</v>
      </c>
      <c r="H13" t="s">
        <v>641</v>
      </c>
    </row>
    <row r="14" spans="1:8" ht="15" customHeight="1" x14ac:dyDescent="0.25">
      <c r="A14" s="10">
        <v>44629</v>
      </c>
      <c r="B14" t="s">
        <v>643</v>
      </c>
      <c r="C14" t="s">
        <v>96</v>
      </c>
      <c r="D14" t="s">
        <v>30</v>
      </c>
      <c r="E14" t="s">
        <v>168</v>
      </c>
      <c r="F14" s="47">
        <v>1063</v>
      </c>
      <c r="G14" t="s">
        <v>646</v>
      </c>
      <c r="H14" t="s">
        <v>192</v>
      </c>
    </row>
    <row r="15" spans="1:8" ht="15" customHeight="1" x14ac:dyDescent="0.25">
      <c r="A15" s="10">
        <v>44636</v>
      </c>
      <c r="B15" t="s">
        <v>647</v>
      </c>
      <c r="C15" t="s">
        <v>96</v>
      </c>
      <c r="D15" t="s">
        <v>30</v>
      </c>
      <c r="E15" t="s">
        <v>281</v>
      </c>
      <c r="F15" s="47">
        <v>1777</v>
      </c>
      <c r="G15" t="s">
        <v>650</v>
      </c>
      <c r="H15" t="s">
        <v>329</v>
      </c>
    </row>
    <row r="16" spans="1:8" ht="15" customHeight="1" x14ac:dyDescent="0.25">
      <c r="A16" s="10">
        <v>44634</v>
      </c>
      <c r="B16" t="s">
        <v>653</v>
      </c>
      <c r="C16" t="s">
        <v>362</v>
      </c>
      <c r="D16" t="s">
        <v>32</v>
      </c>
      <c r="E16" t="s">
        <v>291</v>
      </c>
      <c r="F16" s="47">
        <v>4361.45</v>
      </c>
      <c r="G16" t="s">
        <v>655</v>
      </c>
      <c r="H16" t="s">
        <v>656</v>
      </c>
    </row>
    <row r="17" spans="1:8" ht="15" customHeight="1" x14ac:dyDescent="0.25">
      <c r="A17" s="10">
        <v>44636</v>
      </c>
      <c r="B17" t="s">
        <v>657</v>
      </c>
      <c r="C17" t="s">
        <v>758</v>
      </c>
      <c r="D17" t="s">
        <v>32</v>
      </c>
      <c r="E17" t="s">
        <v>291</v>
      </c>
      <c r="F17" s="47">
        <v>5190.8</v>
      </c>
      <c r="G17" t="s">
        <v>655</v>
      </c>
      <c r="H17" t="s">
        <v>656</v>
      </c>
    </row>
    <row r="18" spans="1:8" ht="15" customHeight="1" x14ac:dyDescent="0.25">
      <c r="A18" s="10">
        <v>44638</v>
      </c>
      <c r="B18" t="s">
        <v>647</v>
      </c>
      <c r="C18" t="s">
        <v>96</v>
      </c>
      <c r="D18" t="s">
        <v>30</v>
      </c>
      <c r="E18" t="s">
        <v>281</v>
      </c>
      <c r="F18" s="47">
        <v>1172.1500000000001</v>
      </c>
      <c r="G18" t="s">
        <v>252</v>
      </c>
      <c r="H18" t="s">
        <v>80</v>
      </c>
    </row>
    <row r="19" spans="1:8" ht="15" customHeight="1" x14ac:dyDescent="0.25">
      <c r="A19" s="10">
        <v>44639</v>
      </c>
      <c r="B19" t="s">
        <v>662</v>
      </c>
      <c r="C19" t="s">
        <v>360</v>
      </c>
      <c r="D19" t="s">
        <v>30</v>
      </c>
      <c r="E19" t="s">
        <v>281</v>
      </c>
      <c r="F19" s="47">
        <v>888</v>
      </c>
      <c r="G19" t="s">
        <v>665</v>
      </c>
      <c r="H19" t="s">
        <v>329</v>
      </c>
    </row>
    <row r="20" spans="1:8" ht="15" customHeight="1" x14ac:dyDescent="0.25">
      <c r="A20" s="10">
        <v>44639</v>
      </c>
      <c r="B20" t="s">
        <v>666</v>
      </c>
      <c r="C20" t="s">
        <v>96</v>
      </c>
      <c r="D20" t="s">
        <v>30</v>
      </c>
      <c r="E20" t="s">
        <v>291</v>
      </c>
      <c r="F20" s="47">
        <v>2130</v>
      </c>
      <c r="G20" t="s">
        <v>669</v>
      </c>
      <c r="H20" t="s">
        <v>192</v>
      </c>
    </row>
    <row r="21" spans="1:8" ht="15" customHeight="1" x14ac:dyDescent="0.25">
      <c r="A21" s="10">
        <v>44641</v>
      </c>
      <c r="B21" t="s">
        <v>672</v>
      </c>
      <c r="C21" t="s">
        <v>362</v>
      </c>
      <c r="D21" t="s">
        <v>30</v>
      </c>
      <c r="E21" t="s">
        <v>168</v>
      </c>
      <c r="F21" s="47">
        <v>904</v>
      </c>
      <c r="G21" t="s">
        <v>675</v>
      </c>
      <c r="H21" t="s">
        <v>676</v>
      </c>
    </row>
    <row r="22" spans="1:8" ht="15" customHeight="1" x14ac:dyDescent="0.25">
      <c r="A22" s="10">
        <v>44636</v>
      </c>
      <c r="B22" t="s">
        <v>677</v>
      </c>
      <c r="C22" t="s">
        <v>360</v>
      </c>
      <c r="D22" t="s">
        <v>30</v>
      </c>
      <c r="E22" t="s">
        <v>168</v>
      </c>
      <c r="F22" s="47">
        <v>4258.1000000000004</v>
      </c>
      <c r="G22" t="s">
        <v>680</v>
      </c>
      <c r="H22" t="s">
        <v>192</v>
      </c>
    </row>
    <row r="23" spans="1:8" ht="15" customHeight="1" x14ac:dyDescent="0.25">
      <c r="A23" s="10">
        <v>44642</v>
      </c>
      <c r="B23" t="s">
        <v>683</v>
      </c>
      <c r="C23" t="s">
        <v>96</v>
      </c>
      <c r="D23" t="s">
        <v>32</v>
      </c>
      <c r="E23" t="s">
        <v>281</v>
      </c>
      <c r="F23" s="47">
        <v>1125.71</v>
      </c>
      <c r="G23" t="s">
        <v>686</v>
      </c>
      <c r="H23" t="s">
        <v>329</v>
      </c>
    </row>
    <row r="24" spans="1:8" ht="15" customHeight="1" x14ac:dyDescent="0.25">
      <c r="A24" s="10">
        <v>44642</v>
      </c>
      <c r="B24" t="s">
        <v>687</v>
      </c>
      <c r="C24" t="s">
        <v>360</v>
      </c>
      <c r="D24" t="s">
        <v>30</v>
      </c>
      <c r="E24" t="s">
        <v>168</v>
      </c>
      <c r="F24" s="47">
        <v>2152.5</v>
      </c>
      <c r="G24" t="s">
        <v>690</v>
      </c>
      <c r="H24" t="s">
        <v>277</v>
      </c>
    </row>
    <row r="25" spans="1:8" ht="15" customHeight="1" x14ac:dyDescent="0.25">
      <c r="A25" s="10">
        <v>44586</v>
      </c>
      <c r="B25" t="s">
        <v>692</v>
      </c>
      <c r="C25" t="s">
        <v>96</v>
      </c>
      <c r="D25" t="s">
        <v>30</v>
      </c>
      <c r="E25" t="s">
        <v>291</v>
      </c>
      <c r="F25" s="47">
        <v>1967.4</v>
      </c>
      <c r="G25" t="s">
        <v>695</v>
      </c>
      <c r="H25" t="s">
        <v>240</v>
      </c>
    </row>
    <row r="26" spans="1:8" ht="15" customHeight="1" x14ac:dyDescent="0.25">
      <c r="A26" s="10">
        <v>44644</v>
      </c>
      <c r="B26" t="s">
        <v>698</v>
      </c>
      <c r="C26" t="s">
        <v>360</v>
      </c>
      <c r="D26" t="s">
        <v>32</v>
      </c>
      <c r="E26" t="s">
        <v>291</v>
      </c>
      <c r="F26" s="47">
        <v>5319.05</v>
      </c>
      <c r="G26" t="s">
        <v>655</v>
      </c>
      <c r="H26" t="s">
        <v>656</v>
      </c>
    </row>
    <row r="27" spans="1:8" ht="15" customHeight="1" x14ac:dyDescent="0.25">
      <c r="A27" s="10">
        <v>44645</v>
      </c>
      <c r="B27" t="s">
        <v>700</v>
      </c>
      <c r="C27" t="s">
        <v>360</v>
      </c>
      <c r="D27" t="s">
        <v>32</v>
      </c>
      <c r="E27" t="s">
        <v>291</v>
      </c>
      <c r="F27" s="47">
        <v>5921.35</v>
      </c>
      <c r="G27" t="s">
        <v>655</v>
      </c>
      <c r="H27" t="s">
        <v>656</v>
      </c>
    </row>
    <row r="28" spans="1:8" ht="15" customHeight="1" x14ac:dyDescent="0.25">
      <c r="A28" s="10">
        <v>44645</v>
      </c>
      <c r="B28" t="s">
        <v>687</v>
      </c>
      <c r="C28" t="s">
        <v>758</v>
      </c>
      <c r="D28" t="s">
        <v>30</v>
      </c>
      <c r="E28" t="s">
        <v>281</v>
      </c>
      <c r="F28" s="47">
        <v>2273</v>
      </c>
      <c r="G28" t="s">
        <v>706</v>
      </c>
      <c r="H28" t="s">
        <v>80</v>
      </c>
    </row>
    <row r="29" spans="1:8" ht="15" customHeight="1" x14ac:dyDescent="0.25">
      <c r="A29" s="10">
        <v>44645</v>
      </c>
      <c r="B29" t="s">
        <v>692</v>
      </c>
      <c r="C29" t="s">
        <v>96</v>
      </c>
      <c r="D29" t="s">
        <v>32</v>
      </c>
      <c r="E29" t="s">
        <v>281</v>
      </c>
      <c r="F29" s="47">
        <v>1620.28</v>
      </c>
      <c r="G29" t="s">
        <v>709</v>
      </c>
      <c r="H29" t="s">
        <v>80</v>
      </c>
    </row>
    <row r="30" spans="1:8" ht="15" customHeight="1" x14ac:dyDescent="0.25">
      <c r="A30" s="10">
        <v>44646</v>
      </c>
      <c r="B30" t="s">
        <v>710</v>
      </c>
      <c r="C30" t="s">
        <v>360</v>
      </c>
      <c r="D30" t="s">
        <v>30</v>
      </c>
      <c r="E30" t="s">
        <v>168</v>
      </c>
      <c r="F30" s="47">
        <v>3099</v>
      </c>
      <c r="G30" t="s">
        <v>713</v>
      </c>
      <c r="H30" t="s">
        <v>277</v>
      </c>
    </row>
    <row r="31" spans="1:8" ht="15" customHeight="1" x14ac:dyDescent="0.25">
      <c r="A31" s="10">
        <v>44643</v>
      </c>
      <c r="B31" t="s">
        <v>716</v>
      </c>
      <c r="C31" t="s">
        <v>96</v>
      </c>
      <c r="D31" t="s">
        <v>32</v>
      </c>
      <c r="E31" t="s">
        <v>168</v>
      </c>
      <c r="F31" s="47">
        <v>7717.87</v>
      </c>
      <c r="G31" t="s">
        <v>719</v>
      </c>
      <c r="H31" t="s">
        <v>732</v>
      </c>
    </row>
    <row r="32" spans="1:8" ht="15" customHeight="1" x14ac:dyDescent="0.25">
      <c r="A32" s="10">
        <v>44643</v>
      </c>
      <c r="B32" t="s">
        <v>720</v>
      </c>
      <c r="C32" t="s">
        <v>96</v>
      </c>
      <c r="D32" t="s">
        <v>30</v>
      </c>
      <c r="E32" t="s">
        <v>168</v>
      </c>
      <c r="F32" s="47">
        <v>932.4</v>
      </c>
      <c r="G32" t="s">
        <v>723</v>
      </c>
      <c r="H32" t="s">
        <v>277</v>
      </c>
    </row>
    <row r="33" spans="1:10" ht="15" customHeight="1" x14ac:dyDescent="0.25">
      <c r="A33" s="10">
        <v>44641</v>
      </c>
      <c r="B33" t="s">
        <v>728</v>
      </c>
      <c r="C33" t="s">
        <v>360</v>
      </c>
      <c r="D33" t="s">
        <v>30</v>
      </c>
      <c r="E33" t="s">
        <v>168</v>
      </c>
      <c r="F33" s="47">
        <v>1868</v>
      </c>
      <c r="G33" t="s">
        <v>731</v>
      </c>
      <c r="H33" t="s">
        <v>277</v>
      </c>
    </row>
    <row r="34" spans="1:10" ht="15" customHeight="1" x14ac:dyDescent="0.25">
      <c r="A34" s="10">
        <v>44649</v>
      </c>
      <c r="B34" t="s">
        <v>733</v>
      </c>
      <c r="C34" t="s">
        <v>360</v>
      </c>
      <c r="D34" t="s">
        <v>30</v>
      </c>
      <c r="E34" t="s">
        <v>168</v>
      </c>
      <c r="F34" s="47">
        <v>1759</v>
      </c>
      <c r="G34" t="s">
        <v>759</v>
      </c>
      <c r="H34" t="s">
        <v>741</v>
      </c>
    </row>
    <row r="35" spans="1:10" ht="15" customHeight="1" x14ac:dyDescent="0.25">
      <c r="A35" s="10">
        <v>44649</v>
      </c>
      <c r="B35" t="s">
        <v>737</v>
      </c>
      <c r="C35" t="s">
        <v>360</v>
      </c>
      <c r="D35" t="s">
        <v>32</v>
      </c>
      <c r="E35" t="s">
        <v>168</v>
      </c>
      <c r="F35" s="47">
        <v>784</v>
      </c>
      <c r="G35" t="s">
        <v>740</v>
      </c>
      <c r="H35" t="s">
        <v>752</v>
      </c>
    </row>
    <row r="36" spans="1:10" ht="15" customHeight="1" x14ac:dyDescent="0.25">
      <c r="A36" s="10">
        <v>44649</v>
      </c>
      <c r="B36" t="s">
        <v>742</v>
      </c>
      <c r="C36" t="s">
        <v>96</v>
      </c>
      <c r="D36" t="s">
        <v>30</v>
      </c>
      <c r="E36" t="s">
        <v>168</v>
      </c>
      <c r="F36" s="47">
        <v>2267</v>
      </c>
      <c r="G36" t="s">
        <v>745</v>
      </c>
      <c r="H36" t="s">
        <v>753</v>
      </c>
    </row>
    <row r="37" spans="1:10" ht="15" customHeight="1" x14ac:dyDescent="0.25">
      <c r="A37" s="10">
        <v>44650</v>
      </c>
      <c r="B37" t="s">
        <v>748</v>
      </c>
      <c r="C37" t="s">
        <v>360</v>
      </c>
      <c r="D37" t="s">
        <v>30</v>
      </c>
      <c r="E37" t="s">
        <v>291</v>
      </c>
      <c r="F37" s="47">
        <v>2065</v>
      </c>
      <c r="G37" t="s">
        <v>751</v>
      </c>
      <c r="H37" t="s">
        <v>192</v>
      </c>
    </row>
    <row r="38" spans="1:10" ht="15" customHeight="1" x14ac:dyDescent="0.25">
      <c r="A38" s="10">
        <v>44650</v>
      </c>
      <c r="B38" t="s">
        <v>754</v>
      </c>
      <c r="C38" t="s">
        <v>96</v>
      </c>
      <c r="D38" t="s">
        <v>30</v>
      </c>
      <c r="E38" t="s">
        <v>168</v>
      </c>
      <c r="F38" s="47">
        <v>2493</v>
      </c>
      <c r="G38" t="s">
        <v>757</v>
      </c>
      <c r="H38" t="s">
        <v>787</v>
      </c>
    </row>
    <row r="39" spans="1:10" ht="15" customHeight="1" x14ac:dyDescent="0.25">
      <c r="A39" s="10">
        <v>44651</v>
      </c>
      <c r="B39" t="s">
        <v>762</v>
      </c>
      <c r="C39" t="s">
        <v>96</v>
      </c>
      <c r="D39" t="s">
        <v>30</v>
      </c>
      <c r="E39" t="s">
        <v>168</v>
      </c>
      <c r="F39" s="47">
        <v>852</v>
      </c>
      <c r="G39" s="11" t="s">
        <v>766</v>
      </c>
      <c r="H39" s="47" t="s">
        <v>192</v>
      </c>
    </row>
    <row r="40" spans="1:10" ht="15" customHeight="1" x14ac:dyDescent="0.25">
      <c r="A40" s="10">
        <v>44642</v>
      </c>
      <c r="B40" t="s">
        <v>785</v>
      </c>
      <c r="C40" t="s">
        <v>96</v>
      </c>
      <c r="D40" t="s">
        <v>30</v>
      </c>
      <c r="E40" t="s">
        <v>168</v>
      </c>
      <c r="F40" s="47">
        <v>1115.8800000000001</v>
      </c>
      <c r="G40" s="11" t="s">
        <v>536</v>
      </c>
      <c r="H40" s="47" t="s">
        <v>786</v>
      </c>
    </row>
    <row r="41" spans="1:10" ht="15" customHeight="1" x14ac:dyDescent="0.25">
      <c r="A41" s="10">
        <v>44646</v>
      </c>
      <c r="B41" t="s">
        <v>172</v>
      </c>
      <c r="C41" t="s">
        <v>96</v>
      </c>
      <c r="D41" t="s">
        <v>30</v>
      </c>
      <c r="E41" t="s">
        <v>281</v>
      </c>
      <c r="F41" s="47">
        <v>1628.88</v>
      </c>
      <c r="G41" s="11" t="s">
        <v>788</v>
      </c>
      <c r="H41" s="47" t="s">
        <v>80</v>
      </c>
    </row>
    <row r="42" spans="1:10" ht="15" customHeight="1" x14ac:dyDescent="0.25">
      <c r="A42" s="10">
        <v>44651</v>
      </c>
      <c r="B42" t="s">
        <v>789</v>
      </c>
      <c r="C42" t="s">
        <v>96</v>
      </c>
      <c r="D42" t="s">
        <v>32</v>
      </c>
      <c r="E42" t="s">
        <v>168</v>
      </c>
      <c r="F42" s="47">
        <v>7200.46</v>
      </c>
      <c r="G42" s="11" t="s">
        <v>790</v>
      </c>
      <c r="H42" s="47" t="s">
        <v>784</v>
      </c>
    </row>
    <row r="43" spans="1:10" ht="15" customHeight="1" x14ac:dyDescent="0.25">
      <c r="A43" s="10">
        <v>44648</v>
      </c>
      <c r="B43" t="s">
        <v>792</v>
      </c>
      <c r="C43" t="s">
        <v>96</v>
      </c>
      <c r="D43" t="s">
        <v>30</v>
      </c>
      <c r="E43" t="s">
        <v>168</v>
      </c>
      <c r="F43" s="47">
        <v>1988</v>
      </c>
      <c r="G43" s="11" t="s">
        <v>797</v>
      </c>
      <c r="H43" s="47" t="s">
        <v>798</v>
      </c>
    </row>
    <row r="44" spans="1:10" ht="15" customHeight="1" x14ac:dyDescent="0.25">
      <c r="A44" s="10"/>
      <c r="G44" s="11"/>
      <c r="H44" s="47"/>
    </row>
    <row r="45" spans="1:10" ht="15" customHeight="1" x14ac:dyDescent="0.25">
      <c r="A45" s="10"/>
      <c r="G45" s="11"/>
      <c r="H45" s="47"/>
    </row>
    <row r="46" spans="1:10" ht="15" customHeight="1" thickBot="1" x14ac:dyDescent="0.3">
      <c r="A46" s="106" t="s">
        <v>16</v>
      </c>
      <c r="B46" s="106"/>
      <c r="C46" s="106"/>
      <c r="D46" s="106"/>
      <c r="E46" s="106"/>
      <c r="F46" s="106"/>
      <c r="G46" s="11"/>
      <c r="H46" s="47"/>
    </row>
    <row r="47" spans="1:10" ht="15" customHeight="1" x14ac:dyDescent="0.25">
      <c r="A47" s="9" t="s">
        <v>17</v>
      </c>
      <c r="B47" s="10"/>
      <c r="C47" s="11">
        <f>SUM(F2:F43)</f>
        <v>100816.09000000001</v>
      </c>
      <c r="D47" s="12"/>
      <c r="E47" s="13" t="s">
        <v>18</v>
      </c>
      <c r="F47" s="73"/>
      <c r="G47" s="8"/>
      <c r="H47" s="15" t="s">
        <v>19</v>
      </c>
      <c r="I47" s="16">
        <v>27</v>
      </c>
      <c r="J47" s="17"/>
    </row>
    <row r="48" spans="1:10" ht="15" customHeight="1" x14ac:dyDescent="0.25">
      <c r="A48" s="9"/>
      <c r="B48" s="10"/>
      <c r="C48" s="11"/>
      <c r="D48" s="12"/>
      <c r="E48" s="18" t="s">
        <v>20</v>
      </c>
      <c r="F48" s="74">
        <v>100816.09000000001</v>
      </c>
      <c r="G48" s="8"/>
      <c r="H48" s="18" t="s">
        <v>21</v>
      </c>
      <c r="I48" s="20">
        <v>5</v>
      </c>
      <c r="J48" s="21">
        <f>I48/I$47</f>
        <v>0.18518518518518517</v>
      </c>
    </row>
    <row r="49" spans="1:10" ht="15" customHeight="1" thickBot="1" x14ac:dyDescent="0.3">
      <c r="A49" s="9" t="s">
        <v>22</v>
      </c>
      <c r="B49" s="10"/>
      <c r="C49" s="22">
        <v>26</v>
      </c>
      <c r="D49" s="12"/>
      <c r="E49" s="23" t="s">
        <v>23</v>
      </c>
      <c r="F49" s="24">
        <f>C47/C49</f>
        <v>3877.5419230769235</v>
      </c>
      <c r="G49" s="8"/>
      <c r="H49" s="18" t="s">
        <v>24</v>
      </c>
      <c r="I49" s="20">
        <v>22</v>
      </c>
      <c r="J49" s="21">
        <f>I49/I$47</f>
        <v>0.81481481481481477</v>
      </c>
    </row>
    <row r="50" spans="1:10" ht="15" customHeight="1" thickBot="1" x14ac:dyDescent="0.3">
      <c r="A50" s="9" t="s">
        <v>25</v>
      </c>
      <c r="B50" s="10"/>
      <c r="C50">
        <v>42</v>
      </c>
      <c r="D50" s="12"/>
      <c r="E50" s="12"/>
      <c r="F50" s="47"/>
      <c r="G50" s="8"/>
      <c r="H50" s="23" t="s">
        <v>26</v>
      </c>
      <c r="I50" s="26">
        <v>0</v>
      </c>
      <c r="J50" s="27">
        <f>I50/I$47</f>
        <v>0</v>
      </c>
    </row>
    <row r="51" spans="1:10" ht="15" customHeight="1" x14ac:dyDescent="0.25">
      <c r="A51" s="9"/>
      <c r="B51" s="10"/>
      <c r="D51" s="12" t="s">
        <v>27</v>
      </c>
      <c r="E51" s="13" t="s">
        <v>28</v>
      </c>
      <c r="F51" s="73"/>
      <c r="G51" s="8"/>
    </row>
    <row r="52" spans="1:10" ht="15" customHeight="1" thickBot="1" x14ac:dyDescent="0.3">
      <c r="A52" s="9" t="s">
        <v>29</v>
      </c>
      <c r="B52" s="10"/>
      <c r="C52">
        <v>30</v>
      </c>
      <c r="D52" s="12" t="s">
        <v>27</v>
      </c>
      <c r="E52" s="18" t="s">
        <v>30</v>
      </c>
      <c r="F52" s="21">
        <f>C52/C$50</f>
        <v>0.7142857142857143</v>
      </c>
      <c r="G52" s="8"/>
    </row>
    <row r="53" spans="1:10" ht="15" customHeight="1" thickBot="1" x14ac:dyDescent="0.3">
      <c r="A53" s="9" t="s">
        <v>31</v>
      </c>
      <c r="B53" s="10"/>
      <c r="C53">
        <v>12</v>
      </c>
      <c r="D53" s="12"/>
      <c r="E53" s="23" t="s">
        <v>32</v>
      </c>
      <c r="F53" s="27">
        <f>C53/C$50</f>
        <v>0.2857142857142857</v>
      </c>
      <c r="G53" s="8"/>
      <c r="H53" s="15" t="s">
        <v>33</v>
      </c>
      <c r="I53" s="16">
        <v>24</v>
      </c>
      <c r="J53" s="17"/>
    </row>
    <row r="54" spans="1:10" ht="15" customHeight="1" thickBot="1" x14ac:dyDescent="0.3">
      <c r="A54" s="9"/>
      <c r="B54" s="10"/>
      <c r="D54" s="12"/>
      <c r="E54" s="12"/>
      <c r="F54" s="25"/>
      <c r="G54" s="8"/>
      <c r="H54" s="28" t="s">
        <v>34</v>
      </c>
      <c r="I54" s="20">
        <v>14</v>
      </c>
      <c r="J54" s="21">
        <f>I54/I$53</f>
        <v>0.58333333333333337</v>
      </c>
    </row>
    <row r="55" spans="1:10" ht="15" customHeight="1" x14ac:dyDescent="0.25">
      <c r="A55" s="9" t="s">
        <v>35</v>
      </c>
      <c r="B55" s="10"/>
      <c r="D55" s="12"/>
      <c r="E55" s="13" t="s">
        <v>36</v>
      </c>
      <c r="F55" s="14"/>
      <c r="G55" s="8"/>
      <c r="H55" s="28" t="s">
        <v>37</v>
      </c>
      <c r="I55" s="20">
        <v>3</v>
      </c>
      <c r="J55" s="21">
        <f>I55/I$53</f>
        <v>0.125</v>
      </c>
    </row>
    <row r="56" spans="1:10" ht="15" customHeight="1" thickBot="1" x14ac:dyDescent="0.3">
      <c r="A56" s="9" t="s">
        <v>38</v>
      </c>
      <c r="B56" s="10"/>
      <c r="C56">
        <v>3</v>
      </c>
      <c r="D56" s="12"/>
      <c r="E56" s="29" t="s">
        <v>38</v>
      </c>
      <c r="F56" s="21">
        <f>C56/C$65</f>
        <v>3.0927835051546393E-2</v>
      </c>
      <c r="G56" s="8"/>
      <c r="H56" s="30" t="s">
        <v>39</v>
      </c>
      <c r="I56" s="26">
        <v>7</v>
      </c>
      <c r="J56" s="27">
        <f>I56/I$53</f>
        <v>0.29166666666666669</v>
      </c>
    </row>
    <row r="57" spans="1:10" ht="15" customHeight="1" thickBot="1" x14ac:dyDescent="0.3">
      <c r="A57" s="9" t="s">
        <v>19</v>
      </c>
      <c r="B57" s="10"/>
      <c r="C57">
        <v>27</v>
      </c>
      <c r="D57" s="12"/>
      <c r="E57" s="29" t="s">
        <v>19</v>
      </c>
      <c r="F57" s="21">
        <f t="shared" ref="F57:F64" si="0">C57/C$65</f>
        <v>0.27835051546391754</v>
      </c>
      <c r="G57" s="8"/>
    </row>
    <row r="58" spans="1:10" ht="15" customHeight="1" x14ac:dyDescent="0.25">
      <c r="A58" s="9" t="s">
        <v>40</v>
      </c>
      <c r="B58" s="10"/>
      <c r="C58">
        <v>24</v>
      </c>
      <c r="D58" s="12"/>
      <c r="E58" s="29" t="s">
        <v>40</v>
      </c>
      <c r="F58" s="21">
        <f t="shared" si="0"/>
        <v>0.24742268041237114</v>
      </c>
      <c r="G58" s="12" t="s">
        <v>27</v>
      </c>
      <c r="H58" s="15" t="s">
        <v>365</v>
      </c>
      <c r="I58" s="16">
        <v>2</v>
      </c>
      <c r="J58" s="14">
        <f t="shared" ref="J58:J69" si="1">I58/I$53</f>
        <v>8.3333333333333329E-2</v>
      </c>
    </row>
    <row r="59" spans="1:10" ht="15" customHeight="1" x14ac:dyDescent="0.25">
      <c r="A59" s="9" t="s">
        <v>41</v>
      </c>
      <c r="B59" s="10"/>
      <c r="C59">
        <v>0</v>
      </c>
      <c r="D59" s="12"/>
      <c r="E59" s="29" t="s">
        <v>41</v>
      </c>
      <c r="F59" s="21">
        <f t="shared" si="0"/>
        <v>0</v>
      </c>
      <c r="G59" s="8"/>
      <c r="H59" s="28" t="s">
        <v>366</v>
      </c>
      <c r="I59" s="68">
        <v>1</v>
      </c>
      <c r="J59" s="21">
        <f t="shared" si="1"/>
        <v>4.1666666666666664E-2</v>
      </c>
    </row>
    <row r="60" spans="1:10" ht="15" customHeight="1" x14ac:dyDescent="0.25">
      <c r="A60" s="9" t="s">
        <v>42</v>
      </c>
      <c r="B60" s="10"/>
      <c r="C60">
        <v>22</v>
      </c>
      <c r="D60" s="12"/>
      <c r="E60" s="29" t="s">
        <v>42</v>
      </c>
      <c r="F60" s="21">
        <f t="shared" si="0"/>
        <v>0.22680412371134021</v>
      </c>
      <c r="G60" s="8"/>
      <c r="H60" s="28" t="s">
        <v>367</v>
      </c>
      <c r="I60" s="20">
        <v>3</v>
      </c>
      <c r="J60" s="21">
        <f t="shared" si="1"/>
        <v>0.125</v>
      </c>
    </row>
    <row r="61" spans="1:10" ht="15" customHeight="1" x14ac:dyDescent="0.25">
      <c r="A61" s="9" t="s">
        <v>43</v>
      </c>
      <c r="B61" s="10"/>
      <c r="C61">
        <v>3</v>
      </c>
      <c r="D61" s="12"/>
      <c r="E61" s="29" t="s">
        <v>43</v>
      </c>
      <c r="F61" s="21">
        <f t="shared" si="0"/>
        <v>3.0927835051546393E-2</v>
      </c>
      <c r="G61" s="8"/>
      <c r="H61" s="28" t="s">
        <v>368</v>
      </c>
      <c r="I61" s="68">
        <v>7</v>
      </c>
      <c r="J61" s="21">
        <f t="shared" si="1"/>
        <v>0.29166666666666669</v>
      </c>
    </row>
    <row r="62" spans="1:10" ht="15" customHeight="1" x14ac:dyDescent="0.25">
      <c r="A62" s="9" t="s">
        <v>44</v>
      </c>
      <c r="B62" s="10"/>
      <c r="C62">
        <v>12</v>
      </c>
      <c r="D62" s="12"/>
      <c r="E62" s="29" t="s">
        <v>44</v>
      </c>
      <c r="F62" s="21">
        <f t="shared" si="0"/>
        <v>0.12371134020618557</v>
      </c>
      <c r="G62" s="8"/>
      <c r="H62" s="28" t="s">
        <v>369</v>
      </c>
      <c r="I62" s="20">
        <v>3</v>
      </c>
      <c r="J62" s="21">
        <f t="shared" si="1"/>
        <v>0.125</v>
      </c>
    </row>
    <row r="63" spans="1:10" ht="15" customHeight="1" x14ac:dyDescent="0.25">
      <c r="A63" s="9" t="s">
        <v>45</v>
      </c>
      <c r="B63" s="10"/>
      <c r="C63">
        <v>1</v>
      </c>
      <c r="D63" s="12"/>
      <c r="E63" s="29" t="s">
        <v>45</v>
      </c>
      <c r="F63" s="21">
        <f t="shared" si="0"/>
        <v>1.0309278350515464E-2</v>
      </c>
      <c r="G63" s="8"/>
      <c r="H63" s="28" t="s">
        <v>370</v>
      </c>
      <c r="I63" s="20">
        <v>7</v>
      </c>
      <c r="J63" s="21">
        <f t="shared" si="1"/>
        <v>0.29166666666666669</v>
      </c>
    </row>
    <row r="64" spans="1:10" ht="15" customHeight="1" thickBot="1" x14ac:dyDescent="0.3">
      <c r="A64" s="9" t="s">
        <v>46</v>
      </c>
      <c r="B64" s="10"/>
      <c r="C64">
        <v>5</v>
      </c>
      <c r="D64" s="12"/>
      <c r="E64" s="31" t="s">
        <v>46</v>
      </c>
      <c r="F64" s="27">
        <f t="shared" si="0"/>
        <v>5.1546391752577317E-2</v>
      </c>
      <c r="G64" s="8"/>
      <c r="H64" s="69" t="s">
        <v>371</v>
      </c>
      <c r="I64" s="68">
        <v>0</v>
      </c>
      <c r="J64" s="21">
        <f t="shared" si="1"/>
        <v>0</v>
      </c>
    </row>
    <row r="65" spans="1:10" ht="15" customHeight="1" thickBot="1" x14ac:dyDescent="0.3">
      <c r="A65" s="9" t="s">
        <v>47</v>
      </c>
      <c r="B65" s="10"/>
      <c r="C65">
        <f>SUM(C56:C64)</f>
        <v>97</v>
      </c>
      <c r="D65" s="12"/>
      <c r="E65" s="9"/>
      <c r="F65" s="25"/>
      <c r="G65" s="12" t="s">
        <v>27</v>
      </c>
      <c r="H65" s="69" t="s">
        <v>372</v>
      </c>
      <c r="I65" s="20">
        <v>0</v>
      </c>
      <c r="J65" s="21">
        <f t="shared" si="1"/>
        <v>0</v>
      </c>
    </row>
    <row r="66" spans="1:10" ht="15" customHeight="1" x14ac:dyDescent="0.25">
      <c r="A66" s="9"/>
      <c r="B66" s="10"/>
      <c r="D66" s="12"/>
      <c r="E66" s="32" t="s">
        <v>49</v>
      </c>
      <c r="F66" s="14"/>
      <c r="G66" s="8"/>
      <c r="H66" s="69" t="s">
        <v>373</v>
      </c>
      <c r="I66" s="68">
        <v>1</v>
      </c>
      <c r="J66" s="21">
        <f t="shared" si="1"/>
        <v>4.1666666666666664E-2</v>
      </c>
    </row>
    <row r="67" spans="1:10" ht="15" customHeight="1" x14ac:dyDescent="0.25">
      <c r="A67" s="9" t="s">
        <v>51</v>
      </c>
      <c r="B67" s="10"/>
      <c r="D67" s="12"/>
      <c r="E67" s="29" t="s">
        <v>52</v>
      </c>
      <c r="F67" s="21">
        <f>C68/C$78</f>
        <v>0.46728971962616822</v>
      </c>
      <c r="G67" s="8"/>
      <c r="H67" s="69" t="s">
        <v>374</v>
      </c>
      <c r="I67" s="20">
        <v>0</v>
      </c>
      <c r="J67" s="21">
        <f t="shared" si="1"/>
        <v>0</v>
      </c>
    </row>
    <row r="68" spans="1:10" ht="15" customHeight="1" x14ac:dyDescent="0.25">
      <c r="A68" s="9" t="s">
        <v>52</v>
      </c>
      <c r="B68" s="10"/>
      <c r="C68">
        <v>50</v>
      </c>
      <c r="D68" s="12"/>
      <c r="E68" s="29" t="s">
        <v>53</v>
      </c>
      <c r="F68" s="21">
        <f t="shared" ref="F68:F76" si="2">C69/C$78</f>
        <v>0.18691588785046728</v>
      </c>
      <c r="G68" s="8"/>
      <c r="H68" s="69" t="s">
        <v>375</v>
      </c>
      <c r="I68" s="20">
        <v>0</v>
      </c>
      <c r="J68" s="21">
        <f t="shared" si="1"/>
        <v>0</v>
      </c>
    </row>
    <row r="69" spans="1:10" ht="15" customHeight="1" thickBot="1" x14ac:dyDescent="0.3">
      <c r="A69" s="9" t="s">
        <v>53</v>
      </c>
      <c r="B69" s="10"/>
      <c r="C69">
        <v>20</v>
      </c>
      <c r="D69" s="12"/>
      <c r="E69" s="29" t="s">
        <v>54</v>
      </c>
      <c r="F69" s="21">
        <f t="shared" si="2"/>
        <v>1.8691588785046728E-2</v>
      </c>
      <c r="G69" s="8"/>
      <c r="H69" s="70" t="s">
        <v>376</v>
      </c>
      <c r="I69" s="26">
        <v>0</v>
      </c>
      <c r="J69" s="27">
        <f t="shared" si="1"/>
        <v>0</v>
      </c>
    </row>
    <row r="70" spans="1:10" ht="15" customHeight="1" x14ac:dyDescent="0.25">
      <c r="A70" s="9" t="s">
        <v>54</v>
      </c>
      <c r="B70" s="10"/>
      <c r="C70">
        <v>2</v>
      </c>
      <c r="D70" s="12"/>
      <c r="E70" s="29" t="s">
        <v>56</v>
      </c>
      <c r="F70" s="21">
        <f t="shared" si="2"/>
        <v>0.14018691588785046</v>
      </c>
      <c r="G70" s="8"/>
    </row>
    <row r="71" spans="1:10" ht="15" customHeight="1" thickBot="1" x14ac:dyDescent="0.3">
      <c r="A71" s="9" t="s">
        <v>56</v>
      </c>
      <c r="B71" s="10"/>
      <c r="C71">
        <v>15</v>
      </c>
      <c r="D71" s="12"/>
      <c r="E71" s="29" t="s">
        <v>58</v>
      </c>
      <c r="F71" s="21">
        <f t="shared" si="2"/>
        <v>3.7383177570093455E-2</v>
      </c>
      <c r="G71" s="8"/>
    </row>
    <row r="72" spans="1:10" ht="15" customHeight="1" x14ac:dyDescent="0.25">
      <c r="A72" s="9" t="s">
        <v>58</v>
      </c>
      <c r="B72" s="10"/>
      <c r="C72">
        <v>4</v>
      </c>
      <c r="D72" s="12"/>
      <c r="E72" s="29" t="s">
        <v>60</v>
      </c>
      <c r="F72" s="21">
        <f t="shared" si="2"/>
        <v>0</v>
      </c>
      <c r="G72" s="12" t="s">
        <v>27</v>
      </c>
      <c r="H72" s="15" t="s">
        <v>42</v>
      </c>
      <c r="I72" s="16">
        <v>22</v>
      </c>
      <c r="J72" s="17"/>
    </row>
    <row r="73" spans="1:10" ht="15" customHeight="1" x14ac:dyDescent="0.25">
      <c r="A73" s="9" t="s">
        <v>60</v>
      </c>
      <c r="B73" s="10"/>
      <c r="C73">
        <v>0</v>
      </c>
      <c r="D73" s="12"/>
      <c r="E73" s="29" t="s">
        <v>62</v>
      </c>
      <c r="F73" s="21">
        <f t="shared" si="2"/>
        <v>0</v>
      </c>
      <c r="G73" s="8"/>
      <c r="H73" s="28" t="s">
        <v>48</v>
      </c>
      <c r="I73" s="20">
        <v>1</v>
      </c>
      <c r="J73" s="21">
        <f>I73/I$72</f>
        <v>4.5454545454545456E-2</v>
      </c>
    </row>
    <row r="74" spans="1:10" ht="15" customHeight="1" thickBot="1" x14ac:dyDescent="0.3">
      <c r="A74" s="9" t="s">
        <v>62</v>
      </c>
      <c r="B74" s="10"/>
      <c r="C74">
        <v>0</v>
      </c>
      <c r="D74" s="12"/>
      <c r="E74" s="29" t="s">
        <v>64</v>
      </c>
      <c r="F74" s="21">
        <f t="shared" si="2"/>
        <v>9.3457943925233638E-3</v>
      </c>
      <c r="G74" s="8"/>
      <c r="H74" s="30" t="s">
        <v>50</v>
      </c>
      <c r="I74" s="26">
        <v>21</v>
      </c>
      <c r="J74" s="27">
        <f>I74/I$72</f>
        <v>0.95454545454545459</v>
      </c>
    </row>
    <row r="75" spans="1:10" ht="15" customHeight="1" x14ac:dyDescent="0.25">
      <c r="A75" s="9" t="s">
        <v>64</v>
      </c>
      <c r="B75" s="10"/>
      <c r="C75">
        <v>1</v>
      </c>
      <c r="D75" s="12"/>
      <c r="E75" s="29" t="s">
        <v>66</v>
      </c>
      <c r="F75" s="21">
        <f t="shared" si="2"/>
        <v>3.7383177570093455E-2</v>
      </c>
      <c r="G75" s="8"/>
    </row>
    <row r="76" spans="1:10" ht="15" customHeight="1" thickBot="1" x14ac:dyDescent="0.3">
      <c r="A76" s="9" t="s">
        <v>66</v>
      </c>
      <c r="B76" s="10"/>
      <c r="C76">
        <v>4</v>
      </c>
      <c r="D76" s="12"/>
      <c r="E76" s="31" t="s">
        <v>68</v>
      </c>
      <c r="F76" s="27">
        <f t="shared" si="2"/>
        <v>0.10280373831775701</v>
      </c>
      <c r="G76" s="8"/>
    </row>
    <row r="77" spans="1:10" ht="15" customHeight="1" thickBot="1" x14ac:dyDescent="0.3">
      <c r="A77" s="9" t="s">
        <v>68</v>
      </c>
      <c r="B77" s="10"/>
      <c r="C77">
        <v>11</v>
      </c>
      <c r="D77" s="12"/>
      <c r="E77" s="9"/>
      <c r="F77" s="25"/>
      <c r="G77" s="8"/>
      <c r="H77" s="15" t="s">
        <v>55</v>
      </c>
      <c r="I77" s="16">
        <v>3</v>
      </c>
      <c r="J77" s="17"/>
    </row>
    <row r="78" spans="1:10" ht="15" customHeight="1" x14ac:dyDescent="0.25">
      <c r="A78" s="9" t="s">
        <v>70</v>
      </c>
      <c r="B78" s="10"/>
      <c r="C78">
        <f>SUM(C68:C77)</f>
        <v>107</v>
      </c>
      <c r="D78" s="12"/>
      <c r="E78" s="32" t="s">
        <v>71</v>
      </c>
      <c r="F78" s="14"/>
      <c r="G78" s="8"/>
      <c r="H78" s="28" t="s">
        <v>57</v>
      </c>
      <c r="I78" s="20">
        <v>0</v>
      </c>
      <c r="J78" s="21">
        <f t="shared" ref="J78:J83" si="3">I78/I$77</f>
        <v>0</v>
      </c>
    </row>
    <row r="79" spans="1:10" ht="15" customHeight="1" x14ac:dyDescent="0.25">
      <c r="A79" s="9"/>
      <c r="B79" s="10"/>
      <c r="D79" s="12"/>
      <c r="E79" s="33" t="s">
        <v>72</v>
      </c>
      <c r="F79" s="21">
        <f>C80/C$50</f>
        <v>0.7857142857142857</v>
      </c>
      <c r="G79" s="8"/>
      <c r="H79" s="28" t="s">
        <v>59</v>
      </c>
      <c r="I79" s="20">
        <v>0</v>
      </c>
      <c r="J79" s="21">
        <f t="shared" si="3"/>
        <v>0</v>
      </c>
    </row>
    <row r="80" spans="1:10" ht="15" customHeight="1" x14ac:dyDescent="0.25">
      <c r="A80" s="9" t="s">
        <v>73</v>
      </c>
      <c r="B80" s="10"/>
      <c r="C80">
        <v>33</v>
      </c>
      <c r="D80" s="12"/>
      <c r="E80" s="33" t="s">
        <v>74</v>
      </c>
      <c r="F80" s="21">
        <f>C81/C$50</f>
        <v>4.7619047619047616E-2</v>
      </c>
      <c r="G80" s="8"/>
      <c r="H80" s="28" t="s">
        <v>61</v>
      </c>
      <c r="I80" s="20">
        <v>0</v>
      </c>
      <c r="J80" s="21">
        <f t="shared" si="3"/>
        <v>0</v>
      </c>
    </row>
    <row r="81" spans="1:10" ht="15" customHeight="1" thickBot="1" x14ac:dyDescent="0.3">
      <c r="A81" s="9" t="s">
        <v>75</v>
      </c>
      <c r="B81" s="10"/>
      <c r="C81">
        <v>2</v>
      </c>
      <c r="D81" s="12"/>
      <c r="E81" s="34" t="s">
        <v>76</v>
      </c>
      <c r="F81" s="27">
        <f>C82/C$50</f>
        <v>0.14285714285714285</v>
      </c>
      <c r="G81" s="8"/>
      <c r="H81" s="28" t="s">
        <v>63</v>
      </c>
      <c r="I81" s="20">
        <v>2</v>
      </c>
      <c r="J81" s="21">
        <f t="shared" si="3"/>
        <v>0.66666666666666663</v>
      </c>
    </row>
    <row r="82" spans="1:10" ht="15" customHeight="1" thickBot="1" x14ac:dyDescent="0.3">
      <c r="A82" s="9" t="s">
        <v>77</v>
      </c>
      <c r="B82" s="10"/>
      <c r="C82">
        <v>6</v>
      </c>
      <c r="D82" s="12"/>
      <c r="E82" s="35"/>
      <c r="F82" s="25"/>
      <c r="G82" s="8"/>
      <c r="H82" s="28" t="s">
        <v>65</v>
      </c>
      <c r="I82" s="20">
        <v>0</v>
      </c>
      <c r="J82" s="21">
        <f t="shared" si="3"/>
        <v>0</v>
      </c>
    </row>
    <row r="83" spans="1:10" ht="15" customHeight="1" thickBot="1" x14ac:dyDescent="0.3">
      <c r="A83" s="9"/>
      <c r="B83" s="10"/>
      <c r="D83" s="12"/>
      <c r="E83" s="36" t="s">
        <v>28</v>
      </c>
      <c r="F83" s="14"/>
      <c r="G83" s="12" t="s">
        <v>27</v>
      </c>
      <c r="H83" s="30" t="s">
        <v>67</v>
      </c>
      <c r="I83" s="26">
        <v>1</v>
      </c>
      <c r="J83" s="27">
        <f t="shared" si="3"/>
        <v>0.33333333333333331</v>
      </c>
    </row>
    <row r="84" spans="1:10" ht="15" customHeight="1" thickBot="1" x14ac:dyDescent="0.3">
      <c r="A84" s="9" t="s">
        <v>28</v>
      </c>
      <c r="B84" s="10"/>
      <c r="D84" s="12"/>
      <c r="E84" s="29" t="s">
        <v>78</v>
      </c>
      <c r="F84" s="21">
        <f>C85/C$50</f>
        <v>0.83333333333333337</v>
      </c>
      <c r="G84" s="8"/>
    </row>
    <row r="85" spans="1:10" ht="15" customHeight="1" thickBot="1" x14ac:dyDescent="0.3">
      <c r="A85" s="9" t="s">
        <v>79</v>
      </c>
      <c r="B85" s="10"/>
      <c r="C85">
        <v>35</v>
      </c>
      <c r="D85" s="12"/>
      <c r="E85" s="31" t="s">
        <v>80</v>
      </c>
      <c r="F85" s="27">
        <f>C86/C$50</f>
        <v>0.16666666666666666</v>
      </c>
      <c r="G85" s="8"/>
      <c r="H85" s="15" t="s">
        <v>69</v>
      </c>
      <c r="I85" s="16">
        <v>0</v>
      </c>
      <c r="J85" s="17"/>
    </row>
    <row r="86" spans="1:10" ht="15" customHeight="1" thickBot="1" x14ac:dyDescent="0.3">
      <c r="A86" s="9" t="s">
        <v>80</v>
      </c>
      <c r="B86" s="10"/>
      <c r="C86">
        <v>7</v>
      </c>
      <c r="D86" s="12"/>
      <c r="E86" s="37"/>
      <c r="F86" s="38"/>
      <c r="G86" s="8"/>
      <c r="H86" s="28" t="s">
        <v>57</v>
      </c>
      <c r="I86" s="20">
        <v>0</v>
      </c>
      <c r="J86" s="21" t="e">
        <f t="shared" ref="J86:J91" si="4">I86/I$85</f>
        <v>#DIV/0!</v>
      </c>
    </row>
    <row r="87" spans="1:10" ht="15" customHeight="1" x14ac:dyDescent="0.25">
      <c r="A87" s="9"/>
      <c r="B87" s="10"/>
      <c r="D87" s="12"/>
      <c r="E87" s="15" t="s">
        <v>1166</v>
      </c>
      <c r="F87" s="14"/>
      <c r="G87" s="8"/>
      <c r="H87" s="28" t="s">
        <v>59</v>
      </c>
      <c r="I87" s="20">
        <v>0</v>
      </c>
      <c r="J87" s="21" t="e">
        <f t="shared" si="4"/>
        <v>#DIV/0!</v>
      </c>
    </row>
    <row r="88" spans="1:10" ht="15" customHeight="1" x14ac:dyDescent="0.25">
      <c r="A88" t="s">
        <v>1166</v>
      </c>
      <c r="B88" s="10"/>
      <c r="D88" s="12"/>
      <c r="E88" s="28" t="s">
        <v>1167</v>
      </c>
      <c r="F88" s="21">
        <f>C89/C$86</f>
        <v>1</v>
      </c>
      <c r="G88" s="8"/>
      <c r="H88" s="28" t="s">
        <v>61</v>
      </c>
      <c r="I88" s="20">
        <v>0</v>
      </c>
      <c r="J88" s="21" t="e">
        <f t="shared" si="4"/>
        <v>#DIV/0!</v>
      </c>
    </row>
    <row r="89" spans="1:10" ht="15" customHeight="1" thickBot="1" x14ac:dyDescent="0.3">
      <c r="A89" t="s">
        <v>1167</v>
      </c>
      <c r="B89" s="10"/>
      <c r="C89">
        <v>7</v>
      </c>
      <c r="D89" s="12"/>
      <c r="E89" s="30" t="s">
        <v>1168</v>
      </c>
      <c r="F89" s="27">
        <f>C90/C$86</f>
        <v>0</v>
      </c>
      <c r="G89" s="8"/>
      <c r="H89" s="28" t="s">
        <v>63</v>
      </c>
      <c r="I89" s="20">
        <v>0</v>
      </c>
      <c r="J89" s="21" t="e">
        <f t="shared" si="4"/>
        <v>#DIV/0!</v>
      </c>
    </row>
    <row r="90" spans="1:10" ht="15" customHeight="1" thickBot="1" x14ac:dyDescent="0.3">
      <c r="A90" t="s">
        <v>1168</v>
      </c>
      <c r="B90" s="10"/>
      <c r="C90">
        <v>0</v>
      </c>
      <c r="D90" s="12"/>
      <c r="E90" s="37"/>
      <c r="F90" s="38"/>
      <c r="G90" s="8"/>
      <c r="H90" s="28" t="s">
        <v>65</v>
      </c>
      <c r="I90" s="20">
        <v>0</v>
      </c>
      <c r="J90" s="21" t="e">
        <f t="shared" si="4"/>
        <v>#DIV/0!</v>
      </c>
    </row>
    <row r="91" spans="1:10" ht="15" customHeight="1" thickBot="1" x14ac:dyDescent="0.3">
      <c r="A91" s="9"/>
      <c r="B91" s="10"/>
      <c r="C91" t="s">
        <v>27</v>
      </c>
      <c r="D91" s="12"/>
      <c r="E91" s="32" t="s">
        <v>81</v>
      </c>
      <c r="F91" s="14"/>
      <c r="G91" s="8"/>
      <c r="H91" s="30" t="s">
        <v>67</v>
      </c>
      <c r="I91" s="26">
        <v>0</v>
      </c>
      <c r="J91" s="27" t="e">
        <f t="shared" si="4"/>
        <v>#DIV/0!</v>
      </c>
    </row>
    <row r="92" spans="1:10" ht="15" customHeight="1" x14ac:dyDescent="0.25">
      <c r="A92" s="9" t="s">
        <v>83</v>
      </c>
      <c r="B92" s="10"/>
      <c r="D92" s="12"/>
      <c r="E92" s="29" t="s">
        <v>84</v>
      </c>
      <c r="F92" s="21">
        <f t="shared" ref="F92:F97" si="5">C93/C$50</f>
        <v>0.6428571428571429</v>
      </c>
      <c r="G92" s="8"/>
    </row>
    <row r="93" spans="1:10" ht="15" customHeight="1" thickBot="1" x14ac:dyDescent="0.3">
      <c r="A93" s="9" t="s">
        <v>84</v>
      </c>
      <c r="B93" s="10"/>
      <c r="C93">
        <v>27</v>
      </c>
      <c r="D93" s="12"/>
      <c r="E93" s="18" t="s">
        <v>86</v>
      </c>
      <c r="F93" s="21">
        <f t="shared" si="5"/>
        <v>7.1428571428571425E-2</v>
      </c>
      <c r="G93" s="8"/>
    </row>
    <row r="94" spans="1:10" ht="15" customHeight="1" x14ac:dyDescent="0.25">
      <c r="A94" s="9" t="s">
        <v>86</v>
      </c>
      <c r="B94" s="10"/>
      <c r="C94">
        <v>3</v>
      </c>
      <c r="D94" s="12"/>
      <c r="E94" s="18" t="s">
        <v>88</v>
      </c>
      <c r="F94" s="21">
        <f t="shared" si="5"/>
        <v>0</v>
      </c>
      <c r="G94" s="8"/>
      <c r="H94" s="15" t="s">
        <v>44</v>
      </c>
      <c r="I94" s="16">
        <v>12</v>
      </c>
      <c r="J94" s="17"/>
    </row>
    <row r="95" spans="1:10" ht="15" customHeight="1" x14ac:dyDescent="0.25">
      <c r="A95" s="9" t="s">
        <v>88</v>
      </c>
      <c r="B95" s="10"/>
      <c r="C95">
        <v>0</v>
      </c>
      <c r="D95" s="12"/>
      <c r="E95" s="18" t="s">
        <v>90</v>
      </c>
      <c r="F95" s="21">
        <f t="shared" si="5"/>
        <v>0</v>
      </c>
      <c r="G95" s="8"/>
      <c r="H95" s="28" t="s">
        <v>158</v>
      </c>
      <c r="I95" s="68">
        <v>0</v>
      </c>
      <c r="J95" s="77">
        <f>I95/I$94</f>
        <v>0</v>
      </c>
    </row>
    <row r="96" spans="1:10" ht="15" customHeight="1" x14ac:dyDescent="0.25">
      <c r="A96" s="9" t="s">
        <v>90</v>
      </c>
      <c r="B96" s="10"/>
      <c r="C96">
        <v>0</v>
      </c>
      <c r="D96" s="12"/>
      <c r="E96" s="18" t="s">
        <v>91</v>
      </c>
      <c r="F96" s="21">
        <f t="shared" si="5"/>
        <v>0.16666666666666666</v>
      </c>
      <c r="G96" s="8"/>
      <c r="H96" s="28" t="s">
        <v>82</v>
      </c>
      <c r="I96" s="20">
        <v>7</v>
      </c>
      <c r="J96" s="21">
        <f>I96/I$94</f>
        <v>0.58333333333333337</v>
      </c>
    </row>
    <row r="97" spans="1:10" ht="15" customHeight="1" thickBot="1" x14ac:dyDescent="0.3">
      <c r="A97" s="9" t="s">
        <v>91</v>
      </c>
      <c r="B97" s="10"/>
      <c r="C97">
        <v>7</v>
      </c>
      <c r="D97" s="12"/>
      <c r="E97" s="23" t="s">
        <v>46</v>
      </c>
      <c r="F97" s="27">
        <f t="shared" si="5"/>
        <v>0.11904761904761904</v>
      </c>
      <c r="G97" s="8"/>
      <c r="H97" s="28" t="s">
        <v>85</v>
      </c>
      <c r="I97" s="20">
        <v>3</v>
      </c>
      <c r="J97" s="21">
        <f>I97/I$94</f>
        <v>0.25</v>
      </c>
    </row>
    <row r="98" spans="1:10" ht="15" customHeight="1" thickBot="1" x14ac:dyDescent="0.3">
      <c r="A98" s="9" t="s">
        <v>46</v>
      </c>
      <c r="B98" s="10"/>
      <c r="C98">
        <v>5</v>
      </c>
      <c r="D98" s="12"/>
      <c r="E98" s="12"/>
      <c r="F98" s="25"/>
      <c r="G98" s="8"/>
      <c r="H98" s="28" t="s">
        <v>87</v>
      </c>
      <c r="I98" s="20">
        <v>0</v>
      </c>
      <c r="J98" s="21">
        <f>I98/I$94</f>
        <v>0</v>
      </c>
    </row>
    <row r="99" spans="1:10" ht="15" customHeight="1" thickBot="1" x14ac:dyDescent="0.3">
      <c r="A99" s="9"/>
      <c r="B99" s="10"/>
      <c r="D99" s="12"/>
      <c r="E99" s="13" t="s">
        <v>93</v>
      </c>
      <c r="F99" s="14"/>
      <c r="G99" s="8"/>
      <c r="H99" s="30" t="s">
        <v>89</v>
      </c>
      <c r="I99" s="26">
        <v>2</v>
      </c>
      <c r="J99" s="27">
        <f>I99/I$94</f>
        <v>0.16666666666666666</v>
      </c>
    </row>
    <row r="100" spans="1:10" ht="15" customHeight="1" x14ac:dyDescent="0.25">
      <c r="A100" s="9" t="s">
        <v>95</v>
      </c>
      <c r="B100" s="10"/>
      <c r="C100">
        <v>4</v>
      </c>
      <c r="D100" s="12"/>
      <c r="E100" s="18" t="s">
        <v>96</v>
      </c>
      <c r="F100" s="21">
        <f>C101/C$50</f>
        <v>0.5714285714285714</v>
      </c>
      <c r="G100" s="8"/>
    </row>
    <row r="101" spans="1:10" ht="15" customHeight="1" thickBot="1" x14ac:dyDescent="0.3">
      <c r="A101" s="9" t="s">
        <v>96</v>
      </c>
      <c r="B101" s="10"/>
      <c r="C101">
        <v>24</v>
      </c>
      <c r="D101" s="12"/>
      <c r="E101" s="18" t="s">
        <v>98</v>
      </c>
      <c r="F101" s="21">
        <f>C102/C$50</f>
        <v>0.30952380952380953</v>
      </c>
      <c r="G101" s="8"/>
    </row>
    <row r="102" spans="1:10" ht="15" customHeight="1" x14ac:dyDescent="0.25">
      <c r="A102" s="9" t="s">
        <v>98</v>
      </c>
      <c r="B102" s="10"/>
      <c r="C102">
        <v>13</v>
      </c>
      <c r="D102" s="12"/>
      <c r="E102" s="18" t="s">
        <v>100</v>
      </c>
      <c r="F102" s="21">
        <f>C103/C$50</f>
        <v>7.1428571428571425E-2</v>
      </c>
      <c r="G102" s="8"/>
      <c r="H102" s="15" t="s">
        <v>46</v>
      </c>
      <c r="I102" s="16">
        <v>4</v>
      </c>
      <c r="J102" s="17"/>
    </row>
    <row r="103" spans="1:10" ht="15" customHeight="1" x14ac:dyDescent="0.25">
      <c r="A103" s="9" t="s">
        <v>100</v>
      </c>
      <c r="B103" s="10"/>
      <c r="C103">
        <v>3</v>
      </c>
      <c r="D103" s="12"/>
      <c r="E103" s="18" t="s">
        <v>102</v>
      </c>
      <c r="F103" s="21">
        <f>C104/C$50</f>
        <v>4.7619047619047616E-2</v>
      </c>
      <c r="G103" s="8"/>
      <c r="H103" s="28" t="s">
        <v>92</v>
      </c>
      <c r="I103" s="20">
        <v>0</v>
      </c>
      <c r="J103" s="21">
        <f>I103/I$102</f>
        <v>0</v>
      </c>
    </row>
    <row r="104" spans="1:10" ht="15" customHeight="1" thickBot="1" x14ac:dyDescent="0.3">
      <c r="A104" s="9" t="s">
        <v>102</v>
      </c>
      <c r="B104" s="10"/>
      <c r="C104">
        <v>2</v>
      </c>
      <c r="E104" s="23" t="s">
        <v>103</v>
      </c>
      <c r="F104" s="27">
        <f>C105/C$50</f>
        <v>0</v>
      </c>
      <c r="G104" s="8"/>
      <c r="H104" s="28" t="s">
        <v>94</v>
      </c>
      <c r="I104" s="20">
        <v>0</v>
      </c>
      <c r="J104" s="21">
        <f t="shared" ref="J104:J112" si="6">I104/I$102</f>
        <v>0</v>
      </c>
    </row>
    <row r="105" spans="1:10" ht="15" customHeight="1" x14ac:dyDescent="0.25">
      <c r="A105" s="9" t="s">
        <v>103</v>
      </c>
      <c r="B105" s="10"/>
      <c r="C105">
        <v>0</v>
      </c>
      <c r="E105" s="12"/>
      <c r="F105" s="25"/>
      <c r="H105" s="28" t="s">
        <v>97</v>
      </c>
      <c r="I105" s="20">
        <v>1</v>
      </c>
      <c r="J105" s="21">
        <f t="shared" si="6"/>
        <v>0.25</v>
      </c>
    </row>
    <row r="106" spans="1:10" ht="15" customHeight="1" x14ac:dyDescent="0.25">
      <c r="A106" s="9" t="s">
        <v>104</v>
      </c>
      <c r="B106" s="10"/>
      <c r="C106">
        <v>0</v>
      </c>
      <c r="E106" s="12"/>
      <c r="F106" s="25"/>
      <c r="H106" s="28" t="s">
        <v>99</v>
      </c>
      <c r="I106" s="20">
        <v>0</v>
      </c>
      <c r="J106" s="21">
        <f t="shared" si="6"/>
        <v>0</v>
      </c>
    </row>
    <row r="107" spans="1:10" ht="15" customHeight="1" x14ac:dyDescent="0.25">
      <c r="A107" s="9"/>
      <c r="B107" s="10"/>
      <c r="E107" s="12"/>
      <c r="F107" s="25"/>
      <c r="H107" s="28" t="s">
        <v>101</v>
      </c>
      <c r="I107" s="20">
        <v>1</v>
      </c>
      <c r="J107" s="21">
        <f t="shared" si="6"/>
        <v>0.25</v>
      </c>
    </row>
    <row r="108" spans="1:10" ht="15" customHeight="1" thickBot="1" x14ac:dyDescent="0.3">
      <c r="H108" s="66" t="s">
        <v>159</v>
      </c>
      <c r="I108" s="68">
        <v>0</v>
      </c>
      <c r="J108" s="21">
        <f t="shared" si="6"/>
        <v>0</v>
      </c>
    </row>
    <row r="109" spans="1:10" ht="15" customHeight="1" x14ac:dyDescent="0.25">
      <c r="A109" s="89" t="s">
        <v>7</v>
      </c>
      <c r="B109" s="90"/>
      <c r="H109" s="66" t="s">
        <v>160</v>
      </c>
      <c r="I109" s="68">
        <v>2</v>
      </c>
      <c r="J109" s="21">
        <f t="shared" si="6"/>
        <v>0.5</v>
      </c>
    </row>
    <row r="110" spans="1:10" ht="15" customHeight="1" x14ac:dyDescent="0.25">
      <c r="A110" s="91" t="s">
        <v>84</v>
      </c>
      <c r="B110" s="92">
        <f>SUM(F2:F3,F5,F7,F9:F10,F12,F14,F21:F22,F24,F30:F36,F38:F40,F42:F43)</f>
        <v>53388.639999999992</v>
      </c>
      <c r="H110" s="66" t="s">
        <v>161</v>
      </c>
      <c r="I110" s="68">
        <v>0</v>
      </c>
      <c r="J110" s="21">
        <f t="shared" si="6"/>
        <v>0</v>
      </c>
    </row>
    <row r="111" spans="1:10" ht="15" customHeight="1" x14ac:dyDescent="0.25">
      <c r="A111" s="91" t="s">
        <v>281</v>
      </c>
      <c r="B111" s="92">
        <f>SUM(F8,F11,F15,F18:F19,F23,F28:F29,F41)</f>
        <v>13608.919999999998</v>
      </c>
      <c r="H111" s="66" t="s">
        <v>162</v>
      </c>
      <c r="I111" s="68">
        <v>0</v>
      </c>
      <c r="J111" s="21">
        <f t="shared" si="6"/>
        <v>0</v>
      </c>
    </row>
    <row r="112" spans="1:10" ht="15" customHeight="1" thickBot="1" x14ac:dyDescent="0.3">
      <c r="A112" s="91" t="s">
        <v>291</v>
      </c>
      <c r="B112" s="92">
        <f>SUM(F16:F17,F20,F25:F27,F37,)</f>
        <v>26955.050000000003</v>
      </c>
      <c r="H112" s="67" t="s">
        <v>163</v>
      </c>
      <c r="I112" s="26">
        <v>0</v>
      </c>
      <c r="J112" s="27">
        <f t="shared" si="6"/>
        <v>0</v>
      </c>
    </row>
    <row r="113" spans="1:2" ht="15" customHeight="1" x14ac:dyDescent="0.25">
      <c r="A113" s="91" t="s">
        <v>46</v>
      </c>
      <c r="B113" s="93">
        <f>SUM(F4,F6,F13,)</f>
        <v>6863.48</v>
      </c>
    </row>
    <row r="114" spans="1:2" ht="15" customHeight="1" thickBot="1" x14ac:dyDescent="0.3">
      <c r="A114" s="94"/>
      <c r="B114" s="95">
        <f>SUM(B110:B113)</f>
        <v>100816.09</v>
      </c>
    </row>
  </sheetData>
  <mergeCells count="1">
    <mergeCell ref="A46:F46"/>
  </mergeCells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9"/>
  <sheetViews>
    <sheetView topLeftCell="A61" workbookViewId="0">
      <selection activeCell="A34" sqref="A34"/>
    </sheetView>
  </sheetViews>
  <sheetFormatPr baseColWidth="10" defaultRowHeight="15" x14ac:dyDescent="0.25"/>
  <cols>
    <col min="2" max="2" width="34.140625" customWidth="1"/>
    <col min="4" max="4" width="7.42578125" customWidth="1"/>
    <col min="5" max="5" width="7.85546875" customWidth="1"/>
    <col min="7" max="7" width="34.85546875" customWidth="1"/>
    <col min="8" max="8" width="23.140625" customWidth="1"/>
  </cols>
  <sheetData>
    <row r="1" spans="1:8" ht="15" customHeight="1" x14ac:dyDescent="0.25">
      <c r="A1" s="3" t="s">
        <v>2</v>
      </c>
      <c r="B1" s="4" t="s">
        <v>3</v>
      </c>
      <c r="C1" s="4" t="s">
        <v>5</v>
      </c>
      <c r="D1" s="4" t="s">
        <v>15</v>
      </c>
      <c r="E1" s="7" t="s">
        <v>6</v>
      </c>
      <c r="F1" s="5" t="s">
        <v>8</v>
      </c>
      <c r="G1" s="6" t="s">
        <v>10</v>
      </c>
      <c r="H1" s="1" t="s">
        <v>11</v>
      </c>
    </row>
    <row r="2" spans="1:8" x14ac:dyDescent="0.25">
      <c r="A2" s="10">
        <v>44652</v>
      </c>
      <c r="B2" t="s">
        <v>776</v>
      </c>
      <c r="C2" t="s">
        <v>96</v>
      </c>
      <c r="D2" t="s">
        <v>30</v>
      </c>
      <c r="E2" t="s">
        <v>168</v>
      </c>
      <c r="F2" s="47">
        <v>984</v>
      </c>
      <c r="G2" t="s">
        <v>779</v>
      </c>
      <c r="H2" t="s">
        <v>796</v>
      </c>
    </row>
    <row r="3" spans="1:8" x14ac:dyDescent="0.25">
      <c r="A3" s="10">
        <v>44658</v>
      </c>
      <c r="B3" t="s">
        <v>780</v>
      </c>
      <c r="C3" t="s">
        <v>96</v>
      </c>
      <c r="D3" t="s">
        <v>32</v>
      </c>
      <c r="E3" t="s">
        <v>281</v>
      </c>
      <c r="F3" s="47">
        <v>7117.76</v>
      </c>
      <c r="G3" t="s">
        <v>801</v>
      </c>
      <c r="H3" t="s">
        <v>80</v>
      </c>
    </row>
    <row r="4" spans="1:8" x14ac:dyDescent="0.25">
      <c r="A4" s="10">
        <v>44655</v>
      </c>
      <c r="B4" t="s">
        <v>792</v>
      </c>
      <c r="C4" t="s">
        <v>96</v>
      </c>
      <c r="D4" t="s">
        <v>30</v>
      </c>
      <c r="E4" t="s">
        <v>281</v>
      </c>
      <c r="F4" s="47">
        <v>2725.5</v>
      </c>
      <c r="G4" t="s">
        <v>807</v>
      </c>
      <c r="H4" t="s">
        <v>80</v>
      </c>
    </row>
    <row r="5" spans="1:8" x14ac:dyDescent="0.25">
      <c r="A5" s="10">
        <v>44656</v>
      </c>
      <c r="B5" t="s">
        <v>808</v>
      </c>
      <c r="C5" t="s">
        <v>96</v>
      </c>
      <c r="D5" t="s">
        <v>30</v>
      </c>
      <c r="E5" t="s">
        <v>291</v>
      </c>
      <c r="F5" s="47">
        <v>2219.4</v>
      </c>
      <c r="G5" t="s">
        <v>811</v>
      </c>
      <c r="H5" t="s">
        <v>816</v>
      </c>
    </row>
    <row r="6" spans="1:8" x14ac:dyDescent="0.25">
      <c r="A6" s="10">
        <v>44657</v>
      </c>
      <c r="B6" t="s">
        <v>812</v>
      </c>
      <c r="C6" t="s">
        <v>96</v>
      </c>
      <c r="D6" t="s">
        <v>30</v>
      </c>
      <c r="E6" t="s">
        <v>281</v>
      </c>
      <c r="F6" s="47">
        <v>738.3</v>
      </c>
      <c r="G6" t="s">
        <v>815</v>
      </c>
      <c r="H6" t="s">
        <v>329</v>
      </c>
    </row>
    <row r="7" spans="1:8" x14ac:dyDescent="0.25">
      <c r="A7" s="10">
        <v>44660</v>
      </c>
      <c r="B7" t="s">
        <v>817</v>
      </c>
      <c r="C7" t="s">
        <v>96</v>
      </c>
      <c r="D7" t="s">
        <v>30</v>
      </c>
      <c r="E7" t="s">
        <v>291</v>
      </c>
      <c r="F7" s="47">
        <v>800</v>
      </c>
      <c r="G7" t="s">
        <v>820</v>
      </c>
      <c r="H7" t="s">
        <v>192</v>
      </c>
    </row>
    <row r="8" spans="1:8" x14ac:dyDescent="0.25">
      <c r="A8" s="10">
        <v>44662</v>
      </c>
      <c r="B8" t="s">
        <v>627</v>
      </c>
      <c r="C8" t="s">
        <v>96</v>
      </c>
      <c r="D8" t="s">
        <v>30</v>
      </c>
      <c r="E8" t="s">
        <v>168</v>
      </c>
      <c r="F8" s="47">
        <v>2200</v>
      </c>
      <c r="G8" t="s">
        <v>823</v>
      </c>
      <c r="H8" t="s">
        <v>192</v>
      </c>
    </row>
    <row r="9" spans="1:8" x14ac:dyDescent="0.25">
      <c r="A9" s="10">
        <v>44662</v>
      </c>
      <c r="B9" t="s">
        <v>829</v>
      </c>
      <c r="C9" t="s">
        <v>360</v>
      </c>
      <c r="D9" t="s">
        <v>30</v>
      </c>
      <c r="E9" t="s">
        <v>168</v>
      </c>
      <c r="F9" s="47">
        <v>1060</v>
      </c>
      <c r="G9" t="s">
        <v>276</v>
      </c>
      <c r="H9" t="s">
        <v>832</v>
      </c>
    </row>
    <row r="10" spans="1:8" x14ac:dyDescent="0.25">
      <c r="A10" s="10">
        <v>44663</v>
      </c>
      <c r="B10" t="s">
        <v>833</v>
      </c>
      <c r="C10" t="s">
        <v>96</v>
      </c>
      <c r="D10" t="s">
        <v>30</v>
      </c>
      <c r="E10" t="s">
        <v>168</v>
      </c>
      <c r="F10" s="47">
        <v>1500</v>
      </c>
      <c r="G10" t="s">
        <v>836</v>
      </c>
      <c r="H10" t="s">
        <v>277</v>
      </c>
    </row>
    <row r="11" spans="1:8" x14ac:dyDescent="0.25">
      <c r="A11" s="10">
        <v>44663</v>
      </c>
      <c r="B11" t="s">
        <v>837</v>
      </c>
      <c r="C11" t="s">
        <v>96</v>
      </c>
      <c r="D11" t="s">
        <v>30</v>
      </c>
      <c r="E11" t="s">
        <v>168</v>
      </c>
      <c r="F11" s="47">
        <v>1470</v>
      </c>
      <c r="G11" t="s">
        <v>840</v>
      </c>
      <c r="H11" t="s">
        <v>841</v>
      </c>
    </row>
    <row r="12" spans="1:8" x14ac:dyDescent="0.25">
      <c r="A12" s="10">
        <v>44664</v>
      </c>
      <c r="B12" t="s">
        <v>842</v>
      </c>
      <c r="C12" t="s">
        <v>96</v>
      </c>
      <c r="D12" t="s">
        <v>30</v>
      </c>
      <c r="E12" t="s">
        <v>168</v>
      </c>
      <c r="F12" s="47">
        <v>1075</v>
      </c>
      <c r="G12" t="s">
        <v>845</v>
      </c>
      <c r="H12" t="s">
        <v>192</v>
      </c>
    </row>
    <row r="13" spans="1:8" x14ac:dyDescent="0.25">
      <c r="A13" s="10">
        <v>44665</v>
      </c>
      <c r="B13" t="s">
        <v>846</v>
      </c>
      <c r="C13" t="s">
        <v>96</v>
      </c>
      <c r="D13" t="s">
        <v>30</v>
      </c>
      <c r="E13" t="s">
        <v>168</v>
      </c>
      <c r="F13" s="47">
        <v>1800</v>
      </c>
      <c r="G13" t="s">
        <v>849</v>
      </c>
      <c r="H13" t="s">
        <v>606</v>
      </c>
    </row>
    <row r="14" spans="1:8" x14ac:dyDescent="0.25">
      <c r="A14" s="10">
        <v>44669</v>
      </c>
      <c r="B14" t="s">
        <v>853</v>
      </c>
      <c r="C14" t="s">
        <v>96</v>
      </c>
      <c r="D14" t="s">
        <v>30</v>
      </c>
      <c r="E14" t="s">
        <v>168</v>
      </c>
      <c r="F14" s="47">
        <v>1335</v>
      </c>
      <c r="G14" t="s">
        <v>856</v>
      </c>
      <c r="H14" t="s">
        <v>872</v>
      </c>
    </row>
    <row r="15" spans="1:8" x14ac:dyDescent="0.25">
      <c r="A15" s="10">
        <v>44669</v>
      </c>
      <c r="B15" t="s">
        <v>857</v>
      </c>
      <c r="C15" t="s">
        <v>96</v>
      </c>
      <c r="D15" t="s">
        <v>30</v>
      </c>
      <c r="E15" t="s">
        <v>168</v>
      </c>
      <c r="F15" s="47">
        <v>836</v>
      </c>
      <c r="G15" t="s">
        <v>860</v>
      </c>
      <c r="H15" t="s">
        <v>193</v>
      </c>
    </row>
    <row r="16" spans="1:8" x14ac:dyDescent="0.25">
      <c r="A16" s="10">
        <v>44669</v>
      </c>
      <c r="B16" t="s">
        <v>861</v>
      </c>
      <c r="C16" t="s">
        <v>360</v>
      </c>
      <c r="D16" t="s">
        <v>30</v>
      </c>
      <c r="E16" t="s">
        <v>168</v>
      </c>
      <c r="F16" s="47">
        <v>1953</v>
      </c>
      <c r="G16" t="s">
        <v>864</v>
      </c>
      <c r="H16" t="s">
        <v>676</v>
      </c>
    </row>
    <row r="17" spans="1:8" x14ac:dyDescent="0.25">
      <c r="A17" s="10">
        <v>44670</v>
      </c>
      <c r="B17" t="s">
        <v>868</v>
      </c>
      <c r="C17" t="s">
        <v>96</v>
      </c>
      <c r="D17" t="s">
        <v>30</v>
      </c>
      <c r="E17" t="s">
        <v>168</v>
      </c>
      <c r="F17" s="47">
        <v>1300</v>
      </c>
      <c r="G17" t="s">
        <v>871</v>
      </c>
      <c r="H17" t="s">
        <v>193</v>
      </c>
    </row>
    <row r="18" spans="1:8" x14ac:dyDescent="0.25">
      <c r="A18" s="10">
        <v>44670</v>
      </c>
      <c r="B18" t="s">
        <v>873</v>
      </c>
      <c r="C18" t="s">
        <v>360</v>
      </c>
      <c r="D18" t="s">
        <v>30</v>
      </c>
      <c r="E18" t="s">
        <v>168</v>
      </c>
      <c r="F18" s="47">
        <v>1290</v>
      </c>
      <c r="G18" t="s">
        <v>876</v>
      </c>
      <c r="H18" t="s">
        <v>193</v>
      </c>
    </row>
    <row r="19" spans="1:8" x14ac:dyDescent="0.25">
      <c r="A19" s="10">
        <v>44670</v>
      </c>
      <c r="B19" t="s">
        <v>877</v>
      </c>
      <c r="C19" t="s">
        <v>96</v>
      </c>
      <c r="D19" t="s">
        <v>30</v>
      </c>
      <c r="E19" t="s">
        <v>168</v>
      </c>
      <c r="F19" s="47">
        <v>3651</v>
      </c>
      <c r="G19" t="s">
        <v>962</v>
      </c>
      <c r="H19" t="s">
        <v>382</v>
      </c>
    </row>
    <row r="20" spans="1:8" x14ac:dyDescent="0.25">
      <c r="A20" s="10">
        <v>44663</v>
      </c>
      <c r="B20" t="s">
        <v>884</v>
      </c>
      <c r="C20" t="s">
        <v>360</v>
      </c>
      <c r="D20" t="s">
        <v>30</v>
      </c>
      <c r="E20" t="s">
        <v>281</v>
      </c>
      <c r="F20" s="47">
        <v>1025.55</v>
      </c>
      <c r="G20" t="s">
        <v>444</v>
      </c>
      <c r="H20" t="s">
        <v>887</v>
      </c>
    </row>
    <row r="21" spans="1:8" x14ac:dyDescent="0.25">
      <c r="A21" s="10">
        <v>44671</v>
      </c>
      <c r="B21" t="s">
        <v>888</v>
      </c>
      <c r="C21" t="s">
        <v>96</v>
      </c>
      <c r="D21" t="s">
        <v>30</v>
      </c>
      <c r="E21" t="s">
        <v>291</v>
      </c>
      <c r="F21" s="47">
        <v>727</v>
      </c>
      <c r="G21" t="s">
        <v>891</v>
      </c>
      <c r="H21" t="s">
        <v>192</v>
      </c>
    </row>
    <row r="22" spans="1:8" x14ac:dyDescent="0.25">
      <c r="A22" s="10">
        <v>44671</v>
      </c>
      <c r="B22" t="s">
        <v>892</v>
      </c>
      <c r="C22" t="s">
        <v>96</v>
      </c>
      <c r="D22" t="s">
        <v>30</v>
      </c>
      <c r="E22" t="s">
        <v>168</v>
      </c>
      <c r="F22" s="47">
        <v>1364</v>
      </c>
      <c r="G22" t="s">
        <v>895</v>
      </c>
      <c r="H22" t="s">
        <v>896</v>
      </c>
    </row>
    <row r="23" spans="1:8" x14ac:dyDescent="0.25">
      <c r="A23" s="10">
        <v>44671</v>
      </c>
      <c r="B23" t="s">
        <v>853</v>
      </c>
      <c r="C23" t="s">
        <v>96</v>
      </c>
      <c r="D23" t="s">
        <v>30</v>
      </c>
      <c r="E23" t="s">
        <v>281</v>
      </c>
      <c r="F23" s="47">
        <v>863</v>
      </c>
      <c r="G23" t="s">
        <v>898</v>
      </c>
      <c r="H23" t="s">
        <v>80</v>
      </c>
    </row>
    <row r="24" spans="1:8" x14ac:dyDescent="0.25">
      <c r="A24" s="10">
        <v>44672</v>
      </c>
      <c r="B24" t="s">
        <v>911</v>
      </c>
      <c r="C24" t="s">
        <v>96</v>
      </c>
      <c r="D24" t="s">
        <v>30</v>
      </c>
      <c r="E24" t="s">
        <v>168</v>
      </c>
      <c r="F24" s="47">
        <v>1190</v>
      </c>
      <c r="G24" t="s">
        <v>914</v>
      </c>
      <c r="H24" t="s">
        <v>518</v>
      </c>
    </row>
    <row r="25" spans="1:8" x14ac:dyDescent="0.25">
      <c r="A25" s="10">
        <v>44672</v>
      </c>
      <c r="B25" t="s">
        <v>915</v>
      </c>
      <c r="C25" t="s">
        <v>96</v>
      </c>
      <c r="D25" t="s">
        <v>32</v>
      </c>
      <c r="E25" t="s">
        <v>281</v>
      </c>
      <c r="F25" s="47">
        <v>1408.14</v>
      </c>
      <c r="G25" t="s">
        <v>918</v>
      </c>
      <c r="H25" t="s">
        <v>80</v>
      </c>
    </row>
    <row r="26" spans="1:8" x14ac:dyDescent="0.25">
      <c r="A26" s="10">
        <v>44664</v>
      </c>
      <c r="B26" t="s">
        <v>919</v>
      </c>
      <c r="C26" t="s">
        <v>96</v>
      </c>
      <c r="D26" t="s">
        <v>30</v>
      </c>
      <c r="E26" t="s">
        <v>291</v>
      </c>
      <c r="F26" s="47">
        <v>5512.81</v>
      </c>
      <c r="G26" t="s">
        <v>922</v>
      </c>
      <c r="H26" t="s">
        <v>518</v>
      </c>
    </row>
    <row r="27" spans="1:8" x14ac:dyDescent="0.25">
      <c r="A27" s="10">
        <v>44673</v>
      </c>
      <c r="B27" t="s">
        <v>923</v>
      </c>
      <c r="C27" t="s">
        <v>96</v>
      </c>
      <c r="D27" t="s">
        <v>30</v>
      </c>
      <c r="E27" t="s">
        <v>168</v>
      </c>
      <c r="F27" s="47">
        <v>2200</v>
      </c>
      <c r="G27" t="s">
        <v>926</v>
      </c>
      <c r="H27" t="s">
        <v>192</v>
      </c>
    </row>
    <row r="28" spans="1:8" x14ac:dyDescent="0.25">
      <c r="A28" s="10">
        <v>44673</v>
      </c>
      <c r="B28" t="s">
        <v>927</v>
      </c>
      <c r="C28" t="s">
        <v>96</v>
      </c>
      <c r="D28" t="s">
        <v>30</v>
      </c>
      <c r="E28" t="s">
        <v>168</v>
      </c>
      <c r="F28" s="47">
        <v>1300</v>
      </c>
      <c r="G28" t="s">
        <v>930</v>
      </c>
      <c r="H28" t="s">
        <v>935</v>
      </c>
    </row>
    <row r="29" spans="1:8" x14ac:dyDescent="0.25">
      <c r="A29" s="10">
        <v>44673</v>
      </c>
      <c r="B29" t="s">
        <v>931</v>
      </c>
      <c r="C29" t="s">
        <v>96</v>
      </c>
      <c r="D29" t="s">
        <v>32</v>
      </c>
      <c r="E29" t="s">
        <v>168</v>
      </c>
      <c r="F29" s="47">
        <v>1468.56</v>
      </c>
      <c r="G29" t="s">
        <v>934</v>
      </c>
      <c r="H29" t="s">
        <v>192</v>
      </c>
    </row>
    <row r="30" spans="1:8" x14ac:dyDescent="0.25">
      <c r="A30" s="10">
        <v>44674</v>
      </c>
      <c r="B30" t="s">
        <v>936</v>
      </c>
      <c r="C30" t="s">
        <v>360</v>
      </c>
      <c r="D30" t="s">
        <v>30</v>
      </c>
      <c r="E30" t="s">
        <v>168</v>
      </c>
      <c r="F30" s="47">
        <v>860</v>
      </c>
      <c r="G30" t="s">
        <v>939</v>
      </c>
      <c r="H30" t="s">
        <v>193</v>
      </c>
    </row>
    <row r="31" spans="1:8" x14ac:dyDescent="0.25">
      <c r="A31" s="10">
        <v>44674</v>
      </c>
      <c r="B31" t="s">
        <v>940</v>
      </c>
      <c r="C31" t="s">
        <v>96</v>
      </c>
      <c r="D31" t="s">
        <v>30</v>
      </c>
      <c r="E31" t="s">
        <v>168</v>
      </c>
      <c r="F31" s="47">
        <v>2325</v>
      </c>
      <c r="G31" t="s">
        <v>943</v>
      </c>
      <c r="H31" t="s">
        <v>518</v>
      </c>
    </row>
    <row r="32" spans="1:8" x14ac:dyDescent="0.25">
      <c r="A32" s="10">
        <v>44676</v>
      </c>
      <c r="B32" t="s">
        <v>944</v>
      </c>
      <c r="C32" t="s">
        <v>96</v>
      </c>
      <c r="D32" t="s">
        <v>30</v>
      </c>
      <c r="E32" t="s">
        <v>281</v>
      </c>
      <c r="F32" s="47">
        <v>1733.4</v>
      </c>
      <c r="G32" t="s">
        <v>945</v>
      </c>
      <c r="H32" t="s">
        <v>80</v>
      </c>
    </row>
    <row r="33" spans="1:10" x14ac:dyDescent="0.25">
      <c r="A33" s="10">
        <v>44676</v>
      </c>
      <c r="B33" t="s">
        <v>946</v>
      </c>
      <c r="C33" t="s">
        <v>96</v>
      </c>
      <c r="D33" t="s">
        <v>30</v>
      </c>
      <c r="E33" t="s">
        <v>949</v>
      </c>
      <c r="F33" s="47">
        <v>3484</v>
      </c>
      <c r="G33" t="s">
        <v>950</v>
      </c>
      <c r="H33" t="s">
        <v>676</v>
      </c>
    </row>
    <row r="34" spans="1:10" x14ac:dyDescent="0.25">
      <c r="A34" s="10">
        <v>44676</v>
      </c>
      <c r="B34" t="s">
        <v>951</v>
      </c>
      <c r="C34" t="s">
        <v>360</v>
      </c>
      <c r="D34" t="s">
        <v>30</v>
      </c>
      <c r="E34" t="s">
        <v>281</v>
      </c>
      <c r="F34" s="47">
        <v>1250</v>
      </c>
      <c r="G34" t="s">
        <v>836</v>
      </c>
      <c r="H34" t="s">
        <v>80</v>
      </c>
    </row>
    <row r="35" spans="1:10" x14ac:dyDescent="0.25">
      <c r="A35" s="10">
        <v>44677</v>
      </c>
      <c r="B35" t="s">
        <v>955</v>
      </c>
      <c r="C35" t="s">
        <v>96</v>
      </c>
      <c r="D35" t="s">
        <v>32</v>
      </c>
      <c r="E35" t="s">
        <v>291</v>
      </c>
      <c r="F35" s="47">
        <v>25761.96</v>
      </c>
      <c r="G35" t="s">
        <v>244</v>
      </c>
      <c r="H35" t="s">
        <v>956</v>
      </c>
    </row>
    <row r="36" spans="1:10" x14ac:dyDescent="0.25">
      <c r="A36" s="10">
        <v>44680</v>
      </c>
      <c r="B36" t="s">
        <v>957</v>
      </c>
      <c r="C36" t="s">
        <v>102</v>
      </c>
      <c r="D36" t="s">
        <v>30</v>
      </c>
      <c r="E36" t="s">
        <v>168</v>
      </c>
      <c r="F36" s="47">
        <v>4254</v>
      </c>
      <c r="G36" t="s">
        <v>958</v>
      </c>
      <c r="H36" t="s">
        <v>969</v>
      </c>
    </row>
    <row r="41" spans="1:10" ht="15.75" thickBot="1" x14ac:dyDescent="0.3">
      <c r="A41" s="106" t="s">
        <v>16</v>
      </c>
      <c r="B41" s="106"/>
      <c r="C41" s="106"/>
      <c r="D41" s="106"/>
      <c r="E41" s="106"/>
      <c r="F41" s="106"/>
      <c r="G41" s="8"/>
    </row>
    <row r="42" spans="1:10" x14ac:dyDescent="0.25">
      <c r="A42" s="9" t="s">
        <v>17</v>
      </c>
      <c r="B42" s="10"/>
      <c r="C42" s="11">
        <f>SUM(F2:F38)</f>
        <v>90782.38</v>
      </c>
      <c r="D42" s="12"/>
      <c r="E42" s="13" t="s">
        <v>18</v>
      </c>
      <c r="F42" s="14"/>
      <c r="G42" s="8"/>
      <c r="H42" s="15" t="s">
        <v>19</v>
      </c>
      <c r="I42" s="16">
        <v>13</v>
      </c>
      <c r="J42" s="17"/>
    </row>
    <row r="43" spans="1:10" x14ac:dyDescent="0.25">
      <c r="A43" s="9"/>
      <c r="B43" s="10"/>
      <c r="C43" s="11"/>
      <c r="D43" s="12"/>
      <c r="E43" s="18" t="s">
        <v>20</v>
      </c>
      <c r="F43" s="19">
        <v>90782.38</v>
      </c>
      <c r="G43" s="8"/>
      <c r="H43" s="18" t="s">
        <v>21</v>
      </c>
      <c r="I43" s="20">
        <v>6</v>
      </c>
      <c r="J43" s="21">
        <f>I43/I$42</f>
        <v>0.46153846153846156</v>
      </c>
    </row>
    <row r="44" spans="1:10" ht="15.75" thickBot="1" x14ac:dyDescent="0.3">
      <c r="A44" s="9" t="s">
        <v>22</v>
      </c>
      <c r="B44" s="10"/>
      <c r="C44" s="22">
        <v>23</v>
      </c>
      <c r="D44" s="12"/>
      <c r="E44" s="23" t="s">
        <v>23</v>
      </c>
      <c r="F44" s="24">
        <f>C42/C44</f>
        <v>3947.0600000000004</v>
      </c>
      <c r="G44" s="8"/>
      <c r="H44" s="18" t="s">
        <v>24</v>
      </c>
      <c r="I44" s="20">
        <v>7</v>
      </c>
      <c r="J44" s="21">
        <f>I44/I$42</f>
        <v>0.53846153846153844</v>
      </c>
    </row>
    <row r="45" spans="1:10" ht="15.75" thickBot="1" x14ac:dyDescent="0.3">
      <c r="A45" s="9" t="s">
        <v>25</v>
      </c>
      <c r="B45" s="10"/>
      <c r="C45">
        <v>35</v>
      </c>
      <c r="D45" s="12"/>
      <c r="E45" s="12"/>
      <c r="F45" s="25"/>
      <c r="G45" s="8"/>
      <c r="H45" s="23" t="s">
        <v>26</v>
      </c>
      <c r="I45" s="26">
        <v>0</v>
      </c>
      <c r="J45" s="27">
        <f>I45/I$42</f>
        <v>0</v>
      </c>
    </row>
    <row r="46" spans="1:10" x14ac:dyDescent="0.25">
      <c r="A46" s="9"/>
      <c r="B46" s="10"/>
      <c r="D46" s="12" t="s">
        <v>27</v>
      </c>
      <c r="E46" s="13" t="s">
        <v>28</v>
      </c>
      <c r="F46" s="14"/>
      <c r="G46" s="8"/>
    </row>
    <row r="47" spans="1:10" ht="15.75" thickBot="1" x14ac:dyDescent="0.3">
      <c r="A47" s="9" t="s">
        <v>29</v>
      </c>
      <c r="B47" s="10"/>
      <c r="C47">
        <v>31</v>
      </c>
      <c r="D47" s="12" t="s">
        <v>27</v>
      </c>
      <c r="E47" s="18" t="s">
        <v>30</v>
      </c>
      <c r="F47" s="21">
        <f>C47/C$45</f>
        <v>0.88571428571428568</v>
      </c>
      <c r="G47" s="8"/>
    </row>
    <row r="48" spans="1:10" ht="15.75" thickBot="1" x14ac:dyDescent="0.3">
      <c r="A48" s="9" t="s">
        <v>31</v>
      </c>
      <c r="B48" s="10"/>
      <c r="C48">
        <v>4</v>
      </c>
      <c r="D48" s="12"/>
      <c r="E48" s="23" t="s">
        <v>32</v>
      </c>
      <c r="F48" s="27">
        <f>C48/C$45</f>
        <v>0.11428571428571428</v>
      </c>
      <c r="G48" s="8"/>
      <c r="H48" s="15" t="s">
        <v>33</v>
      </c>
      <c r="I48" s="16">
        <v>31</v>
      </c>
      <c r="J48" s="17"/>
    </row>
    <row r="49" spans="1:10" ht="15.75" thickBot="1" x14ac:dyDescent="0.3">
      <c r="A49" s="9"/>
      <c r="B49" s="10"/>
      <c r="D49" s="12"/>
      <c r="E49" s="12"/>
      <c r="F49" s="25"/>
      <c r="G49" s="8"/>
      <c r="H49" s="28" t="s">
        <v>34</v>
      </c>
      <c r="I49" s="20">
        <v>21</v>
      </c>
      <c r="J49" s="21">
        <f>I49/I$48</f>
        <v>0.67741935483870963</v>
      </c>
    </row>
    <row r="50" spans="1:10" x14ac:dyDescent="0.25">
      <c r="A50" s="9" t="s">
        <v>35</v>
      </c>
      <c r="B50" s="10"/>
      <c r="D50" s="12"/>
      <c r="E50" s="13" t="s">
        <v>36</v>
      </c>
      <c r="F50" s="14"/>
      <c r="G50" s="8"/>
      <c r="H50" s="28" t="s">
        <v>37</v>
      </c>
      <c r="I50" s="20">
        <v>4</v>
      </c>
      <c r="J50" s="21">
        <f>I50/I$48</f>
        <v>0.12903225806451613</v>
      </c>
    </row>
    <row r="51" spans="1:10" ht="15.75" thickBot="1" x14ac:dyDescent="0.3">
      <c r="A51" s="9" t="s">
        <v>38</v>
      </c>
      <c r="B51" s="10"/>
      <c r="C51">
        <v>5</v>
      </c>
      <c r="D51" s="12"/>
      <c r="E51" s="29" t="s">
        <v>38</v>
      </c>
      <c r="F51" s="21">
        <f>C51/C$60</f>
        <v>6.1728395061728392E-2</v>
      </c>
      <c r="G51" s="8"/>
      <c r="H51" s="30" t="s">
        <v>39</v>
      </c>
      <c r="I51" s="26">
        <v>6</v>
      </c>
      <c r="J51" s="27">
        <f>I51/I$48</f>
        <v>0.19354838709677419</v>
      </c>
    </row>
    <row r="52" spans="1:10" ht="15.75" thickBot="1" x14ac:dyDescent="0.3">
      <c r="A52" s="9" t="s">
        <v>19</v>
      </c>
      <c r="B52" s="10"/>
      <c r="C52">
        <v>13</v>
      </c>
      <c r="D52" s="12"/>
      <c r="E52" s="29" t="s">
        <v>19</v>
      </c>
      <c r="F52" s="21">
        <f t="shared" ref="F52:F59" si="0">C52/C$60</f>
        <v>0.16049382716049382</v>
      </c>
      <c r="G52" s="8"/>
    </row>
    <row r="53" spans="1:10" x14ac:dyDescent="0.25">
      <c r="A53" s="9" t="s">
        <v>40</v>
      </c>
      <c r="B53" s="10"/>
      <c r="C53">
        <v>31</v>
      </c>
      <c r="D53" s="12"/>
      <c r="E53" s="29" t="s">
        <v>40</v>
      </c>
      <c r="F53" s="21">
        <f t="shared" si="0"/>
        <v>0.38271604938271603</v>
      </c>
      <c r="G53" s="12" t="s">
        <v>27</v>
      </c>
      <c r="H53" s="15" t="s">
        <v>365</v>
      </c>
      <c r="I53" s="16">
        <v>6</v>
      </c>
      <c r="J53" s="14">
        <f t="shared" ref="J53:J62" si="1">I53/I$48</f>
        <v>0.19354838709677419</v>
      </c>
    </row>
    <row r="54" spans="1:10" x14ac:dyDescent="0.25">
      <c r="A54" s="9" t="s">
        <v>41</v>
      </c>
      <c r="B54" s="10"/>
      <c r="C54">
        <v>4</v>
      </c>
      <c r="D54" s="12"/>
      <c r="E54" s="29" t="s">
        <v>41</v>
      </c>
      <c r="F54" s="21">
        <f t="shared" si="0"/>
        <v>4.9382716049382713E-2</v>
      </c>
      <c r="G54" s="8"/>
      <c r="H54" s="28" t="s">
        <v>366</v>
      </c>
      <c r="I54" s="68">
        <v>3</v>
      </c>
      <c r="J54" s="21">
        <f t="shared" si="1"/>
        <v>9.6774193548387094E-2</v>
      </c>
    </row>
    <row r="55" spans="1:10" x14ac:dyDescent="0.25">
      <c r="A55" s="9" t="s">
        <v>42</v>
      </c>
      <c r="B55" s="10"/>
      <c r="C55">
        <v>13</v>
      </c>
      <c r="D55" s="12"/>
      <c r="E55" s="29" t="s">
        <v>42</v>
      </c>
      <c r="F55" s="21">
        <f t="shared" si="0"/>
        <v>0.16049382716049382</v>
      </c>
      <c r="G55" s="8"/>
      <c r="H55" s="28" t="s">
        <v>367</v>
      </c>
      <c r="I55" s="20">
        <v>4</v>
      </c>
      <c r="J55" s="21">
        <f t="shared" si="1"/>
        <v>0.12903225806451613</v>
      </c>
    </row>
    <row r="56" spans="1:10" x14ac:dyDescent="0.25">
      <c r="A56" s="9" t="s">
        <v>43</v>
      </c>
      <c r="B56" s="10"/>
      <c r="C56">
        <v>1</v>
      </c>
      <c r="D56" s="12"/>
      <c r="E56" s="29" t="s">
        <v>43</v>
      </c>
      <c r="F56" s="21">
        <f t="shared" si="0"/>
        <v>1.2345679012345678E-2</v>
      </c>
      <c r="G56" s="8"/>
      <c r="H56" s="28" t="s">
        <v>368</v>
      </c>
      <c r="I56" s="20">
        <v>4</v>
      </c>
      <c r="J56" s="21">
        <f t="shared" si="1"/>
        <v>0.12903225806451613</v>
      </c>
    </row>
    <row r="57" spans="1:10" x14ac:dyDescent="0.25">
      <c r="A57" s="9" t="s">
        <v>44</v>
      </c>
      <c r="B57" s="10"/>
      <c r="C57">
        <v>6</v>
      </c>
      <c r="D57" s="12"/>
      <c r="E57" s="29" t="s">
        <v>44</v>
      </c>
      <c r="F57" s="21">
        <f t="shared" si="0"/>
        <v>7.407407407407407E-2</v>
      </c>
      <c r="G57" s="8"/>
      <c r="H57" s="28" t="s">
        <v>369</v>
      </c>
      <c r="I57" s="20">
        <v>8</v>
      </c>
      <c r="J57" s="21">
        <f t="shared" si="1"/>
        <v>0.25806451612903225</v>
      </c>
    </row>
    <row r="58" spans="1:10" x14ac:dyDescent="0.25">
      <c r="A58" s="9" t="s">
        <v>45</v>
      </c>
      <c r="B58" s="10"/>
      <c r="C58">
        <v>1</v>
      </c>
      <c r="D58" s="12"/>
      <c r="E58" s="29" t="s">
        <v>45</v>
      </c>
      <c r="F58" s="21">
        <f t="shared" si="0"/>
        <v>1.2345679012345678E-2</v>
      </c>
      <c r="G58" s="8"/>
      <c r="H58" s="28" t="s">
        <v>370</v>
      </c>
      <c r="I58" s="68">
        <v>5</v>
      </c>
      <c r="J58" s="21">
        <f t="shared" si="1"/>
        <v>0.16129032258064516</v>
      </c>
    </row>
    <row r="59" spans="1:10" ht="15.75" thickBot="1" x14ac:dyDescent="0.3">
      <c r="A59" s="9" t="s">
        <v>46</v>
      </c>
      <c r="B59" s="10"/>
      <c r="C59">
        <v>7</v>
      </c>
      <c r="D59" s="12"/>
      <c r="E59" s="31" t="s">
        <v>46</v>
      </c>
      <c r="F59" s="27">
        <f t="shared" si="0"/>
        <v>8.6419753086419748E-2</v>
      </c>
      <c r="G59" s="12" t="s">
        <v>27</v>
      </c>
      <c r="H59" s="28" t="s">
        <v>371</v>
      </c>
      <c r="I59" s="68">
        <v>0</v>
      </c>
      <c r="J59" s="21">
        <f t="shared" si="1"/>
        <v>0</v>
      </c>
    </row>
    <row r="60" spans="1:10" ht="15.75" thickBot="1" x14ac:dyDescent="0.3">
      <c r="A60" s="9" t="s">
        <v>47</v>
      </c>
      <c r="B60" s="10"/>
      <c r="C60">
        <f>SUM(C51:C59)</f>
        <v>81</v>
      </c>
      <c r="D60" s="12"/>
      <c r="E60" s="9"/>
      <c r="F60" s="25"/>
      <c r="G60" s="8"/>
      <c r="H60" s="28" t="s">
        <v>372</v>
      </c>
      <c r="I60" s="68">
        <v>0</v>
      </c>
      <c r="J60" s="21">
        <f t="shared" si="1"/>
        <v>0</v>
      </c>
    </row>
    <row r="61" spans="1:10" x14ac:dyDescent="0.25">
      <c r="A61" s="9"/>
      <c r="B61" s="10"/>
      <c r="D61" s="12"/>
      <c r="E61" s="32" t="s">
        <v>49</v>
      </c>
      <c r="F61" s="14"/>
      <c r="G61" s="8"/>
      <c r="H61" s="28" t="s">
        <v>373</v>
      </c>
      <c r="I61" s="68">
        <v>0</v>
      </c>
      <c r="J61" s="21">
        <f t="shared" si="1"/>
        <v>0</v>
      </c>
    </row>
    <row r="62" spans="1:10" ht="15.75" thickBot="1" x14ac:dyDescent="0.3">
      <c r="A62" s="9" t="s">
        <v>51</v>
      </c>
      <c r="B62" s="10"/>
      <c r="D62" s="12"/>
      <c r="E62" s="29" t="s">
        <v>52</v>
      </c>
      <c r="F62" s="21">
        <f>C63/C$73</f>
        <v>0.33707865168539325</v>
      </c>
      <c r="G62" s="8"/>
      <c r="H62" s="30" t="s">
        <v>374</v>
      </c>
      <c r="I62" s="26">
        <v>1</v>
      </c>
      <c r="J62" s="27">
        <f t="shared" si="1"/>
        <v>3.2258064516129031E-2</v>
      </c>
    </row>
    <row r="63" spans="1:10" x14ac:dyDescent="0.25">
      <c r="A63" s="9" t="s">
        <v>52</v>
      </c>
      <c r="B63" s="10"/>
      <c r="C63">
        <v>30</v>
      </c>
      <c r="D63" s="12"/>
      <c r="E63" s="29" t="s">
        <v>53</v>
      </c>
      <c r="F63" s="21">
        <f t="shared" ref="F63:F71" si="2">C64/C$73</f>
        <v>0.15730337078651685</v>
      </c>
      <c r="G63" s="8"/>
    </row>
    <row r="64" spans="1:10" ht="15.75" thickBot="1" x14ac:dyDescent="0.3">
      <c r="A64" s="9" t="s">
        <v>53</v>
      </c>
      <c r="B64" s="10"/>
      <c r="C64">
        <v>14</v>
      </c>
      <c r="D64" s="12"/>
      <c r="E64" s="29" t="s">
        <v>54</v>
      </c>
      <c r="F64" s="21">
        <f t="shared" si="2"/>
        <v>0.1797752808988764</v>
      </c>
      <c r="G64" s="8"/>
    </row>
    <row r="65" spans="1:10" x14ac:dyDescent="0.25">
      <c r="A65" s="9" t="s">
        <v>54</v>
      </c>
      <c r="B65" s="10"/>
      <c r="C65">
        <v>16</v>
      </c>
      <c r="D65" s="12"/>
      <c r="E65" s="29" t="s">
        <v>56</v>
      </c>
      <c r="F65" s="21">
        <f t="shared" si="2"/>
        <v>0.15730337078651685</v>
      </c>
      <c r="G65" s="8"/>
      <c r="H65" s="15" t="s">
        <v>42</v>
      </c>
      <c r="I65" s="16">
        <v>13</v>
      </c>
      <c r="J65" s="17"/>
    </row>
    <row r="66" spans="1:10" x14ac:dyDescent="0.25">
      <c r="A66" s="9" t="s">
        <v>56</v>
      </c>
      <c r="B66" s="10"/>
      <c r="C66">
        <v>14</v>
      </c>
      <c r="D66" s="12"/>
      <c r="E66" s="29" t="s">
        <v>58</v>
      </c>
      <c r="F66" s="21">
        <f t="shared" si="2"/>
        <v>2.247191011235955E-2</v>
      </c>
      <c r="G66" s="12" t="s">
        <v>27</v>
      </c>
      <c r="H66" s="28" t="s">
        <v>48</v>
      </c>
      <c r="I66" s="20">
        <v>1</v>
      </c>
      <c r="J66" s="21">
        <f>I66/I$65</f>
        <v>7.6923076923076927E-2</v>
      </c>
    </row>
    <row r="67" spans="1:10" ht="15.75" thickBot="1" x14ac:dyDescent="0.3">
      <c r="A67" s="9" t="s">
        <v>58</v>
      </c>
      <c r="B67" s="10"/>
      <c r="C67">
        <v>2</v>
      </c>
      <c r="D67" s="12"/>
      <c r="E67" s="29" t="s">
        <v>60</v>
      </c>
      <c r="F67" s="21">
        <f t="shared" si="2"/>
        <v>1.1235955056179775E-2</v>
      </c>
      <c r="G67" s="8"/>
      <c r="H67" s="30" t="s">
        <v>50</v>
      </c>
      <c r="I67" s="26">
        <v>12</v>
      </c>
      <c r="J67" s="27">
        <f>I67/I$65</f>
        <v>0.92307692307692313</v>
      </c>
    </row>
    <row r="68" spans="1:10" x14ac:dyDescent="0.25">
      <c r="A68" s="9" t="s">
        <v>60</v>
      </c>
      <c r="B68" s="10"/>
      <c r="C68">
        <v>1</v>
      </c>
      <c r="D68" s="12"/>
      <c r="E68" s="29" t="s">
        <v>62</v>
      </c>
      <c r="F68" s="21">
        <f t="shared" si="2"/>
        <v>0</v>
      </c>
      <c r="G68" s="8"/>
    </row>
    <row r="69" spans="1:10" ht="15.75" thickBot="1" x14ac:dyDescent="0.3">
      <c r="A69" s="9" t="s">
        <v>62</v>
      </c>
      <c r="B69" s="10"/>
      <c r="C69">
        <v>0</v>
      </c>
      <c r="D69" s="12"/>
      <c r="E69" s="29" t="s">
        <v>64</v>
      </c>
      <c r="F69" s="21">
        <f t="shared" si="2"/>
        <v>4.49438202247191E-2</v>
      </c>
      <c r="G69" s="8"/>
    </row>
    <row r="70" spans="1:10" x14ac:dyDescent="0.25">
      <c r="A70" s="9" t="s">
        <v>64</v>
      </c>
      <c r="B70" s="10"/>
      <c r="C70">
        <v>4</v>
      </c>
      <c r="D70" s="12"/>
      <c r="E70" s="29" t="s">
        <v>66</v>
      </c>
      <c r="F70" s="21">
        <f t="shared" si="2"/>
        <v>4.49438202247191E-2</v>
      </c>
      <c r="G70" s="8"/>
      <c r="H70" s="15" t="s">
        <v>55</v>
      </c>
      <c r="I70" s="16">
        <v>1</v>
      </c>
      <c r="J70" s="17"/>
    </row>
    <row r="71" spans="1:10" ht="15.75" thickBot="1" x14ac:dyDescent="0.3">
      <c r="A71" s="9" t="s">
        <v>66</v>
      </c>
      <c r="B71" s="10"/>
      <c r="C71">
        <v>4</v>
      </c>
      <c r="D71" s="12"/>
      <c r="E71" s="31" t="s">
        <v>68</v>
      </c>
      <c r="F71" s="27">
        <f t="shared" si="2"/>
        <v>4.49438202247191E-2</v>
      </c>
      <c r="G71" s="8"/>
      <c r="H71" s="28" t="s">
        <v>57</v>
      </c>
      <c r="I71" s="20">
        <v>1</v>
      </c>
      <c r="J71" s="21">
        <f t="shared" ref="J71:J76" si="3">I71/I$70</f>
        <v>1</v>
      </c>
    </row>
    <row r="72" spans="1:10" ht="15.75" thickBot="1" x14ac:dyDescent="0.3">
      <c r="A72" s="9" t="s">
        <v>68</v>
      </c>
      <c r="B72" s="10"/>
      <c r="C72">
        <v>4</v>
      </c>
      <c r="D72" s="12"/>
      <c r="E72" s="9"/>
      <c r="F72" s="25"/>
      <c r="G72" s="8"/>
      <c r="H72" s="28" t="s">
        <v>59</v>
      </c>
      <c r="I72" s="20">
        <v>0</v>
      </c>
      <c r="J72" s="21">
        <f t="shared" si="3"/>
        <v>0</v>
      </c>
    </row>
    <row r="73" spans="1:10" x14ac:dyDescent="0.25">
      <c r="A73" s="9" t="s">
        <v>70</v>
      </c>
      <c r="B73" s="10"/>
      <c r="C73">
        <f>SUM(C63:C72)</f>
        <v>89</v>
      </c>
      <c r="D73" s="12"/>
      <c r="E73" s="32" t="s">
        <v>71</v>
      </c>
      <c r="F73" s="14"/>
      <c r="G73" s="8"/>
      <c r="H73" s="28" t="s">
        <v>61</v>
      </c>
      <c r="I73" s="20">
        <v>0</v>
      </c>
      <c r="J73" s="21">
        <f t="shared" si="3"/>
        <v>0</v>
      </c>
    </row>
    <row r="74" spans="1:10" x14ac:dyDescent="0.25">
      <c r="A74" s="9"/>
      <c r="B74" s="10"/>
      <c r="D74" s="12"/>
      <c r="E74" s="33" t="s">
        <v>72</v>
      </c>
      <c r="F74" s="21">
        <f>C75/C$45</f>
        <v>0.62857142857142856</v>
      </c>
      <c r="G74" s="8"/>
      <c r="H74" s="28" t="s">
        <v>63</v>
      </c>
      <c r="I74" s="20">
        <v>0</v>
      </c>
      <c r="J74" s="21">
        <f t="shared" si="3"/>
        <v>0</v>
      </c>
    </row>
    <row r="75" spans="1:10" x14ac:dyDescent="0.25">
      <c r="A75" s="9" t="s">
        <v>73</v>
      </c>
      <c r="B75" s="10"/>
      <c r="C75">
        <v>22</v>
      </c>
      <c r="D75" s="12"/>
      <c r="E75" s="33" t="s">
        <v>74</v>
      </c>
      <c r="F75" s="21">
        <f>C76/C$45</f>
        <v>2.8571428571428571E-2</v>
      </c>
      <c r="G75" s="8"/>
      <c r="H75" s="28" t="s">
        <v>65</v>
      </c>
      <c r="I75" s="20">
        <v>0</v>
      </c>
      <c r="J75" s="21">
        <f t="shared" si="3"/>
        <v>0</v>
      </c>
    </row>
    <row r="76" spans="1:10" ht="15.75" thickBot="1" x14ac:dyDescent="0.3">
      <c r="A76" s="9" t="s">
        <v>75</v>
      </c>
      <c r="B76" s="10"/>
      <c r="C76">
        <v>1</v>
      </c>
      <c r="D76" s="12"/>
      <c r="E76" s="34" t="s">
        <v>76</v>
      </c>
      <c r="F76" s="27">
        <f>C77/C$45</f>
        <v>0.34285714285714286</v>
      </c>
      <c r="G76" s="8"/>
      <c r="H76" s="30" t="s">
        <v>67</v>
      </c>
      <c r="I76" s="26">
        <v>0</v>
      </c>
      <c r="J76" s="27">
        <f t="shared" si="3"/>
        <v>0</v>
      </c>
    </row>
    <row r="77" spans="1:10" ht="15.75" thickBot="1" x14ac:dyDescent="0.3">
      <c r="A77" s="9" t="s">
        <v>77</v>
      </c>
      <c r="B77" s="10"/>
      <c r="C77">
        <v>12</v>
      </c>
      <c r="D77" s="12"/>
      <c r="E77" s="35"/>
      <c r="F77" s="25"/>
      <c r="G77" s="12" t="s">
        <v>27</v>
      </c>
    </row>
    <row r="78" spans="1:10" x14ac:dyDescent="0.25">
      <c r="A78" s="9"/>
      <c r="B78" s="10"/>
      <c r="D78" s="12"/>
      <c r="E78" s="36" t="s">
        <v>28</v>
      </c>
      <c r="F78" s="14"/>
      <c r="G78" s="8"/>
      <c r="H78" s="15" t="s">
        <v>69</v>
      </c>
      <c r="I78" s="16">
        <v>0</v>
      </c>
      <c r="J78" s="17"/>
    </row>
    <row r="79" spans="1:10" x14ac:dyDescent="0.25">
      <c r="A79" s="9" t="s">
        <v>28</v>
      </c>
      <c r="B79" s="10"/>
      <c r="D79" s="12"/>
      <c r="E79" s="29" t="s">
        <v>78</v>
      </c>
      <c r="F79" s="21">
        <f>C80/C$45</f>
        <v>0.77142857142857146</v>
      </c>
      <c r="G79" s="8"/>
      <c r="H79" s="28" t="s">
        <v>57</v>
      </c>
      <c r="I79" s="20">
        <v>0</v>
      </c>
      <c r="J79" s="21" t="e">
        <f t="shared" ref="J79:J84" si="4">I79/I$78</f>
        <v>#DIV/0!</v>
      </c>
    </row>
    <row r="80" spans="1:10" ht="15.75" thickBot="1" x14ac:dyDescent="0.3">
      <c r="A80" s="9" t="s">
        <v>79</v>
      </c>
      <c r="B80" s="10"/>
      <c r="C80">
        <v>27</v>
      </c>
      <c r="D80" s="12"/>
      <c r="E80" s="31" t="s">
        <v>80</v>
      </c>
      <c r="F80" s="27">
        <f>C81/C$45</f>
        <v>0.22857142857142856</v>
      </c>
      <c r="G80" s="8"/>
      <c r="H80" s="28" t="s">
        <v>59</v>
      </c>
      <c r="I80" s="20">
        <v>0</v>
      </c>
      <c r="J80" s="21" t="e">
        <f t="shared" si="4"/>
        <v>#DIV/0!</v>
      </c>
    </row>
    <row r="81" spans="1:10" ht="15.75" thickBot="1" x14ac:dyDescent="0.3">
      <c r="A81" s="9" t="s">
        <v>80</v>
      </c>
      <c r="B81" s="10"/>
      <c r="C81">
        <v>8</v>
      </c>
      <c r="D81" s="12"/>
      <c r="E81" s="37"/>
      <c r="F81" s="38"/>
      <c r="G81" s="8"/>
      <c r="H81" s="28" t="s">
        <v>61</v>
      </c>
      <c r="I81" s="20">
        <v>0</v>
      </c>
      <c r="J81" s="21" t="e">
        <f t="shared" si="4"/>
        <v>#DIV/0!</v>
      </c>
    </row>
    <row r="82" spans="1:10" x14ac:dyDescent="0.25">
      <c r="A82" s="9"/>
      <c r="B82" s="10"/>
      <c r="D82" s="12"/>
      <c r="E82" s="15" t="s">
        <v>1166</v>
      </c>
      <c r="F82" s="14"/>
      <c r="G82" s="8"/>
      <c r="H82" s="28" t="s">
        <v>63</v>
      </c>
      <c r="I82" s="20">
        <v>0</v>
      </c>
      <c r="J82" s="21" t="e">
        <f t="shared" si="4"/>
        <v>#DIV/0!</v>
      </c>
    </row>
    <row r="83" spans="1:10" x14ac:dyDescent="0.25">
      <c r="A83" t="s">
        <v>1166</v>
      </c>
      <c r="B83" s="10"/>
      <c r="D83" s="12"/>
      <c r="E83" s="28" t="s">
        <v>1167</v>
      </c>
      <c r="F83" s="21">
        <f>C84/C$81</f>
        <v>1</v>
      </c>
      <c r="G83" s="8"/>
      <c r="H83" s="28" t="s">
        <v>65</v>
      </c>
      <c r="I83" s="20">
        <v>0</v>
      </c>
      <c r="J83" s="21" t="e">
        <f t="shared" si="4"/>
        <v>#DIV/0!</v>
      </c>
    </row>
    <row r="84" spans="1:10" ht="15.75" thickBot="1" x14ac:dyDescent="0.3">
      <c r="A84" t="s">
        <v>1167</v>
      </c>
      <c r="B84" s="10"/>
      <c r="C84">
        <v>8</v>
      </c>
      <c r="D84" s="12"/>
      <c r="E84" s="30" t="s">
        <v>1168</v>
      </c>
      <c r="F84" s="27">
        <f>C85/C$81</f>
        <v>0</v>
      </c>
      <c r="G84" s="8"/>
      <c r="H84" s="30" t="s">
        <v>67</v>
      </c>
      <c r="I84" s="26">
        <v>0</v>
      </c>
      <c r="J84" s="27" t="e">
        <f t="shared" si="4"/>
        <v>#DIV/0!</v>
      </c>
    </row>
    <row r="85" spans="1:10" ht="15.75" thickBot="1" x14ac:dyDescent="0.3">
      <c r="A85" t="s">
        <v>1168</v>
      </c>
      <c r="B85" s="10"/>
      <c r="C85">
        <v>0</v>
      </c>
      <c r="D85" s="12"/>
      <c r="E85" s="37"/>
      <c r="F85" s="38"/>
      <c r="G85" s="8"/>
    </row>
    <row r="86" spans="1:10" ht="15.75" thickBot="1" x14ac:dyDescent="0.3">
      <c r="A86" s="9"/>
      <c r="B86" s="10"/>
      <c r="C86" t="s">
        <v>27</v>
      </c>
      <c r="D86" s="12"/>
      <c r="E86" s="32" t="s">
        <v>81</v>
      </c>
      <c r="F86" s="14"/>
      <c r="G86" s="8"/>
    </row>
    <row r="87" spans="1:10" x14ac:dyDescent="0.25">
      <c r="A87" s="9" t="s">
        <v>83</v>
      </c>
      <c r="B87" s="10"/>
      <c r="D87" s="12"/>
      <c r="E87" s="29" t="s">
        <v>84</v>
      </c>
      <c r="F87" s="21">
        <f t="shared" ref="F87:F92" si="5">C88/C$45</f>
        <v>0.8571428571428571</v>
      </c>
      <c r="G87" s="8"/>
      <c r="H87" s="15" t="s">
        <v>44</v>
      </c>
      <c r="I87" s="16">
        <v>3</v>
      </c>
      <c r="J87" s="17"/>
    </row>
    <row r="88" spans="1:10" x14ac:dyDescent="0.25">
      <c r="A88" s="9" t="s">
        <v>84</v>
      </c>
      <c r="B88" s="10"/>
      <c r="C88">
        <v>30</v>
      </c>
      <c r="D88" s="12"/>
      <c r="E88" s="18" t="s">
        <v>86</v>
      </c>
      <c r="F88" s="21">
        <f t="shared" si="5"/>
        <v>0.11428571428571428</v>
      </c>
      <c r="G88" s="8"/>
      <c r="H88" s="28" t="s">
        <v>82</v>
      </c>
      <c r="I88" s="20">
        <v>1</v>
      </c>
      <c r="J88" s="21">
        <f>I88/I$87</f>
        <v>0.33333333333333331</v>
      </c>
    </row>
    <row r="89" spans="1:10" x14ac:dyDescent="0.25">
      <c r="A89" s="9" t="s">
        <v>86</v>
      </c>
      <c r="B89" s="10"/>
      <c r="C89">
        <v>4</v>
      </c>
      <c r="D89" s="12"/>
      <c r="E89" s="18" t="s">
        <v>88</v>
      </c>
      <c r="F89" s="21">
        <f t="shared" si="5"/>
        <v>0</v>
      </c>
      <c r="G89" s="8"/>
      <c r="H89" s="28" t="s">
        <v>85</v>
      </c>
      <c r="I89" s="20">
        <v>0</v>
      </c>
      <c r="J89" s="21">
        <f>I89/I$87</f>
        <v>0</v>
      </c>
    </row>
    <row r="90" spans="1:10" x14ac:dyDescent="0.25">
      <c r="A90" s="9" t="s">
        <v>88</v>
      </c>
      <c r="B90" s="10"/>
      <c r="C90">
        <v>0</v>
      </c>
      <c r="D90" s="12"/>
      <c r="E90" s="18" t="s">
        <v>90</v>
      </c>
      <c r="F90" s="21">
        <f t="shared" si="5"/>
        <v>0</v>
      </c>
      <c r="G90" s="8"/>
      <c r="H90" s="28" t="s">
        <v>87</v>
      </c>
      <c r="I90" s="20">
        <v>0</v>
      </c>
      <c r="J90" s="21">
        <f>I90/I$87</f>
        <v>0</v>
      </c>
    </row>
    <row r="91" spans="1:10" ht="15.75" thickBot="1" x14ac:dyDescent="0.3">
      <c r="A91" s="9" t="s">
        <v>90</v>
      </c>
      <c r="B91" s="10"/>
      <c r="C91">
        <v>0</v>
      </c>
      <c r="D91" s="12"/>
      <c r="E91" s="18" t="s">
        <v>91</v>
      </c>
      <c r="F91" s="21">
        <f t="shared" si="5"/>
        <v>0</v>
      </c>
      <c r="G91" s="8"/>
      <c r="H91" s="30" t="s">
        <v>89</v>
      </c>
      <c r="I91" s="26">
        <v>2</v>
      </c>
      <c r="J91" s="27">
        <f>I91/I$87</f>
        <v>0.66666666666666663</v>
      </c>
    </row>
    <row r="92" spans="1:10" ht="15.75" thickBot="1" x14ac:dyDescent="0.3">
      <c r="A92" s="9" t="s">
        <v>91</v>
      </c>
      <c r="B92" s="10"/>
      <c r="C92">
        <v>0</v>
      </c>
      <c r="D92" s="12"/>
      <c r="E92" s="23" t="s">
        <v>46</v>
      </c>
      <c r="F92" s="27">
        <f t="shared" si="5"/>
        <v>2.8571428571428571E-2</v>
      </c>
      <c r="G92" s="8"/>
    </row>
    <row r="93" spans="1:10" ht="15.75" thickBot="1" x14ac:dyDescent="0.3">
      <c r="A93" s="9" t="s">
        <v>46</v>
      </c>
      <c r="B93" s="10"/>
      <c r="C93">
        <v>1</v>
      </c>
      <c r="D93" s="12"/>
      <c r="E93" s="12"/>
      <c r="F93" s="25"/>
      <c r="G93" s="8"/>
    </row>
    <row r="94" spans="1:10" x14ac:dyDescent="0.25">
      <c r="A94" s="9"/>
      <c r="B94" s="10"/>
      <c r="D94" s="12"/>
      <c r="E94" s="13" t="s">
        <v>93</v>
      </c>
      <c r="F94" s="14"/>
      <c r="G94" s="8"/>
      <c r="H94" s="15" t="s">
        <v>46</v>
      </c>
      <c r="I94" s="16">
        <v>7</v>
      </c>
      <c r="J94" s="17"/>
    </row>
    <row r="95" spans="1:10" x14ac:dyDescent="0.25">
      <c r="A95" s="9" t="s">
        <v>95</v>
      </c>
      <c r="B95" s="10"/>
      <c r="C95">
        <v>3</v>
      </c>
      <c r="D95" s="12"/>
      <c r="E95" s="18" t="s">
        <v>96</v>
      </c>
      <c r="F95" s="21">
        <f>C96/C$45</f>
        <v>0.8</v>
      </c>
      <c r="G95" s="8"/>
      <c r="H95" s="28" t="s">
        <v>92</v>
      </c>
      <c r="I95" s="20">
        <v>0</v>
      </c>
      <c r="J95" s="21">
        <f>I95/I$94</f>
        <v>0</v>
      </c>
    </row>
    <row r="96" spans="1:10" x14ac:dyDescent="0.25">
      <c r="A96" s="9" t="s">
        <v>96</v>
      </c>
      <c r="B96" s="10"/>
      <c r="C96">
        <v>28</v>
      </c>
      <c r="D96" s="12"/>
      <c r="E96" s="18" t="s">
        <v>98</v>
      </c>
      <c r="F96" s="21">
        <f>C97/C$45</f>
        <v>0.17142857142857143</v>
      </c>
      <c r="G96" s="8"/>
      <c r="H96" s="28" t="s">
        <v>94</v>
      </c>
      <c r="I96" s="20">
        <v>0</v>
      </c>
      <c r="J96" s="21">
        <f t="shared" ref="J96:J104" si="6">I96/I$94</f>
        <v>0</v>
      </c>
    </row>
    <row r="97" spans="1:10" x14ac:dyDescent="0.25">
      <c r="A97" s="9" t="s">
        <v>98</v>
      </c>
      <c r="B97" s="10"/>
      <c r="C97">
        <v>6</v>
      </c>
      <c r="D97" s="12"/>
      <c r="E97" s="18" t="s">
        <v>100</v>
      </c>
      <c r="F97" s="21">
        <f>C98/C$45</f>
        <v>0</v>
      </c>
      <c r="G97" s="8"/>
      <c r="H97" s="28" t="s">
        <v>97</v>
      </c>
      <c r="I97" s="20">
        <v>0</v>
      </c>
      <c r="J97" s="21">
        <f t="shared" si="6"/>
        <v>0</v>
      </c>
    </row>
    <row r="98" spans="1:10" x14ac:dyDescent="0.25">
      <c r="A98" s="9" t="s">
        <v>100</v>
      </c>
      <c r="B98" s="10"/>
      <c r="C98">
        <v>0</v>
      </c>
      <c r="D98" s="12"/>
      <c r="E98" s="18" t="s">
        <v>102</v>
      </c>
      <c r="F98" s="21">
        <f>C99/C$45</f>
        <v>2.8571428571428571E-2</v>
      </c>
      <c r="G98" s="8"/>
      <c r="H98" s="28" t="s">
        <v>99</v>
      </c>
      <c r="I98" s="20">
        <v>1</v>
      </c>
      <c r="J98" s="21">
        <f t="shared" si="6"/>
        <v>0.14285714285714285</v>
      </c>
    </row>
    <row r="99" spans="1:10" ht="15.75" thickBot="1" x14ac:dyDescent="0.3">
      <c r="A99" s="9" t="s">
        <v>102</v>
      </c>
      <c r="B99" s="10"/>
      <c r="C99">
        <v>1</v>
      </c>
      <c r="E99" s="23" t="s">
        <v>103</v>
      </c>
      <c r="F99" s="27">
        <f>C100/C$45</f>
        <v>0</v>
      </c>
      <c r="H99" s="28" t="s">
        <v>101</v>
      </c>
      <c r="I99" s="20">
        <v>4</v>
      </c>
      <c r="J99" s="21">
        <f t="shared" si="6"/>
        <v>0.5714285714285714</v>
      </c>
    </row>
    <row r="100" spans="1:10" x14ac:dyDescent="0.25">
      <c r="A100" s="9" t="s">
        <v>103</v>
      </c>
      <c r="B100" s="10"/>
      <c r="C100">
        <v>0</v>
      </c>
      <c r="E100" s="12"/>
      <c r="F100" s="25"/>
      <c r="H100" s="66" t="s">
        <v>159</v>
      </c>
      <c r="I100" s="20">
        <v>0</v>
      </c>
      <c r="J100" s="77">
        <f t="shared" si="6"/>
        <v>0</v>
      </c>
    </row>
    <row r="101" spans="1:10" x14ac:dyDescent="0.25">
      <c r="A101" s="9" t="s">
        <v>104</v>
      </c>
      <c r="B101" s="10"/>
      <c r="C101">
        <v>0</v>
      </c>
      <c r="E101" s="12"/>
      <c r="F101" s="25"/>
      <c r="H101" s="66" t="s">
        <v>160</v>
      </c>
      <c r="I101" s="20">
        <v>0</v>
      </c>
      <c r="J101" s="77">
        <f t="shared" si="6"/>
        <v>0</v>
      </c>
    </row>
    <row r="102" spans="1:10" x14ac:dyDescent="0.25">
      <c r="A102" s="9"/>
      <c r="B102" s="10"/>
      <c r="E102" s="12"/>
      <c r="F102" s="25"/>
      <c r="H102" s="66" t="s">
        <v>161</v>
      </c>
      <c r="I102" s="20">
        <v>0</v>
      </c>
      <c r="J102" s="77">
        <f t="shared" si="6"/>
        <v>0</v>
      </c>
    </row>
    <row r="103" spans="1:10" ht="15.75" thickBot="1" x14ac:dyDescent="0.3">
      <c r="H103" s="66" t="s">
        <v>162</v>
      </c>
      <c r="I103" s="20">
        <v>0</v>
      </c>
      <c r="J103" s="77">
        <f t="shared" si="6"/>
        <v>0</v>
      </c>
    </row>
    <row r="104" spans="1:10" ht="15.75" thickBot="1" x14ac:dyDescent="0.3">
      <c r="A104" s="89" t="s">
        <v>7</v>
      </c>
      <c r="B104" s="90"/>
      <c r="H104" s="67" t="s">
        <v>163</v>
      </c>
      <c r="I104" s="26">
        <v>2</v>
      </c>
      <c r="J104" s="27">
        <f t="shared" si="6"/>
        <v>0.2857142857142857</v>
      </c>
    </row>
    <row r="105" spans="1:10" x14ac:dyDescent="0.25">
      <c r="A105" s="91" t="s">
        <v>84</v>
      </c>
      <c r="B105" s="92">
        <f>SUM(F2,F8:F19,F22,F24,F27:F31,F36)</f>
        <v>35415.56</v>
      </c>
    </row>
    <row r="106" spans="1:10" x14ac:dyDescent="0.25">
      <c r="A106" s="91" t="s">
        <v>281</v>
      </c>
      <c r="B106" s="92">
        <f>SUM(F3:F4,F6,F20,F23,F25,F32,F34)</f>
        <v>16861.649999999998</v>
      </c>
    </row>
    <row r="107" spans="1:10" x14ac:dyDescent="0.25">
      <c r="A107" s="91" t="s">
        <v>291</v>
      </c>
      <c r="B107" s="92">
        <f>SUM(F5,F7,F21,F26,F35,)</f>
        <v>35021.17</v>
      </c>
    </row>
    <row r="108" spans="1:10" x14ac:dyDescent="0.25">
      <c r="A108" s="91" t="s">
        <v>46</v>
      </c>
      <c r="B108" s="93">
        <f>SUM(F33,)</f>
        <v>3484</v>
      </c>
    </row>
    <row r="109" spans="1:10" ht="15.75" thickBot="1" x14ac:dyDescent="0.3">
      <c r="A109" s="94"/>
      <c r="B109" s="95">
        <f>SUM(B105:B108)</f>
        <v>90782.37999999999</v>
      </c>
    </row>
  </sheetData>
  <mergeCells count="1">
    <mergeCell ref="A41:F4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8"/>
  <sheetViews>
    <sheetView topLeftCell="A13" workbookViewId="0">
      <selection activeCell="A43" sqref="A43"/>
    </sheetView>
  </sheetViews>
  <sheetFormatPr baseColWidth="10" defaultRowHeight="15" x14ac:dyDescent="0.25"/>
  <cols>
    <col min="2" max="2" width="34.5703125" customWidth="1"/>
    <col min="4" max="4" width="5.42578125" customWidth="1"/>
    <col min="5" max="5" width="6.85546875" customWidth="1"/>
    <col min="7" max="7" width="34" customWidth="1"/>
    <col min="8" max="8" width="26.28515625" customWidth="1"/>
  </cols>
  <sheetData>
    <row r="1" spans="1:8" ht="15" customHeight="1" x14ac:dyDescent="0.25">
      <c r="A1" s="3" t="s">
        <v>2</v>
      </c>
      <c r="B1" s="4" t="s">
        <v>3</v>
      </c>
      <c r="C1" s="4" t="s">
        <v>5</v>
      </c>
      <c r="D1" s="4" t="s">
        <v>15</v>
      </c>
      <c r="E1" s="7" t="s">
        <v>6</v>
      </c>
      <c r="F1" s="5" t="s">
        <v>8</v>
      </c>
      <c r="G1" s="6" t="s">
        <v>10</v>
      </c>
      <c r="H1" s="1" t="s">
        <v>11</v>
      </c>
    </row>
    <row r="2" spans="1:8" x14ac:dyDescent="0.25">
      <c r="A2" s="10">
        <v>44683</v>
      </c>
      <c r="B2" t="s">
        <v>964</v>
      </c>
      <c r="C2" t="s">
        <v>96</v>
      </c>
      <c r="D2" t="s">
        <v>30</v>
      </c>
      <c r="E2" t="s">
        <v>291</v>
      </c>
      <c r="F2" s="11">
        <v>1452</v>
      </c>
      <c r="G2" t="s">
        <v>967</v>
      </c>
      <c r="H2" t="s">
        <v>980</v>
      </c>
    </row>
    <row r="3" spans="1:8" x14ac:dyDescent="0.25">
      <c r="A3" s="10">
        <v>44684</v>
      </c>
      <c r="B3" t="s">
        <v>976</v>
      </c>
      <c r="C3" t="s">
        <v>96</v>
      </c>
      <c r="D3" t="s">
        <v>30</v>
      </c>
      <c r="E3" t="s">
        <v>168</v>
      </c>
      <c r="F3" s="11">
        <v>1200</v>
      </c>
      <c r="G3" t="s">
        <v>979</v>
      </c>
      <c r="H3" t="s">
        <v>569</v>
      </c>
    </row>
    <row r="4" spans="1:8" x14ac:dyDescent="0.25">
      <c r="A4" s="10">
        <v>36283</v>
      </c>
      <c r="B4" t="s">
        <v>981</v>
      </c>
      <c r="C4" t="s">
        <v>360</v>
      </c>
      <c r="D4" t="s">
        <v>30</v>
      </c>
      <c r="E4" t="s">
        <v>168</v>
      </c>
      <c r="F4" s="11">
        <v>1441</v>
      </c>
      <c r="G4" t="s">
        <v>386</v>
      </c>
      <c r="H4" t="s">
        <v>192</v>
      </c>
    </row>
    <row r="5" spans="1:8" x14ac:dyDescent="0.25">
      <c r="A5" s="10">
        <v>44684</v>
      </c>
      <c r="B5" t="s">
        <v>984</v>
      </c>
      <c r="C5" t="s">
        <v>96</v>
      </c>
      <c r="D5" t="s">
        <v>30</v>
      </c>
      <c r="E5" t="s">
        <v>168</v>
      </c>
      <c r="F5" s="11">
        <v>1441</v>
      </c>
      <c r="G5" t="s">
        <v>386</v>
      </c>
      <c r="H5" t="s">
        <v>989</v>
      </c>
    </row>
    <row r="6" spans="1:8" x14ac:dyDescent="0.25">
      <c r="A6" s="10">
        <v>44685</v>
      </c>
      <c r="B6" t="s">
        <v>987</v>
      </c>
      <c r="C6" t="s">
        <v>96</v>
      </c>
      <c r="D6" t="s">
        <v>30</v>
      </c>
      <c r="E6" t="s">
        <v>281</v>
      </c>
      <c r="F6" s="11">
        <v>1681.76</v>
      </c>
      <c r="G6" t="s">
        <v>988</v>
      </c>
      <c r="H6" t="s">
        <v>80</v>
      </c>
    </row>
    <row r="7" spans="1:8" x14ac:dyDescent="0.25">
      <c r="A7" s="10">
        <v>36650</v>
      </c>
      <c r="B7" t="s">
        <v>990</v>
      </c>
      <c r="C7" t="s">
        <v>96</v>
      </c>
      <c r="D7" t="s">
        <v>30</v>
      </c>
      <c r="E7" t="s">
        <v>168</v>
      </c>
      <c r="F7" s="11">
        <v>1425</v>
      </c>
      <c r="G7" t="s">
        <v>993</v>
      </c>
      <c r="H7" t="s">
        <v>513</v>
      </c>
    </row>
    <row r="8" spans="1:8" x14ac:dyDescent="0.25">
      <c r="A8" s="10">
        <v>44685</v>
      </c>
      <c r="B8" t="s">
        <v>994</v>
      </c>
      <c r="C8" t="s">
        <v>96</v>
      </c>
      <c r="D8" t="s">
        <v>30</v>
      </c>
      <c r="E8" t="s">
        <v>281</v>
      </c>
      <c r="F8" s="11">
        <v>1530</v>
      </c>
      <c r="G8" t="s">
        <v>997</v>
      </c>
      <c r="H8" t="s">
        <v>329</v>
      </c>
    </row>
    <row r="9" spans="1:8" x14ac:dyDescent="0.25">
      <c r="A9" s="10">
        <v>44686</v>
      </c>
      <c r="B9" t="s">
        <v>1006</v>
      </c>
      <c r="C9" t="s">
        <v>96</v>
      </c>
      <c r="D9" t="s">
        <v>30</v>
      </c>
      <c r="E9" t="s">
        <v>168</v>
      </c>
      <c r="F9" s="11">
        <v>2046</v>
      </c>
      <c r="G9" t="s">
        <v>1009</v>
      </c>
      <c r="H9" t="s">
        <v>1014</v>
      </c>
    </row>
    <row r="10" spans="1:8" x14ac:dyDescent="0.25">
      <c r="A10" s="10">
        <v>44686</v>
      </c>
      <c r="B10" t="s">
        <v>1010</v>
      </c>
      <c r="C10" t="s">
        <v>96</v>
      </c>
      <c r="D10" t="s">
        <v>30</v>
      </c>
      <c r="E10" t="s">
        <v>168</v>
      </c>
      <c r="F10" s="11">
        <v>1656</v>
      </c>
      <c r="G10" t="s">
        <v>1013</v>
      </c>
      <c r="H10" t="s">
        <v>1029</v>
      </c>
    </row>
    <row r="11" spans="1:8" x14ac:dyDescent="0.25">
      <c r="A11" s="10">
        <v>44687</v>
      </c>
      <c r="B11" t="s">
        <v>1015</v>
      </c>
      <c r="C11" t="s">
        <v>362</v>
      </c>
      <c r="D11" t="s">
        <v>30</v>
      </c>
      <c r="E11" t="s">
        <v>168</v>
      </c>
      <c r="F11" s="11">
        <v>1075</v>
      </c>
      <c r="G11" t="s">
        <v>1018</v>
      </c>
      <c r="H11" t="s">
        <v>1023</v>
      </c>
    </row>
    <row r="12" spans="1:8" x14ac:dyDescent="0.25">
      <c r="A12" s="10">
        <v>44687</v>
      </c>
      <c r="B12" t="s">
        <v>1019</v>
      </c>
      <c r="C12" t="s">
        <v>96</v>
      </c>
      <c r="D12" t="s">
        <v>30</v>
      </c>
      <c r="E12" t="s">
        <v>281</v>
      </c>
      <c r="F12" s="11">
        <v>860</v>
      </c>
      <c r="G12" t="s">
        <v>1022</v>
      </c>
      <c r="H12" t="s">
        <v>329</v>
      </c>
    </row>
    <row r="13" spans="1:8" x14ac:dyDescent="0.25">
      <c r="A13" s="10">
        <v>44687</v>
      </c>
      <c r="B13" t="s">
        <v>1024</v>
      </c>
      <c r="C13" t="s">
        <v>361</v>
      </c>
      <c r="D13" t="s">
        <v>30</v>
      </c>
      <c r="E13" t="s">
        <v>281</v>
      </c>
      <c r="F13" s="11">
        <v>322.56</v>
      </c>
      <c r="G13" t="s">
        <v>1027</v>
      </c>
      <c r="H13" t="s">
        <v>329</v>
      </c>
    </row>
    <row r="14" spans="1:8" x14ac:dyDescent="0.25">
      <c r="A14" s="10">
        <v>44687</v>
      </c>
      <c r="B14" t="s">
        <v>915</v>
      </c>
      <c r="C14" t="s">
        <v>96</v>
      </c>
      <c r="D14" t="s">
        <v>32</v>
      </c>
      <c r="E14" t="s">
        <v>281</v>
      </c>
      <c r="F14" s="11">
        <v>274.55</v>
      </c>
      <c r="G14" t="s">
        <v>1028</v>
      </c>
      <c r="H14" t="s">
        <v>80</v>
      </c>
    </row>
    <row r="15" spans="1:8" x14ac:dyDescent="0.25">
      <c r="A15" s="10">
        <v>44690</v>
      </c>
      <c r="B15" t="s">
        <v>1030</v>
      </c>
      <c r="C15" t="s">
        <v>96</v>
      </c>
      <c r="D15" t="s">
        <v>32</v>
      </c>
      <c r="E15" t="s">
        <v>168</v>
      </c>
      <c r="F15" s="11">
        <v>7536.98</v>
      </c>
      <c r="G15" t="s">
        <v>1183</v>
      </c>
      <c r="H15" t="s">
        <v>1042</v>
      </c>
    </row>
    <row r="16" spans="1:8" x14ac:dyDescent="0.25">
      <c r="A16" s="10">
        <v>44691</v>
      </c>
      <c r="B16" t="s">
        <v>1038</v>
      </c>
      <c r="C16" t="s">
        <v>96</v>
      </c>
      <c r="D16" t="s">
        <v>30</v>
      </c>
      <c r="E16" t="s">
        <v>168</v>
      </c>
      <c r="F16" s="11">
        <v>905</v>
      </c>
      <c r="G16" t="s">
        <v>1041</v>
      </c>
      <c r="H16" t="s">
        <v>192</v>
      </c>
    </row>
    <row r="17" spans="1:8" x14ac:dyDescent="0.25">
      <c r="A17" s="10">
        <v>44692</v>
      </c>
      <c r="B17" t="s">
        <v>1043</v>
      </c>
      <c r="C17" t="s">
        <v>361</v>
      </c>
      <c r="D17" t="s">
        <v>30</v>
      </c>
      <c r="E17" t="s">
        <v>168</v>
      </c>
      <c r="F17" s="11">
        <v>2135</v>
      </c>
      <c r="G17" t="s">
        <v>1046</v>
      </c>
      <c r="H17" t="s">
        <v>193</v>
      </c>
    </row>
    <row r="18" spans="1:8" x14ac:dyDescent="0.25">
      <c r="A18" s="10">
        <v>44694</v>
      </c>
      <c r="B18" t="s">
        <v>955</v>
      </c>
      <c r="C18" t="s">
        <v>96</v>
      </c>
      <c r="D18" t="s">
        <v>32</v>
      </c>
      <c r="E18" t="s">
        <v>281</v>
      </c>
      <c r="F18" s="11">
        <v>6189.76</v>
      </c>
      <c r="G18" t="s">
        <v>1047</v>
      </c>
      <c r="H18" t="s">
        <v>80</v>
      </c>
    </row>
    <row r="19" spans="1:8" x14ac:dyDescent="0.25">
      <c r="A19" s="10">
        <v>44695</v>
      </c>
      <c r="B19" t="s">
        <v>1048</v>
      </c>
      <c r="C19" t="s">
        <v>96</v>
      </c>
      <c r="D19" t="s">
        <v>30</v>
      </c>
      <c r="E19" t="s">
        <v>168</v>
      </c>
      <c r="F19" s="11">
        <v>2430</v>
      </c>
      <c r="G19" t="s">
        <v>1051</v>
      </c>
      <c r="H19" t="s">
        <v>1061</v>
      </c>
    </row>
    <row r="20" spans="1:8" x14ac:dyDescent="0.25">
      <c r="A20" s="10">
        <v>44695</v>
      </c>
      <c r="B20" t="s">
        <v>1052</v>
      </c>
      <c r="C20" t="s">
        <v>96</v>
      </c>
      <c r="D20" t="s">
        <v>30</v>
      </c>
      <c r="E20" t="s">
        <v>168</v>
      </c>
      <c r="F20" s="11">
        <v>1284</v>
      </c>
      <c r="G20" t="s">
        <v>1055</v>
      </c>
      <c r="H20" t="s">
        <v>1062</v>
      </c>
    </row>
    <row r="21" spans="1:8" x14ac:dyDescent="0.25">
      <c r="A21" s="10">
        <v>44692</v>
      </c>
      <c r="B21" t="s">
        <v>1058</v>
      </c>
      <c r="C21" t="s">
        <v>360</v>
      </c>
      <c r="D21" t="s">
        <v>30</v>
      </c>
      <c r="E21" t="s">
        <v>281</v>
      </c>
      <c r="F21" s="11">
        <v>1008</v>
      </c>
      <c r="G21" t="s">
        <v>1027</v>
      </c>
      <c r="H21" t="s">
        <v>329</v>
      </c>
    </row>
    <row r="22" spans="1:8" x14ac:dyDescent="0.25">
      <c r="A22" s="10">
        <v>44697</v>
      </c>
      <c r="B22" t="s">
        <v>1072</v>
      </c>
      <c r="C22" t="s">
        <v>360</v>
      </c>
      <c r="D22" t="s">
        <v>30</v>
      </c>
      <c r="E22" t="s">
        <v>168</v>
      </c>
      <c r="F22" s="11">
        <v>991</v>
      </c>
      <c r="G22" t="s">
        <v>386</v>
      </c>
      <c r="H22" t="s">
        <v>1082</v>
      </c>
    </row>
    <row r="23" spans="1:8" x14ac:dyDescent="0.25">
      <c r="A23" s="10">
        <v>44697</v>
      </c>
      <c r="B23" t="s">
        <v>1075</v>
      </c>
      <c r="C23" t="s">
        <v>96</v>
      </c>
      <c r="D23" t="s">
        <v>32</v>
      </c>
      <c r="E23" t="s">
        <v>291</v>
      </c>
      <c r="F23" s="11">
        <v>4079.3</v>
      </c>
      <c r="G23" t="s">
        <v>1077</v>
      </c>
      <c r="H23" t="s">
        <v>80</v>
      </c>
    </row>
    <row r="24" spans="1:8" x14ac:dyDescent="0.25">
      <c r="A24" s="10">
        <v>44698</v>
      </c>
      <c r="B24" t="s">
        <v>1078</v>
      </c>
      <c r="C24" t="s">
        <v>96</v>
      </c>
      <c r="D24" t="s">
        <v>30</v>
      </c>
      <c r="E24" t="s">
        <v>291</v>
      </c>
      <c r="F24" s="11">
        <v>1740</v>
      </c>
      <c r="G24" t="s">
        <v>1080</v>
      </c>
      <c r="H24" t="s">
        <v>1081</v>
      </c>
    </row>
    <row r="25" spans="1:8" x14ac:dyDescent="0.25">
      <c r="A25" s="10">
        <v>44698</v>
      </c>
      <c r="B25" t="s">
        <v>1083</v>
      </c>
      <c r="C25" t="s">
        <v>96</v>
      </c>
      <c r="D25" t="s">
        <v>30</v>
      </c>
      <c r="E25" t="s">
        <v>168</v>
      </c>
      <c r="F25" s="11">
        <v>894</v>
      </c>
      <c r="G25" t="s">
        <v>1086</v>
      </c>
      <c r="H25" t="s">
        <v>569</v>
      </c>
    </row>
    <row r="26" spans="1:8" x14ac:dyDescent="0.25">
      <c r="A26" s="10">
        <v>44699</v>
      </c>
      <c r="B26" t="s">
        <v>1087</v>
      </c>
      <c r="C26" t="s">
        <v>96</v>
      </c>
      <c r="D26" t="s">
        <v>30</v>
      </c>
      <c r="E26" t="s">
        <v>168</v>
      </c>
      <c r="F26" s="11">
        <v>888</v>
      </c>
      <c r="G26" t="s">
        <v>404</v>
      </c>
      <c r="H26" t="s">
        <v>277</v>
      </c>
    </row>
    <row r="27" spans="1:8" x14ac:dyDescent="0.25">
      <c r="A27" s="10">
        <v>44699</v>
      </c>
      <c r="B27" t="s">
        <v>1093</v>
      </c>
      <c r="C27" t="s">
        <v>360</v>
      </c>
      <c r="D27" t="s">
        <v>30</v>
      </c>
      <c r="E27" t="s">
        <v>168</v>
      </c>
      <c r="F27" s="11">
        <v>1736</v>
      </c>
      <c r="G27" t="s">
        <v>1092</v>
      </c>
      <c r="H27" t="s">
        <v>1102</v>
      </c>
    </row>
    <row r="28" spans="1:8" x14ac:dyDescent="0.25">
      <c r="A28" s="10">
        <v>44699</v>
      </c>
      <c r="B28" t="s">
        <v>1094</v>
      </c>
      <c r="C28" t="s">
        <v>96</v>
      </c>
      <c r="D28" t="s">
        <v>30</v>
      </c>
      <c r="E28" t="s">
        <v>281</v>
      </c>
      <c r="F28" s="11">
        <v>1036</v>
      </c>
      <c r="G28" t="s">
        <v>1097</v>
      </c>
      <c r="H28" t="s">
        <v>329</v>
      </c>
    </row>
    <row r="29" spans="1:8" x14ac:dyDescent="0.25">
      <c r="A29" s="10">
        <v>44690</v>
      </c>
      <c r="B29" t="s">
        <v>1098</v>
      </c>
      <c r="C29" t="s">
        <v>96</v>
      </c>
      <c r="D29" t="s">
        <v>30</v>
      </c>
      <c r="E29" t="s">
        <v>168</v>
      </c>
      <c r="F29" s="11">
        <v>1676.2</v>
      </c>
      <c r="G29" t="s">
        <v>1101</v>
      </c>
      <c r="H29" t="s">
        <v>1111</v>
      </c>
    </row>
    <row r="30" spans="1:8" x14ac:dyDescent="0.25">
      <c r="A30" s="10">
        <v>44700</v>
      </c>
      <c r="B30" t="s">
        <v>1103</v>
      </c>
      <c r="C30" t="s">
        <v>96</v>
      </c>
      <c r="D30" t="s">
        <v>30</v>
      </c>
      <c r="E30" t="s">
        <v>168</v>
      </c>
      <c r="F30" s="11">
        <v>1452</v>
      </c>
      <c r="G30" t="s">
        <v>1106</v>
      </c>
      <c r="H30" t="s">
        <v>569</v>
      </c>
    </row>
    <row r="31" spans="1:8" x14ac:dyDescent="0.25">
      <c r="A31" s="10">
        <v>44701</v>
      </c>
      <c r="B31" t="s">
        <v>1107</v>
      </c>
      <c r="C31" t="s">
        <v>362</v>
      </c>
      <c r="D31" t="s">
        <v>30</v>
      </c>
      <c r="E31" t="s">
        <v>168</v>
      </c>
      <c r="F31" s="11">
        <v>1338</v>
      </c>
      <c r="G31" t="s">
        <v>1110</v>
      </c>
      <c r="H31" t="s">
        <v>1135</v>
      </c>
    </row>
    <row r="32" spans="1:8" x14ac:dyDescent="0.25">
      <c r="A32" s="10">
        <v>44702</v>
      </c>
      <c r="B32" t="s">
        <v>1126</v>
      </c>
      <c r="C32" t="s">
        <v>96</v>
      </c>
      <c r="D32" t="s">
        <v>32</v>
      </c>
      <c r="E32" t="s">
        <v>281</v>
      </c>
      <c r="F32" s="11">
        <v>2071.7600000000002</v>
      </c>
      <c r="G32" t="s">
        <v>1129</v>
      </c>
      <c r="H32" t="s">
        <v>329</v>
      </c>
    </row>
    <row r="33" spans="1:8" x14ac:dyDescent="0.25">
      <c r="A33" s="10">
        <v>44702</v>
      </c>
      <c r="B33" t="s">
        <v>1130</v>
      </c>
      <c r="C33" t="s">
        <v>96</v>
      </c>
      <c r="D33" t="s">
        <v>32</v>
      </c>
      <c r="E33" t="s">
        <v>168</v>
      </c>
      <c r="F33" s="11">
        <v>1049.8</v>
      </c>
      <c r="G33" t="s">
        <v>1133</v>
      </c>
      <c r="H33" t="s">
        <v>1134</v>
      </c>
    </row>
    <row r="34" spans="1:8" x14ac:dyDescent="0.25">
      <c r="A34" s="10">
        <v>44700</v>
      </c>
      <c r="B34" t="s">
        <v>1136</v>
      </c>
      <c r="C34" t="s">
        <v>360</v>
      </c>
      <c r="D34" t="s">
        <v>30</v>
      </c>
      <c r="E34" t="s">
        <v>168</v>
      </c>
      <c r="F34" s="11">
        <v>750</v>
      </c>
      <c r="G34" t="s">
        <v>1139</v>
      </c>
      <c r="H34" t="s">
        <v>518</v>
      </c>
    </row>
    <row r="35" spans="1:8" x14ac:dyDescent="0.25">
      <c r="A35" s="10">
        <v>44701</v>
      </c>
      <c r="B35" t="s">
        <v>1140</v>
      </c>
      <c r="C35" t="s">
        <v>360</v>
      </c>
      <c r="D35" t="s">
        <v>30</v>
      </c>
      <c r="E35" t="s">
        <v>168</v>
      </c>
      <c r="F35" s="11">
        <v>1227.5</v>
      </c>
      <c r="G35" t="s">
        <v>1143</v>
      </c>
      <c r="H35" t="s">
        <v>192</v>
      </c>
    </row>
    <row r="36" spans="1:8" x14ac:dyDescent="0.25">
      <c r="A36" s="10">
        <v>44705</v>
      </c>
      <c r="B36" t="s">
        <v>1144</v>
      </c>
      <c r="C36" t="s">
        <v>96</v>
      </c>
      <c r="D36" t="s">
        <v>30</v>
      </c>
      <c r="E36" t="s">
        <v>168</v>
      </c>
      <c r="F36" s="11">
        <v>1542.8</v>
      </c>
      <c r="G36" t="s">
        <v>1147</v>
      </c>
      <c r="H36" t="s">
        <v>606</v>
      </c>
    </row>
    <row r="37" spans="1:8" x14ac:dyDescent="0.25">
      <c r="A37" s="10">
        <v>44705</v>
      </c>
      <c r="B37" t="s">
        <v>1148</v>
      </c>
      <c r="C37" t="s">
        <v>362</v>
      </c>
      <c r="D37" t="s">
        <v>30</v>
      </c>
      <c r="E37" t="s">
        <v>168</v>
      </c>
      <c r="F37" s="11">
        <v>1497.8</v>
      </c>
      <c r="G37" t="s">
        <v>1151</v>
      </c>
      <c r="H37" t="s">
        <v>277</v>
      </c>
    </row>
    <row r="38" spans="1:8" x14ac:dyDescent="0.25">
      <c r="A38" s="10">
        <v>44706</v>
      </c>
      <c r="B38" t="s">
        <v>1152</v>
      </c>
      <c r="C38" t="s">
        <v>96</v>
      </c>
      <c r="D38" t="s">
        <v>30</v>
      </c>
      <c r="E38" t="s">
        <v>281</v>
      </c>
      <c r="F38" s="11">
        <v>1618</v>
      </c>
      <c r="G38" t="s">
        <v>1155</v>
      </c>
      <c r="H38" t="s">
        <v>329</v>
      </c>
    </row>
    <row r="39" spans="1:8" x14ac:dyDescent="0.25">
      <c r="A39" s="10">
        <v>44704</v>
      </c>
      <c r="B39" t="s">
        <v>1156</v>
      </c>
      <c r="C39" t="s">
        <v>96</v>
      </c>
      <c r="D39" t="s">
        <v>30</v>
      </c>
      <c r="E39" t="s">
        <v>168</v>
      </c>
      <c r="F39" s="11">
        <v>2523.3000000000002</v>
      </c>
      <c r="G39" t="s">
        <v>1159</v>
      </c>
      <c r="H39" t="s">
        <v>1111</v>
      </c>
    </row>
    <row r="40" spans="1:8" x14ac:dyDescent="0.25">
      <c r="A40" s="10">
        <v>44708</v>
      </c>
      <c r="B40" t="s">
        <v>182</v>
      </c>
      <c r="C40" t="s">
        <v>96</v>
      </c>
      <c r="D40" t="s">
        <v>30</v>
      </c>
      <c r="E40" t="s">
        <v>281</v>
      </c>
      <c r="F40" s="11">
        <v>2192</v>
      </c>
      <c r="G40" t="s">
        <v>1161</v>
      </c>
      <c r="H40" t="s">
        <v>80</v>
      </c>
    </row>
    <row r="41" spans="1:8" x14ac:dyDescent="0.25">
      <c r="A41" s="10">
        <v>44709</v>
      </c>
      <c r="B41" t="s">
        <v>1162</v>
      </c>
      <c r="C41" t="s">
        <v>96</v>
      </c>
      <c r="D41" t="s">
        <v>30</v>
      </c>
      <c r="E41" t="s">
        <v>168</v>
      </c>
      <c r="F41" s="11">
        <v>1100</v>
      </c>
      <c r="G41" t="s">
        <v>1165</v>
      </c>
      <c r="H41" t="s">
        <v>515</v>
      </c>
    </row>
    <row r="42" spans="1:8" x14ac:dyDescent="0.25">
      <c r="A42" s="10">
        <v>44711</v>
      </c>
      <c r="B42" t="s">
        <v>1144</v>
      </c>
      <c r="C42" t="s">
        <v>96</v>
      </c>
      <c r="D42" t="s">
        <v>30</v>
      </c>
      <c r="E42" t="s">
        <v>281</v>
      </c>
      <c r="F42" s="11">
        <v>1991</v>
      </c>
      <c r="G42" t="s">
        <v>1177</v>
      </c>
      <c r="H42" t="s">
        <v>80</v>
      </c>
    </row>
    <row r="43" spans="1:8" x14ac:dyDescent="0.25">
      <c r="A43" s="10">
        <v>44711</v>
      </c>
      <c r="B43" t="s">
        <v>1170</v>
      </c>
      <c r="C43" t="s">
        <v>96</v>
      </c>
      <c r="D43" t="s">
        <v>30</v>
      </c>
      <c r="E43" t="s">
        <v>168</v>
      </c>
      <c r="F43" s="11">
        <v>2250</v>
      </c>
      <c r="G43" t="s">
        <v>1173</v>
      </c>
      <c r="H43" t="s">
        <v>1184</v>
      </c>
    </row>
    <row r="44" spans="1:8" x14ac:dyDescent="0.25">
      <c r="A44" s="10">
        <v>44712</v>
      </c>
      <c r="B44" t="s">
        <v>1174</v>
      </c>
      <c r="C44" t="s">
        <v>360</v>
      </c>
      <c r="D44" t="s">
        <v>30</v>
      </c>
      <c r="E44" t="s">
        <v>281</v>
      </c>
      <c r="F44" s="11">
        <v>1300</v>
      </c>
      <c r="G44" t="s">
        <v>1176</v>
      </c>
      <c r="H44" t="s">
        <v>329</v>
      </c>
    </row>
    <row r="45" spans="1:8" x14ac:dyDescent="0.25">
      <c r="A45" s="10">
        <v>44712</v>
      </c>
      <c r="B45" t="s">
        <v>846</v>
      </c>
      <c r="C45" t="s">
        <v>96</v>
      </c>
      <c r="D45" t="s">
        <v>30</v>
      </c>
      <c r="E45" t="s">
        <v>281</v>
      </c>
      <c r="F45" s="11">
        <v>1300</v>
      </c>
      <c r="G45" t="s">
        <v>244</v>
      </c>
      <c r="H45" t="s">
        <v>80</v>
      </c>
    </row>
    <row r="50" spans="1:10" ht="15.75" thickBot="1" x14ac:dyDescent="0.3">
      <c r="A50" s="106" t="s">
        <v>16</v>
      </c>
      <c r="B50" s="106"/>
      <c r="C50" s="106"/>
      <c r="D50" s="106"/>
      <c r="E50" s="106"/>
      <c r="F50" s="106"/>
      <c r="G50" s="8"/>
    </row>
    <row r="51" spans="1:10" x14ac:dyDescent="0.25">
      <c r="A51" s="9" t="s">
        <v>17</v>
      </c>
      <c r="B51" s="10"/>
      <c r="C51" s="11">
        <f>SUM(F2:F47)</f>
        <v>76138.070000000007</v>
      </c>
      <c r="D51" s="12"/>
      <c r="E51" s="13" t="s">
        <v>18</v>
      </c>
      <c r="F51" s="14"/>
      <c r="G51" s="8"/>
      <c r="H51" s="15" t="s">
        <v>19</v>
      </c>
      <c r="I51" s="16">
        <v>14</v>
      </c>
      <c r="J51" s="17"/>
    </row>
    <row r="52" spans="1:10" x14ac:dyDescent="0.25">
      <c r="A52" s="9"/>
      <c r="B52" s="10"/>
      <c r="C52" s="11"/>
      <c r="D52" s="12"/>
      <c r="E52" s="18" t="s">
        <v>20</v>
      </c>
      <c r="F52" s="19">
        <v>76138.070000000007</v>
      </c>
      <c r="G52" s="8"/>
      <c r="H52" s="18" t="s">
        <v>21</v>
      </c>
      <c r="I52" s="20">
        <v>1</v>
      </c>
      <c r="J52" s="21">
        <f>I52/I$51</f>
        <v>7.1428571428571425E-2</v>
      </c>
    </row>
    <row r="53" spans="1:10" ht="15.75" thickBot="1" x14ac:dyDescent="0.3">
      <c r="A53" s="9" t="s">
        <v>22</v>
      </c>
      <c r="B53" s="10"/>
      <c r="C53" s="22">
        <v>26</v>
      </c>
      <c r="D53" s="12"/>
      <c r="E53" s="23" t="s">
        <v>23</v>
      </c>
      <c r="F53" s="24">
        <f>C51/C53</f>
        <v>2928.3873076923078</v>
      </c>
      <c r="G53" s="8"/>
      <c r="H53" s="18" t="s">
        <v>24</v>
      </c>
      <c r="I53" s="20">
        <v>13</v>
      </c>
      <c r="J53" s="21">
        <f>I53/I$51</f>
        <v>0.9285714285714286</v>
      </c>
    </row>
    <row r="54" spans="1:10" ht="15.75" thickBot="1" x14ac:dyDescent="0.3">
      <c r="A54" s="9" t="s">
        <v>25</v>
      </c>
      <c r="B54" s="10"/>
      <c r="C54">
        <v>44</v>
      </c>
      <c r="D54" s="12"/>
      <c r="E54" s="12"/>
      <c r="F54" s="25"/>
      <c r="G54" s="8"/>
      <c r="H54" s="23" t="s">
        <v>26</v>
      </c>
      <c r="I54" s="26">
        <v>0</v>
      </c>
      <c r="J54" s="27">
        <f>I54/I$51</f>
        <v>0</v>
      </c>
    </row>
    <row r="55" spans="1:10" x14ac:dyDescent="0.25">
      <c r="A55" s="9"/>
      <c r="B55" s="10"/>
      <c r="D55" s="12" t="s">
        <v>27</v>
      </c>
      <c r="E55" s="13" t="s">
        <v>28</v>
      </c>
      <c r="F55" s="14"/>
      <c r="G55" s="8"/>
    </row>
    <row r="56" spans="1:10" ht="15.75" thickBot="1" x14ac:dyDescent="0.3">
      <c r="A56" s="9" t="s">
        <v>29</v>
      </c>
      <c r="B56" s="10"/>
      <c r="C56">
        <v>38</v>
      </c>
      <c r="D56" s="12" t="s">
        <v>27</v>
      </c>
      <c r="E56" s="18" t="s">
        <v>30</v>
      </c>
      <c r="F56" s="21">
        <f>C56/C$54</f>
        <v>0.86363636363636365</v>
      </c>
      <c r="G56" s="8"/>
    </row>
    <row r="57" spans="1:10" ht="15.75" thickBot="1" x14ac:dyDescent="0.3">
      <c r="A57" s="9" t="s">
        <v>31</v>
      </c>
      <c r="B57" s="10"/>
      <c r="C57">
        <v>6</v>
      </c>
      <c r="D57" s="12"/>
      <c r="E57" s="23" t="s">
        <v>32</v>
      </c>
      <c r="F57" s="27">
        <f>C57/C$54</f>
        <v>0.13636363636363635</v>
      </c>
      <c r="G57" s="8"/>
      <c r="H57" s="15" t="s">
        <v>33</v>
      </c>
      <c r="I57" s="16">
        <v>36</v>
      </c>
      <c r="J57" s="17"/>
    </row>
    <row r="58" spans="1:10" ht="15.75" thickBot="1" x14ac:dyDescent="0.3">
      <c r="A58" s="9"/>
      <c r="B58" s="10"/>
      <c r="D58" s="12"/>
      <c r="E58" s="12"/>
      <c r="F58" s="25"/>
      <c r="G58" s="8"/>
      <c r="H58" s="28" t="s">
        <v>34</v>
      </c>
      <c r="I58" s="20">
        <v>19</v>
      </c>
      <c r="J58" s="21">
        <f>I58/I$57</f>
        <v>0.52777777777777779</v>
      </c>
    </row>
    <row r="59" spans="1:10" x14ac:dyDescent="0.25">
      <c r="A59" s="9" t="s">
        <v>35</v>
      </c>
      <c r="B59" s="10"/>
      <c r="D59" s="12"/>
      <c r="E59" s="13" t="s">
        <v>36</v>
      </c>
      <c r="F59" s="14"/>
      <c r="G59" s="8"/>
      <c r="H59" s="28" t="s">
        <v>37</v>
      </c>
      <c r="I59" s="20">
        <v>9</v>
      </c>
      <c r="J59" s="21">
        <f>I59/I$57</f>
        <v>0.25</v>
      </c>
    </row>
    <row r="60" spans="1:10" ht="15.75" thickBot="1" x14ac:dyDescent="0.3">
      <c r="A60" s="9" t="s">
        <v>38</v>
      </c>
      <c r="B60" s="10"/>
      <c r="C60">
        <v>2</v>
      </c>
      <c r="D60" s="12"/>
      <c r="E60" s="29" t="s">
        <v>38</v>
      </c>
      <c r="F60" s="21">
        <f>C60/C$69</f>
        <v>2.4390243902439025E-2</v>
      </c>
      <c r="G60" s="8"/>
      <c r="H60" s="30" t="s">
        <v>39</v>
      </c>
      <c r="I60" s="26">
        <v>8</v>
      </c>
      <c r="J60" s="27">
        <f>I60/I$57</f>
        <v>0.22222222222222221</v>
      </c>
    </row>
    <row r="61" spans="1:10" ht="15.75" thickBot="1" x14ac:dyDescent="0.3">
      <c r="A61" s="9" t="s">
        <v>19</v>
      </c>
      <c r="B61" s="10"/>
      <c r="C61">
        <v>14</v>
      </c>
      <c r="D61" s="12"/>
      <c r="E61" s="29" t="s">
        <v>19</v>
      </c>
      <c r="F61" s="21">
        <f t="shared" ref="F61:F68" si="0">C61/C$69</f>
        <v>0.17073170731707318</v>
      </c>
      <c r="G61" s="8"/>
      <c r="H61" s="20"/>
      <c r="I61" s="20"/>
      <c r="J61" s="38"/>
    </row>
    <row r="62" spans="1:10" x14ac:dyDescent="0.25">
      <c r="A62" s="9" t="s">
        <v>40</v>
      </c>
      <c r="B62" s="10"/>
      <c r="C62">
        <v>36</v>
      </c>
      <c r="D62" s="12"/>
      <c r="E62" s="29" t="s">
        <v>40</v>
      </c>
      <c r="F62" s="21">
        <f t="shared" si="0"/>
        <v>0.43902439024390244</v>
      </c>
      <c r="G62" s="12" t="s">
        <v>27</v>
      </c>
      <c r="H62" s="80" t="s">
        <v>365</v>
      </c>
      <c r="I62" s="16">
        <v>8</v>
      </c>
      <c r="J62" s="14">
        <f t="shared" ref="J62:J72" si="1">I62/I$57</f>
        <v>0.22222222222222221</v>
      </c>
    </row>
    <row r="63" spans="1:10" x14ac:dyDescent="0.25">
      <c r="A63" s="9" t="s">
        <v>41</v>
      </c>
      <c r="B63" s="10"/>
      <c r="C63">
        <v>0</v>
      </c>
      <c r="D63" s="12"/>
      <c r="E63" s="29" t="s">
        <v>41</v>
      </c>
      <c r="F63" s="21">
        <f t="shared" si="0"/>
        <v>0</v>
      </c>
      <c r="G63" s="8"/>
      <c r="H63" s="69" t="s">
        <v>366</v>
      </c>
      <c r="I63" s="68">
        <v>7</v>
      </c>
      <c r="J63" s="21">
        <f t="shared" si="1"/>
        <v>0.19444444444444445</v>
      </c>
    </row>
    <row r="64" spans="1:10" x14ac:dyDescent="0.25">
      <c r="A64" s="9" t="s">
        <v>42</v>
      </c>
      <c r="B64" s="10"/>
      <c r="C64">
        <v>15</v>
      </c>
      <c r="D64" s="12"/>
      <c r="E64" s="29" t="s">
        <v>42</v>
      </c>
      <c r="F64" s="21">
        <f t="shared" si="0"/>
        <v>0.18292682926829268</v>
      </c>
      <c r="G64" s="8"/>
      <c r="H64" s="28" t="s">
        <v>367</v>
      </c>
      <c r="I64" s="20">
        <v>0</v>
      </c>
      <c r="J64" s="21">
        <f t="shared" si="1"/>
        <v>0</v>
      </c>
    </row>
    <row r="65" spans="1:10" x14ac:dyDescent="0.25">
      <c r="A65" s="9" t="s">
        <v>43</v>
      </c>
      <c r="B65" s="10"/>
      <c r="C65">
        <v>1</v>
      </c>
      <c r="D65" s="12"/>
      <c r="E65" s="29" t="s">
        <v>43</v>
      </c>
      <c r="F65" s="21">
        <f t="shared" si="0"/>
        <v>1.2195121951219513E-2</v>
      </c>
      <c r="G65" s="8"/>
      <c r="H65" s="28" t="s">
        <v>368</v>
      </c>
      <c r="I65" s="20">
        <v>3</v>
      </c>
      <c r="J65" s="21">
        <f t="shared" si="1"/>
        <v>8.3333333333333329E-2</v>
      </c>
    </row>
    <row r="66" spans="1:10" x14ac:dyDescent="0.25">
      <c r="A66" s="9" t="s">
        <v>44</v>
      </c>
      <c r="B66" s="10"/>
      <c r="C66">
        <v>9</v>
      </c>
      <c r="D66" s="12"/>
      <c r="E66" s="29" t="s">
        <v>44</v>
      </c>
      <c r="F66" s="21">
        <f t="shared" si="0"/>
        <v>0.10975609756097561</v>
      </c>
      <c r="G66" s="8"/>
      <c r="H66" s="28" t="s">
        <v>369</v>
      </c>
      <c r="I66" s="20">
        <v>7</v>
      </c>
      <c r="J66" s="21">
        <f t="shared" si="1"/>
        <v>0.19444444444444445</v>
      </c>
    </row>
    <row r="67" spans="1:10" x14ac:dyDescent="0.25">
      <c r="A67" s="9" t="s">
        <v>45</v>
      </c>
      <c r="B67" s="10"/>
      <c r="C67">
        <v>0</v>
      </c>
      <c r="D67" s="12"/>
      <c r="E67" s="29" t="s">
        <v>45</v>
      </c>
      <c r="F67" s="21">
        <f t="shared" si="0"/>
        <v>0</v>
      </c>
      <c r="G67" s="8"/>
      <c r="H67" s="28" t="s">
        <v>370</v>
      </c>
      <c r="I67" s="20">
        <v>9</v>
      </c>
      <c r="J67" s="21">
        <f t="shared" si="1"/>
        <v>0.25</v>
      </c>
    </row>
    <row r="68" spans="1:10" ht="15.75" thickBot="1" x14ac:dyDescent="0.3">
      <c r="A68" s="9" t="s">
        <v>46</v>
      </c>
      <c r="B68" s="10"/>
      <c r="C68">
        <v>5</v>
      </c>
      <c r="D68" s="12"/>
      <c r="E68" s="31" t="s">
        <v>46</v>
      </c>
      <c r="F68" s="27">
        <f t="shared" si="0"/>
        <v>6.097560975609756E-2</v>
      </c>
      <c r="G68" s="12" t="s">
        <v>27</v>
      </c>
      <c r="H68" s="69" t="s">
        <v>371</v>
      </c>
      <c r="I68" s="68">
        <v>1</v>
      </c>
      <c r="J68" s="21">
        <f t="shared" si="1"/>
        <v>2.7777777777777776E-2</v>
      </c>
    </row>
    <row r="69" spans="1:10" ht="15.75" thickBot="1" x14ac:dyDescent="0.3">
      <c r="A69" s="9" t="s">
        <v>47</v>
      </c>
      <c r="B69" s="10"/>
      <c r="C69">
        <f>SUM(C60:C68)</f>
        <v>82</v>
      </c>
      <c r="D69" s="12"/>
      <c r="E69" s="9"/>
      <c r="F69" s="25"/>
      <c r="G69" s="8"/>
      <c r="H69" s="69" t="s">
        <v>372</v>
      </c>
      <c r="I69" s="68">
        <v>0</v>
      </c>
      <c r="J69" s="21">
        <f t="shared" si="1"/>
        <v>0</v>
      </c>
    </row>
    <row r="70" spans="1:10" x14ac:dyDescent="0.25">
      <c r="A70" s="9"/>
      <c r="B70" s="10"/>
      <c r="D70" s="12"/>
      <c r="E70" s="32" t="s">
        <v>49</v>
      </c>
      <c r="F70" s="14"/>
      <c r="G70" s="8"/>
      <c r="H70" s="69" t="s">
        <v>373</v>
      </c>
      <c r="I70" s="68">
        <v>0</v>
      </c>
      <c r="J70" s="21">
        <f t="shared" si="1"/>
        <v>0</v>
      </c>
    </row>
    <row r="71" spans="1:10" x14ac:dyDescent="0.25">
      <c r="A71" s="9" t="s">
        <v>51</v>
      </c>
      <c r="B71" s="10"/>
      <c r="D71" s="12"/>
      <c r="E71" s="29" t="s">
        <v>52</v>
      </c>
      <c r="F71" s="21">
        <f>C72/C$82</f>
        <v>0.57608695652173914</v>
      </c>
      <c r="G71" s="8"/>
      <c r="H71" s="69" t="s">
        <v>374</v>
      </c>
      <c r="I71" s="68">
        <v>0</v>
      </c>
      <c r="J71" s="21">
        <f t="shared" si="1"/>
        <v>0</v>
      </c>
    </row>
    <row r="72" spans="1:10" ht="15.75" thickBot="1" x14ac:dyDescent="0.3">
      <c r="A72" s="9" t="s">
        <v>52</v>
      </c>
      <c r="B72" s="10"/>
      <c r="C72">
        <v>53</v>
      </c>
      <c r="D72" s="12"/>
      <c r="E72" s="29" t="s">
        <v>53</v>
      </c>
      <c r="F72" s="21">
        <f t="shared" ref="F72:F80" si="2">C73/C$82</f>
        <v>6.5217391304347824E-2</v>
      </c>
      <c r="G72" s="8"/>
      <c r="H72" s="70" t="s">
        <v>1185</v>
      </c>
      <c r="I72" s="26">
        <v>1</v>
      </c>
      <c r="J72" s="27">
        <f t="shared" si="1"/>
        <v>2.7777777777777776E-2</v>
      </c>
    </row>
    <row r="73" spans="1:10" ht="15.75" thickBot="1" x14ac:dyDescent="0.3">
      <c r="A73" s="9" t="s">
        <v>53</v>
      </c>
      <c r="B73" s="10"/>
      <c r="C73">
        <v>6</v>
      </c>
      <c r="D73" s="12"/>
      <c r="E73" s="29" t="s">
        <v>54</v>
      </c>
      <c r="F73" s="21">
        <f t="shared" si="2"/>
        <v>0.13043478260869565</v>
      </c>
      <c r="G73" s="8"/>
    </row>
    <row r="74" spans="1:10" x14ac:dyDescent="0.25">
      <c r="A74" s="9" t="s">
        <v>54</v>
      </c>
      <c r="B74" s="10"/>
      <c r="C74">
        <v>12</v>
      </c>
      <c r="D74" s="12"/>
      <c r="E74" s="29" t="s">
        <v>56</v>
      </c>
      <c r="F74" s="21">
        <f t="shared" si="2"/>
        <v>7.6086956521739135E-2</v>
      </c>
      <c r="G74" s="8"/>
      <c r="H74" s="15" t="s">
        <v>42</v>
      </c>
      <c r="I74" s="16">
        <v>14</v>
      </c>
      <c r="J74" s="17"/>
    </row>
    <row r="75" spans="1:10" x14ac:dyDescent="0.25">
      <c r="A75" s="9" t="s">
        <v>56</v>
      </c>
      <c r="B75" s="10"/>
      <c r="C75">
        <v>7</v>
      </c>
      <c r="D75" s="12"/>
      <c r="E75" s="29" t="s">
        <v>58</v>
      </c>
      <c r="F75" s="21">
        <f t="shared" si="2"/>
        <v>2.1739130434782608E-2</v>
      </c>
      <c r="G75" s="12" t="s">
        <v>27</v>
      </c>
      <c r="H75" s="28" t="s">
        <v>48</v>
      </c>
      <c r="I75" s="20">
        <v>2</v>
      </c>
      <c r="J75" s="21">
        <f>I75/I$74</f>
        <v>0.14285714285714285</v>
      </c>
    </row>
    <row r="76" spans="1:10" ht="15.75" thickBot="1" x14ac:dyDescent="0.3">
      <c r="A76" s="9" t="s">
        <v>58</v>
      </c>
      <c r="B76" s="10"/>
      <c r="C76">
        <v>2</v>
      </c>
      <c r="D76" s="12"/>
      <c r="E76" s="29" t="s">
        <v>60</v>
      </c>
      <c r="F76" s="21">
        <f t="shared" si="2"/>
        <v>1.0869565217391304E-2</v>
      </c>
      <c r="G76" s="8"/>
      <c r="H76" s="30" t="s">
        <v>50</v>
      </c>
      <c r="I76" s="26">
        <v>12</v>
      </c>
      <c r="J76" s="27">
        <f>I76/I$74</f>
        <v>0.8571428571428571</v>
      </c>
    </row>
    <row r="77" spans="1:10" x14ac:dyDescent="0.25">
      <c r="A77" s="9" t="s">
        <v>60</v>
      </c>
      <c r="B77" s="10"/>
      <c r="C77">
        <v>1</v>
      </c>
      <c r="D77" s="12"/>
      <c r="E77" s="29" t="s">
        <v>62</v>
      </c>
      <c r="F77" s="21">
        <f t="shared" si="2"/>
        <v>0</v>
      </c>
      <c r="G77" s="8"/>
    </row>
    <row r="78" spans="1:10" ht="15.75" thickBot="1" x14ac:dyDescent="0.3">
      <c r="A78" s="9" t="s">
        <v>62</v>
      </c>
      <c r="B78" s="10"/>
      <c r="C78">
        <v>0</v>
      </c>
      <c r="D78" s="12"/>
      <c r="E78" s="29" t="s">
        <v>64</v>
      </c>
      <c r="F78" s="21">
        <f t="shared" si="2"/>
        <v>0</v>
      </c>
      <c r="G78" s="8"/>
    </row>
    <row r="79" spans="1:10" x14ac:dyDescent="0.25">
      <c r="A79" s="9" t="s">
        <v>64</v>
      </c>
      <c r="B79" s="10"/>
      <c r="C79">
        <v>0</v>
      </c>
      <c r="D79" s="12"/>
      <c r="E79" s="29" t="s">
        <v>66</v>
      </c>
      <c r="F79" s="21">
        <f t="shared" si="2"/>
        <v>1.0869565217391304E-2</v>
      </c>
      <c r="G79" s="8"/>
      <c r="H79" s="15" t="s">
        <v>55</v>
      </c>
      <c r="I79" s="16">
        <v>1</v>
      </c>
      <c r="J79" s="17"/>
    </row>
    <row r="80" spans="1:10" ht="15.75" thickBot="1" x14ac:dyDescent="0.3">
      <c r="A80" s="9" t="s">
        <v>66</v>
      </c>
      <c r="B80" s="10"/>
      <c r="C80">
        <v>1</v>
      </c>
      <c r="D80" s="12"/>
      <c r="E80" s="31" t="s">
        <v>68</v>
      </c>
      <c r="F80" s="27">
        <f t="shared" si="2"/>
        <v>0.10869565217391304</v>
      </c>
      <c r="G80" s="8"/>
      <c r="H80" s="28" t="s">
        <v>57</v>
      </c>
      <c r="I80" s="20">
        <v>1</v>
      </c>
      <c r="J80" s="21">
        <f t="shared" ref="J80:J85" si="3">I80/I$79</f>
        <v>1</v>
      </c>
    </row>
    <row r="81" spans="1:10" ht="15.75" thickBot="1" x14ac:dyDescent="0.3">
      <c r="A81" s="9" t="s">
        <v>68</v>
      </c>
      <c r="B81" s="10"/>
      <c r="C81">
        <v>10</v>
      </c>
      <c r="D81" s="12"/>
      <c r="E81" s="9"/>
      <c r="F81" s="25"/>
      <c r="G81" s="8"/>
      <c r="H81" s="28" t="s">
        <v>59</v>
      </c>
      <c r="I81" s="20">
        <v>0</v>
      </c>
      <c r="J81" s="21">
        <f t="shared" si="3"/>
        <v>0</v>
      </c>
    </row>
    <row r="82" spans="1:10" x14ac:dyDescent="0.25">
      <c r="A82" s="9" t="s">
        <v>70</v>
      </c>
      <c r="B82" s="10"/>
      <c r="C82">
        <f>SUM(C72:C81)</f>
        <v>92</v>
      </c>
      <c r="D82" s="12"/>
      <c r="E82" s="32" t="s">
        <v>71</v>
      </c>
      <c r="F82" s="14"/>
      <c r="G82" s="8"/>
      <c r="H82" s="28" t="s">
        <v>61</v>
      </c>
      <c r="I82" s="20">
        <v>0</v>
      </c>
      <c r="J82" s="21">
        <f t="shared" si="3"/>
        <v>0</v>
      </c>
    </row>
    <row r="83" spans="1:10" x14ac:dyDescent="0.25">
      <c r="A83" s="9"/>
      <c r="B83" s="10"/>
      <c r="D83" s="12"/>
      <c r="E83" s="33" t="s">
        <v>72</v>
      </c>
      <c r="F83" s="21">
        <f>C84/C$54</f>
        <v>0.79545454545454541</v>
      </c>
      <c r="G83" s="8"/>
      <c r="H83" s="28" t="s">
        <v>63</v>
      </c>
      <c r="I83" s="20">
        <v>0</v>
      </c>
      <c r="J83" s="21">
        <f t="shared" si="3"/>
        <v>0</v>
      </c>
    </row>
    <row r="84" spans="1:10" x14ac:dyDescent="0.25">
      <c r="A84" s="9" t="s">
        <v>73</v>
      </c>
      <c r="B84" s="10"/>
      <c r="C84">
        <v>35</v>
      </c>
      <c r="D84" s="12"/>
      <c r="E84" s="33" t="s">
        <v>74</v>
      </c>
      <c r="F84" s="21">
        <f>C85/C$54</f>
        <v>6.8181818181818177E-2</v>
      </c>
      <c r="G84" s="8"/>
      <c r="H84" s="28" t="s">
        <v>65</v>
      </c>
      <c r="I84" s="20">
        <v>0</v>
      </c>
      <c r="J84" s="21">
        <f t="shared" si="3"/>
        <v>0</v>
      </c>
    </row>
    <row r="85" spans="1:10" ht="15.75" thickBot="1" x14ac:dyDescent="0.3">
      <c r="A85" s="9" t="s">
        <v>75</v>
      </c>
      <c r="B85" s="10"/>
      <c r="C85">
        <v>3</v>
      </c>
      <c r="D85" s="12"/>
      <c r="E85" s="34" t="s">
        <v>76</v>
      </c>
      <c r="F85" s="27">
        <f>C86/C$54</f>
        <v>0.13636363636363635</v>
      </c>
      <c r="G85" s="8"/>
      <c r="H85" s="30" t="s">
        <v>67</v>
      </c>
      <c r="I85" s="26">
        <v>0</v>
      </c>
      <c r="J85" s="27">
        <f t="shared" si="3"/>
        <v>0</v>
      </c>
    </row>
    <row r="86" spans="1:10" ht="15.75" thickBot="1" x14ac:dyDescent="0.3">
      <c r="A86" s="9" t="s">
        <v>77</v>
      </c>
      <c r="B86" s="10"/>
      <c r="C86">
        <v>6</v>
      </c>
      <c r="D86" s="12"/>
      <c r="E86" s="35"/>
      <c r="F86" s="25"/>
      <c r="G86" s="12" t="s">
        <v>27</v>
      </c>
    </row>
    <row r="87" spans="1:10" x14ac:dyDescent="0.25">
      <c r="A87" s="9"/>
      <c r="B87" s="10"/>
      <c r="D87" s="12"/>
      <c r="E87" s="36" t="s">
        <v>28</v>
      </c>
      <c r="F87" s="14"/>
      <c r="G87" s="8"/>
      <c r="H87" s="15" t="s">
        <v>69</v>
      </c>
      <c r="I87" s="16">
        <v>0</v>
      </c>
      <c r="J87" s="17"/>
    </row>
    <row r="88" spans="1:10" x14ac:dyDescent="0.25">
      <c r="A88" s="9" t="s">
        <v>28</v>
      </c>
      <c r="B88" s="10"/>
      <c r="D88" s="12"/>
      <c r="E88" s="29" t="s">
        <v>78</v>
      </c>
      <c r="F88" s="21">
        <f>C89/C$54</f>
        <v>0.68181818181818177</v>
      </c>
      <c r="G88" s="8"/>
      <c r="H88" s="28" t="s">
        <v>57</v>
      </c>
      <c r="I88" s="20">
        <v>0</v>
      </c>
      <c r="J88" s="21" t="e">
        <f t="shared" ref="J88:J93" si="4">I88/I$87</f>
        <v>#DIV/0!</v>
      </c>
    </row>
    <row r="89" spans="1:10" ht="15.75" thickBot="1" x14ac:dyDescent="0.3">
      <c r="A89" s="9" t="s">
        <v>79</v>
      </c>
      <c r="B89" s="10"/>
      <c r="C89">
        <v>30</v>
      </c>
      <c r="D89" s="12"/>
      <c r="E89" s="31" t="s">
        <v>80</v>
      </c>
      <c r="F89" s="27">
        <f>C90/C$54</f>
        <v>0.31818181818181818</v>
      </c>
      <c r="G89" s="8"/>
      <c r="H89" s="28" t="s">
        <v>59</v>
      </c>
      <c r="I89" s="20">
        <v>0</v>
      </c>
      <c r="J89" s="21" t="e">
        <f t="shared" si="4"/>
        <v>#DIV/0!</v>
      </c>
    </row>
    <row r="90" spans="1:10" ht="15.75" thickBot="1" x14ac:dyDescent="0.3">
      <c r="A90" s="9" t="s">
        <v>80</v>
      </c>
      <c r="B90" s="10"/>
      <c r="C90">
        <v>14</v>
      </c>
      <c r="D90" s="12"/>
      <c r="E90" s="37"/>
      <c r="F90" s="38"/>
      <c r="G90" s="8"/>
      <c r="H90" s="28" t="s">
        <v>61</v>
      </c>
      <c r="I90" s="20">
        <v>0</v>
      </c>
      <c r="J90" s="21" t="e">
        <f t="shared" si="4"/>
        <v>#DIV/0!</v>
      </c>
    </row>
    <row r="91" spans="1:10" x14ac:dyDescent="0.25">
      <c r="A91" s="9"/>
      <c r="B91" s="10"/>
      <c r="D91" s="12"/>
      <c r="E91" s="15" t="s">
        <v>1166</v>
      </c>
      <c r="F91" s="14"/>
      <c r="G91" s="8"/>
      <c r="H91" s="28" t="s">
        <v>63</v>
      </c>
      <c r="I91" s="20">
        <v>0</v>
      </c>
      <c r="J91" s="21" t="e">
        <f t="shared" si="4"/>
        <v>#DIV/0!</v>
      </c>
    </row>
    <row r="92" spans="1:10" x14ac:dyDescent="0.25">
      <c r="A92" t="s">
        <v>1166</v>
      </c>
      <c r="B92" s="10"/>
      <c r="D92" s="12"/>
      <c r="E92" s="28" t="s">
        <v>1167</v>
      </c>
      <c r="F92" s="21">
        <f>C93/C$54</f>
        <v>0.29545454545454547</v>
      </c>
      <c r="G92" s="8"/>
      <c r="H92" s="28" t="s">
        <v>65</v>
      </c>
      <c r="I92" s="20">
        <v>0</v>
      </c>
      <c r="J92" s="21" t="e">
        <f t="shared" si="4"/>
        <v>#DIV/0!</v>
      </c>
    </row>
    <row r="93" spans="1:10" ht="15.75" thickBot="1" x14ac:dyDescent="0.3">
      <c r="A93" t="s">
        <v>1167</v>
      </c>
      <c r="B93" s="10"/>
      <c r="C93">
        <v>13</v>
      </c>
      <c r="D93" s="12"/>
      <c r="E93" s="30" t="s">
        <v>1168</v>
      </c>
      <c r="F93" s="27">
        <f>C94/C$54</f>
        <v>2.2727272727272728E-2</v>
      </c>
      <c r="G93" s="8"/>
      <c r="H93" s="30" t="s">
        <v>67</v>
      </c>
      <c r="I93" s="26">
        <v>0</v>
      </c>
      <c r="J93" s="27" t="e">
        <f t="shared" si="4"/>
        <v>#DIV/0!</v>
      </c>
    </row>
    <row r="94" spans="1:10" ht="15.75" thickBot="1" x14ac:dyDescent="0.3">
      <c r="A94" t="s">
        <v>1168</v>
      </c>
      <c r="B94" s="10"/>
      <c r="C94">
        <v>1</v>
      </c>
      <c r="D94" s="12"/>
      <c r="E94" s="37"/>
      <c r="F94" s="38"/>
      <c r="G94" s="8"/>
    </row>
    <row r="95" spans="1:10" ht="15.75" thickBot="1" x14ac:dyDescent="0.3">
      <c r="A95" s="9"/>
      <c r="B95" s="10"/>
      <c r="C95" t="s">
        <v>27</v>
      </c>
      <c r="D95" s="12"/>
      <c r="E95" s="32" t="s">
        <v>81</v>
      </c>
      <c r="F95" s="14"/>
      <c r="G95" s="8"/>
    </row>
    <row r="96" spans="1:10" x14ac:dyDescent="0.25">
      <c r="A96" s="9" t="s">
        <v>83</v>
      </c>
      <c r="B96" s="10"/>
      <c r="D96" s="12"/>
      <c r="E96" s="29" t="s">
        <v>84</v>
      </c>
      <c r="F96" s="21">
        <f t="shared" ref="F96:F101" si="5">C97/C$54</f>
        <v>0.61363636363636365</v>
      </c>
      <c r="G96" s="8"/>
      <c r="H96" s="15" t="s">
        <v>44</v>
      </c>
      <c r="I96" s="16">
        <v>9</v>
      </c>
      <c r="J96" s="17"/>
    </row>
    <row r="97" spans="1:10" x14ac:dyDescent="0.25">
      <c r="A97" s="9" t="s">
        <v>84</v>
      </c>
      <c r="B97" s="10"/>
      <c r="C97">
        <v>27</v>
      </c>
      <c r="D97" s="12"/>
      <c r="E97" s="18" t="s">
        <v>86</v>
      </c>
      <c r="F97" s="21">
        <f t="shared" si="5"/>
        <v>6.8181818181818177E-2</v>
      </c>
      <c r="G97" s="8"/>
      <c r="H97" s="28" t="s">
        <v>82</v>
      </c>
      <c r="I97" s="20">
        <v>1</v>
      </c>
      <c r="J97" s="21">
        <f>I97/I$96</f>
        <v>0.1111111111111111</v>
      </c>
    </row>
    <row r="98" spans="1:10" x14ac:dyDescent="0.25">
      <c r="A98" s="9" t="s">
        <v>86</v>
      </c>
      <c r="B98" s="10"/>
      <c r="C98">
        <v>3</v>
      </c>
      <c r="D98" s="12"/>
      <c r="E98" s="18" t="s">
        <v>88</v>
      </c>
      <c r="F98" s="21">
        <f t="shared" si="5"/>
        <v>0</v>
      </c>
      <c r="G98" s="8"/>
      <c r="H98" s="28" t="s">
        <v>85</v>
      </c>
      <c r="I98" s="20">
        <v>6</v>
      </c>
      <c r="J98" s="21">
        <f>I98/I$96</f>
        <v>0.66666666666666663</v>
      </c>
    </row>
    <row r="99" spans="1:10" x14ac:dyDescent="0.25">
      <c r="A99" s="9" t="s">
        <v>88</v>
      </c>
      <c r="B99" s="10"/>
      <c r="C99">
        <v>0</v>
      </c>
      <c r="D99" s="12"/>
      <c r="E99" s="18" t="s">
        <v>90</v>
      </c>
      <c r="F99" s="21">
        <f t="shared" si="5"/>
        <v>0</v>
      </c>
      <c r="G99" s="8"/>
      <c r="H99" s="28" t="s">
        <v>87</v>
      </c>
      <c r="I99" s="20">
        <v>0</v>
      </c>
      <c r="J99" s="21">
        <f>I99/I$96</f>
        <v>0</v>
      </c>
    </row>
    <row r="100" spans="1:10" ht="15.75" thickBot="1" x14ac:dyDescent="0.3">
      <c r="A100" s="9" t="s">
        <v>90</v>
      </c>
      <c r="B100" s="10"/>
      <c r="C100">
        <v>0</v>
      </c>
      <c r="D100" s="12"/>
      <c r="E100" s="18" t="s">
        <v>91</v>
      </c>
      <c r="F100" s="21">
        <f t="shared" si="5"/>
        <v>0.31818181818181818</v>
      </c>
      <c r="G100" s="8"/>
      <c r="H100" s="30" t="s">
        <v>89</v>
      </c>
      <c r="I100" s="26">
        <v>2</v>
      </c>
      <c r="J100" s="27">
        <f>I100/I$96</f>
        <v>0.22222222222222221</v>
      </c>
    </row>
    <row r="101" spans="1:10" ht="15.75" thickBot="1" x14ac:dyDescent="0.3">
      <c r="A101" s="9" t="s">
        <v>91</v>
      </c>
      <c r="B101" s="10"/>
      <c r="C101">
        <v>14</v>
      </c>
      <c r="D101" s="12"/>
      <c r="E101" s="23" t="s">
        <v>46</v>
      </c>
      <c r="F101" s="27">
        <f t="shared" si="5"/>
        <v>0</v>
      </c>
      <c r="G101" s="8"/>
    </row>
    <row r="102" spans="1:10" ht="15.75" thickBot="1" x14ac:dyDescent="0.3">
      <c r="A102" s="9" t="s">
        <v>46</v>
      </c>
      <c r="B102" s="10"/>
      <c r="C102">
        <v>0</v>
      </c>
      <c r="D102" s="12"/>
      <c r="E102" s="12"/>
      <c r="F102" s="25"/>
      <c r="G102" s="8"/>
    </row>
    <row r="103" spans="1:10" x14ac:dyDescent="0.25">
      <c r="A103" s="9"/>
      <c r="B103" s="10"/>
      <c r="D103" s="12"/>
      <c r="E103" s="13" t="s">
        <v>93</v>
      </c>
      <c r="F103" s="14"/>
      <c r="G103" s="8"/>
      <c r="H103" s="15" t="s">
        <v>46</v>
      </c>
      <c r="I103" s="16">
        <v>5</v>
      </c>
      <c r="J103" s="17"/>
    </row>
    <row r="104" spans="1:10" x14ac:dyDescent="0.25">
      <c r="A104" s="9" t="s">
        <v>95</v>
      </c>
      <c r="B104" s="10"/>
      <c r="C104">
        <v>3</v>
      </c>
      <c r="D104" s="12"/>
      <c r="E104" s="18" t="s">
        <v>96</v>
      </c>
      <c r="F104" s="21">
        <f>C105/C$54</f>
        <v>0.72727272727272729</v>
      </c>
      <c r="G104" s="8"/>
      <c r="H104" s="28" t="s">
        <v>92</v>
      </c>
      <c r="I104" s="20">
        <v>0</v>
      </c>
      <c r="J104" s="21">
        <f>I104/I$103</f>
        <v>0</v>
      </c>
    </row>
    <row r="105" spans="1:10" x14ac:dyDescent="0.25">
      <c r="A105" s="9" t="s">
        <v>96</v>
      </c>
      <c r="B105" s="10"/>
      <c r="C105">
        <v>32</v>
      </c>
      <c r="D105" s="12"/>
      <c r="E105" s="18" t="s">
        <v>98</v>
      </c>
      <c r="F105" s="21">
        <f>C106/C$54</f>
        <v>0.15909090909090909</v>
      </c>
      <c r="G105" s="8"/>
      <c r="H105" s="28" t="s">
        <v>94</v>
      </c>
      <c r="I105" s="20">
        <v>0</v>
      </c>
      <c r="J105" s="21">
        <f t="shared" ref="J105:J113" si="6">I105/I$103</f>
        <v>0</v>
      </c>
    </row>
    <row r="106" spans="1:10" x14ac:dyDescent="0.25">
      <c r="A106" s="9" t="s">
        <v>98</v>
      </c>
      <c r="B106" s="10"/>
      <c r="C106">
        <v>7</v>
      </c>
      <c r="D106" s="12"/>
      <c r="E106" s="18" t="s">
        <v>100</v>
      </c>
      <c r="F106" s="21">
        <f>C107/C$54</f>
        <v>6.8181818181818177E-2</v>
      </c>
      <c r="G106" s="8"/>
      <c r="H106" s="28" t="s">
        <v>97</v>
      </c>
      <c r="I106" s="20">
        <v>0</v>
      </c>
      <c r="J106" s="21">
        <f t="shared" si="6"/>
        <v>0</v>
      </c>
    </row>
    <row r="107" spans="1:10" x14ac:dyDescent="0.25">
      <c r="A107" s="9" t="s">
        <v>100</v>
      </c>
      <c r="B107" s="10"/>
      <c r="C107">
        <v>3</v>
      </c>
      <c r="D107" s="12"/>
      <c r="E107" s="18" t="s">
        <v>102</v>
      </c>
      <c r="F107" s="21">
        <f>C108/C$54</f>
        <v>4.5454545454545456E-2</v>
      </c>
      <c r="G107" s="8"/>
      <c r="H107" s="28" t="s">
        <v>99</v>
      </c>
      <c r="I107" s="20">
        <v>0</v>
      </c>
      <c r="J107" s="21">
        <f t="shared" si="6"/>
        <v>0</v>
      </c>
    </row>
    <row r="108" spans="1:10" ht="15.75" thickBot="1" x14ac:dyDescent="0.3">
      <c r="A108" s="9" t="s">
        <v>102</v>
      </c>
      <c r="B108" s="10"/>
      <c r="C108">
        <v>2</v>
      </c>
      <c r="E108" s="23" t="s">
        <v>103</v>
      </c>
      <c r="F108" s="27">
        <f>C109/C$54</f>
        <v>0</v>
      </c>
      <c r="H108" s="28" t="s">
        <v>101</v>
      </c>
      <c r="I108" s="20">
        <v>2</v>
      </c>
      <c r="J108" s="21">
        <f t="shared" si="6"/>
        <v>0.4</v>
      </c>
    </row>
    <row r="109" spans="1:10" x14ac:dyDescent="0.25">
      <c r="A109" s="9" t="s">
        <v>103</v>
      </c>
      <c r="B109" s="10"/>
      <c r="C109">
        <v>0</v>
      </c>
      <c r="E109" s="12"/>
      <c r="F109" s="25"/>
      <c r="H109" s="66" t="s">
        <v>159</v>
      </c>
      <c r="I109" s="20">
        <v>2</v>
      </c>
      <c r="J109" s="21">
        <f t="shared" si="6"/>
        <v>0.4</v>
      </c>
    </row>
    <row r="110" spans="1:10" x14ac:dyDescent="0.25">
      <c r="A110" s="9" t="s">
        <v>104</v>
      </c>
      <c r="B110" s="10"/>
      <c r="C110">
        <v>0</v>
      </c>
      <c r="E110" s="12"/>
      <c r="F110" s="25"/>
      <c r="H110" s="66" t="s">
        <v>160</v>
      </c>
      <c r="I110" s="20">
        <v>1</v>
      </c>
      <c r="J110" s="21">
        <f t="shared" si="6"/>
        <v>0.2</v>
      </c>
    </row>
    <row r="111" spans="1:10" x14ac:dyDescent="0.25">
      <c r="A111" s="9"/>
      <c r="B111" s="10"/>
      <c r="E111" s="12"/>
      <c r="F111" s="25"/>
      <c r="H111" s="66" t="s">
        <v>161</v>
      </c>
      <c r="I111" s="20">
        <v>0</v>
      </c>
      <c r="J111" s="21">
        <f t="shared" si="6"/>
        <v>0</v>
      </c>
    </row>
    <row r="112" spans="1:10" ht="15.75" thickBot="1" x14ac:dyDescent="0.3">
      <c r="H112" s="66" t="s">
        <v>162</v>
      </c>
      <c r="I112" s="20">
        <v>0</v>
      </c>
      <c r="J112" s="21">
        <f t="shared" si="6"/>
        <v>0</v>
      </c>
    </row>
    <row r="113" spans="1:10" ht="15.75" thickBot="1" x14ac:dyDescent="0.3">
      <c r="A113" s="89" t="s">
        <v>7</v>
      </c>
      <c r="B113" s="90"/>
      <c r="H113" s="67" t="s">
        <v>163</v>
      </c>
      <c r="I113" s="26">
        <v>0</v>
      </c>
      <c r="J113" s="27">
        <f t="shared" si="6"/>
        <v>0</v>
      </c>
    </row>
    <row r="114" spans="1:10" x14ac:dyDescent="0.25">
      <c r="A114" s="91" t="s">
        <v>84</v>
      </c>
      <c r="B114" s="92">
        <f>SUM(F3:F5,F7,F9:F11,F15:F17,F19:F20,F22,F25:F27,F29:F31,F33:F37,F39,F41,F43,)</f>
        <v>45491.380000000012</v>
      </c>
    </row>
    <row r="115" spans="1:10" x14ac:dyDescent="0.25">
      <c r="A115" s="91" t="s">
        <v>281</v>
      </c>
      <c r="B115" s="92">
        <f>SUM(F6,F8,F12:F14,F18,F21,F28,F32,F38,F40,F42,F44:F45)</f>
        <v>23375.39</v>
      </c>
    </row>
    <row r="116" spans="1:10" x14ac:dyDescent="0.25">
      <c r="A116" s="91" t="s">
        <v>291</v>
      </c>
      <c r="B116" s="92">
        <f>SUM(F2,F23:F24,)</f>
        <v>7271.3</v>
      </c>
    </row>
    <row r="117" spans="1:10" x14ac:dyDescent="0.25">
      <c r="A117" s="91" t="s">
        <v>46</v>
      </c>
      <c r="B117" s="93">
        <v>0</v>
      </c>
      <c r="C117" t="s">
        <v>27</v>
      </c>
    </row>
    <row r="118" spans="1:10" ht="15.75" thickBot="1" x14ac:dyDescent="0.3">
      <c r="A118" s="94"/>
      <c r="B118" s="95">
        <f>SUM(B114:B117)</f>
        <v>76138.070000000022</v>
      </c>
    </row>
  </sheetData>
  <mergeCells count="1">
    <mergeCell ref="A50:F5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"/>
  <sheetViews>
    <sheetView topLeftCell="A61" workbookViewId="0">
      <selection activeCell="B28" sqref="B28"/>
    </sheetView>
  </sheetViews>
  <sheetFormatPr baseColWidth="10" defaultRowHeight="15" x14ac:dyDescent="0.25"/>
  <cols>
    <col min="2" max="2" width="36" customWidth="1"/>
    <col min="3" max="3" width="11.42578125" customWidth="1"/>
    <col min="4" max="4" width="5.140625" customWidth="1"/>
    <col min="5" max="5" width="7.5703125" customWidth="1"/>
    <col min="7" max="7" width="38.7109375" customWidth="1"/>
  </cols>
  <sheetData>
    <row r="1" spans="1:8" ht="15" customHeight="1" x14ac:dyDescent="0.25">
      <c r="A1" s="3" t="s">
        <v>2</v>
      </c>
      <c r="B1" s="4" t="s">
        <v>3</v>
      </c>
      <c r="C1" s="4" t="s">
        <v>5</v>
      </c>
      <c r="D1" s="4" t="s">
        <v>15</v>
      </c>
      <c r="E1" s="7" t="s">
        <v>6</v>
      </c>
      <c r="F1" s="5" t="s">
        <v>8</v>
      </c>
      <c r="G1" s="6" t="s">
        <v>10</v>
      </c>
      <c r="H1" s="1" t="s">
        <v>11</v>
      </c>
    </row>
    <row r="2" spans="1:8" x14ac:dyDescent="0.25">
      <c r="A2" s="10">
        <v>44713</v>
      </c>
      <c r="B2" t="s">
        <v>1179</v>
      </c>
      <c r="C2" t="s">
        <v>96</v>
      </c>
      <c r="D2" t="s">
        <v>30</v>
      </c>
      <c r="E2" t="s">
        <v>168</v>
      </c>
      <c r="F2" s="47">
        <v>1178.5999999999999</v>
      </c>
      <c r="G2" t="s">
        <v>1182</v>
      </c>
      <c r="H2" t="s">
        <v>1208</v>
      </c>
    </row>
    <row r="3" spans="1:8" x14ac:dyDescent="0.25">
      <c r="A3" s="10">
        <v>44714</v>
      </c>
      <c r="B3" t="s">
        <v>1203</v>
      </c>
      <c r="C3" t="s">
        <v>361</v>
      </c>
      <c r="D3" t="s">
        <v>30</v>
      </c>
      <c r="E3" t="s">
        <v>281</v>
      </c>
      <c r="F3" s="47">
        <v>1450</v>
      </c>
      <c r="G3" t="s">
        <v>1206</v>
      </c>
      <c r="H3" t="s">
        <v>1207</v>
      </c>
    </row>
    <row r="4" spans="1:8" x14ac:dyDescent="0.25">
      <c r="A4" s="10">
        <v>44714</v>
      </c>
      <c r="B4" t="s">
        <v>1211</v>
      </c>
      <c r="C4" t="s">
        <v>96</v>
      </c>
      <c r="D4" t="s">
        <v>30</v>
      </c>
      <c r="E4" t="s">
        <v>168</v>
      </c>
      <c r="F4" s="47">
        <v>1357</v>
      </c>
      <c r="G4" t="s">
        <v>1214</v>
      </c>
      <c r="H4" t="s">
        <v>1223</v>
      </c>
    </row>
    <row r="5" spans="1:8" x14ac:dyDescent="0.25">
      <c r="A5" s="10">
        <v>44716</v>
      </c>
      <c r="B5" t="s">
        <v>1215</v>
      </c>
      <c r="C5" t="s">
        <v>96</v>
      </c>
      <c r="D5" t="s">
        <v>30</v>
      </c>
      <c r="E5" t="s">
        <v>168</v>
      </c>
      <c r="F5" s="47">
        <v>1083</v>
      </c>
      <c r="G5" t="s">
        <v>1218</v>
      </c>
      <c r="H5" t="s">
        <v>1224</v>
      </c>
    </row>
    <row r="6" spans="1:8" x14ac:dyDescent="0.25">
      <c r="A6" s="10">
        <v>44719</v>
      </c>
      <c r="B6" t="s">
        <v>1219</v>
      </c>
      <c r="C6" t="s">
        <v>96</v>
      </c>
      <c r="D6" t="s">
        <v>30</v>
      </c>
      <c r="E6" t="s">
        <v>281</v>
      </c>
      <c r="F6" s="47">
        <v>1887</v>
      </c>
      <c r="G6" t="s">
        <v>1222</v>
      </c>
      <c r="H6" t="s">
        <v>329</v>
      </c>
    </row>
    <row r="7" spans="1:8" x14ac:dyDescent="0.25">
      <c r="A7" s="10">
        <v>44719</v>
      </c>
      <c r="B7" t="s">
        <v>611</v>
      </c>
      <c r="C7" t="s">
        <v>96</v>
      </c>
      <c r="D7" t="s">
        <v>30</v>
      </c>
      <c r="E7" t="s">
        <v>281</v>
      </c>
      <c r="F7" s="47">
        <v>1588.4</v>
      </c>
      <c r="G7" t="s">
        <v>1225</v>
      </c>
      <c r="H7" t="s">
        <v>80</v>
      </c>
    </row>
    <row r="8" spans="1:8" x14ac:dyDescent="0.25">
      <c r="A8" s="10">
        <v>44715</v>
      </c>
      <c r="B8" t="s">
        <v>1226</v>
      </c>
      <c r="C8" t="s">
        <v>96</v>
      </c>
      <c r="D8" t="s">
        <v>30</v>
      </c>
      <c r="E8" t="s">
        <v>168</v>
      </c>
      <c r="F8" s="47">
        <v>2088</v>
      </c>
      <c r="G8" t="s">
        <v>342</v>
      </c>
      <c r="H8" t="s">
        <v>1229</v>
      </c>
    </row>
    <row r="9" spans="1:8" x14ac:dyDescent="0.25">
      <c r="A9" s="10">
        <v>44720</v>
      </c>
      <c r="B9" t="s">
        <v>1230</v>
      </c>
      <c r="C9" t="s">
        <v>96</v>
      </c>
      <c r="D9" t="s">
        <v>30</v>
      </c>
      <c r="E9" t="s">
        <v>281</v>
      </c>
      <c r="F9" s="47">
        <v>905</v>
      </c>
      <c r="G9" t="s">
        <v>1041</v>
      </c>
      <c r="H9" t="s">
        <v>329</v>
      </c>
    </row>
    <row r="10" spans="1:8" x14ac:dyDescent="0.25">
      <c r="A10" s="10">
        <v>44721</v>
      </c>
      <c r="B10" t="s">
        <v>1233</v>
      </c>
      <c r="C10" t="s">
        <v>361</v>
      </c>
      <c r="D10" t="s">
        <v>30</v>
      </c>
      <c r="E10" t="s">
        <v>168</v>
      </c>
      <c r="F10" s="47">
        <v>4091.07</v>
      </c>
      <c r="G10" t="s">
        <v>1236</v>
      </c>
      <c r="H10" t="s">
        <v>192</v>
      </c>
    </row>
    <row r="11" spans="1:8" x14ac:dyDescent="0.25">
      <c r="A11" s="10">
        <v>44721</v>
      </c>
      <c r="B11" t="s">
        <v>1237</v>
      </c>
      <c r="C11" t="s">
        <v>96</v>
      </c>
      <c r="D11" t="s">
        <v>30</v>
      </c>
      <c r="E11" t="s">
        <v>281</v>
      </c>
      <c r="F11" s="47">
        <v>2595</v>
      </c>
      <c r="G11" t="s">
        <v>1310</v>
      </c>
      <c r="H11" t="s">
        <v>1240</v>
      </c>
    </row>
    <row r="12" spans="1:8" x14ac:dyDescent="0.25">
      <c r="A12" s="10">
        <v>44722</v>
      </c>
      <c r="B12" t="s">
        <v>1245</v>
      </c>
      <c r="C12" t="s">
        <v>360</v>
      </c>
      <c r="D12" t="s">
        <v>30</v>
      </c>
      <c r="E12" t="s">
        <v>168</v>
      </c>
      <c r="F12" s="47">
        <v>903</v>
      </c>
      <c r="G12" t="s">
        <v>1248</v>
      </c>
      <c r="H12" t="s">
        <v>1311</v>
      </c>
    </row>
    <row r="13" spans="1:8" x14ac:dyDescent="0.25">
      <c r="A13" s="10">
        <v>44722</v>
      </c>
      <c r="B13" t="s">
        <v>1245</v>
      </c>
      <c r="C13" t="s">
        <v>360</v>
      </c>
      <c r="D13" t="s">
        <v>30</v>
      </c>
      <c r="E13" t="s">
        <v>281</v>
      </c>
      <c r="F13" s="47">
        <v>333</v>
      </c>
      <c r="G13" t="s">
        <v>1027</v>
      </c>
      <c r="H13" t="s">
        <v>80</v>
      </c>
    </row>
    <row r="14" spans="1:8" x14ac:dyDescent="0.25">
      <c r="A14" s="10">
        <v>44722</v>
      </c>
      <c r="B14" t="s">
        <v>1249</v>
      </c>
      <c r="C14" t="s">
        <v>96</v>
      </c>
      <c r="D14" t="s">
        <v>30</v>
      </c>
      <c r="E14" t="s">
        <v>168</v>
      </c>
      <c r="F14" s="47">
        <v>1190</v>
      </c>
      <c r="G14" t="s">
        <v>1252</v>
      </c>
      <c r="H14" t="s">
        <v>606</v>
      </c>
    </row>
    <row r="15" spans="1:8" x14ac:dyDescent="0.25">
      <c r="A15" s="10">
        <v>44723</v>
      </c>
      <c r="B15" t="s">
        <v>1253</v>
      </c>
      <c r="C15" t="s">
        <v>361</v>
      </c>
      <c r="D15" t="s">
        <v>30</v>
      </c>
      <c r="E15" t="s">
        <v>281</v>
      </c>
      <c r="F15" s="47">
        <v>1644</v>
      </c>
      <c r="G15" t="s">
        <v>1256</v>
      </c>
      <c r="H15" t="s">
        <v>329</v>
      </c>
    </row>
    <row r="16" spans="1:8" x14ac:dyDescent="0.25">
      <c r="A16" s="10">
        <v>44718</v>
      </c>
      <c r="B16" t="s">
        <v>1257</v>
      </c>
      <c r="C16" t="s">
        <v>96</v>
      </c>
      <c r="D16" t="s">
        <v>30</v>
      </c>
      <c r="E16" t="s">
        <v>168</v>
      </c>
      <c r="F16" s="47">
        <v>8881.24</v>
      </c>
      <c r="G16" t="s">
        <v>1260</v>
      </c>
      <c r="H16" t="s">
        <v>1267</v>
      </c>
    </row>
    <row r="17" spans="1:8" x14ac:dyDescent="0.25">
      <c r="A17" s="10">
        <v>44725</v>
      </c>
      <c r="B17" t="s">
        <v>1253</v>
      </c>
      <c r="C17" t="s">
        <v>96</v>
      </c>
      <c r="D17" t="s">
        <v>30</v>
      </c>
      <c r="E17" t="s">
        <v>281</v>
      </c>
      <c r="F17" s="47">
        <v>1976.95</v>
      </c>
      <c r="G17" t="s">
        <v>1262</v>
      </c>
      <c r="H17" t="s">
        <v>80</v>
      </c>
    </row>
    <row r="18" spans="1:8" x14ac:dyDescent="0.25">
      <c r="A18" s="10">
        <v>44726</v>
      </c>
      <c r="B18" t="s">
        <v>1263</v>
      </c>
      <c r="C18" t="s">
        <v>96</v>
      </c>
      <c r="D18" t="s">
        <v>30</v>
      </c>
      <c r="E18" t="s">
        <v>168</v>
      </c>
      <c r="F18" s="47">
        <v>1873</v>
      </c>
      <c r="G18" t="s">
        <v>1266</v>
      </c>
      <c r="H18" t="s">
        <v>1281</v>
      </c>
    </row>
    <row r="19" spans="1:8" x14ac:dyDescent="0.25">
      <c r="A19" s="10">
        <v>44726</v>
      </c>
      <c r="B19" t="s">
        <v>1268</v>
      </c>
      <c r="C19" t="s">
        <v>360</v>
      </c>
      <c r="D19" t="s">
        <v>30</v>
      </c>
      <c r="E19" t="s">
        <v>168</v>
      </c>
      <c r="F19" s="47">
        <v>2346</v>
      </c>
      <c r="G19" t="s">
        <v>1271</v>
      </c>
      <c r="H19" t="s">
        <v>192</v>
      </c>
    </row>
    <row r="20" spans="1:8" x14ac:dyDescent="0.25">
      <c r="A20" s="10">
        <v>44726</v>
      </c>
      <c r="B20" t="s">
        <v>1272</v>
      </c>
      <c r="C20" t="s">
        <v>96</v>
      </c>
      <c r="D20" t="s">
        <v>32</v>
      </c>
      <c r="E20" t="s">
        <v>168</v>
      </c>
      <c r="F20" s="47">
        <v>4727</v>
      </c>
      <c r="G20" t="s">
        <v>1275</v>
      </c>
      <c r="H20" t="s">
        <v>1282</v>
      </c>
    </row>
    <row r="21" spans="1:8" x14ac:dyDescent="0.25">
      <c r="A21" s="10">
        <v>44727</v>
      </c>
      <c r="B21" t="s">
        <v>1276</v>
      </c>
      <c r="C21" t="s">
        <v>96</v>
      </c>
      <c r="D21" t="s">
        <v>32</v>
      </c>
      <c r="E21" t="s">
        <v>168</v>
      </c>
      <c r="F21" s="47">
        <v>7396.16</v>
      </c>
      <c r="G21" t="s">
        <v>1279</v>
      </c>
      <c r="H21" t="s">
        <v>1280</v>
      </c>
    </row>
    <row r="22" spans="1:8" x14ac:dyDescent="0.25">
      <c r="A22" s="10">
        <v>44719</v>
      </c>
      <c r="B22" t="s">
        <v>1290</v>
      </c>
      <c r="C22" t="s">
        <v>96</v>
      </c>
      <c r="D22" t="s">
        <v>30</v>
      </c>
      <c r="E22" t="s">
        <v>168</v>
      </c>
      <c r="F22" s="47">
        <v>6023.7</v>
      </c>
      <c r="G22" t="s">
        <v>1289</v>
      </c>
      <c r="H22" t="s">
        <v>80</v>
      </c>
    </row>
    <row r="23" spans="1:8" x14ac:dyDescent="0.25">
      <c r="A23" s="10">
        <v>44728</v>
      </c>
      <c r="B23" t="s">
        <v>1290</v>
      </c>
      <c r="C23" t="s">
        <v>96</v>
      </c>
      <c r="D23" t="s">
        <v>30</v>
      </c>
      <c r="E23" t="s">
        <v>281</v>
      </c>
      <c r="F23" s="47">
        <v>2112</v>
      </c>
      <c r="G23" t="s">
        <v>895</v>
      </c>
      <c r="H23" t="s">
        <v>80</v>
      </c>
    </row>
    <row r="24" spans="1:8" x14ac:dyDescent="0.25">
      <c r="A24" s="10">
        <v>44728</v>
      </c>
      <c r="B24" t="s">
        <v>1291</v>
      </c>
      <c r="C24" t="s">
        <v>96</v>
      </c>
      <c r="D24" t="s">
        <v>30</v>
      </c>
      <c r="E24" t="s">
        <v>168</v>
      </c>
      <c r="F24" s="47">
        <v>1825</v>
      </c>
      <c r="G24" t="s">
        <v>1294</v>
      </c>
      <c r="H24" t="s">
        <v>1299</v>
      </c>
    </row>
    <row r="25" spans="1:8" x14ac:dyDescent="0.25">
      <c r="A25" s="10">
        <v>44720</v>
      </c>
      <c r="B25" t="s">
        <v>1295</v>
      </c>
      <c r="C25" t="s">
        <v>96</v>
      </c>
      <c r="D25" t="s">
        <v>30</v>
      </c>
      <c r="E25" t="s">
        <v>168</v>
      </c>
      <c r="F25" s="47">
        <v>1402.62</v>
      </c>
      <c r="G25" t="s">
        <v>1298</v>
      </c>
      <c r="H25" t="s">
        <v>192</v>
      </c>
    </row>
    <row r="26" spans="1:8" x14ac:dyDescent="0.25">
      <c r="A26" s="10">
        <v>44730</v>
      </c>
      <c r="B26" t="s">
        <v>1300</v>
      </c>
      <c r="C26" t="s">
        <v>96</v>
      </c>
      <c r="D26" t="s">
        <v>32</v>
      </c>
      <c r="E26" t="s">
        <v>281</v>
      </c>
      <c r="F26" s="47">
        <v>2204</v>
      </c>
      <c r="G26" t="s">
        <v>1301</v>
      </c>
      <c r="H26" t="s">
        <v>80</v>
      </c>
    </row>
    <row r="27" spans="1:8" x14ac:dyDescent="0.25">
      <c r="A27" s="10">
        <v>44732</v>
      </c>
      <c r="B27" t="s">
        <v>1302</v>
      </c>
      <c r="C27" t="s">
        <v>96</v>
      </c>
      <c r="D27" t="s">
        <v>32</v>
      </c>
      <c r="E27" t="s">
        <v>281</v>
      </c>
      <c r="F27" s="47">
        <v>25761.96</v>
      </c>
      <c r="G27" t="s">
        <v>244</v>
      </c>
      <c r="H27" t="s">
        <v>80</v>
      </c>
    </row>
    <row r="28" spans="1:8" x14ac:dyDescent="0.25">
      <c r="A28" s="10">
        <v>44733</v>
      </c>
      <c r="B28" t="s">
        <v>1303</v>
      </c>
      <c r="C28" t="s">
        <v>96</v>
      </c>
      <c r="D28" t="s">
        <v>30</v>
      </c>
      <c r="E28" t="s">
        <v>291</v>
      </c>
      <c r="F28" s="47">
        <v>1016</v>
      </c>
      <c r="G28" t="s">
        <v>1306</v>
      </c>
      <c r="H28" t="s">
        <v>1281</v>
      </c>
    </row>
    <row r="29" spans="1:8" x14ac:dyDescent="0.25">
      <c r="A29" s="10">
        <v>44734</v>
      </c>
      <c r="B29" t="s">
        <v>1307</v>
      </c>
      <c r="C29" t="s">
        <v>96</v>
      </c>
      <c r="D29" t="s">
        <v>32</v>
      </c>
      <c r="E29" t="s">
        <v>281</v>
      </c>
      <c r="F29" s="47">
        <v>3054.28</v>
      </c>
      <c r="G29" t="s">
        <v>1308</v>
      </c>
      <c r="H29" t="s">
        <v>80</v>
      </c>
    </row>
    <row r="30" spans="1:8" x14ac:dyDescent="0.25">
      <c r="A30" s="10">
        <v>44735</v>
      </c>
      <c r="B30" t="s">
        <v>1318</v>
      </c>
      <c r="C30" t="s">
        <v>360</v>
      </c>
      <c r="D30" t="s">
        <v>32</v>
      </c>
      <c r="E30" t="s">
        <v>168</v>
      </c>
      <c r="F30" s="47">
        <v>1399.54</v>
      </c>
      <c r="G30" t="s">
        <v>1322</v>
      </c>
      <c r="H30" t="s">
        <v>1333</v>
      </c>
    </row>
    <row r="31" spans="1:8" x14ac:dyDescent="0.25">
      <c r="A31" s="10">
        <v>44729</v>
      </c>
      <c r="B31" t="s">
        <v>1323</v>
      </c>
      <c r="C31" t="s">
        <v>96</v>
      </c>
      <c r="D31" t="s">
        <v>30</v>
      </c>
      <c r="E31" t="s">
        <v>168</v>
      </c>
      <c r="F31" s="47">
        <v>2599</v>
      </c>
      <c r="G31" t="s">
        <v>1327</v>
      </c>
      <c r="H31" t="s">
        <v>1281</v>
      </c>
    </row>
    <row r="32" spans="1:8" x14ac:dyDescent="0.25">
      <c r="A32" s="10">
        <v>44728</v>
      </c>
      <c r="B32" t="s">
        <v>1290</v>
      </c>
      <c r="C32" t="s">
        <v>96</v>
      </c>
      <c r="D32" t="s">
        <v>30</v>
      </c>
      <c r="E32" t="s">
        <v>281</v>
      </c>
      <c r="F32" s="47">
        <v>1306.7</v>
      </c>
      <c r="G32" t="s">
        <v>1330</v>
      </c>
      <c r="H32" t="s">
        <v>80</v>
      </c>
    </row>
    <row r="33" spans="1:10" x14ac:dyDescent="0.25">
      <c r="A33" s="10">
        <v>44732</v>
      </c>
      <c r="B33" t="s">
        <v>1331</v>
      </c>
      <c r="C33" t="s">
        <v>96</v>
      </c>
      <c r="D33" t="s">
        <v>30</v>
      </c>
      <c r="E33" t="s">
        <v>291</v>
      </c>
      <c r="F33" s="47">
        <v>1092.96</v>
      </c>
      <c r="G33" t="s">
        <v>1332</v>
      </c>
      <c r="H33" t="s">
        <v>355</v>
      </c>
    </row>
    <row r="36" spans="1:10" ht="15.75" thickBot="1" x14ac:dyDescent="0.3">
      <c r="A36" s="106" t="s">
        <v>16</v>
      </c>
      <c r="B36" s="106"/>
      <c r="C36" s="106"/>
      <c r="D36" s="106"/>
      <c r="E36" s="106"/>
      <c r="F36" s="106"/>
      <c r="G36" s="8"/>
    </row>
    <row r="37" spans="1:10" x14ac:dyDescent="0.25">
      <c r="A37" s="9" t="s">
        <v>17</v>
      </c>
      <c r="B37" s="10"/>
      <c r="C37" s="11">
        <f>SUM(F2:F34)</f>
        <v>99291.18</v>
      </c>
      <c r="D37" s="12"/>
      <c r="E37" s="13" t="s">
        <v>18</v>
      </c>
      <c r="F37" s="14"/>
      <c r="G37" s="8"/>
      <c r="H37" s="15" t="s">
        <v>19</v>
      </c>
      <c r="I37" s="16">
        <v>17</v>
      </c>
      <c r="J37" s="17"/>
    </row>
    <row r="38" spans="1:10" x14ac:dyDescent="0.25">
      <c r="A38" s="9"/>
      <c r="B38" s="10"/>
      <c r="C38" s="11"/>
      <c r="D38" s="12"/>
      <c r="E38" s="18" t="s">
        <v>20</v>
      </c>
      <c r="F38" s="81">
        <v>99291.18</v>
      </c>
      <c r="G38" s="8"/>
      <c r="H38" s="18" t="s">
        <v>21</v>
      </c>
      <c r="I38" s="20">
        <v>5</v>
      </c>
      <c r="J38" s="21">
        <f>I38/I$37</f>
        <v>0.29411764705882354</v>
      </c>
    </row>
    <row r="39" spans="1:10" ht="15.75" thickBot="1" x14ac:dyDescent="0.3">
      <c r="A39" s="9" t="s">
        <v>22</v>
      </c>
      <c r="B39" s="10"/>
      <c r="C39" s="22">
        <v>21</v>
      </c>
      <c r="D39" s="12"/>
      <c r="E39" s="23" t="s">
        <v>23</v>
      </c>
      <c r="F39" s="24">
        <f>C37/C39</f>
        <v>4728.1514285714284</v>
      </c>
      <c r="G39" s="8"/>
      <c r="H39" s="18" t="s">
        <v>24</v>
      </c>
      <c r="I39" s="20">
        <v>12</v>
      </c>
      <c r="J39" s="21">
        <f>I39/I$37</f>
        <v>0.70588235294117652</v>
      </c>
    </row>
    <row r="40" spans="1:10" ht="15.75" thickBot="1" x14ac:dyDescent="0.3">
      <c r="A40" s="9" t="s">
        <v>25</v>
      </c>
      <c r="B40" s="10"/>
      <c r="C40">
        <v>32</v>
      </c>
      <c r="D40" s="12"/>
      <c r="E40" s="12"/>
      <c r="F40" s="25"/>
      <c r="G40" s="8"/>
      <c r="H40" s="23" t="s">
        <v>26</v>
      </c>
      <c r="I40" s="26">
        <v>0</v>
      </c>
      <c r="J40" s="27">
        <f>I40/I$37</f>
        <v>0</v>
      </c>
    </row>
    <row r="41" spans="1:10" x14ac:dyDescent="0.25">
      <c r="A41" s="9"/>
      <c r="B41" s="10"/>
      <c r="D41" s="12" t="s">
        <v>27</v>
      </c>
      <c r="E41" s="13" t="s">
        <v>28</v>
      </c>
      <c r="F41" s="14"/>
      <c r="G41" s="8"/>
    </row>
    <row r="42" spans="1:10" ht="15.75" thickBot="1" x14ac:dyDescent="0.3">
      <c r="A42" s="9" t="s">
        <v>29</v>
      </c>
      <c r="B42" s="10"/>
      <c r="C42">
        <v>26</v>
      </c>
      <c r="D42" s="12" t="s">
        <v>27</v>
      </c>
      <c r="E42" s="18" t="s">
        <v>30</v>
      </c>
      <c r="F42" s="21">
        <f>C42/C$40</f>
        <v>0.8125</v>
      </c>
      <c r="G42" s="12" t="s">
        <v>27</v>
      </c>
    </row>
    <row r="43" spans="1:10" ht="15.75" thickBot="1" x14ac:dyDescent="0.3">
      <c r="A43" s="9" t="s">
        <v>31</v>
      </c>
      <c r="B43" s="10"/>
      <c r="C43">
        <v>6</v>
      </c>
      <c r="D43" s="12"/>
      <c r="E43" s="23" t="s">
        <v>32</v>
      </c>
      <c r="F43" s="27">
        <f>C43/C$40</f>
        <v>0.1875</v>
      </c>
      <c r="G43" s="8"/>
      <c r="H43" s="15" t="s">
        <v>33</v>
      </c>
      <c r="I43" s="16">
        <v>33</v>
      </c>
      <c r="J43" s="17"/>
    </row>
    <row r="44" spans="1:10" ht="15.75" thickBot="1" x14ac:dyDescent="0.3">
      <c r="A44" s="9"/>
      <c r="B44" s="10"/>
      <c r="D44" s="12"/>
      <c r="E44" s="12"/>
      <c r="F44" s="25"/>
      <c r="G44" s="12" t="s">
        <v>27</v>
      </c>
      <c r="H44" s="28" t="s">
        <v>34</v>
      </c>
      <c r="I44" s="20">
        <v>9</v>
      </c>
      <c r="J44" s="21">
        <f>I44/I$43</f>
        <v>0.27272727272727271</v>
      </c>
    </row>
    <row r="45" spans="1:10" x14ac:dyDescent="0.25">
      <c r="A45" s="9" t="s">
        <v>35</v>
      </c>
      <c r="B45" s="10"/>
      <c r="D45" s="12"/>
      <c r="E45" s="13" t="s">
        <v>36</v>
      </c>
      <c r="F45" s="14"/>
      <c r="G45" s="8"/>
      <c r="H45" s="28" t="s">
        <v>37</v>
      </c>
      <c r="I45" s="20">
        <v>14</v>
      </c>
      <c r="J45" s="21">
        <f>I45/I$43</f>
        <v>0.42424242424242425</v>
      </c>
    </row>
    <row r="46" spans="1:10" ht="15.75" thickBot="1" x14ac:dyDescent="0.3">
      <c r="A46" s="9" t="s">
        <v>38</v>
      </c>
      <c r="B46" s="10"/>
      <c r="C46">
        <v>4</v>
      </c>
      <c r="D46" s="12"/>
      <c r="E46" s="29" t="s">
        <v>38</v>
      </c>
      <c r="F46" s="21">
        <f>C46/C$55</f>
        <v>4.8192771084337352E-2</v>
      </c>
      <c r="G46" s="8"/>
      <c r="H46" s="30" t="s">
        <v>39</v>
      </c>
      <c r="I46" s="26">
        <v>10</v>
      </c>
      <c r="J46" s="27">
        <f>I46/I$43</f>
        <v>0.30303030303030304</v>
      </c>
    </row>
    <row r="47" spans="1:10" ht="15.75" thickBot="1" x14ac:dyDescent="0.3">
      <c r="A47" s="9" t="s">
        <v>19</v>
      </c>
      <c r="B47" s="10"/>
      <c r="C47">
        <v>17</v>
      </c>
      <c r="D47" s="12"/>
      <c r="E47" s="29" t="s">
        <v>19</v>
      </c>
      <c r="F47" s="21">
        <f t="shared" ref="F47:F54" si="0">C47/C$55</f>
        <v>0.20481927710843373</v>
      </c>
      <c r="G47" s="8"/>
    </row>
    <row r="48" spans="1:10" x14ac:dyDescent="0.25">
      <c r="A48" s="9" t="s">
        <v>40</v>
      </c>
      <c r="B48" s="10"/>
      <c r="C48">
        <v>33</v>
      </c>
      <c r="D48" s="12"/>
      <c r="E48" s="29" t="s">
        <v>40</v>
      </c>
      <c r="F48" s="21">
        <f t="shared" si="0"/>
        <v>0.39759036144578314</v>
      </c>
      <c r="G48" s="12" t="s">
        <v>27</v>
      </c>
      <c r="H48" s="15" t="s">
        <v>365</v>
      </c>
      <c r="I48" s="16">
        <v>12</v>
      </c>
      <c r="J48" s="14">
        <f t="shared" ref="J48:J58" si="1">I48/I$43</f>
        <v>0.36363636363636365</v>
      </c>
    </row>
    <row r="49" spans="1:10" x14ac:dyDescent="0.25">
      <c r="A49" s="9" t="s">
        <v>41</v>
      </c>
      <c r="B49" s="10"/>
      <c r="C49">
        <v>0</v>
      </c>
      <c r="D49" s="12"/>
      <c r="E49" s="29" t="s">
        <v>41</v>
      </c>
      <c r="F49" s="21">
        <f t="shared" si="0"/>
        <v>0</v>
      </c>
      <c r="G49" s="8"/>
      <c r="H49" s="28" t="s">
        <v>366</v>
      </c>
      <c r="I49" s="68">
        <v>2</v>
      </c>
      <c r="J49" s="21">
        <f t="shared" si="1"/>
        <v>6.0606060606060608E-2</v>
      </c>
    </row>
    <row r="50" spans="1:10" x14ac:dyDescent="0.25">
      <c r="A50" s="9" t="s">
        <v>42</v>
      </c>
      <c r="B50" s="10"/>
      <c r="C50">
        <v>6</v>
      </c>
      <c r="D50" s="12"/>
      <c r="E50" s="29" t="s">
        <v>42</v>
      </c>
      <c r="F50" s="21">
        <f t="shared" si="0"/>
        <v>7.2289156626506021E-2</v>
      </c>
      <c r="G50" s="8"/>
      <c r="H50" s="28" t="s">
        <v>367</v>
      </c>
      <c r="I50" s="20">
        <v>5</v>
      </c>
      <c r="J50" s="21">
        <f t="shared" si="1"/>
        <v>0.15151515151515152</v>
      </c>
    </row>
    <row r="51" spans="1:10" x14ac:dyDescent="0.25">
      <c r="A51" s="9" t="s">
        <v>43</v>
      </c>
      <c r="B51" s="10"/>
      <c r="C51">
        <v>4</v>
      </c>
      <c r="D51" s="12"/>
      <c r="E51" s="29" t="s">
        <v>43</v>
      </c>
      <c r="F51" s="21">
        <f t="shared" si="0"/>
        <v>4.8192771084337352E-2</v>
      </c>
      <c r="G51" s="8"/>
      <c r="H51" s="28" t="s">
        <v>368</v>
      </c>
      <c r="I51" s="20">
        <v>2</v>
      </c>
      <c r="J51" s="21">
        <f t="shared" si="1"/>
        <v>6.0606060606060608E-2</v>
      </c>
    </row>
    <row r="52" spans="1:10" x14ac:dyDescent="0.25">
      <c r="A52" s="9" t="s">
        <v>44</v>
      </c>
      <c r="B52" s="10"/>
      <c r="C52">
        <v>10</v>
      </c>
      <c r="D52" s="12"/>
      <c r="E52" s="29" t="s">
        <v>44</v>
      </c>
      <c r="F52" s="21">
        <f t="shared" si="0"/>
        <v>0.12048192771084337</v>
      </c>
      <c r="G52" s="8"/>
      <c r="H52" s="28" t="s">
        <v>369</v>
      </c>
      <c r="I52" s="20">
        <v>4</v>
      </c>
      <c r="J52" s="21">
        <f t="shared" si="1"/>
        <v>0.12121212121212122</v>
      </c>
    </row>
    <row r="53" spans="1:10" x14ac:dyDescent="0.25">
      <c r="A53" s="9" t="s">
        <v>45</v>
      </c>
      <c r="B53" s="10"/>
      <c r="C53">
        <v>0</v>
      </c>
      <c r="D53" s="12"/>
      <c r="E53" s="29" t="s">
        <v>45</v>
      </c>
      <c r="F53" s="21">
        <f t="shared" si="0"/>
        <v>0</v>
      </c>
      <c r="G53" s="8"/>
      <c r="H53" s="28" t="s">
        <v>370</v>
      </c>
      <c r="I53" s="20">
        <v>2</v>
      </c>
      <c r="J53" s="21">
        <f t="shared" si="1"/>
        <v>6.0606060606060608E-2</v>
      </c>
    </row>
    <row r="54" spans="1:10" ht="15.75" thickBot="1" x14ac:dyDescent="0.3">
      <c r="A54" s="9" t="s">
        <v>46</v>
      </c>
      <c r="B54" s="10"/>
      <c r="C54">
        <v>9</v>
      </c>
      <c r="D54" s="12"/>
      <c r="E54" s="31" t="s">
        <v>46</v>
      </c>
      <c r="F54" s="27">
        <f t="shared" si="0"/>
        <v>0.10843373493975904</v>
      </c>
      <c r="G54" s="12" t="s">
        <v>27</v>
      </c>
      <c r="H54" s="69" t="s">
        <v>371</v>
      </c>
      <c r="I54" s="68">
        <v>3</v>
      </c>
      <c r="J54" s="21">
        <f t="shared" si="1"/>
        <v>9.0909090909090912E-2</v>
      </c>
    </row>
    <row r="55" spans="1:10" ht="15.75" thickBot="1" x14ac:dyDescent="0.3">
      <c r="A55" s="9" t="s">
        <v>47</v>
      </c>
      <c r="B55" s="10"/>
      <c r="C55">
        <f>SUM(C46:C54)</f>
        <v>83</v>
      </c>
      <c r="D55" s="12"/>
      <c r="E55" s="9"/>
      <c r="F55" s="25"/>
      <c r="G55" s="8"/>
      <c r="H55" s="69" t="s">
        <v>372</v>
      </c>
      <c r="I55" s="68">
        <v>1</v>
      </c>
      <c r="J55" s="21">
        <f t="shared" si="1"/>
        <v>3.0303030303030304E-2</v>
      </c>
    </row>
    <row r="56" spans="1:10" x14ac:dyDescent="0.25">
      <c r="A56" s="9"/>
      <c r="B56" s="10"/>
      <c r="D56" s="12"/>
      <c r="E56" s="32" t="s">
        <v>49</v>
      </c>
      <c r="F56" s="14"/>
      <c r="G56" s="8"/>
      <c r="H56" s="69" t="s">
        <v>373</v>
      </c>
      <c r="I56" s="68">
        <v>0</v>
      </c>
      <c r="J56" s="21">
        <f t="shared" si="1"/>
        <v>0</v>
      </c>
    </row>
    <row r="57" spans="1:10" x14ac:dyDescent="0.25">
      <c r="A57" s="9" t="s">
        <v>51</v>
      </c>
      <c r="B57" s="10"/>
      <c r="D57" s="12"/>
      <c r="E57" s="29" t="s">
        <v>52</v>
      </c>
      <c r="F57" s="21">
        <f>C58/C$68</f>
        <v>0.4891304347826087</v>
      </c>
      <c r="G57" s="8"/>
      <c r="H57" s="69" t="s">
        <v>374</v>
      </c>
      <c r="I57" s="68">
        <v>2</v>
      </c>
      <c r="J57" s="21">
        <f t="shared" si="1"/>
        <v>6.0606060606060608E-2</v>
      </c>
    </row>
    <row r="58" spans="1:10" ht="15.75" thickBot="1" x14ac:dyDescent="0.3">
      <c r="A58" s="9" t="s">
        <v>52</v>
      </c>
      <c r="B58" s="10"/>
      <c r="C58">
        <v>45</v>
      </c>
      <c r="D58" s="12"/>
      <c r="E58" s="29" t="s">
        <v>53</v>
      </c>
      <c r="F58" s="21">
        <f t="shared" ref="F58:F66" si="2">C59/C$68</f>
        <v>0.2391304347826087</v>
      </c>
      <c r="G58" s="8"/>
      <c r="H58" s="70" t="s">
        <v>375</v>
      </c>
      <c r="I58" s="26">
        <v>0</v>
      </c>
      <c r="J58" s="27">
        <f t="shared" si="1"/>
        <v>0</v>
      </c>
    </row>
    <row r="59" spans="1:10" x14ac:dyDescent="0.25">
      <c r="A59" s="9" t="s">
        <v>53</v>
      </c>
      <c r="B59" s="10"/>
      <c r="C59">
        <v>22</v>
      </c>
      <c r="D59" s="12"/>
      <c r="E59" s="29" t="s">
        <v>54</v>
      </c>
      <c r="F59" s="21">
        <f t="shared" si="2"/>
        <v>0.14130434782608695</v>
      </c>
      <c r="G59" s="8"/>
    </row>
    <row r="60" spans="1:10" ht="15.75" thickBot="1" x14ac:dyDescent="0.3">
      <c r="A60" s="9" t="s">
        <v>54</v>
      </c>
      <c r="B60" s="10"/>
      <c r="C60">
        <v>13</v>
      </c>
      <c r="D60" s="12"/>
      <c r="E60" s="29" t="s">
        <v>56</v>
      </c>
      <c r="F60" s="21">
        <f t="shared" si="2"/>
        <v>2.1739130434782608E-2</v>
      </c>
      <c r="G60" s="8"/>
    </row>
    <row r="61" spans="1:10" x14ac:dyDescent="0.25">
      <c r="A61" s="9" t="s">
        <v>56</v>
      </c>
      <c r="B61" s="10"/>
      <c r="C61">
        <v>2</v>
      </c>
      <c r="D61" s="12"/>
      <c r="E61" s="29" t="s">
        <v>58</v>
      </c>
      <c r="F61" s="21">
        <f t="shared" si="2"/>
        <v>1.0869565217391304E-2</v>
      </c>
      <c r="G61" s="12" t="s">
        <v>27</v>
      </c>
      <c r="H61" s="15" t="s">
        <v>42</v>
      </c>
      <c r="I61" s="16">
        <v>6</v>
      </c>
      <c r="J61" s="17"/>
    </row>
    <row r="62" spans="1:10" x14ac:dyDescent="0.25">
      <c r="A62" s="9" t="s">
        <v>58</v>
      </c>
      <c r="B62" s="10"/>
      <c r="C62">
        <v>1</v>
      </c>
      <c r="D62" s="12"/>
      <c r="E62" s="29" t="s">
        <v>60</v>
      </c>
      <c r="F62" s="21">
        <f t="shared" si="2"/>
        <v>0</v>
      </c>
      <c r="G62" s="8"/>
      <c r="H62" s="28" t="s">
        <v>48</v>
      </c>
      <c r="I62" s="20">
        <v>0</v>
      </c>
      <c r="J62" s="21">
        <f>I62/I$61</f>
        <v>0</v>
      </c>
    </row>
    <row r="63" spans="1:10" ht="15.75" thickBot="1" x14ac:dyDescent="0.3">
      <c r="A63" s="9" t="s">
        <v>60</v>
      </c>
      <c r="B63" s="10"/>
      <c r="C63">
        <v>0</v>
      </c>
      <c r="D63" s="12"/>
      <c r="E63" s="29" t="s">
        <v>62</v>
      </c>
      <c r="F63" s="21">
        <f t="shared" si="2"/>
        <v>0</v>
      </c>
      <c r="G63" s="8"/>
      <c r="H63" s="30" t="s">
        <v>50</v>
      </c>
      <c r="I63" s="26">
        <v>6</v>
      </c>
      <c r="J63" s="27">
        <f>I63/I$61</f>
        <v>1</v>
      </c>
    </row>
    <row r="64" spans="1:10" x14ac:dyDescent="0.25">
      <c r="A64" s="9" t="s">
        <v>62</v>
      </c>
      <c r="B64" s="10"/>
      <c r="C64">
        <v>0</v>
      </c>
      <c r="D64" s="12"/>
      <c r="E64" s="29" t="s">
        <v>64</v>
      </c>
      <c r="F64" s="21">
        <f t="shared" si="2"/>
        <v>0</v>
      </c>
      <c r="G64" s="8"/>
    </row>
    <row r="65" spans="1:10" ht="15.75" thickBot="1" x14ac:dyDescent="0.3">
      <c r="A65" s="9" t="s">
        <v>64</v>
      </c>
      <c r="B65" s="10"/>
      <c r="C65">
        <v>0</v>
      </c>
      <c r="D65" s="12"/>
      <c r="E65" s="29" t="s">
        <v>66</v>
      </c>
      <c r="F65" s="21">
        <f t="shared" si="2"/>
        <v>0</v>
      </c>
      <c r="G65" s="8"/>
    </row>
    <row r="66" spans="1:10" ht="15.75" thickBot="1" x14ac:dyDescent="0.3">
      <c r="A66" s="9" t="s">
        <v>66</v>
      </c>
      <c r="B66" s="10"/>
      <c r="C66">
        <v>0</v>
      </c>
      <c r="D66" s="12"/>
      <c r="E66" s="31" t="s">
        <v>68</v>
      </c>
      <c r="F66" s="27">
        <f t="shared" si="2"/>
        <v>9.7826086956521743E-2</v>
      </c>
      <c r="G66" s="8"/>
      <c r="H66" s="15" t="s">
        <v>55</v>
      </c>
      <c r="I66" s="16">
        <v>4</v>
      </c>
      <c r="J66" s="17"/>
    </row>
    <row r="67" spans="1:10" ht="15.75" thickBot="1" x14ac:dyDescent="0.3">
      <c r="A67" s="9" t="s">
        <v>68</v>
      </c>
      <c r="B67" s="10"/>
      <c r="C67">
        <v>9</v>
      </c>
      <c r="D67" s="12"/>
      <c r="E67" s="9"/>
      <c r="F67" s="25"/>
      <c r="G67" s="8"/>
      <c r="H67" s="28" t="s">
        <v>57</v>
      </c>
      <c r="I67" s="20">
        <v>0</v>
      </c>
      <c r="J67" s="21">
        <f t="shared" ref="J67:J72" si="3">I67/I$66</f>
        <v>0</v>
      </c>
    </row>
    <row r="68" spans="1:10" x14ac:dyDescent="0.25">
      <c r="A68" s="9" t="s">
        <v>70</v>
      </c>
      <c r="B68" s="10"/>
      <c r="C68">
        <f>SUM(C58:C67)</f>
        <v>92</v>
      </c>
      <c r="D68" s="12"/>
      <c r="E68" s="32" t="s">
        <v>71</v>
      </c>
      <c r="F68" s="14"/>
      <c r="G68" s="8"/>
      <c r="H68" s="28" t="s">
        <v>59</v>
      </c>
      <c r="I68" s="20">
        <v>2</v>
      </c>
      <c r="J68" s="21">
        <f t="shared" si="3"/>
        <v>0.5</v>
      </c>
    </row>
    <row r="69" spans="1:10" x14ac:dyDescent="0.25">
      <c r="A69" s="9"/>
      <c r="B69" s="10"/>
      <c r="D69" s="12"/>
      <c r="E69" s="33" t="s">
        <v>72</v>
      </c>
      <c r="F69" s="21">
        <f>C70/C$40</f>
        <v>0.75</v>
      </c>
      <c r="G69" s="8"/>
      <c r="H69" s="28" t="s">
        <v>61</v>
      </c>
      <c r="I69" s="20">
        <v>0</v>
      </c>
      <c r="J69" s="21">
        <f t="shared" si="3"/>
        <v>0</v>
      </c>
    </row>
    <row r="70" spans="1:10" x14ac:dyDescent="0.25">
      <c r="A70" s="9" t="s">
        <v>73</v>
      </c>
      <c r="B70" s="10"/>
      <c r="C70">
        <v>24</v>
      </c>
      <c r="D70" s="12"/>
      <c r="E70" s="33" t="s">
        <v>74</v>
      </c>
      <c r="F70" s="21">
        <f>C71/C$40</f>
        <v>6.25E-2</v>
      </c>
      <c r="G70" s="8"/>
      <c r="H70" s="28" t="s">
        <v>63</v>
      </c>
      <c r="I70" s="20">
        <v>1</v>
      </c>
      <c r="J70" s="21">
        <f t="shared" si="3"/>
        <v>0.25</v>
      </c>
    </row>
    <row r="71" spans="1:10" ht="15.75" thickBot="1" x14ac:dyDescent="0.3">
      <c r="A71" s="9" t="s">
        <v>75</v>
      </c>
      <c r="B71" s="10"/>
      <c r="C71">
        <v>2</v>
      </c>
      <c r="D71" s="12"/>
      <c r="E71" s="34" t="s">
        <v>76</v>
      </c>
      <c r="F71" s="27">
        <f>C72/C$40</f>
        <v>0.125</v>
      </c>
      <c r="G71" s="8"/>
      <c r="H71" s="28" t="s">
        <v>65</v>
      </c>
      <c r="I71" s="20">
        <v>1</v>
      </c>
      <c r="J71" s="21">
        <f t="shared" si="3"/>
        <v>0.25</v>
      </c>
    </row>
    <row r="72" spans="1:10" ht="15.75" thickBot="1" x14ac:dyDescent="0.3">
      <c r="A72" s="9" t="s">
        <v>77</v>
      </c>
      <c r="B72" s="10"/>
      <c r="C72">
        <v>4</v>
      </c>
      <c r="D72" s="12"/>
      <c r="E72" s="35"/>
      <c r="F72" s="25"/>
      <c r="G72" s="12" t="s">
        <v>27</v>
      </c>
      <c r="H72" s="30" t="s">
        <v>67</v>
      </c>
      <c r="I72" s="26">
        <v>0</v>
      </c>
      <c r="J72" s="27">
        <f t="shared" si="3"/>
        <v>0</v>
      </c>
    </row>
    <row r="73" spans="1:10" ht="15.75" thickBot="1" x14ac:dyDescent="0.3">
      <c r="A73" s="9"/>
      <c r="B73" s="10"/>
      <c r="D73" s="12"/>
      <c r="E73" s="36" t="s">
        <v>28</v>
      </c>
      <c r="F73" s="14"/>
      <c r="G73" s="8"/>
    </row>
    <row r="74" spans="1:10" x14ac:dyDescent="0.25">
      <c r="A74" s="9" t="s">
        <v>28</v>
      </c>
      <c r="B74" s="10"/>
      <c r="D74" s="12"/>
      <c r="E74" s="29" t="s">
        <v>78</v>
      </c>
      <c r="F74" s="21">
        <f>C75/C$40</f>
        <v>0.5625</v>
      </c>
      <c r="G74" s="8"/>
      <c r="H74" s="15" t="s">
        <v>69</v>
      </c>
      <c r="I74" s="16">
        <v>0</v>
      </c>
      <c r="J74" s="17"/>
    </row>
    <row r="75" spans="1:10" ht="15.75" thickBot="1" x14ac:dyDescent="0.3">
      <c r="A75" s="9" t="s">
        <v>79</v>
      </c>
      <c r="B75" s="10"/>
      <c r="C75">
        <v>18</v>
      </c>
      <c r="D75" s="12"/>
      <c r="E75" s="31" t="s">
        <v>80</v>
      </c>
      <c r="F75" s="27">
        <f>C76/C$40</f>
        <v>0.40625</v>
      </c>
      <c r="G75" s="8"/>
      <c r="H75" s="28" t="s">
        <v>57</v>
      </c>
      <c r="I75" s="20">
        <v>0</v>
      </c>
      <c r="J75" s="21" t="e">
        <f t="shared" ref="J75:J80" si="4">I75/I$74</f>
        <v>#DIV/0!</v>
      </c>
    </row>
    <row r="76" spans="1:10" ht="15.75" thickBot="1" x14ac:dyDescent="0.3">
      <c r="A76" s="9" t="s">
        <v>80</v>
      </c>
      <c r="B76" s="10"/>
      <c r="C76">
        <v>13</v>
      </c>
      <c r="D76" s="12"/>
      <c r="E76" s="37"/>
      <c r="F76" s="38"/>
      <c r="G76" s="8"/>
      <c r="H76" s="28" t="s">
        <v>59</v>
      </c>
      <c r="I76" s="20">
        <v>0</v>
      </c>
      <c r="J76" s="21" t="e">
        <f t="shared" si="4"/>
        <v>#DIV/0!</v>
      </c>
    </row>
    <row r="77" spans="1:10" x14ac:dyDescent="0.25">
      <c r="A77" s="9"/>
      <c r="B77" s="10"/>
      <c r="D77" s="12"/>
      <c r="E77" s="15" t="s">
        <v>1166</v>
      </c>
      <c r="F77" s="14"/>
      <c r="G77" s="8"/>
      <c r="H77" s="28" t="s">
        <v>61</v>
      </c>
      <c r="I77" s="20">
        <v>0</v>
      </c>
      <c r="J77" s="21" t="e">
        <f t="shared" si="4"/>
        <v>#DIV/0!</v>
      </c>
    </row>
    <row r="78" spans="1:10" x14ac:dyDescent="0.25">
      <c r="A78" t="s">
        <v>1166</v>
      </c>
      <c r="B78" s="10"/>
      <c r="D78" s="12"/>
      <c r="E78" s="28" t="s">
        <v>1167</v>
      </c>
      <c r="F78" s="21">
        <f>C79/C$40</f>
        <v>0.3125</v>
      </c>
      <c r="G78" s="8"/>
      <c r="H78" s="28" t="s">
        <v>63</v>
      </c>
      <c r="I78" s="20">
        <v>0</v>
      </c>
      <c r="J78" s="21" t="e">
        <f t="shared" si="4"/>
        <v>#DIV/0!</v>
      </c>
    </row>
    <row r="79" spans="1:10" ht="15.75" thickBot="1" x14ac:dyDescent="0.3">
      <c r="A79" t="s">
        <v>1167</v>
      </c>
      <c r="B79" s="10"/>
      <c r="C79">
        <v>10</v>
      </c>
      <c r="D79" s="12"/>
      <c r="E79" s="30" t="s">
        <v>1168</v>
      </c>
      <c r="F79" s="27">
        <f>C80/C$40</f>
        <v>9.375E-2</v>
      </c>
      <c r="G79" s="8"/>
      <c r="H79" s="28" t="s">
        <v>65</v>
      </c>
      <c r="I79" s="20">
        <v>0</v>
      </c>
      <c r="J79" s="21" t="e">
        <f t="shared" si="4"/>
        <v>#DIV/0!</v>
      </c>
    </row>
    <row r="80" spans="1:10" ht="15.75" thickBot="1" x14ac:dyDescent="0.3">
      <c r="A80" t="s">
        <v>1168</v>
      </c>
      <c r="B80" s="10"/>
      <c r="C80">
        <v>3</v>
      </c>
      <c r="D80" s="12"/>
      <c r="E80" s="37"/>
      <c r="F80" s="38"/>
      <c r="G80" s="8"/>
      <c r="H80" s="30" t="s">
        <v>67</v>
      </c>
      <c r="I80" s="26">
        <v>0</v>
      </c>
      <c r="J80" s="27" t="e">
        <f t="shared" si="4"/>
        <v>#DIV/0!</v>
      </c>
    </row>
    <row r="81" spans="1:10" x14ac:dyDescent="0.25">
      <c r="A81" s="9"/>
      <c r="B81" s="10"/>
      <c r="C81" t="s">
        <v>27</v>
      </c>
      <c r="D81" s="12"/>
      <c r="E81" s="32" t="s">
        <v>81</v>
      </c>
      <c r="F81" s="14"/>
      <c r="G81" s="8"/>
    </row>
    <row r="82" spans="1:10" ht="15.75" thickBot="1" x14ac:dyDescent="0.3">
      <c r="A82" s="9" t="s">
        <v>83</v>
      </c>
      <c r="B82" s="10"/>
      <c r="D82" s="12"/>
      <c r="E82" s="29" t="s">
        <v>84</v>
      </c>
      <c r="F82" s="21">
        <f t="shared" ref="F82:F87" si="5">C83/C$40</f>
        <v>0.5</v>
      </c>
      <c r="G82" s="8"/>
    </row>
    <row r="83" spans="1:10" x14ac:dyDescent="0.25">
      <c r="A83" s="9" t="s">
        <v>84</v>
      </c>
      <c r="B83" s="10"/>
      <c r="C83">
        <v>16</v>
      </c>
      <c r="D83" s="12"/>
      <c r="E83" s="18" t="s">
        <v>86</v>
      </c>
      <c r="F83" s="21">
        <f t="shared" si="5"/>
        <v>3.125E-2</v>
      </c>
      <c r="G83" s="8"/>
      <c r="H83" s="15" t="s">
        <v>44</v>
      </c>
      <c r="I83" s="16">
        <v>10</v>
      </c>
      <c r="J83" s="17"/>
    </row>
    <row r="84" spans="1:10" x14ac:dyDescent="0.25">
      <c r="A84" s="9" t="s">
        <v>86</v>
      </c>
      <c r="B84" s="10"/>
      <c r="C84">
        <v>1</v>
      </c>
      <c r="D84" s="12"/>
      <c r="E84" s="18" t="s">
        <v>88</v>
      </c>
      <c r="F84" s="21">
        <f t="shared" si="5"/>
        <v>0</v>
      </c>
      <c r="G84" s="8"/>
      <c r="H84" s="28" t="s">
        <v>82</v>
      </c>
      <c r="I84" s="20">
        <v>1</v>
      </c>
      <c r="J84" s="21">
        <f>I84/I$83</f>
        <v>0.1</v>
      </c>
    </row>
    <row r="85" spans="1:10" x14ac:dyDescent="0.25">
      <c r="A85" s="9" t="s">
        <v>88</v>
      </c>
      <c r="B85" s="10"/>
      <c r="C85">
        <v>0</v>
      </c>
      <c r="D85" s="12"/>
      <c r="E85" s="18" t="s">
        <v>90</v>
      </c>
      <c r="F85" s="21">
        <f t="shared" si="5"/>
        <v>0</v>
      </c>
      <c r="G85" s="8"/>
      <c r="H85" s="28" t="s">
        <v>85</v>
      </c>
      <c r="I85" s="20">
        <v>2</v>
      </c>
      <c r="J85" s="21">
        <f>I85/I$83</f>
        <v>0.2</v>
      </c>
    </row>
    <row r="86" spans="1:10" x14ac:dyDescent="0.25">
      <c r="A86" s="9" t="s">
        <v>90</v>
      </c>
      <c r="B86" s="10"/>
      <c r="C86">
        <v>0</v>
      </c>
      <c r="D86" s="12"/>
      <c r="E86" s="18" t="s">
        <v>91</v>
      </c>
      <c r="F86" s="21">
        <f t="shared" si="5"/>
        <v>0.40625</v>
      </c>
      <c r="G86" s="8"/>
      <c r="H86" s="28" t="s">
        <v>87</v>
      </c>
      <c r="I86" s="20">
        <v>2</v>
      </c>
      <c r="J86" s="21">
        <f>I86/I$83</f>
        <v>0.2</v>
      </c>
    </row>
    <row r="87" spans="1:10" ht="15.75" thickBot="1" x14ac:dyDescent="0.3">
      <c r="A87" s="9" t="s">
        <v>91</v>
      </c>
      <c r="B87" s="10"/>
      <c r="C87">
        <v>13</v>
      </c>
      <c r="D87" s="12"/>
      <c r="E87" s="23" t="s">
        <v>46</v>
      </c>
      <c r="F87" s="27">
        <f t="shared" si="5"/>
        <v>0</v>
      </c>
      <c r="G87" s="8"/>
      <c r="H87" s="30" t="s">
        <v>89</v>
      </c>
      <c r="I87" s="26">
        <v>5</v>
      </c>
      <c r="J87" s="27">
        <f>I87/I$83</f>
        <v>0.5</v>
      </c>
    </row>
    <row r="88" spans="1:10" ht="15.75" thickBot="1" x14ac:dyDescent="0.3">
      <c r="A88" s="9" t="s">
        <v>46</v>
      </c>
      <c r="B88" s="10"/>
      <c r="C88">
        <v>0</v>
      </c>
      <c r="D88" s="12"/>
      <c r="E88" s="12"/>
      <c r="F88" s="25"/>
      <c r="G88" s="8"/>
    </row>
    <row r="89" spans="1:10" ht="15.75" thickBot="1" x14ac:dyDescent="0.3">
      <c r="A89" s="9"/>
      <c r="B89" s="10"/>
      <c r="D89" s="12"/>
      <c r="E89" s="13" t="s">
        <v>93</v>
      </c>
      <c r="F89" s="14"/>
      <c r="G89" s="8"/>
    </row>
    <row r="90" spans="1:10" x14ac:dyDescent="0.25">
      <c r="A90" s="9" t="s">
        <v>95</v>
      </c>
      <c r="B90" s="10"/>
      <c r="C90">
        <v>3</v>
      </c>
      <c r="D90" s="12"/>
      <c r="E90" s="18" t="s">
        <v>96</v>
      </c>
      <c r="F90" s="21">
        <f>C91/C$40</f>
        <v>0.75</v>
      </c>
      <c r="G90" s="8"/>
      <c r="H90" s="15" t="s">
        <v>46</v>
      </c>
      <c r="I90" s="16">
        <v>9</v>
      </c>
      <c r="J90" s="17"/>
    </row>
    <row r="91" spans="1:10" x14ac:dyDescent="0.25">
      <c r="A91" s="9" t="s">
        <v>96</v>
      </c>
      <c r="B91" s="10"/>
      <c r="C91">
        <v>24</v>
      </c>
      <c r="D91" s="12"/>
      <c r="E91" s="18" t="s">
        <v>98</v>
      </c>
      <c r="F91" s="21">
        <f>C92/C$40</f>
        <v>0.125</v>
      </c>
      <c r="G91" s="8"/>
      <c r="H91" s="28" t="s">
        <v>92</v>
      </c>
      <c r="I91" s="20">
        <v>2</v>
      </c>
      <c r="J91" s="21">
        <f>I91/I$90</f>
        <v>0.22222222222222221</v>
      </c>
    </row>
    <row r="92" spans="1:10" x14ac:dyDescent="0.25">
      <c r="A92" s="9" t="s">
        <v>98</v>
      </c>
      <c r="B92" s="10"/>
      <c r="C92">
        <v>4</v>
      </c>
      <c r="D92" s="12"/>
      <c r="E92" s="18" t="s">
        <v>100</v>
      </c>
      <c r="F92" s="21">
        <f>C93/C$40</f>
        <v>0</v>
      </c>
      <c r="G92" s="8"/>
      <c r="H92" s="28" t="s">
        <v>94</v>
      </c>
      <c r="I92" s="20">
        <v>1</v>
      </c>
      <c r="J92" s="21">
        <f t="shared" ref="J92:J100" si="6">I92/I$90</f>
        <v>0.1111111111111111</v>
      </c>
    </row>
    <row r="93" spans="1:10" x14ac:dyDescent="0.25">
      <c r="A93" s="9" t="s">
        <v>100</v>
      </c>
      <c r="B93" s="10"/>
      <c r="C93">
        <v>0</v>
      </c>
      <c r="D93" s="12"/>
      <c r="E93" s="18" t="s">
        <v>102</v>
      </c>
      <c r="F93" s="21">
        <f>C94/C$40</f>
        <v>9.375E-2</v>
      </c>
      <c r="G93" s="8"/>
      <c r="H93" s="28" t="s">
        <v>97</v>
      </c>
      <c r="I93" s="20">
        <v>0</v>
      </c>
      <c r="J93" s="21">
        <f t="shared" si="6"/>
        <v>0</v>
      </c>
    </row>
    <row r="94" spans="1:10" ht="15.75" thickBot="1" x14ac:dyDescent="0.3">
      <c r="A94" s="9" t="s">
        <v>102</v>
      </c>
      <c r="B94" s="10"/>
      <c r="C94">
        <v>3</v>
      </c>
      <c r="E94" s="23" t="s">
        <v>103</v>
      </c>
      <c r="F94" s="27">
        <f>C95/C$40</f>
        <v>0</v>
      </c>
      <c r="H94" s="28" t="s">
        <v>99</v>
      </c>
      <c r="I94" s="20">
        <v>0</v>
      </c>
      <c r="J94" s="21">
        <f t="shared" si="6"/>
        <v>0</v>
      </c>
    </row>
    <row r="95" spans="1:10" x14ac:dyDescent="0.25">
      <c r="A95" s="9" t="s">
        <v>103</v>
      </c>
      <c r="C95">
        <v>0</v>
      </c>
      <c r="E95" s="12"/>
      <c r="F95" s="25"/>
      <c r="H95" s="28" t="s">
        <v>101</v>
      </c>
      <c r="I95" s="20">
        <v>3</v>
      </c>
      <c r="J95" s="21">
        <f t="shared" si="6"/>
        <v>0.33333333333333331</v>
      </c>
    </row>
    <row r="96" spans="1:10" x14ac:dyDescent="0.25">
      <c r="A96" s="9" t="s">
        <v>104</v>
      </c>
      <c r="C96">
        <v>0</v>
      </c>
      <c r="E96" s="12"/>
      <c r="F96" s="25"/>
      <c r="H96" s="66" t="s">
        <v>159</v>
      </c>
      <c r="I96" s="68">
        <v>0</v>
      </c>
      <c r="J96" s="21">
        <f t="shared" si="6"/>
        <v>0</v>
      </c>
    </row>
    <row r="97" spans="1:10" x14ac:dyDescent="0.25">
      <c r="A97" s="9"/>
      <c r="E97" s="12"/>
      <c r="F97" s="25"/>
      <c r="H97" s="66" t="s">
        <v>160</v>
      </c>
      <c r="I97" s="68">
        <v>0</v>
      </c>
      <c r="J97" s="21">
        <f t="shared" si="6"/>
        <v>0</v>
      </c>
    </row>
    <row r="98" spans="1:10" ht="15.75" thickBot="1" x14ac:dyDescent="0.3">
      <c r="H98" s="66" t="s">
        <v>161</v>
      </c>
      <c r="I98" s="68">
        <v>1</v>
      </c>
      <c r="J98" s="21">
        <f t="shared" si="6"/>
        <v>0.1111111111111111</v>
      </c>
    </row>
    <row r="99" spans="1:10" x14ac:dyDescent="0.25">
      <c r="A99" s="89" t="s">
        <v>7</v>
      </c>
      <c r="B99" s="90"/>
      <c r="H99" s="66" t="s">
        <v>162</v>
      </c>
      <c r="I99" s="68">
        <v>0</v>
      </c>
      <c r="J99" s="21">
        <f t="shared" si="6"/>
        <v>0</v>
      </c>
    </row>
    <row r="100" spans="1:10" ht="15.75" thickBot="1" x14ac:dyDescent="0.3">
      <c r="A100" s="91" t="s">
        <v>84</v>
      </c>
      <c r="B100" s="92">
        <f>SUM(F2,F4:F5,F8,F10,F12,F14,F16,F18:F22,F24:F25,F30:F31,)</f>
        <v>50363.93</v>
      </c>
      <c r="H100" s="67" t="s">
        <v>163</v>
      </c>
      <c r="I100" s="26">
        <v>1</v>
      </c>
      <c r="J100" s="27">
        <f t="shared" si="6"/>
        <v>0.1111111111111111</v>
      </c>
    </row>
    <row r="101" spans="1:10" x14ac:dyDescent="0.25">
      <c r="A101" s="91" t="s">
        <v>281</v>
      </c>
      <c r="B101" s="92">
        <f>SUM(F3,F6:F7,F9,F11,F13,F15,F17,F23,F26:F27,F29,F32)</f>
        <v>46818.289999999994</v>
      </c>
    </row>
    <row r="102" spans="1:10" x14ac:dyDescent="0.25">
      <c r="A102" s="91" t="s">
        <v>291</v>
      </c>
      <c r="B102" s="92">
        <f>SUM(F28,F33,)</f>
        <v>2108.96</v>
      </c>
    </row>
    <row r="103" spans="1:10" x14ac:dyDescent="0.25">
      <c r="A103" s="91" t="s">
        <v>46</v>
      </c>
      <c r="B103" s="93">
        <v>0</v>
      </c>
    </row>
    <row r="104" spans="1:10" ht="15.75" thickBot="1" x14ac:dyDescent="0.3">
      <c r="A104" s="94"/>
      <c r="B104" s="95">
        <f>SUM(B100:B103)</f>
        <v>99291.180000000008</v>
      </c>
    </row>
  </sheetData>
  <mergeCells count="1">
    <mergeCell ref="A36:F36"/>
  </mergeCells>
  <pageMargins left="0.7" right="0.7" top="0.75" bottom="0.75" header="0.3" footer="0.3"/>
  <pageSetup paperSize="9" orientation="portrait" horizontalDpi="200" verticalDpi="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2"/>
  <sheetViews>
    <sheetView topLeftCell="A106" workbookViewId="0">
      <selection activeCell="F139" sqref="F139"/>
    </sheetView>
  </sheetViews>
  <sheetFormatPr baseColWidth="10" defaultRowHeight="15" x14ac:dyDescent="0.25"/>
  <cols>
    <col min="2" max="2" width="34.42578125" customWidth="1"/>
    <col min="3" max="3" width="12.42578125" customWidth="1"/>
    <col min="4" max="4" width="5.28515625" customWidth="1"/>
    <col min="5" max="5" width="6.85546875" customWidth="1"/>
    <col min="6" max="6" width="12.85546875" customWidth="1"/>
    <col min="7" max="7" width="37.28515625" customWidth="1"/>
    <col min="8" max="8" width="23" customWidth="1"/>
  </cols>
  <sheetData>
    <row r="1" spans="1:8" ht="15" customHeight="1" x14ac:dyDescent="0.25">
      <c r="A1" s="3" t="s">
        <v>2</v>
      </c>
      <c r="B1" s="4" t="s">
        <v>3</v>
      </c>
      <c r="C1" s="4" t="s">
        <v>5</v>
      </c>
      <c r="D1" s="4" t="s">
        <v>15</v>
      </c>
      <c r="E1" s="7" t="s">
        <v>6</v>
      </c>
      <c r="F1" s="5" t="s">
        <v>8</v>
      </c>
      <c r="G1" s="6" t="s">
        <v>10</v>
      </c>
      <c r="H1" s="1" t="s">
        <v>11</v>
      </c>
    </row>
    <row r="2" spans="1:8" x14ac:dyDescent="0.25">
      <c r="A2" s="10">
        <v>44743</v>
      </c>
      <c r="B2" t="s">
        <v>1350</v>
      </c>
      <c r="C2" t="s">
        <v>360</v>
      </c>
      <c r="D2" t="s">
        <v>30</v>
      </c>
      <c r="E2" t="s">
        <v>168</v>
      </c>
      <c r="F2" s="47">
        <v>2015</v>
      </c>
      <c r="G2" t="s">
        <v>1353</v>
      </c>
      <c r="H2" t="s">
        <v>1370</v>
      </c>
    </row>
    <row r="3" spans="1:8" x14ac:dyDescent="0.25">
      <c r="A3" s="10">
        <v>44743</v>
      </c>
      <c r="B3" t="s">
        <v>1354</v>
      </c>
      <c r="C3" t="s">
        <v>96</v>
      </c>
      <c r="D3" t="s">
        <v>30</v>
      </c>
      <c r="E3" t="s">
        <v>168</v>
      </c>
      <c r="F3" s="47">
        <v>1011</v>
      </c>
      <c r="G3" t="s">
        <v>1357</v>
      </c>
      <c r="H3" t="s">
        <v>569</v>
      </c>
    </row>
    <row r="4" spans="1:8" x14ac:dyDescent="0.25">
      <c r="A4" s="10">
        <v>44744</v>
      </c>
      <c r="B4" t="s">
        <v>1358</v>
      </c>
      <c r="C4" t="s">
        <v>96</v>
      </c>
      <c r="D4" t="s">
        <v>30</v>
      </c>
      <c r="E4" t="s">
        <v>168</v>
      </c>
      <c r="F4" s="47">
        <v>1150</v>
      </c>
      <c r="G4" t="s">
        <v>1361</v>
      </c>
      <c r="H4" t="s">
        <v>569</v>
      </c>
    </row>
    <row r="5" spans="1:8" x14ac:dyDescent="0.25">
      <c r="A5" s="10">
        <v>44744</v>
      </c>
      <c r="B5" t="s">
        <v>1362</v>
      </c>
      <c r="C5" t="s">
        <v>96</v>
      </c>
      <c r="D5" t="s">
        <v>30</v>
      </c>
      <c r="E5" t="s">
        <v>168</v>
      </c>
      <c r="F5" s="47">
        <v>824</v>
      </c>
      <c r="G5" t="s">
        <v>1365</v>
      </c>
      <c r="H5" t="s">
        <v>192</v>
      </c>
    </row>
    <row r="6" spans="1:8" x14ac:dyDescent="0.25">
      <c r="A6" s="10">
        <v>44746</v>
      </c>
      <c r="B6" t="s">
        <v>1366</v>
      </c>
      <c r="C6" t="s">
        <v>360</v>
      </c>
      <c r="D6" t="s">
        <v>30</v>
      </c>
      <c r="E6" t="s">
        <v>168</v>
      </c>
      <c r="F6" s="47">
        <v>1728</v>
      </c>
      <c r="G6" t="s">
        <v>1368</v>
      </c>
      <c r="H6" t="s">
        <v>1371</v>
      </c>
    </row>
    <row r="7" spans="1:8" x14ac:dyDescent="0.25">
      <c r="A7" s="10">
        <v>44747</v>
      </c>
      <c r="B7" t="s">
        <v>1307</v>
      </c>
      <c r="C7" t="s">
        <v>96</v>
      </c>
      <c r="D7" t="s">
        <v>32</v>
      </c>
      <c r="E7" t="s">
        <v>281</v>
      </c>
      <c r="F7" s="47">
        <v>4354.6400000000003</v>
      </c>
      <c r="G7" t="s">
        <v>1726</v>
      </c>
      <c r="H7" t="s">
        <v>80</v>
      </c>
    </row>
    <row r="8" spans="1:8" x14ac:dyDescent="0.25">
      <c r="A8" s="10">
        <v>44746</v>
      </c>
      <c r="B8" t="s">
        <v>1373</v>
      </c>
      <c r="C8" t="s">
        <v>96</v>
      </c>
      <c r="D8" t="s">
        <v>30</v>
      </c>
      <c r="E8" t="s">
        <v>281</v>
      </c>
      <c r="F8" s="47">
        <v>3082</v>
      </c>
      <c r="G8" t="s">
        <v>1376</v>
      </c>
      <c r="H8" t="s">
        <v>329</v>
      </c>
    </row>
    <row r="9" spans="1:8" x14ac:dyDescent="0.25">
      <c r="A9" s="10">
        <v>44748</v>
      </c>
      <c r="B9" t="s">
        <v>1377</v>
      </c>
      <c r="C9" t="s">
        <v>96</v>
      </c>
      <c r="D9" t="s">
        <v>30</v>
      </c>
      <c r="E9" t="s">
        <v>168</v>
      </c>
      <c r="F9" s="47">
        <v>1525</v>
      </c>
      <c r="G9" t="s">
        <v>1380</v>
      </c>
      <c r="H9" t="s">
        <v>786</v>
      </c>
    </row>
    <row r="10" spans="1:8" x14ac:dyDescent="0.25">
      <c r="A10" s="10">
        <v>44743</v>
      </c>
      <c r="B10" t="s">
        <v>1381</v>
      </c>
      <c r="C10" t="s">
        <v>96</v>
      </c>
      <c r="D10" t="s">
        <v>30</v>
      </c>
      <c r="E10" t="s">
        <v>281</v>
      </c>
      <c r="F10" s="47">
        <v>448.92</v>
      </c>
      <c r="G10" t="s">
        <v>1384</v>
      </c>
      <c r="H10" t="s">
        <v>329</v>
      </c>
    </row>
    <row r="11" spans="1:8" x14ac:dyDescent="0.25">
      <c r="A11" s="10">
        <v>44749</v>
      </c>
      <c r="B11" t="s">
        <v>1318</v>
      </c>
      <c r="C11" t="s">
        <v>96</v>
      </c>
      <c r="D11" t="s">
        <v>30</v>
      </c>
      <c r="E11" t="s">
        <v>281</v>
      </c>
      <c r="F11" s="47">
        <v>2362</v>
      </c>
      <c r="G11" t="s">
        <v>1727</v>
      </c>
      <c r="H11" t="s">
        <v>1387</v>
      </c>
    </row>
    <row r="12" spans="1:8" x14ac:dyDescent="0.25">
      <c r="A12" s="10">
        <v>44749</v>
      </c>
      <c r="B12" t="s">
        <v>1388</v>
      </c>
      <c r="C12" t="s">
        <v>96</v>
      </c>
      <c r="D12" t="s">
        <v>30</v>
      </c>
      <c r="E12" t="s">
        <v>168</v>
      </c>
      <c r="F12" s="47">
        <v>1250.2</v>
      </c>
      <c r="G12" t="s">
        <v>1391</v>
      </c>
      <c r="H12" t="s">
        <v>518</v>
      </c>
    </row>
    <row r="13" spans="1:8" x14ac:dyDescent="0.25">
      <c r="A13" s="10">
        <v>44749</v>
      </c>
      <c r="B13" t="s">
        <v>1392</v>
      </c>
      <c r="C13" t="s">
        <v>96</v>
      </c>
      <c r="D13" t="s">
        <v>30</v>
      </c>
      <c r="E13" t="s">
        <v>281</v>
      </c>
      <c r="F13" s="47">
        <v>1641.6</v>
      </c>
      <c r="G13" t="s">
        <v>1395</v>
      </c>
      <c r="H13" t="s">
        <v>329</v>
      </c>
    </row>
    <row r="14" spans="1:8" x14ac:dyDescent="0.25">
      <c r="A14" s="10">
        <v>44748</v>
      </c>
      <c r="B14" t="s">
        <v>946</v>
      </c>
      <c r="C14" t="s">
        <v>96</v>
      </c>
      <c r="D14" t="s">
        <v>30</v>
      </c>
      <c r="E14" t="s">
        <v>281</v>
      </c>
      <c r="F14" s="47">
        <v>2826.18</v>
      </c>
      <c r="G14" t="s">
        <v>1412</v>
      </c>
      <c r="H14" t="s">
        <v>80</v>
      </c>
    </row>
    <row r="15" spans="1:8" x14ac:dyDescent="0.25">
      <c r="A15" s="10">
        <v>44750</v>
      </c>
      <c r="B15" t="s">
        <v>1414</v>
      </c>
      <c r="C15" t="s">
        <v>96</v>
      </c>
      <c r="D15" t="s">
        <v>30</v>
      </c>
      <c r="E15" t="s">
        <v>168</v>
      </c>
      <c r="F15" s="47">
        <v>836</v>
      </c>
      <c r="G15" t="s">
        <v>860</v>
      </c>
      <c r="H15" t="s">
        <v>1423</v>
      </c>
    </row>
    <row r="16" spans="1:8" x14ac:dyDescent="0.25">
      <c r="A16" s="10">
        <v>44750</v>
      </c>
      <c r="B16" t="s">
        <v>1417</v>
      </c>
      <c r="C16" t="s">
        <v>96</v>
      </c>
      <c r="D16" t="s">
        <v>30</v>
      </c>
      <c r="E16" t="s">
        <v>168</v>
      </c>
      <c r="F16" s="47">
        <v>2512</v>
      </c>
      <c r="G16" t="s">
        <v>1420</v>
      </c>
      <c r="H16" t="s">
        <v>192</v>
      </c>
    </row>
    <row r="17" spans="1:8" x14ac:dyDescent="0.25">
      <c r="A17" s="10">
        <v>44751</v>
      </c>
      <c r="B17" t="s">
        <v>1170</v>
      </c>
      <c r="C17" t="s">
        <v>96</v>
      </c>
      <c r="D17" t="s">
        <v>30</v>
      </c>
      <c r="E17" t="s">
        <v>281</v>
      </c>
      <c r="F17" s="47">
        <v>1016</v>
      </c>
      <c r="G17" t="s">
        <v>1422</v>
      </c>
      <c r="H17" t="s">
        <v>80</v>
      </c>
    </row>
    <row r="18" spans="1:8" x14ac:dyDescent="0.25">
      <c r="A18" s="10">
        <v>44751</v>
      </c>
      <c r="B18" t="s">
        <v>1424</v>
      </c>
      <c r="C18" t="s">
        <v>96</v>
      </c>
      <c r="D18" t="s">
        <v>30</v>
      </c>
      <c r="E18" t="s">
        <v>168</v>
      </c>
      <c r="F18" s="47">
        <v>1000</v>
      </c>
      <c r="G18" t="s">
        <v>1427</v>
      </c>
      <c r="H18" t="s">
        <v>1431</v>
      </c>
    </row>
    <row r="19" spans="1:8" x14ac:dyDescent="0.25">
      <c r="A19" s="10">
        <v>44753</v>
      </c>
      <c r="B19" t="s">
        <v>1428</v>
      </c>
      <c r="C19" t="s">
        <v>96</v>
      </c>
      <c r="D19" t="s">
        <v>30</v>
      </c>
      <c r="E19" t="s">
        <v>168</v>
      </c>
      <c r="F19" s="47">
        <v>1326</v>
      </c>
      <c r="G19" t="s">
        <v>282</v>
      </c>
      <c r="H19" t="s">
        <v>193</v>
      </c>
    </row>
    <row r="20" spans="1:8" x14ac:dyDescent="0.25">
      <c r="A20" s="10">
        <v>44753</v>
      </c>
      <c r="B20" t="s">
        <v>1433</v>
      </c>
      <c r="C20" t="s">
        <v>96</v>
      </c>
      <c r="D20" t="s">
        <v>30</v>
      </c>
      <c r="E20" t="s">
        <v>281</v>
      </c>
      <c r="F20" s="47">
        <v>1668</v>
      </c>
      <c r="G20" t="s">
        <v>1435</v>
      </c>
      <c r="H20" t="s">
        <v>329</v>
      </c>
    </row>
    <row r="21" spans="1:8" x14ac:dyDescent="0.25">
      <c r="A21" s="10">
        <v>44753</v>
      </c>
      <c r="B21" t="s">
        <v>1152</v>
      </c>
      <c r="C21" t="s">
        <v>96</v>
      </c>
      <c r="D21" t="s">
        <v>30</v>
      </c>
      <c r="E21" t="s">
        <v>281</v>
      </c>
      <c r="F21" s="47">
        <v>2029.2</v>
      </c>
      <c r="G21" t="s">
        <v>1436</v>
      </c>
      <c r="H21" t="s">
        <v>80</v>
      </c>
    </row>
    <row r="22" spans="1:8" x14ac:dyDescent="0.25">
      <c r="A22" s="10">
        <v>44754</v>
      </c>
      <c r="B22" t="s">
        <v>1452</v>
      </c>
      <c r="C22" t="s">
        <v>96</v>
      </c>
      <c r="D22" t="s">
        <v>30</v>
      </c>
      <c r="E22" t="s">
        <v>168</v>
      </c>
      <c r="F22" s="47">
        <v>2104</v>
      </c>
      <c r="G22" t="s">
        <v>1439</v>
      </c>
      <c r="H22" t="s">
        <v>1453</v>
      </c>
    </row>
    <row r="23" spans="1:8" x14ac:dyDescent="0.25">
      <c r="A23" s="10">
        <v>44754</v>
      </c>
      <c r="B23" t="s">
        <v>1440</v>
      </c>
      <c r="C23" t="s">
        <v>360</v>
      </c>
      <c r="D23" t="s">
        <v>30</v>
      </c>
      <c r="E23" t="s">
        <v>168</v>
      </c>
      <c r="F23" s="47">
        <v>3466</v>
      </c>
      <c r="G23" t="s">
        <v>1443</v>
      </c>
      <c r="H23" t="s">
        <v>1444</v>
      </c>
    </row>
    <row r="24" spans="1:8" x14ac:dyDescent="0.25">
      <c r="A24" s="10">
        <v>44754</v>
      </c>
      <c r="B24" t="s">
        <v>1445</v>
      </c>
      <c r="C24" t="s">
        <v>96</v>
      </c>
      <c r="D24" t="s">
        <v>30</v>
      </c>
      <c r="E24" t="s">
        <v>168</v>
      </c>
      <c r="F24" s="47">
        <v>824</v>
      </c>
      <c r="G24" t="s">
        <v>1365</v>
      </c>
      <c r="H24" t="s">
        <v>569</v>
      </c>
    </row>
    <row r="25" spans="1:8" x14ac:dyDescent="0.25">
      <c r="A25" s="10">
        <v>44755</v>
      </c>
      <c r="B25" t="s">
        <v>1448</v>
      </c>
      <c r="C25" t="s">
        <v>96</v>
      </c>
      <c r="D25" t="s">
        <v>30</v>
      </c>
      <c r="E25" t="s">
        <v>168</v>
      </c>
      <c r="F25" s="47">
        <v>1053</v>
      </c>
      <c r="G25" t="s">
        <v>1451</v>
      </c>
      <c r="H25" t="s">
        <v>192</v>
      </c>
    </row>
    <row r="26" spans="1:8" x14ac:dyDescent="0.25">
      <c r="A26" s="10">
        <v>44755</v>
      </c>
      <c r="B26" t="s">
        <v>1454</v>
      </c>
      <c r="C26" t="s">
        <v>360</v>
      </c>
      <c r="D26" t="s">
        <v>30</v>
      </c>
      <c r="E26" t="s">
        <v>281</v>
      </c>
      <c r="F26" s="47">
        <v>1201</v>
      </c>
      <c r="G26" t="s">
        <v>1457</v>
      </c>
      <c r="H26" t="s">
        <v>329</v>
      </c>
    </row>
    <row r="27" spans="1:8" x14ac:dyDescent="0.25">
      <c r="A27" s="10">
        <v>44746</v>
      </c>
      <c r="B27" t="s">
        <v>1458</v>
      </c>
      <c r="C27" t="s">
        <v>96</v>
      </c>
      <c r="D27" t="s">
        <v>30</v>
      </c>
      <c r="E27" t="s">
        <v>168</v>
      </c>
      <c r="F27" s="47">
        <v>828</v>
      </c>
      <c r="G27" t="s">
        <v>1349</v>
      </c>
      <c r="H27" t="s">
        <v>1495</v>
      </c>
    </row>
    <row r="28" spans="1:8" x14ac:dyDescent="0.25">
      <c r="A28" s="10">
        <v>44756</v>
      </c>
      <c r="B28" t="s">
        <v>1461</v>
      </c>
      <c r="C28" t="s">
        <v>96</v>
      </c>
      <c r="D28" t="s">
        <v>30</v>
      </c>
      <c r="E28" t="s">
        <v>291</v>
      </c>
      <c r="F28" s="47">
        <v>1776</v>
      </c>
      <c r="G28" t="s">
        <v>1464</v>
      </c>
      <c r="H28" t="s">
        <v>1496</v>
      </c>
    </row>
    <row r="29" spans="1:8" x14ac:dyDescent="0.25">
      <c r="A29" s="10">
        <v>44757</v>
      </c>
      <c r="B29" t="s">
        <v>1465</v>
      </c>
      <c r="C29" t="s">
        <v>96</v>
      </c>
      <c r="D29" t="s">
        <v>30</v>
      </c>
      <c r="E29" t="s">
        <v>168</v>
      </c>
      <c r="F29" s="47">
        <v>2496</v>
      </c>
      <c r="G29" t="s">
        <v>1468</v>
      </c>
      <c r="H29" t="s">
        <v>192</v>
      </c>
    </row>
    <row r="30" spans="1:8" x14ac:dyDescent="0.25">
      <c r="A30" s="10">
        <v>44758</v>
      </c>
      <c r="B30" t="s">
        <v>1469</v>
      </c>
      <c r="C30" t="s">
        <v>360</v>
      </c>
      <c r="D30" t="s">
        <v>30</v>
      </c>
      <c r="E30" t="s">
        <v>168</v>
      </c>
      <c r="F30" s="47">
        <v>1500</v>
      </c>
      <c r="G30" t="s">
        <v>1472</v>
      </c>
      <c r="H30" t="s">
        <v>1497</v>
      </c>
    </row>
    <row r="31" spans="1:8" x14ac:dyDescent="0.25">
      <c r="A31" s="10">
        <v>44757</v>
      </c>
      <c r="B31" t="s">
        <v>1075</v>
      </c>
      <c r="C31" t="s">
        <v>96</v>
      </c>
      <c r="D31" t="s">
        <v>32</v>
      </c>
      <c r="E31" t="s">
        <v>281</v>
      </c>
      <c r="F31" s="47">
        <v>6753.55</v>
      </c>
      <c r="G31" t="s">
        <v>1474</v>
      </c>
      <c r="H31" t="s">
        <v>80</v>
      </c>
    </row>
    <row r="32" spans="1:8" x14ac:dyDescent="0.25">
      <c r="A32" s="10">
        <v>44388</v>
      </c>
      <c r="B32" t="s">
        <v>1492</v>
      </c>
      <c r="C32" t="s">
        <v>360</v>
      </c>
      <c r="D32" t="s">
        <v>30</v>
      </c>
      <c r="E32" t="s">
        <v>168</v>
      </c>
      <c r="F32" s="47">
        <v>950</v>
      </c>
      <c r="G32" t="s">
        <v>342</v>
      </c>
      <c r="H32" t="s">
        <v>1499</v>
      </c>
    </row>
    <row r="33" spans="1:8" x14ac:dyDescent="0.25">
      <c r="A33" s="10">
        <v>44756</v>
      </c>
      <c r="B33" t="s">
        <v>318</v>
      </c>
      <c r="C33" t="s">
        <v>96</v>
      </c>
      <c r="D33" t="s">
        <v>30</v>
      </c>
      <c r="E33" t="s">
        <v>281</v>
      </c>
      <c r="F33" s="47">
        <v>1985.99</v>
      </c>
      <c r="G33" t="s">
        <v>1498</v>
      </c>
      <c r="H33" t="s">
        <v>80</v>
      </c>
    </row>
    <row r="34" spans="1:8" x14ac:dyDescent="0.25">
      <c r="A34" s="10">
        <v>44760</v>
      </c>
      <c r="B34" t="s">
        <v>1508</v>
      </c>
      <c r="C34" t="s">
        <v>96</v>
      </c>
      <c r="D34" t="s">
        <v>30</v>
      </c>
      <c r="E34" t="s">
        <v>168</v>
      </c>
      <c r="F34" s="47">
        <v>1353</v>
      </c>
      <c r="G34" t="s">
        <v>1206</v>
      </c>
      <c r="H34" t="s">
        <v>1515</v>
      </c>
    </row>
    <row r="35" spans="1:8" x14ac:dyDescent="0.25">
      <c r="A35" s="10">
        <v>44762</v>
      </c>
      <c r="B35" t="s">
        <v>1504</v>
      </c>
      <c r="C35" t="s">
        <v>96</v>
      </c>
      <c r="D35" t="s">
        <v>30</v>
      </c>
      <c r="E35" t="s">
        <v>168</v>
      </c>
      <c r="F35" s="47">
        <v>1500</v>
      </c>
      <c r="G35" t="s">
        <v>1507</v>
      </c>
      <c r="H35" t="s">
        <v>277</v>
      </c>
    </row>
    <row r="36" spans="1:8" x14ac:dyDescent="0.25">
      <c r="A36" s="10">
        <v>44762</v>
      </c>
      <c r="B36" t="s">
        <v>946</v>
      </c>
      <c r="C36" t="s">
        <v>96</v>
      </c>
      <c r="D36" t="s">
        <v>30</v>
      </c>
      <c r="E36" t="s">
        <v>281</v>
      </c>
      <c r="F36" s="47">
        <v>1493</v>
      </c>
      <c r="G36" t="s">
        <v>1511</v>
      </c>
      <c r="H36" t="s">
        <v>80</v>
      </c>
    </row>
    <row r="37" spans="1:8" x14ac:dyDescent="0.25">
      <c r="A37" s="10">
        <v>44762</v>
      </c>
      <c r="B37" t="s">
        <v>307</v>
      </c>
      <c r="C37" t="s">
        <v>96</v>
      </c>
      <c r="D37" t="s">
        <v>30</v>
      </c>
      <c r="E37" t="s">
        <v>281</v>
      </c>
      <c r="F37" s="47">
        <v>1575.25</v>
      </c>
      <c r="G37" t="s">
        <v>1513</v>
      </c>
      <c r="H37" t="s">
        <v>80</v>
      </c>
    </row>
    <row r="38" spans="1:8" x14ac:dyDescent="0.25">
      <c r="A38" s="10">
        <v>44763</v>
      </c>
      <c r="B38" t="s">
        <v>318</v>
      </c>
      <c r="C38" t="s">
        <v>96</v>
      </c>
      <c r="D38" t="s">
        <v>30</v>
      </c>
      <c r="E38" t="s">
        <v>281</v>
      </c>
      <c r="F38" s="47">
        <v>3843</v>
      </c>
      <c r="G38" t="s">
        <v>1514</v>
      </c>
      <c r="H38" t="s">
        <v>80</v>
      </c>
    </row>
    <row r="39" spans="1:8" x14ac:dyDescent="0.25">
      <c r="A39" s="10">
        <v>44764</v>
      </c>
      <c r="B39" t="s">
        <v>1524</v>
      </c>
      <c r="C39" t="s">
        <v>96</v>
      </c>
      <c r="D39" t="s">
        <v>30</v>
      </c>
      <c r="E39" t="s">
        <v>168</v>
      </c>
      <c r="F39" s="47">
        <v>2100</v>
      </c>
      <c r="G39" t="s">
        <v>1527</v>
      </c>
      <c r="H39" t="s">
        <v>1528</v>
      </c>
    </row>
    <row r="40" spans="1:8" x14ac:dyDescent="0.25">
      <c r="A40" s="10">
        <v>44764</v>
      </c>
      <c r="B40" t="s">
        <v>1529</v>
      </c>
      <c r="C40" t="s">
        <v>96</v>
      </c>
      <c r="D40" t="s">
        <v>30</v>
      </c>
      <c r="E40" t="s">
        <v>281</v>
      </c>
      <c r="F40" s="47">
        <v>1377</v>
      </c>
      <c r="G40" t="s">
        <v>1532</v>
      </c>
      <c r="H40" t="s">
        <v>329</v>
      </c>
    </row>
    <row r="41" spans="1:8" x14ac:dyDescent="0.25">
      <c r="A41" s="10">
        <v>44765</v>
      </c>
      <c r="B41" t="s">
        <v>1533</v>
      </c>
      <c r="C41" t="s">
        <v>96</v>
      </c>
      <c r="D41" t="s">
        <v>30</v>
      </c>
      <c r="E41" t="s">
        <v>168</v>
      </c>
      <c r="F41" s="47">
        <v>2495.6</v>
      </c>
      <c r="G41" t="s">
        <v>1536</v>
      </c>
      <c r="H41" t="s">
        <v>277</v>
      </c>
    </row>
    <row r="42" spans="1:8" x14ac:dyDescent="0.25">
      <c r="A42" s="10">
        <v>44753</v>
      </c>
      <c r="B42" t="s">
        <v>1537</v>
      </c>
      <c r="C42" t="s">
        <v>96</v>
      </c>
      <c r="D42" t="s">
        <v>30</v>
      </c>
      <c r="E42" t="s">
        <v>168</v>
      </c>
      <c r="F42" s="47">
        <v>1209.5999999999999</v>
      </c>
      <c r="G42" t="s">
        <v>1147</v>
      </c>
      <c r="H42" t="s">
        <v>1135</v>
      </c>
    </row>
    <row r="43" spans="1:8" x14ac:dyDescent="0.25">
      <c r="A43" s="10">
        <v>44762</v>
      </c>
      <c r="B43" t="s">
        <v>1540</v>
      </c>
      <c r="C43" t="s">
        <v>96</v>
      </c>
      <c r="D43" t="s">
        <v>30</v>
      </c>
      <c r="E43" t="s">
        <v>281</v>
      </c>
      <c r="F43" s="47">
        <v>500.12</v>
      </c>
      <c r="G43" t="s">
        <v>1147</v>
      </c>
      <c r="H43" t="s">
        <v>329</v>
      </c>
    </row>
    <row r="44" spans="1:8" x14ac:dyDescent="0.25">
      <c r="A44" s="10">
        <v>44767</v>
      </c>
      <c r="B44" t="s">
        <v>1537</v>
      </c>
      <c r="C44" t="s">
        <v>96</v>
      </c>
      <c r="D44" t="s">
        <v>30</v>
      </c>
      <c r="E44" t="s">
        <v>281</v>
      </c>
      <c r="F44" s="47">
        <v>1528</v>
      </c>
      <c r="G44" t="s">
        <v>1543</v>
      </c>
      <c r="H44" t="s">
        <v>80</v>
      </c>
    </row>
    <row r="45" spans="1:8" x14ac:dyDescent="0.25">
      <c r="A45" s="10">
        <v>44758</v>
      </c>
      <c r="B45" t="s">
        <v>339</v>
      </c>
      <c r="C45" t="s">
        <v>96</v>
      </c>
      <c r="D45" t="s">
        <v>30</v>
      </c>
      <c r="E45" t="s">
        <v>281</v>
      </c>
      <c r="F45" s="47">
        <v>507.84</v>
      </c>
      <c r="G45" t="s">
        <v>1349</v>
      </c>
      <c r="H45" t="s">
        <v>329</v>
      </c>
    </row>
    <row r="46" spans="1:8" x14ac:dyDescent="0.25">
      <c r="A46" s="10">
        <v>44768</v>
      </c>
      <c r="B46" t="s">
        <v>619</v>
      </c>
      <c r="C46" t="s">
        <v>360</v>
      </c>
      <c r="D46" t="s">
        <v>30</v>
      </c>
      <c r="E46" t="s">
        <v>281</v>
      </c>
      <c r="F46" s="47">
        <v>1338</v>
      </c>
      <c r="G46" t="s">
        <v>1546</v>
      </c>
      <c r="H46" t="s">
        <v>80</v>
      </c>
    </row>
    <row r="47" spans="1:8" x14ac:dyDescent="0.25">
      <c r="A47" s="10">
        <v>44769</v>
      </c>
      <c r="B47" t="s">
        <v>1550</v>
      </c>
      <c r="C47" t="s">
        <v>96</v>
      </c>
      <c r="D47" t="s">
        <v>30</v>
      </c>
      <c r="E47" t="s">
        <v>281</v>
      </c>
      <c r="F47" s="47">
        <v>864</v>
      </c>
      <c r="G47" t="s">
        <v>1553</v>
      </c>
      <c r="H47" t="s">
        <v>329</v>
      </c>
    </row>
    <row r="48" spans="1:8" x14ac:dyDescent="0.25">
      <c r="A48" s="10">
        <v>44769</v>
      </c>
      <c r="B48" t="s">
        <v>1554</v>
      </c>
      <c r="C48" t="s">
        <v>96</v>
      </c>
      <c r="D48" t="s">
        <v>30</v>
      </c>
      <c r="E48" t="s">
        <v>168</v>
      </c>
      <c r="F48" s="47">
        <v>2284.75</v>
      </c>
      <c r="G48" t="s">
        <v>1557</v>
      </c>
      <c r="H48" t="s">
        <v>1562</v>
      </c>
    </row>
    <row r="49" spans="1:8" x14ac:dyDescent="0.25">
      <c r="A49" s="10">
        <v>44770</v>
      </c>
      <c r="B49" t="s">
        <v>1558</v>
      </c>
      <c r="C49" t="s">
        <v>96</v>
      </c>
      <c r="D49" t="s">
        <v>30</v>
      </c>
      <c r="E49" t="s">
        <v>168</v>
      </c>
      <c r="F49" s="47">
        <v>1352</v>
      </c>
      <c r="G49" t="s">
        <v>1561</v>
      </c>
      <c r="H49" t="s">
        <v>277</v>
      </c>
    </row>
    <row r="50" spans="1:8" x14ac:dyDescent="0.25">
      <c r="A50" s="10">
        <v>44770</v>
      </c>
      <c r="B50" t="s">
        <v>1563</v>
      </c>
      <c r="C50" t="s">
        <v>96</v>
      </c>
      <c r="D50" t="s">
        <v>30</v>
      </c>
      <c r="E50" t="s">
        <v>168</v>
      </c>
      <c r="F50" s="47">
        <v>3286</v>
      </c>
      <c r="G50" t="s">
        <v>1566</v>
      </c>
      <c r="H50" t="s">
        <v>1567</v>
      </c>
    </row>
    <row r="51" spans="1:8" x14ac:dyDescent="0.25">
      <c r="A51" s="10">
        <v>44753</v>
      </c>
      <c r="B51" t="s">
        <v>1331</v>
      </c>
      <c r="C51" t="s">
        <v>96</v>
      </c>
      <c r="D51" t="s">
        <v>30</v>
      </c>
      <c r="E51" t="s">
        <v>281</v>
      </c>
      <c r="F51" s="47">
        <v>586.79999999999995</v>
      </c>
      <c r="G51" t="s">
        <v>464</v>
      </c>
      <c r="H51" t="s">
        <v>80</v>
      </c>
    </row>
    <row r="52" spans="1:8" x14ac:dyDescent="0.25">
      <c r="A52" s="10">
        <v>44756</v>
      </c>
      <c r="B52" t="s">
        <v>1569</v>
      </c>
      <c r="C52" t="s">
        <v>96</v>
      </c>
      <c r="D52" t="s">
        <v>30</v>
      </c>
      <c r="E52" t="s">
        <v>168</v>
      </c>
      <c r="F52" s="47">
        <v>1763.8</v>
      </c>
      <c r="G52" t="s">
        <v>1572</v>
      </c>
      <c r="H52" t="s">
        <v>1444</v>
      </c>
    </row>
    <row r="53" spans="1:8" x14ac:dyDescent="0.25">
      <c r="A53" s="10">
        <v>44763</v>
      </c>
      <c r="B53" t="s">
        <v>1573</v>
      </c>
      <c r="C53" t="s">
        <v>96</v>
      </c>
      <c r="D53" t="s">
        <v>30</v>
      </c>
      <c r="E53" t="s">
        <v>168</v>
      </c>
      <c r="F53" s="47">
        <v>1113</v>
      </c>
      <c r="G53" t="s">
        <v>1576</v>
      </c>
      <c r="H53" t="s">
        <v>192</v>
      </c>
    </row>
    <row r="54" spans="1:8" x14ac:dyDescent="0.25">
      <c r="A54" s="10">
        <v>44763</v>
      </c>
      <c r="B54" t="s">
        <v>1573</v>
      </c>
      <c r="C54" t="s">
        <v>96</v>
      </c>
      <c r="D54" t="s">
        <v>30</v>
      </c>
      <c r="E54" t="s">
        <v>281</v>
      </c>
      <c r="F54" s="47">
        <v>1976.4</v>
      </c>
      <c r="G54" t="s">
        <v>1577</v>
      </c>
      <c r="H54" t="s">
        <v>80</v>
      </c>
    </row>
    <row r="55" spans="1:8" x14ac:dyDescent="0.25">
      <c r="A55" s="10">
        <v>44771</v>
      </c>
      <c r="B55" t="s">
        <v>1578</v>
      </c>
      <c r="C55" t="s">
        <v>96</v>
      </c>
      <c r="D55" t="s">
        <v>30</v>
      </c>
      <c r="E55" t="s">
        <v>281</v>
      </c>
      <c r="F55" s="47">
        <v>1143</v>
      </c>
      <c r="G55" t="s">
        <v>1581</v>
      </c>
      <c r="H55" t="s">
        <v>329</v>
      </c>
    </row>
    <row r="56" spans="1:8" x14ac:dyDescent="0.25">
      <c r="A56" s="10">
        <v>44771</v>
      </c>
      <c r="B56" t="s">
        <v>1078</v>
      </c>
      <c r="C56" t="s">
        <v>96</v>
      </c>
      <c r="D56" t="s">
        <v>30</v>
      </c>
      <c r="E56" t="s">
        <v>281</v>
      </c>
      <c r="F56" s="47">
        <v>1811</v>
      </c>
      <c r="G56" t="s">
        <v>1583</v>
      </c>
      <c r="H56" t="s">
        <v>80</v>
      </c>
    </row>
    <row r="57" spans="1:8" x14ac:dyDescent="0.25">
      <c r="A57" s="10">
        <v>44772</v>
      </c>
      <c r="B57" t="s">
        <v>1584</v>
      </c>
      <c r="C57" t="s">
        <v>362</v>
      </c>
      <c r="D57" t="s">
        <v>32</v>
      </c>
      <c r="E57" t="s">
        <v>168</v>
      </c>
      <c r="F57" s="47">
        <v>3335.97</v>
      </c>
      <c r="G57" t="s">
        <v>895</v>
      </c>
      <c r="H57" t="s">
        <v>192</v>
      </c>
    </row>
    <row r="58" spans="1:8" x14ac:dyDescent="0.25">
      <c r="A58" s="10">
        <v>44764</v>
      </c>
      <c r="B58" t="s">
        <v>1635</v>
      </c>
      <c r="C58" t="s">
        <v>96</v>
      </c>
      <c r="D58" t="s">
        <v>30</v>
      </c>
      <c r="E58" t="s">
        <v>168</v>
      </c>
      <c r="F58" s="11">
        <v>2532.96</v>
      </c>
      <c r="G58" t="s">
        <v>1638</v>
      </c>
      <c r="H58" t="s">
        <v>1639</v>
      </c>
    </row>
    <row r="59" spans="1:8" x14ac:dyDescent="0.25">
      <c r="A59" s="10">
        <v>44768</v>
      </c>
      <c r="B59" t="s">
        <v>1661</v>
      </c>
      <c r="C59" t="s">
        <v>361</v>
      </c>
      <c r="D59" t="s">
        <v>30</v>
      </c>
      <c r="E59" t="s">
        <v>168</v>
      </c>
      <c r="F59" s="47">
        <v>1288</v>
      </c>
      <c r="G59" t="s">
        <v>1664</v>
      </c>
      <c r="H59" t="s">
        <v>192</v>
      </c>
    </row>
    <row r="60" spans="1:8" x14ac:dyDescent="0.25">
      <c r="A60" s="10">
        <v>44767</v>
      </c>
      <c r="B60" t="s">
        <v>1705</v>
      </c>
      <c r="C60" t="s">
        <v>96</v>
      </c>
      <c r="D60" t="s">
        <v>30</v>
      </c>
      <c r="E60" t="s">
        <v>281</v>
      </c>
      <c r="F60" s="47">
        <v>3143</v>
      </c>
      <c r="G60" t="s">
        <v>1713</v>
      </c>
      <c r="H60" t="s">
        <v>329</v>
      </c>
    </row>
    <row r="61" spans="1:8" x14ac:dyDescent="0.25">
      <c r="A61" s="10">
        <v>44770</v>
      </c>
      <c r="B61" t="s">
        <v>1741</v>
      </c>
      <c r="C61" t="s">
        <v>96</v>
      </c>
      <c r="D61" t="s">
        <v>30</v>
      </c>
      <c r="E61" t="s">
        <v>281</v>
      </c>
      <c r="F61" s="47">
        <v>3581.1</v>
      </c>
      <c r="G61" t="s">
        <v>1744</v>
      </c>
      <c r="H61" t="s">
        <v>329</v>
      </c>
    </row>
    <row r="62" spans="1:8" x14ac:dyDescent="0.25">
      <c r="F62" s="47"/>
    </row>
    <row r="63" spans="1:8" x14ac:dyDescent="0.25">
      <c r="F63" s="47"/>
    </row>
    <row r="64" spans="1:8" x14ac:dyDescent="0.25">
      <c r="F64" s="47"/>
    </row>
    <row r="65" spans="1:10" x14ac:dyDescent="0.25">
      <c r="F65" s="47"/>
    </row>
    <row r="66" spans="1:10" x14ac:dyDescent="0.25">
      <c r="F66" s="47"/>
    </row>
    <row r="67" spans="1:10" x14ac:dyDescent="0.25">
      <c r="F67" s="47"/>
    </row>
    <row r="68" spans="1:10" x14ac:dyDescent="0.25">
      <c r="F68" s="47"/>
    </row>
    <row r="69" spans="1:10" x14ac:dyDescent="0.25">
      <c r="F69" s="47"/>
    </row>
    <row r="70" spans="1:10" x14ac:dyDescent="0.25">
      <c r="F70" s="47"/>
    </row>
    <row r="71" spans="1:10" x14ac:dyDescent="0.25">
      <c r="F71" s="47"/>
    </row>
    <row r="72" spans="1:10" x14ac:dyDescent="0.25">
      <c r="F72" s="47"/>
    </row>
    <row r="73" spans="1:10" x14ac:dyDescent="0.25">
      <c r="F73" s="47"/>
    </row>
    <row r="74" spans="1:10" ht="15.75" thickBot="1" x14ac:dyDescent="0.3">
      <c r="A74" s="106" t="s">
        <v>16</v>
      </c>
      <c r="B74" s="106"/>
      <c r="C74" s="106"/>
      <c r="D74" s="106"/>
      <c r="E74" s="106"/>
      <c r="F74" s="106"/>
      <c r="G74" s="8"/>
    </row>
    <row r="75" spans="1:10" x14ac:dyDescent="0.25">
      <c r="A75" s="9" t="s">
        <v>17</v>
      </c>
      <c r="B75" s="10"/>
      <c r="C75" s="11">
        <f>SUM(F2:F71)</f>
        <v>110425.47000000002</v>
      </c>
      <c r="D75" s="12"/>
      <c r="E75" s="13" t="s">
        <v>18</v>
      </c>
      <c r="F75" s="14"/>
      <c r="G75" s="8"/>
      <c r="H75" s="15" t="s">
        <v>19</v>
      </c>
      <c r="I75" s="16">
        <v>29</v>
      </c>
      <c r="J75" s="17"/>
    </row>
    <row r="76" spans="1:10" x14ac:dyDescent="0.25">
      <c r="A76" s="9"/>
      <c r="B76" s="10"/>
      <c r="C76" s="11"/>
      <c r="D76" s="12"/>
      <c r="E76" s="18" t="s">
        <v>20</v>
      </c>
      <c r="F76" s="19">
        <v>110425.47000000002</v>
      </c>
      <c r="G76" s="8"/>
      <c r="H76" s="18" t="s">
        <v>21</v>
      </c>
      <c r="I76" s="20">
        <v>1</v>
      </c>
      <c r="J76" s="21">
        <f>I76/I$75</f>
        <v>3.4482758620689655E-2</v>
      </c>
    </row>
    <row r="77" spans="1:10" ht="15.75" thickBot="1" x14ac:dyDescent="0.3">
      <c r="A77" s="9" t="s">
        <v>22</v>
      </c>
      <c r="B77" s="10"/>
      <c r="C77" s="22">
        <v>29</v>
      </c>
      <c r="D77" s="12"/>
      <c r="E77" s="23" t="s">
        <v>23</v>
      </c>
      <c r="F77" s="24">
        <f>C75/C77</f>
        <v>3807.7748275862073</v>
      </c>
      <c r="G77" s="8"/>
      <c r="H77" s="18" t="s">
        <v>24</v>
      </c>
      <c r="I77" s="20">
        <v>25</v>
      </c>
      <c r="J77" s="21">
        <f>I77/I$75</f>
        <v>0.86206896551724133</v>
      </c>
    </row>
    <row r="78" spans="1:10" ht="15.75" thickBot="1" x14ac:dyDescent="0.3">
      <c r="A78" s="9" t="s">
        <v>25</v>
      </c>
      <c r="B78" s="10"/>
      <c r="C78">
        <v>60</v>
      </c>
      <c r="D78" s="12"/>
      <c r="E78" s="12"/>
      <c r="F78" s="25"/>
      <c r="G78" s="8"/>
      <c r="H78" s="23" t="s">
        <v>26</v>
      </c>
      <c r="I78" s="26">
        <v>3</v>
      </c>
      <c r="J78" s="27">
        <f>I78/I$75</f>
        <v>0.10344827586206896</v>
      </c>
    </row>
    <row r="79" spans="1:10" x14ac:dyDescent="0.25">
      <c r="A79" s="9"/>
      <c r="B79" s="10"/>
      <c r="D79" s="12" t="s">
        <v>27</v>
      </c>
      <c r="E79" s="13" t="s">
        <v>28</v>
      </c>
      <c r="F79" s="14"/>
      <c r="G79" s="8"/>
    </row>
    <row r="80" spans="1:10" ht="15.75" thickBot="1" x14ac:dyDescent="0.3">
      <c r="A80" s="9" t="s">
        <v>29</v>
      </c>
      <c r="B80" s="10"/>
      <c r="C80">
        <v>57</v>
      </c>
      <c r="D80" s="12" t="s">
        <v>27</v>
      </c>
      <c r="E80" s="18" t="s">
        <v>30</v>
      </c>
      <c r="F80" s="21">
        <f>C80/C$78</f>
        <v>0.95</v>
      </c>
      <c r="G80" s="8"/>
    </row>
    <row r="81" spans="1:10" ht="15.75" thickBot="1" x14ac:dyDescent="0.3">
      <c r="A81" s="9" t="s">
        <v>31</v>
      </c>
      <c r="B81" s="10"/>
      <c r="C81">
        <v>3</v>
      </c>
      <c r="D81" s="12"/>
      <c r="E81" s="23" t="s">
        <v>32</v>
      </c>
      <c r="F81" s="27">
        <f>C81/C$78</f>
        <v>0.05</v>
      </c>
      <c r="G81" s="8"/>
      <c r="H81" s="15" t="s">
        <v>33</v>
      </c>
      <c r="I81" s="16">
        <v>36</v>
      </c>
      <c r="J81" s="17"/>
    </row>
    <row r="82" spans="1:10" ht="15.75" thickBot="1" x14ac:dyDescent="0.3">
      <c r="A82" s="9"/>
      <c r="B82" s="10"/>
      <c r="D82" s="12"/>
      <c r="E82" s="12"/>
      <c r="F82" s="25"/>
      <c r="G82" s="8"/>
      <c r="H82" s="28" t="s">
        <v>34</v>
      </c>
      <c r="I82" s="20">
        <v>17</v>
      </c>
      <c r="J82" s="21">
        <f>I82/I$81</f>
        <v>0.47222222222222221</v>
      </c>
    </row>
    <row r="83" spans="1:10" x14ac:dyDescent="0.25">
      <c r="A83" s="9" t="s">
        <v>35</v>
      </c>
      <c r="B83" s="10"/>
      <c r="D83" s="12"/>
      <c r="E83" s="13" t="s">
        <v>36</v>
      </c>
      <c r="F83" s="14"/>
      <c r="G83" s="8"/>
      <c r="H83" s="28" t="s">
        <v>37</v>
      </c>
      <c r="I83" s="20">
        <v>13</v>
      </c>
      <c r="J83" s="21">
        <f>I83/I$81</f>
        <v>0.3611111111111111</v>
      </c>
    </row>
    <row r="84" spans="1:10" ht="15.75" thickBot="1" x14ac:dyDescent="0.3">
      <c r="A84" s="9" t="s">
        <v>38</v>
      </c>
      <c r="B84" s="10"/>
      <c r="C84">
        <v>4</v>
      </c>
      <c r="D84" s="12"/>
      <c r="E84" s="29" t="s">
        <v>38</v>
      </c>
      <c r="F84" s="21">
        <f>C84/C$93</f>
        <v>3.3057851239669422E-2</v>
      </c>
      <c r="G84" s="8"/>
      <c r="H84" s="30" t="s">
        <v>39</v>
      </c>
      <c r="I84" s="26">
        <v>6</v>
      </c>
      <c r="J84" s="27">
        <f>I84/I$81</f>
        <v>0.16666666666666666</v>
      </c>
    </row>
    <row r="85" spans="1:10" ht="15.75" thickBot="1" x14ac:dyDescent="0.3">
      <c r="A85" s="9" t="s">
        <v>19</v>
      </c>
      <c r="B85" s="10"/>
      <c r="C85">
        <v>29</v>
      </c>
      <c r="D85" s="12"/>
      <c r="E85" s="29" t="s">
        <v>19</v>
      </c>
      <c r="F85" s="21">
        <f t="shared" ref="F85:F92" si="0">C85/C$93</f>
        <v>0.23966942148760331</v>
      </c>
      <c r="G85" s="8"/>
      <c r="H85" s="20"/>
      <c r="I85" s="20"/>
      <c r="J85" s="38"/>
    </row>
    <row r="86" spans="1:10" x14ac:dyDescent="0.25">
      <c r="A86" s="9" t="s">
        <v>40</v>
      </c>
      <c r="B86" s="10"/>
      <c r="C86">
        <v>36</v>
      </c>
      <c r="D86" s="12"/>
      <c r="E86" s="29" t="s">
        <v>40</v>
      </c>
      <c r="F86" s="21">
        <f t="shared" si="0"/>
        <v>0.2975206611570248</v>
      </c>
      <c r="G86" s="12" t="s">
        <v>27</v>
      </c>
      <c r="H86" s="80" t="s">
        <v>365</v>
      </c>
      <c r="I86" s="16">
        <v>2</v>
      </c>
      <c r="J86" s="14">
        <f t="shared" ref="J86:J97" si="1">I86/I$81</f>
        <v>5.5555555555555552E-2</v>
      </c>
    </row>
    <row r="87" spans="1:10" x14ac:dyDescent="0.25">
      <c r="A87" s="9" t="s">
        <v>41</v>
      </c>
      <c r="B87" s="10"/>
      <c r="C87">
        <v>2</v>
      </c>
      <c r="D87" s="12"/>
      <c r="E87" s="29" t="s">
        <v>41</v>
      </c>
      <c r="F87" s="21">
        <f t="shared" si="0"/>
        <v>1.6528925619834711E-2</v>
      </c>
      <c r="G87" s="8"/>
      <c r="H87" s="69" t="s">
        <v>366</v>
      </c>
      <c r="I87" s="68">
        <v>2</v>
      </c>
      <c r="J87" s="21">
        <f t="shared" si="1"/>
        <v>5.5555555555555552E-2</v>
      </c>
    </row>
    <row r="88" spans="1:10" x14ac:dyDescent="0.25">
      <c r="A88" s="9" t="s">
        <v>42</v>
      </c>
      <c r="B88" s="10"/>
      <c r="C88">
        <v>9</v>
      </c>
      <c r="D88" s="12"/>
      <c r="E88" s="29" t="s">
        <v>42</v>
      </c>
      <c r="F88" s="21">
        <f t="shared" si="0"/>
        <v>7.43801652892562E-2</v>
      </c>
      <c r="G88" s="8"/>
      <c r="H88" s="28" t="s">
        <v>367</v>
      </c>
      <c r="I88" s="20">
        <v>3</v>
      </c>
      <c r="J88" s="21">
        <f t="shared" si="1"/>
        <v>8.3333333333333329E-2</v>
      </c>
    </row>
    <row r="89" spans="1:10" x14ac:dyDescent="0.25">
      <c r="A89" s="9" t="s">
        <v>43</v>
      </c>
      <c r="B89" s="10"/>
      <c r="C89">
        <v>5</v>
      </c>
      <c r="D89" s="12"/>
      <c r="E89" s="29" t="s">
        <v>43</v>
      </c>
      <c r="F89" s="21">
        <f t="shared" si="0"/>
        <v>4.1322314049586778E-2</v>
      </c>
      <c r="G89" s="8"/>
      <c r="H89" s="28" t="s">
        <v>368</v>
      </c>
      <c r="I89" s="20">
        <v>3</v>
      </c>
      <c r="J89" s="21">
        <f t="shared" si="1"/>
        <v>8.3333333333333329E-2</v>
      </c>
    </row>
    <row r="90" spans="1:10" x14ac:dyDescent="0.25">
      <c r="A90" s="9" t="s">
        <v>44</v>
      </c>
      <c r="B90" s="10"/>
      <c r="C90">
        <v>20</v>
      </c>
      <c r="D90" s="12"/>
      <c r="E90" s="29" t="s">
        <v>44</v>
      </c>
      <c r="F90" s="21">
        <f t="shared" si="0"/>
        <v>0.16528925619834711</v>
      </c>
      <c r="G90" s="8"/>
      <c r="H90" s="28" t="s">
        <v>369</v>
      </c>
      <c r="I90" s="20">
        <v>7</v>
      </c>
      <c r="J90" s="21">
        <f t="shared" si="1"/>
        <v>0.19444444444444445</v>
      </c>
    </row>
    <row r="91" spans="1:10" x14ac:dyDescent="0.25">
      <c r="A91" s="9" t="s">
        <v>45</v>
      </c>
      <c r="B91" s="10"/>
      <c r="C91">
        <v>1</v>
      </c>
      <c r="D91" s="12"/>
      <c r="E91" s="29" t="s">
        <v>45</v>
      </c>
      <c r="F91" s="21">
        <f t="shared" si="0"/>
        <v>8.2644628099173556E-3</v>
      </c>
      <c r="G91" s="8"/>
      <c r="H91" s="28" t="s">
        <v>370</v>
      </c>
      <c r="I91" s="20">
        <v>13</v>
      </c>
      <c r="J91" s="21">
        <f t="shared" si="1"/>
        <v>0.3611111111111111</v>
      </c>
    </row>
    <row r="92" spans="1:10" ht="15.75" thickBot="1" x14ac:dyDescent="0.3">
      <c r="A92" s="9" t="s">
        <v>46</v>
      </c>
      <c r="B92" s="10"/>
      <c r="C92">
        <v>15</v>
      </c>
      <c r="D92" s="12"/>
      <c r="E92" s="31" t="s">
        <v>46</v>
      </c>
      <c r="F92" s="27">
        <f t="shared" si="0"/>
        <v>0.12396694214876033</v>
      </c>
      <c r="G92" s="12" t="s">
        <v>27</v>
      </c>
      <c r="H92" s="69" t="s">
        <v>371</v>
      </c>
      <c r="I92" s="68">
        <v>4</v>
      </c>
      <c r="J92" s="21">
        <f t="shared" si="1"/>
        <v>0.1111111111111111</v>
      </c>
    </row>
    <row r="93" spans="1:10" ht="15.75" thickBot="1" x14ac:dyDescent="0.3">
      <c r="A93" s="9" t="s">
        <v>47</v>
      </c>
      <c r="B93" s="10"/>
      <c r="C93">
        <f>SUM(C84:C92)</f>
        <v>121</v>
      </c>
      <c r="D93" s="12"/>
      <c r="E93" s="9"/>
      <c r="F93" s="25"/>
      <c r="G93" s="8"/>
      <c r="H93" s="69" t="s">
        <v>372</v>
      </c>
      <c r="I93" s="68">
        <v>1</v>
      </c>
      <c r="J93" s="21">
        <f t="shared" si="1"/>
        <v>2.7777777777777776E-2</v>
      </c>
    </row>
    <row r="94" spans="1:10" x14ac:dyDescent="0.25">
      <c r="A94" s="9"/>
      <c r="B94" s="10"/>
      <c r="D94" s="12"/>
      <c r="E94" s="32" t="s">
        <v>49</v>
      </c>
      <c r="F94" s="14"/>
      <c r="G94" s="8"/>
      <c r="H94" s="69" t="s">
        <v>373</v>
      </c>
      <c r="I94" s="68">
        <v>0</v>
      </c>
      <c r="J94" s="21">
        <f t="shared" si="1"/>
        <v>0</v>
      </c>
    </row>
    <row r="95" spans="1:10" x14ac:dyDescent="0.25">
      <c r="A95" s="9" t="s">
        <v>51</v>
      </c>
      <c r="B95" s="10"/>
      <c r="D95" s="12"/>
      <c r="E95" s="29" t="s">
        <v>52</v>
      </c>
      <c r="F95" s="21">
        <f>C96/C$106</f>
        <v>0.35971223021582732</v>
      </c>
      <c r="G95" s="8"/>
      <c r="H95" s="69" t="s">
        <v>374</v>
      </c>
      <c r="I95" s="68">
        <v>1</v>
      </c>
      <c r="J95" s="21">
        <f t="shared" si="1"/>
        <v>2.7777777777777776E-2</v>
      </c>
    </row>
    <row r="96" spans="1:10" x14ac:dyDescent="0.25">
      <c r="A96" s="9" t="s">
        <v>52</v>
      </c>
      <c r="B96" s="10"/>
      <c r="C96">
        <v>50</v>
      </c>
      <c r="D96" s="12"/>
      <c r="E96" s="29" t="s">
        <v>53</v>
      </c>
      <c r="F96" s="21">
        <f t="shared" ref="F96:F104" si="2">C97/C$106</f>
        <v>0.17985611510791366</v>
      </c>
      <c r="G96" s="8"/>
      <c r="H96" s="69" t="s">
        <v>375</v>
      </c>
      <c r="I96" s="68">
        <v>0</v>
      </c>
      <c r="J96" s="21">
        <f t="shared" si="1"/>
        <v>0</v>
      </c>
    </row>
    <row r="97" spans="1:10" ht="15.75" thickBot="1" x14ac:dyDescent="0.3">
      <c r="A97" s="9" t="s">
        <v>53</v>
      </c>
      <c r="B97" s="10"/>
      <c r="C97">
        <v>25</v>
      </c>
      <c r="D97" s="12"/>
      <c r="E97" s="29" t="s">
        <v>54</v>
      </c>
      <c r="F97" s="21">
        <f t="shared" si="2"/>
        <v>0.15107913669064749</v>
      </c>
      <c r="G97" s="8"/>
      <c r="H97" s="70" t="s">
        <v>376</v>
      </c>
      <c r="I97" s="26">
        <v>0</v>
      </c>
      <c r="J97" s="27">
        <f t="shared" si="1"/>
        <v>0</v>
      </c>
    </row>
    <row r="98" spans="1:10" ht="15.75" thickBot="1" x14ac:dyDescent="0.3">
      <c r="A98" s="9" t="s">
        <v>54</v>
      </c>
      <c r="B98" s="10"/>
      <c r="C98">
        <v>21</v>
      </c>
      <c r="D98" s="12"/>
      <c r="E98" s="29" t="s">
        <v>56</v>
      </c>
      <c r="F98" s="21">
        <f t="shared" si="2"/>
        <v>0.12949640287769784</v>
      </c>
      <c r="G98" s="8"/>
    </row>
    <row r="99" spans="1:10" x14ac:dyDescent="0.25">
      <c r="A99" s="9" t="s">
        <v>56</v>
      </c>
      <c r="B99" s="10"/>
      <c r="C99">
        <v>18</v>
      </c>
      <c r="D99" s="12"/>
      <c r="E99" s="29" t="s">
        <v>58</v>
      </c>
      <c r="F99" s="21">
        <f t="shared" si="2"/>
        <v>2.8776978417266189E-2</v>
      </c>
      <c r="G99" s="12" t="s">
        <v>27</v>
      </c>
      <c r="H99" s="15" t="s">
        <v>42</v>
      </c>
      <c r="I99" s="16">
        <v>9</v>
      </c>
      <c r="J99" s="17"/>
    </row>
    <row r="100" spans="1:10" x14ac:dyDescent="0.25">
      <c r="A100" s="9" t="s">
        <v>58</v>
      </c>
      <c r="B100" s="10"/>
      <c r="C100">
        <v>4</v>
      </c>
      <c r="D100" s="12"/>
      <c r="E100" s="29" t="s">
        <v>60</v>
      </c>
      <c r="F100" s="21">
        <f t="shared" si="2"/>
        <v>7.1942446043165471E-3</v>
      </c>
      <c r="G100" s="8"/>
      <c r="H100" s="28" t="s">
        <v>48</v>
      </c>
      <c r="I100" s="20">
        <v>3</v>
      </c>
      <c r="J100" s="21">
        <f>I100/I$99</f>
        <v>0.33333333333333331</v>
      </c>
    </row>
    <row r="101" spans="1:10" ht="15.75" thickBot="1" x14ac:dyDescent="0.3">
      <c r="A101" s="9" t="s">
        <v>60</v>
      </c>
      <c r="B101" s="10"/>
      <c r="C101">
        <v>1</v>
      </c>
      <c r="D101" s="12"/>
      <c r="E101" s="29" t="s">
        <v>62</v>
      </c>
      <c r="F101" s="21">
        <f t="shared" si="2"/>
        <v>0</v>
      </c>
      <c r="G101" s="8"/>
      <c r="H101" s="30" t="s">
        <v>50</v>
      </c>
      <c r="I101" s="26">
        <v>6</v>
      </c>
      <c r="J101" s="27">
        <f>I101/I$99</f>
        <v>0.66666666666666663</v>
      </c>
    </row>
    <row r="102" spans="1:10" x14ac:dyDescent="0.25">
      <c r="A102" s="9" t="s">
        <v>62</v>
      </c>
      <c r="B102" s="10"/>
      <c r="C102">
        <v>0</v>
      </c>
      <c r="D102" s="12"/>
      <c r="E102" s="29" t="s">
        <v>64</v>
      </c>
      <c r="F102" s="21">
        <f t="shared" si="2"/>
        <v>0</v>
      </c>
      <c r="G102" s="8"/>
    </row>
    <row r="103" spans="1:10" ht="15.75" thickBot="1" x14ac:dyDescent="0.3">
      <c r="A103" s="9" t="s">
        <v>64</v>
      </c>
      <c r="B103" s="10"/>
      <c r="C103">
        <v>0</v>
      </c>
      <c r="D103" s="12"/>
      <c r="E103" s="29" t="s">
        <v>66</v>
      </c>
      <c r="F103" s="21">
        <f t="shared" si="2"/>
        <v>1.4388489208633094E-2</v>
      </c>
      <c r="G103" s="8"/>
    </row>
    <row r="104" spans="1:10" ht="15.75" thickBot="1" x14ac:dyDescent="0.3">
      <c r="A104" s="9" t="s">
        <v>66</v>
      </c>
      <c r="B104" s="10"/>
      <c r="C104">
        <v>2</v>
      </c>
      <c r="D104" s="12"/>
      <c r="E104" s="31" t="s">
        <v>68</v>
      </c>
      <c r="F104" s="27">
        <f t="shared" si="2"/>
        <v>0.12949640287769784</v>
      </c>
      <c r="G104" s="8"/>
      <c r="H104" s="15" t="s">
        <v>55</v>
      </c>
      <c r="I104" s="16">
        <v>5</v>
      </c>
      <c r="J104" s="17"/>
    </row>
    <row r="105" spans="1:10" ht="15.75" thickBot="1" x14ac:dyDescent="0.3">
      <c r="A105" s="9" t="s">
        <v>68</v>
      </c>
      <c r="B105" s="10"/>
      <c r="C105">
        <v>18</v>
      </c>
      <c r="D105" s="12"/>
      <c r="E105" s="9"/>
      <c r="F105" s="25"/>
      <c r="G105" s="8"/>
      <c r="H105" s="28" t="s">
        <v>57</v>
      </c>
      <c r="I105" s="20">
        <v>3</v>
      </c>
      <c r="J105" s="21">
        <f t="shared" ref="J105:J110" si="3">I105/I$104</f>
        <v>0.6</v>
      </c>
    </row>
    <row r="106" spans="1:10" x14ac:dyDescent="0.25">
      <c r="A106" s="9" t="s">
        <v>70</v>
      </c>
      <c r="B106" s="10"/>
      <c r="C106">
        <f>SUM(C96:C105)</f>
        <v>139</v>
      </c>
      <c r="D106" s="12"/>
      <c r="E106" s="32" t="s">
        <v>71</v>
      </c>
      <c r="F106" s="14"/>
      <c r="G106" s="8"/>
      <c r="H106" s="28" t="s">
        <v>59</v>
      </c>
      <c r="I106" s="20">
        <v>2</v>
      </c>
      <c r="J106" s="21">
        <f t="shared" si="3"/>
        <v>0.4</v>
      </c>
    </row>
    <row r="107" spans="1:10" x14ac:dyDescent="0.25">
      <c r="A107" s="9"/>
      <c r="B107" s="10"/>
      <c r="D107" s="12"/>
      <c r="E107" s="33" t="s">
        <v>72</v>
      </c>
      <c r="F107" s="21">
        <f>C108/C$78</f>
        <v>0.81666666666666665</v>
      </c>
      <c r="G107" s="8"/>
      <c r="H107" s="28" t="s">
        <v>61</v>
      </c>
      <c r="I107" s="20">
        <v>0</v>
      </c>
      <c r="J107" s="21">
        <f t="shared" si="3"/>
        <v>0</v>
      </c>
    </row>
    <row r="108" spans="1:10" x14ac:dyDescent="0.25">
      <c r="A108" s="9" t="s">
        <v>73</v>
      </c>
      <c r="B108" s="10"/>
      <c r="C108">
        <v>49</v>
      </c>
      <c r="D108" s="12"/>
      <c r="E108" s="33" t="s">
        <v>74</v>
      </c>
      <c r="F108" s="21">
        <f>C109/C$78</f>
        <v>3.3333333333333333E-2</v>
      </c>
      <c r="G108" s="8"/>
      <c r="H108" s="28" t="s">
        <v>63</v>
      </c>
      <c r="I108" s="20">
        <v>0</v>
      </c>
      <c r="J108" s="21">
        <f t="shared" si="3"/>
        <v>0</v>
      </c>
    </row>
    <row r="109" spans="1:10" ht="15.75" thickBot="1" x14ac:dyDescent="0.3">
      <c r="A109" s="9" t="s">
        <v>75</v>
      </c>
      <c r="B109" s="10"/>
      <c r="C109">
        <v>2</v>
      </c>
      <c r="D109" s="12"/>
      <c r="E109" s="34" t="s">
        <v>76</v>
      </c>
      <c r="F109" s="27">
        <f>C110/C$78</f>
        <v>0.15</v>
      </c>
      <c r="G109" s="8"/>
      <c r="H109" s="28" t="s">
        <v>65</v>
      </c>
      <c r="I109" s="20">
        <v>0</v>
      </c>
      <c r="J109" s="21">
        <f t="shared" si="3"/>
        <v>0</v>
      </c>
    </row>
    <row r="110" spans="1:10" ht="15.75" thickBot="1" x14ac:dyDescent="0.3">
      <c r="A110" s="9" t="s">
        <v>77</v>
      </c>
      <c r="B110" s="10"/>
      <c r="C110">
        <v>9</v>
      </c>
      <c r="D110" s="12"/>
      <c r="E110" s="35"/>
      <c r="F110" s="25"/>
      <c r="G110" s="12" t="s">
        <v>27</v>
      </c>
      <c r="H110" s="30" t="s">
        <v>67</v>
      </c>
      <c r="I110" s="26">
        <v>0</v>
      </c>
      <c r="J110" s="27">
        <f t="shared" si="3"/>
        <v>0</v>
      </c>
    </row>
    <row r="111" spans="1:10" ht="15.75" thickBot="1" x14ac:dyDescent="0.3">
      <c r="A111" s="9"/>
      <c r="B111" s="10"/>
      <c r="D111" s="12"/>
      <c r="E111" s="36" t="s">
        <v>28</v>
      </c>
      <c r="F111" s="14"/>
      <c r="G111" s="8"/>
    </row>
    <row r="112" spans="1:10" x14ac:dyDescent="0.25">
      <c r="A112" s="9" t="s">
        <v>28</v>
      </c>
      <c r="B112" s="10"/>
      <c r="D112" s="12"/>
      <c r="E112" s="29" t="s">
        <v>78</v>
      </c>
      <c r="F112" s="21">
        <f>C113/C$78</f>
        <v>0.55000000000000004</v>
      </c>
      <c r="G112" s="8"/>
      <c r="H112" s="15" t="s">
        <v>69</v>
      </c>
      <c r="I112" s="16">
        <v>0</v>
      </c>
      <c r="J112" s="17"/>
    </row>
    <row r="113" spans="1:10" ht="15.75" thickBot="1" x14ac:dyDescent="0.3">
      <c r="A113" s="9" t="s">
        <v>79</v>
      </c>
      <c r="B113" s="10"/>
      <c r="C113">
        <v>33</v>
      </c>
      <c r="D113" s="12"/>
      <c r="E113" s="31" t="s">
        <v>80</v>
      </c>
      <c r="F113" s="27">
        <f>C114/C$78</f>
        <v>0.45</v>
      </c>
      <c r="G113" s="8"/>
      <c r="H113" s="28" t="s">
        <v>57</v>
      </c>
      <c r="I113" s="20">
        <v>0</v>
      </c>
      <c r="J113" s="21" t="e">
        <f t="shared" ref="J113:J118" si="4">I113/I$112</f>
        <v>#DIV/0!</v>
      </c>
    </row>
    <row r="114" spans="1:10" ht="15.75" thickBot="1" x14ac:dyDescent="0.3">
      <c r="A114" s="9" t="s">
        <v>80</v>
      </c>
      <c r="B114" s="10"/>
      <c r="C114">
        <v>27</v>
      </c>
      <c r="D114" s="12"/>
      <c r="E114" s="96"/>
      <c r="F114" s="97"/>
      <c r="G114" s="8"/>
      <c r="H114" s="28" t="s">
        <v>59</v>
      </c>
      <c r="I114" s="20">
        <v>0</v>
      </c>
      <c r="J114" s="21" t="e">
        <f t="shared" si="4"/>
        <v>#DIV/0!</v>
      </c>
    </row>
    <row r="115" spans="1:10" x14ac:dyDescent="0.25">
      <c r="A115" s="9"/>
      <c r="B115" s="10"/>
      <c r="D115" s="12"/>
      <c r="E115" s="15" t="s">
        <v>1166</v>
      </c>
      <c r="F115" s="14"/>
      <c r="G115" s="8"/>
      <c r="H115" s="28" t="s">
        <v>61</v>
      </c>
      <c r="I115" s="20">
        <v>0</v>
      </c>
      <c r="J115" s="21" t="e">
        <f t="shared" si="4"/>
        <v>#DIV/0!</v>
      </c>
    </row>
    <row r="116" spans="1:10" x14ac:dyDescent="0.25">
      <c r="A116" t="s">
        <v>1166</v>
      </c>
      <c r="B116" s="10"/>
      <c r="D116" s="12"/>
      <c r="E116" s="28" t="s">
        <v>1167</v>
      </c>
      <c r="F116" s="21">
        <f>C117/C$78</f>
        <v>0.33333333333333331</v>
      </c>
      <c r="G116" s="8"/>
      <c r="H116" s="28" t="s">
        <v>63</v>
      </c>
      <c r="I116" s="20">
        <v>0</v>
      </c>
      <c r="J116" s="21" t="e">
        <f t="shared" si="4"/>
        <v>#DIV/0!</v>
      </c>
    </row>
    <row r="117" spans="1:10" ht="15.75" thickBot="1" x14ac:dyDescent="0.3">
      <c r="A117" t="s">
        <v>1167</v>
      </c>
      <c r="B117" s="10"/>
      <c r="C117">
        <v>20</v>
      </c>
      <c r="D117" s="12"/>
      <c r="E117" s="30" t="s">
        <v>1168</v>
      </c>
      <c r="F117" s="27">
        <f>C118/C$78</f>
        <v>0.11666666666666667</v>
      </c>
      <c r="G117" s="8"/>
      <c r="H117" s="28" t="s">
        <v>65</v>
      </c>
      <c r="I117" s="20">
        <v>0</v>
      </c>
      <c r="J117" s="21" t="e">
        <f t="shared" si="4"/>
        <v>#DIV/0!</v>
      </c>
    </row>
    <row r="118" spans="1:10" ht="15.75" thickBot="1" x14ac:dyDescent="0.3">
      <c r="A118" t="s">
        <v>1168</v>
      </c>
      <c r="B118" s="10"/>
      <c r="C118">
        <v>7</v>
      </c>
      <c r="D118" s="12"/>
      <c r="E118" s="37"/>
      <c r="F118" s="38"/>
      <c r="G118" s="8"/>
      <c r="H118" s="30" t="s">
        <v>67</v>
      </c>
      <c r="I118" s="26">
        <v>0</v>
      </c>
      <c r="J118" s="27" t="e">
        <f t="shared" si="4"/>
        <v>#DIV/0!</v>
      </c>
    </row>
    <row r="119" spans="1:10" x14ac:dyDescent="0.25">
      <c r="A119" s="9"/>
      <c r="B119" s="10"/>
      <c r="C119" t="s">
        <v>27</v>
      </c>
      <c r="D119" s="12"/>
      <c r="E119" s="32" t="s">
        <v>81</v>
      </c>
      <c r="F119" s="14"/>
      <c r="G119" s="8"/>
    </row>
    <row r="120" spans="1:10" ht="15.75" thickBot="1" x14ac:dyDescent="0.3">
      <c r="A120" s="9" t="s">
        <v>83</v>
      </c>
      <c r="B120" s="10"/>
      <c r="D120" s="12"/>
      <c r="E120" s="29" t="s">
        <v>84</v>
      </c>
      <c r="F120" s="21">
        <f t="shared" ref="F120:F125" si="5">C121/C$78</f>
        <v>0.53333333333333333</v>
      </c>
      <c r="G120" s="8"/>
    </row>
    <row r="121" spans="1:10" x14ac:dyDescent="0.25">
      <c r="A121" s="9" t="s">
        <v>84</v>
      </c>
      <c r="B121" s="10"/>
      <c r="C121">
        <v>32</v>
      </c>
      <c r="D121" s="12"/>
      <c r="E121" s="18" t="s">
        <v>86</v>
      </c>
      <c r="F121" s="21">
        <f t="shared" si="5"/>
        <v>1.6666666666666666E-2</v>
      </c>
      <c r="G121" s="8"/>
      <c r="H121" s="15" t="s">
        <v>44</v>
      </c>
      <c r="I121" s="16">
        <v>20</v>
      </c>
      <c r="J121" s="17"/>
    </row>
    <row r="122" spans="1:10" x14ac:dyDescent="0.25">
      <c r="A122" s="9" t="s">
        <v>86</v>
      </c>
      <c r="B122" s="10"/>
      <c r="C122">
        <v>1</v>
      </c>
      <c r="D122" s="12"/>
      <c r="E122" s="18" t="s">
        <v>88</v>
      </c>
      <c r="F122" s="21">
        <f t="shared" si="5"/>
        <v>0</v>
      </c>
      <c r="G122" s="8"/>
      <c r="H122" s="28" t="s">
        <v>82</v>
      </c>
      <c r="I122" s="20">
        <v>4</v>
      </c>
      <c r="J122" s="21">
        <f>I122/I$121</f>
        <v>0.2</v>
      </c>
    </row>
    <row r="123" spans="1:10" x14ac:dyDescent="0.25">
      <c r="A123" s="9" t="s">
        <v>88</v>
      </c>
      <c r="B123" s="10"/>
      <c r="C123">
        <v>0</v>
      </c>
      <c r="D123" s="12"/>
      <c r="E123" s="18" t="s">
        <v>90</v>
      </c>
      <c r="F123" s="21">
        <f t="shared" si="5"/>
        <v>0</v>
      </c>
      <c r="G123" s="8"/>
      <c r="H123" s="28" t="s">
        <v>85</v>
      </c>
      <c r="I123" s="20">
        <v>8</v>
      </c>
      <c r="J123" s="21">
        <f>I123/I$121</f>
        <v>0.4</v>
      </c>
    </row>
    <row r="124" spans="1:10" x14ac:dyDescent="0.25">
      <c r="A124" s="9" t="s">
        <v>90</v>
      </c>
      <c r="B124" s="10"/>
      <c r="C124">
        <v>0</v>
      </c>
      <c r="D124" s="12"/>
      <c r="E124" s="18" t="s">
        <v>91</v>
      </c>
      <c r="F124" s="21">
        <f t="shared" si="5"/>
        <v>0.45</v>
      </c>
      <c r="G124" s="8"/>
      <c r="H124" s="28" t="s">
        <v>87</v>
      </c>
      <c r="I124" s="20">
        <v>3</v>
      </c>
      <c r="J124" s="21">
        <f>I124/I$121</f>
        <v>0.15</v>
      </c>
    </row>
    <row r="125" spans="1:10" ht="15.75" thickBot="1" x14ac:dyDescent="0.3">
      <c r="A125" s="9" t="s">
        <v>91</v>
      </c>
      <c r="B125" s="10"/>
      <c r="C125">
        <v>27</v>
      </c>
      <c r="D125" s="12"/>
      <c r="E125" s="23" t="s">
        <v>46</v>
      </c>
      <c r="F125" s="27">
        <f t="shared" si="5"/>
        <v>0</v>
      </c>
      <c r="G125" s="8"/>
      <c r="H125" s="30" t="s">
        <v>89</v>
      </c>
      <c r="I125" s="26">
        <v>5</v>
      </c>
      <c r="J125" s="27">
        <f>I125/I$121</f>
        <v>0.25</v>
      </c>
    </row>
    <row r="126" spans="1:10" ht="15.75" thickBot="1" x14ac:dyDescent="0.3">
      <c r="A126" s="9" t="s">
        <v>46</v>
      </c>
      <c r="B126" s="10"/>
      <c r="C126">
        <v>0</v>
      </c>
      <c r="D126" s="12"/>
      <c r="E126" s="12"/>
      <c r="F126" s="25"/>
      <c r="G126" s="8"/>
    </row>
    <row r="127" spans="1:10" ht="15.75" thickBot="1" x14ac:dyDescent="0.3">
      <c r="A127" s="9"/>
      <c r="B127" s="10"/>
      <c r="D127" s="12"/>
      <c r="E127" s="13" t="s">
        <v>93</v>
      </c>
      <c r="F127" s="14"/>
      <c r="G127" s="8"/>
    </row>
    <row r="128" spans="1:10" x14ac:dyDescent="0.25">
      <c r="A128" s="9" t="s">
        <v>95</v>
      </c>
      <c r="B128" s="10"/>
      <c r="C128">
        <v>4</v>
      </c>
      <c r="D128" s="12"/>
      <c r="E128" s="18" t="s">
        <v>96</v>
      </c>
      <c r="F128" s="21">
        <f>C129/C$78</f>
        <v>0.85</v>
      </c>
      <c r="G128" s="8"/>
      <c r="H128" s="15" t="s">
        <v>46</v>
      </c>
      <c r="I128" s="16">
        <v>15</v>
      </c>
      <c r="J128" s="17"/>
    </row>
    <row r="129" spans="1:10" x14ac:dyDescent="0.25">
      <c r="A129" s="9" t="s">
        <v>96</v>
      </c>
      <c r="B129" s="10"/>
      <c r="C129">
        <v>51</v>
      </c>
      <c r="D129" s="12"/>
      <c r="E129" s="18" t="s">
        <v>98</v>
      </c>
      <c r="F129" s="21">
        <f>C130/C$78</f>
        <v>0.11666666666666667</v>
      </c>
      <c r="G129" s="8"/>
      <c r="H129" s="28" t="s">
        <v>92</v>
      </c>
      <c r="I129" s="20">
        <v>5</v>
      </c>
      <c r="J129" s="21">
        <f>I129/I$128</f>
        <v>0.33333333333333331</v>
      </c>
    </row>
    <row r="130" spans="1:10" x14ac:dyDescent="0.25">
      <c r="A130" s="9" t="s">
        <v>98</v>
      </c>
      <c r="B130" s="10"/>
      <c r="C130">
        <v>7</v>
      </c>
      <c r="D130" s="12"/>
      <c r="E130" s="18" t="s">
        <v>100</v>
      </c>
      <c r="F130" s="21">
        <f>C131/C$78</f>
        <v>1.6666666666666666E-2</v>
      </c>
      <c r="G130" s="8"/>
      <c r="H130" s="28" t="s">
        <v>94</v>
      </c>
      <c r="I130" s="20">
        <v>1</v>
      </c>
      <c r="J130" s="21">
        <f t="shared" ref="J130:J138" si="6">I130/I$128</f>
        <v>6.6666666666666666E-2</v>
      </c>
    </row>
    <row r="131" spans="1:10" x14ac:dyDescent="0.25">
      <c r="A131" s="9" t="s">
        <v>100</v>
      </c>
      <c r="B131" s="10"/>
      <c r="C131">
        <v>1</v>
      </c>
      <c r="D131" s="12"/>
      <c r="E131" s="18" t="s">
        <v>102</v>
      </c>
      <c r="F131" s="21">
        <f>C132/C$78</f>
        <v>1.6666666666666666E-2</v>
      </c>
      <c r="G131" s="8"/>
      <c r="H131" s="28" t="s">
        <v>97</v>
      </c>
      <c r="I131" s="20">
        <v>1</v>
      </c>
      <c r="J131" s="21">
        <f t="shared" si="6"/>
        <v>6.6666666666666666E-2</v>
      </c>
    </row>
    <row r="132" spans="1:10" ht="15.75" thickBot="1" x14ac:dyDescent="0.3">
      <c r="A132" s="9" t="s">
        <v>102</v>
      </c>
      <c r="B132" s="10"/>
      <c r="C132">
        <v>1</v>
      </c>
      <c r="E132" s="23" t="s">
        <v>103</v>
      </c>
      <c r="F132" s="27">
        <f>C133/C$78</f>
        <v>0</v>
      </c>
      <c r="H132" s="28" t="s">
        <v>99</v>
      </c>
      <c r="I132" s="20">
        <v>0</v>
      </c>
      <c r="J132" s="21">
        <f t="shared" si="6"/>
        <v>0</v>
      </c>
    </row>
    <row r="133" spans="1:10" x14ac:dyDescent="0.25">
      <c r="A133" s="9" t="s">
        <v>103</v>
      </c>
      <c r="B133" s="10"/>
      <c r="C133">
        <v>0</v>
      </c>
      <c r="E133" s="12"/>
      <c r="F133" s="25"/>
      <c r="H133" s="28" t="s">
        <v>101</v>
      </c>
      <c r="I133" s="20">
        <v>2</v>
      </c>
      <c r="J133" s="21">
        <f t="shared" si="6"/>
        <v>0.13333333333333333</v>
      </c>
    </row>
    <row r="134" spans="1:10" x14ac:dyDescent="0.25">
      <c r="A134" s="9" t="s">
        <v>104</v>
      </c>
      <c r="B134" s="10"/>
      <c r="C134">
        <v>0</v>
      </c>
      <c r="E134" s="12"/>
      <c r="F134" s="25"/>
      <c r="H134" s="66" t="s">
        <v>159</v>
      </c>
      <c r="I134" s="68">
        <v>3</v>
      </c>
      <c r="J134" s="21">
        <f t="shared" si="6"/>
        <v>0.2</v>
      </c>
    </row>
    <row r="135" spans="1:10" x14ac:dyDescent="0.25">
      <c r="A135" s="9"/>
      <c r="B135" s="10"/>
      <c r="E135" s="12"/>
      <c r="F135" s="25"/>
      <c r="H135" s="66" t="s">
        <v>160</v>
      </c>
      <c r="I135" s="68">
        <v>0</v>
      </c>
      <c r="J135" s="21">
        <f t="shared" si="6"/>
        <v>0</v>
      </c>
    </row>
    <row r="136" spans="1:10" ht="15.75" thickBot="1" x14ac:dyDescent="0.3">
      <c r="H136" s="66" t="s">
        <v>161</v>
      </c>
      <c r="I136" s="68">
        <v>1</v>
      </c>
      <c r="J136" s="21">
        <f t="shared" si="6"/>
        <v>6.6666666666666666E-2</v>
      </c>
    </row>
    <row r="137" spans="1:10" x14ac:dyDescent="0.25">
      <c r="A137" s="89" t="s">
        <v>7</v>
      </c>
      <c r="B137" s="90"/>
      <c r="H137" s="66" t="s">
        <v>162</v>
      </c>
      <c r="I137" s="68">
        <v>1</v>
      </c>
      <c r="J137" s="21">
        <f t="shared" si="6"/>
        <v>6.6666666666666666E-2</v>
      </c>
    </row>
    <row r="138" spans="1:10" ht="15.75" thickBot="1" x14ac:dyDescent="0.3">
      <c r="A138" s="91" t="s">
        <v>84</v>
      </c>
      <c r="B138" s="92">
        <f>SUM(F2:F6,F9,F12,F15:F16,F18:F19,F22:F25,F27,F29:F30,F32,F34:F35,F39,F41:F42,F48:F50,F52:F53,F57:F59,)</f>
        <v>54012.88</v>
      </c>
      <c r="H138" s="67" t="s">
        <v>163</v>
      </c>
      <c r="I138" s="26">
        <v>0</v>
      </c>
      <c r="J138" s="27">
        <f t="shared" si="6"/>
        <v>0</v>
      </c>
    </row>
    <row r="139" spans="1:10" x14ac:dyDescent="0.25">
      <c r="A139" s="91" t="s">
        <v>281</v>
      </c>
      <c r="B139" s="92">
        <f>SUM(F7:F8,F10:F11,F13:F14,F17,F20:F21,F26,F31,F33,F36:F38,F40,F43:F47,F51,F54:F56,F60,F61,)</f>
        <v>54636.590000000004</v>
      </c>
    </row>
    <row r="140" spans="1:10" x14ac:dyDescent="0.25">
      <c r="A140" s="91" t="s">
        <v>291</v>
      </c>
      <c r="B140" s="92">
        <v>1776</v>
      </c>
    </row>
    <row r="141" spans="1:10" x14ac:dyDescent="0.25">
      <c r="A141" s="91" t="s">
        <v>46</v>
      </c>
      <c r="B141" s="93">
        <v>0</v>
      </c>
    </row>
    <row r="142" spans="1:10" ht="15.75" thickBot="1" x14ac:dyDescent="0.3">
      <c r="A142" s="94"/>
      <c r="B142" s="95">
        <v>110425.47000000002</v>
      </c>
    </row>
  </sheetData>
  <mergeCells count="1">
    <mergeCell ref="A74:F74"/>
  </mergeCells>
  <pageMargins left="0.7" right="0.7" top="0.75" bottom="0.75" header="0.3" footer="0.3"/>
  <pageSetup paperSize="9" orientation="portrait" horizontalDpi="200" verticalDpi="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7"/>
  <sheetViews>
    <sheetView topLeftCell="A74" workbookViewId="0">
      <selection activeCell="H119" sqref="H119:J123"/>
    </sheetView>
  </sheetViews>
  <sheetFormatPr baseColWidth="10" defaultRowHeight="15" x14ac:dyDescent="0.25"/>
  <cols>
    <col min="2" max="2" width="34.5703125" customWidth="1"/>
    <col min="3" max="3" width="14.28515625" customWidth="1"/>
    <col min="4" max="4" width="5.7109375" customWidth="1"/>
    <col min="5" max="5" width="8.28515625" customWidth="1"/>
    <col min="6" max="6" width="15.140625" customWidth="1"/>
    <col min="7" max="7" width="45.5703125" customWidth="1"/>
  </cols>
  <sheetData>
    <row r="1" spans="1:8" ht="15" customHeight="1" x14ac:dyDescent="0.25">
      <c r="A1" s="3" t="s">
        <v>2</v>
      </c>
      <c r="B1" s="4" t="s">
        <v>3</v>
      </c>
      <c r="C1" s="4" t="s">
        <v>5</v>
      </c>
      <c r="D1" s="4" t="s">
        <v>15</v>
      </c>
      <c r="E1" s="7" t="s">
        <v>6</v>
      </c>
      <c r="F1" s="5" t="s">
        <v>8</v>
      </c>
      <c r="G1" s="6" t="s">
        <v>10</v>
      </c>
      <c r="H1" s="1" t="s">
        <v>11</v>
      </c>
    </row>
    <row r="2" spans="1:8" x14ac:dyDescent="0.25">
      <c r="A2" s="10">
        <v>44774</v>
      </c>
      <c r="B2" t="s">
        <v>1587</v>
      </c>
      <c r="C2" t="s">
        <v>96</v>
      </c>
      <c r="D2" t="s">
        <v>30</v>
      </c>
      <c r="E2" t="s">
        <v>168</v>
      </c>
      <c r="F2" s="47">
        <v>876</v>
      </c>
      <c r="G2" t="s">
        <v>1590</v>
      </c>
      <c r="H2" t="s">
        <v>1599</v>
      </c>
    </row>
    <row r="3" spans="1:8" x14ac:dyDescent="0.25">
      <c r="A3" s="10">
        <v>44774</v>
      </c>
      <c r="B3" t="s">
        <v>687</v>
      </c>
      <c r="C3" t="s">
        <v>361</v>
      </c>
      <c r="D3" t="s">
        <v>30</v>
      </c>
      <c r="E3" t="s">
        <v>281</v>
      </c>
      <c r="F3" s="47">
        <v>1000</v>
      </c>
      <c r="G3" t="s">
        <v>1591</v>
      </c>
      <c r="H3" t="s">
        <v>1592</v>
      </c>
    </row>
    <row r="4" spans="1:8" x14ac:dyDescent="0.25">
      <c r="A4" s="10">
        <v>44775</v>
      </c>
      <c r="B4" t="s">
        <v>1595</v>
      </c>
      <c r="C4" t="s">
        <v>96</v>
      </c>
      <c r="D4" t="s">
        <v>30</v>
      </c>
      <c r="E4" t="s">
        <v>281</v>
      </c>
      <c r="F4" s="47">
        <v>1441</v>
      </c>
      <c r="G4" t="s">
        <v>1598</v>
      </c>
      <c r="H4" t="s">
        <v>329</v>
      </c>
    </row>
    <row r="5" spans="1:8" x14ac:dyDescent="0.25">
      <c r="A5" s="10">
        <v>44775</v>
      </c>
      <c r="B5" t="s">
        <v>1600</v>
      </c>
      <c r="C5" t="s">
        <v>96</v>
      </c>
      <c r="D5" t="s">
        <v>30</v>
      </c>
      <c r="E5" t="s">
        <v>168</v>
      </c>
      <c r="F5" s="47">
        <v>5783.6</v>
      </c>
      <c r="G5" t="s">
        <v>1603</v>
      </c>
      <c r="H5" t="s">
        <v>872</v>
      </c>
    </row>
    <row r="6" spans="1:8" x14ac:dyDescent="0.25">
      <c r="A6" s="10">
        <v>44776</v>
      </c>
      <c r="B6" t="s">
        <v>1604</v>
      </c>
      <c r="C6" t="s">
        <v>360</v>
      </c>
      <c r="D6" t="s">
        <v>30</v>
      </c>
      <c r="E6" t="s">
        <v>168</v>
      </c>
      <c r="F6" s="47">
        <v>1249</v>
      </c>
      <c r="G6" t="s">
        <v>1607</v>
      </c>
      <c r="H6" t="s">
        <v>1617</v>
      </c>
    </row>
    <row r="7" spans="1:8" x14ac:dyDescent="0.25">
      <c r="A7" s="10">
        <v>44777</v>
      </c>
      <c r="B7" t="s">
        <v>1614</v>
      </c>
      <c r="C7" t="s">
        <v>96</v>
      </c>
      <c r="D7" t="s">
        <v>30</v>
      </c>
      <c r="E7" t="s">
        <v>168</v>
      </c>
      <c r="F7" s="47">
        <v>984</v>
      </c>
      <c r="G7" t="s">
        <v>779</v>
      </c>
      <c r="H7" t="s">
        <v>569</v>
      </c>
    </row>
    <row r="8" spans="1:8" x14ac:dyDescent="0.25">
      <c r="A8" s="10">
        <v>44777</v>
      </c>
      <c r="B8" t="s">
        <v>1618</v>
      </c>
      <c r="C8" t="s">
        <v>96</v>
      </c>
      <c r="D8" t="s">
        <v>30</v>
      </c>
      <c r="E8" t="s">
        <v>168</v>
      </c>
      <c r="F8" s="47">
        <v>1989</v>
      </c>
      <c r="G8" t="s">
        <v>1621</v>
      </c>
      <c r="H8" t="s">
        <v>595</v>
      </c>
    </row>
    <row r="9" spans="1:8" x14ac:dyDescent="0.25">
      <c r="A9" s="10">
        <v>44778</v>
      </c>
      <c r="B9" t="s">
        <v>1640</v>
      </c>
      <c r="C9" t="s">
        <v>96</v>
      </c>
      <c r="D9" t="s">
        <v>30</v>
      </c>
      <c r="E9" t="s">
        <v>168</v>
      </c>
      <c r="F9" s="47">
        <v>3171</v>
      </c>
      <c r="G9" t="s">
        <v>1923</v>
      </c>
      <c r="H9" t="s">
        <v>192</v>
      </c>
    </row>
    <row r="10" spans="1:8" x14ac:dyDescent="0.25">
      <c r="A10" s="10">
        <v>44778</v>
      </c>
      <c r="B10" t="s">
        <v>1644</v>
      </c>
      <c r="C10" t="s">
        <v>96</v>
      </c>
      <c r="D10" t="s">
        <v>32</v>
      </c>
      <c r="E10" t="s">
        <v>168</v>
      </c>
      <c r="F10" s="47">
        <v>1776</v>
      </c>
      <c r="G10" t="s">
        <v>1647</v>
      </c>
      <c r="H10" t="s">
        <v>193</v>
      </c>
    </row>
    <row r="11" spans="1:8" x14ac:dyDescent="0.25">
      <c r="A11" s="10">
        <v>44781</v>
      </c>
      <c r="B11" t="s">
        <v>1652</v>
      </c>
      <c r="C11" t="s">
        <v>96</v>
      </c>
      <c r="D11" t="s">
        <v>30</v>
      </c>
      <c r="E11" t="s">
        <v>168</v>
      </c>
      <c r="F11" s="47">
        <v>1178.56</v>
      </c>
      <c r="G11" t="s">
        <v>1655</v>
      </c>
      <c r="H11" t="s">
        <v>1678</v>
      </c>
    </row>
    <row r="12" spans="1:8" x14ac:dyDescent="0.25">
      <c r="A12" s="10">
        <v>44781</v>
      </c>
      <c r="B12" t="s">
        <v>1656</v>
      </c>
      <c r="C12" t="s">
        <v>96</v>
      </c>
      <c r="D12" t="s">
        <v>30</v>
      </c>
      <c r="E12" t="s">
        <v>168</v>
      </c>
      <c r="F12" s="47">
        <v>1085</v>
      </c>
      <c r="G12" t="s">
        <v>1659</v>
      </c>
      <c r="H12" t="s">
        <v>1660</v>
      </c>
    </row>
    <row r="13" spans="1:8" x14ac:dyDescent="0.25">
      <c r="A13" s="10">
        <v>44774</v>
      </c>
      <c r="B13" t="s">
        <v>1689</v>
      </c>
      <c r="C13" t="s">
        <v>96</v>
      </c>
      <c r="D13" t="s">
        <v>30</v>
      </c>
      <c r="E13" t="s">
        <v>168</v>
      </c>
      <c r="F13" s="47">
        <v>3725.5</v>
      </c>
      <c r="G13" t="s">
        <v>1692</v>
      </c>
      <c r="H13" t="s">
        <v>1937</v>
      </c>
    </row>
    <row r="14" spans="1:8" x14ac:dyDescent="0.25">
      <c r="A14" s="10">
        <v>44774</v>
      </c>
      <c r="B14" t="s">
        <v>1665</v>
      </c>
      <c r="C14" t="s">
        <v>361</v>
      </c>
      <c r="D14" t="s">
        <v>30</v>
      </c>
      <c r="E14" t="s">
        <v>168</v>
      </c>
      <c r="F14" s="47">
        <v>1308.24</v>
      </c>
      <c r="G14" t="s">
        <v>1668</v>
      </c>
      <c r="H14" t="s">
        <v>1672</v>
      </c>
    </row>
    <row r="15" spans="1:8" x14ac:dyDescent="0.25">
      <c r="A15" s="10">
        <v>44782</v>
      </c>
      <c r="B15" t="s">
        <v>1669</v>
      </c>
      <c r="C15" t="s">
        <v>360</v>
      </c>
      <c r="D15" t="s">
        <v>30</v>
      </c>
      <c r="E15" t="s">
        <v>168</v>
      </c>
      <c r="F15" s="47">
        <v>3051</v>
      </c>
      <c r="G15" t="s">
        <v>169</v>
      </c>
      <c r="H15" t="s">
        <v>1673</v>
      </c>
    </row>
    <row r="16" spans="1:8" x14ac:dyDescent="0.25">
      <c r="A16" s="10">
        <v>44783</v>
      </c>
      <c r="B16" t="s">
        <v>1674</v>
      </c>
      <c r="C16" t="s">
        <v>362</v>
      </c>
      <c r="D16" t="s">
        <v>30</v>
      </c>
      <c r="E16" t="s">
        <v>168</v>
      </c>
      <c r="F16" s="47">
        <v>993</v>
      </c>
      <c r="G16" t="s">
        <v>1677</v>
      </c>
      <c r="H16" t="s">
        <v>1693</v>
      </c>
    </row>
    <row r="17" spans="1:8" x14ac:dyDescent="0.25">
      <c r="A17" s="10">
        <v>44783</v>
      </c>
      <c r="B17" t="s">
        <v>1682</v>
      </c>
      <c r="C17" t="s">
        <v>362</v>
      </c>
      <c r="D17" t="s">
        <v>30</v>
      </c>
      <c r="E17" t="s">
        <v>168</v>
      </c>
      <c r="F17" s="47">
        <v>2191</v>
      </c>
      <c r="G17" t="s">
        <v>1685</v>
      </c>
      <c r="H17" t="s">
        <v>1694</v>
      </c>
    </row>
    <row r="18" spans="1:8" x14ac:dyDescent="0.25">
      <c r="A18" s="10">
        <v>44784</v>
      </c>
      <c r="B18" t="s">
        <v>1695</v>
      </c>
      <c r="C18" t="s">
        <v>360</v>
      </c>
      <c r="D18" t="s">
        <v>30</v>
      </c>
      <c r="E18" t="s">
        <v>168</v>
      </c>
      <c r="F18" s="47">
        <v>1838</v>
      </c>
      <c r="G18" t="s">
        <v>1698</v>
      </c>
      <c r="H18" t="s">
        <v>192</v>
      </c>
    </row>
    <row r="19" spans="1:8" x14ac:dyDescent="0.25">
      <c r="A19" s="10">
        <v>44784</v>
      </c>
      <c r="B19" t="s">
        <v>1699</v>
      </c>
      <c r="C19" t="s">
        <v>96</v>
      </c>
      <c r="D19" t="s">
        <v>30</v>
      </c>
      <c r="E19" t="s">
        <v>168</v>
      </c>
      <c r="F19" s="47">
        <v>2640</v>
      </c>
      <c r="G19" t="s">
        <v>1921</v>
      </c>
      <c r="H19" t="s">
        <v>193</v>
      </c>
    </row>
    <row r="20" spans="1:8" x14ac:dyDescent="0.25">
      <c r="A20" s="10">
        <v>44784</v>
      </c>
      <c r="B20" t="s">
        <v>987</v>
      </c>
      <c r="C20" t="s">
        <v>96</v>
      </c>
      <c r="D20" t="s">
        <v>30</v>
      </c>
      <c r="E20" t="s">
        <v>281</v>
      </c>
      <c r="F20" s="47">
        <v>1838</v>
      </c>
      <c r="G20" t="s">
        <v>1704</v>
      </c>
      <c r="H20" t="s">
        <v>80</v>
      </c>
    </row>
    <row r="21" spans="1:8" x14ac:dyDescent="0.25">
      <c r="A21" s="10">
        <v>44785</v>
      </c>
      <c r="B21" t="s">
        <v>1709</v>
      </c>
      <c r="C21" t="s">
        <v>96</v>
      </c>
      <c r="D21" t="s">
        <v>30</v>
      </c>
      <c r="E21" t="s">
        <v>168</v>
      </c>
      <c r="F21" s="47">
        <v>900</v>
      </c>
      <c r="G21" t="s">
        <v>1712</v>
      </c>
      <c r="H21" t="s">
        <v>1720</v>
      </c>
    </row>
    <row r="22" spans="1:8" x14ac:dyDescent="0.25">
      <c r="A22" s="10">
        <v>44783</v>
      </c>
      <c r="B22" t="s">
        <v>1714</v>
      </c>
      <c r="C22" t="s">
        <v>96</v>
      </c>
      <c r="D22" t="s">
        <v>32</v>
      </c>
      <c r="E22" t="s">
        <v>291</v>
      </c>
      <c r="F22" s="47">
        <v>4977.05</v>
      </c>
      <c r="G22" t="s">
        <v>1716</v>
      </c>
      <c r="H22" t="s">
        <v>80</v>
      </c>
    </row>
    <row r="23" spans="1:8" x14ac:dyDescent="0.25">
      <c r="A23" s="10">
        <v>44786</v>
      </c>
      <c r="B23" t="s">
        <v>1717</v>
      </c>
      <c r="C23" t="s">
        <v>360</v>
      </c>
      <c r="D23" t="s">
        <v>30</v>
      </c>
      <c r="E23" t="s">
        <v>168</v>
      </c>
      <c r="F23" s="47">
        <v>888</v>
      </c>
      <c r="G23" t="s">
        <v>404</v>
      </c>
      <c r="H23" t="s">
        <v>786</v>
      </c>
    </row>
    <row r="24" spans="1:8" x14ac:dyDescent="0.25">
      <c r="A24" s="10">
        <v>44788</v>
      </c>
      <c r="B24" t="s">
        <v>1302</v>
      </c>
      <c r="C24" t="s">
        <v>360</v>
      </c>
      <c r="D24" t="s">
        <v>32</v>
      </c>
      <c r="E24" t="s">
        <v>281</v>
      </c>
      <c r="F24" s="47">
        <v>25761.96</v>
      </c>
      <c r="G24" t="s">
        <v>1368</v>
      </c>
      <c r="H24" t="s">
        <v>80</v>
      </c>
    </row>
    <row r="25" spans="1:8" x14ac:dyDescent="0.25">
      <c r="A25" s="10">
        <v>44788</v>
      </c>
      <c r="B25" t="s">
        <v>1721</v>
      </c>
      <c r="C25" t="s">
        <v>96</v>
      </c>
      <c r="D25" t="s">
        <v>30</v>
      </c>
      <c r="E25" t="s">
        <v>281</v>
      </c>
      <c r="F25" s="47">
        <v>1493.93</v>
      </c>
      <c r="G25" t="s">
        <v>1724</v>
      </c>
      <c r="H25" t="s">
        <v>80</v>
      </c>
    </row>
    <row r="26" spans="1:8" x14ac:dyDescent="0.25">
      <c r="A26" s="10">
        <v>44781</v>
      </c>
      <c r="B26" t="s">
        <v>1721</v>
      </c>
      <c r="C26" t="s">
        <v>96</v>
      </c>
      <c r="D26" t="s">
        <v>30</v>
      </c>
      <c r="E26" t="s">
        <v>291</v>
      </c>
      <c r="F26" s="47">
        <v>2400</v>
      </c>
      <c r="G26" t="s">
        <v>1725</v>
      </c>
      <c r="H26" t="s">
        <v>80</v>
      </c>
    </row>
    <row r="27" spans="1:8" x14ac:dyDescent="0.25">
      <c r="A27" s="10">
        <v>44796</v>
      </c>
      <c r="B27" t="s">
        <v>1745</v>
      </c>
      <c r="C27" t="s">
        <v>96</v>
      </c>
      <c r="D27" t="s">
        <v>30</v>
      </c>
      <c r="E27" t="s">
        <v>1748</v>
      </c>
      <c r="F27" s="47">
        <v>2372</v>
      </c>
      <c r="G27" t="s">
        <v>1749</v>
      </c>
      <c r="H27" t="s">
        <v>1753</v>
      </c>
    </row>
    <row r="28" spans="1:8" x14ac:dyDescent="0.25">
      <c r="A28" s="10">
        <v>44796</v>
      </c>
      <c r="B28" t="s">
        <v>1750</v>
      </c>
      <c r="C28" t="s">
        <v>360</v>
      </c>
      <c r="D28" t="s">
        <v>30</v>
      </c>
      <c r="E28" t="s">
        <v>291</v>
      </c>
      <c r="F28" s="47">
        <v>1950</v>
      </c>
      <c r="G28" t="s">
        <v>1922</v>
      </c>
      <c r="H28" t="s">
        <v>192</v>
      </c>
    </row>
    <row r="29" spans="1:8" x14ac:dyDescent="0.25">
      <c r="A29" s="10">
        <v>44796</v>
      </c>
      <c r="B29" t="s">
        <v>1075</v>
      </c>
      <c r="C29" t="s">
        <v>360</v>
      </c>
      <c r="D29" t="s">
        <v>32</v>
      </c>
      <c r="E29" t="s">
        <v>281</v>
      </c>
      <c r="F29" s="47">
        <v>5414.05</v>
      </c>
      <c r="G29" t="s">
        <v>1755</v>
      </c>
      <c r="H29" t="s">
        <v>80</v>
      </c>
    </row>
    <row r="30" spans="1:8" x14ac:dyDescent="0.25">
      <c r="A30" s="10">
        <v>44797</v>
      </c>
      <c r="B30" t="s">
        <v>1756</v>
      </c>
      <c r="C30" t="s">
        <v>96</v>
      </c>
      <c r="D30" t="s">
        <v>30</v>
      </c>
      <c r="E30" t="s">
        <v>281</v>
      </c>
      <c r="F30" s="47">
        <v>1254</v>
      </c>
      <c r="G30" t="s">
        <v>1757</v>
      </c>
      <c r="H30" t="s">
        <v>80</v>
      </c>
    </row>
    <row r="31" spans="1:8" x14ac:dyDescent="0.25">
      <c r="A31" s="10">
        <v>44797</v>
      </c>
      <c r="B31" t="s">
        <v>1758</v>
      </c>
      <c r="C31" t="s">
        <v>96</v>
      </c>
      <c r="D31" t="s">
        <v>30</v>
      </c>
      <c r="E31" t="s">
        <v>168</v>
      </c>
      <c r="F31" s="47">
        <v>4008</v>
      </c>
      <c r="G31" t="s">
        <v>1761</v>
      </c>
      <c r="H31" t="s">
        <v>301</v>
      </c>
    </row>
    <row r="32" spans="1:8" x14ac:dyDescent="0.25">
      <c r="A32" s="10">
        <v>44797</v>
      </c>
      <c r="B32" t="s">
        <v>1075</v>
      </c>
      <c r="C32" t="s">
        <v>360</v>
      </c>
      <c r="D32" t="s">
        <v>32</v>
      </c>
      <c r="E32" t="s">
        <v>281</v>
      </c>
      <c r="F32" s="47">
        <v>3478.9</v>
      </c>
      <c r="G32" t="s">
        <v>1763</v>
      </c>
      <c r="H32" t="s">
        <v>80</v>
      </c>
    </row>
    <row r="33" spans="1:8" x14ac:dyDescent="0.25">
      <c r="A33" s="10">
        <v>44798</v>
      </c>
      <c r="B33" t="s">
        <v>1764</v>
      </c>
      <c r="C33" t="s">
        <v>96</v>
      </c>
      <c r="D33" t="s">
        <v>30</v>
      </c>
      <c r="E33" t="s">
        <v>168</v>
      </c>
      <c r="F33" s="47">
        <v>876</v>
      </c>
      <c r="G33" t="s">
        <v>1590</v>
      </c>
      <c r="H33" t="s">
        <v>1770</v>
      </c>
    </row>
    <row r="34" spans="1:8" x14ac:dyDescent="0.25">
      <c r="A34" s="10">
        <v>44798</v>
      </c>
      <c r="B34" t="s">
        <v>1767</v>
      </c>
      <c r="C34" t="s">
        <v>96</v>
      </c>
      <c r="D34" t="s">
        <v>30</v>
      </c>
      <c r="E34" t="s">
        <v>281</v>
      </c>
      <c r="F34" s="47">
        <v>1500</v>
      </c>
      <c r="G34" t="s">
        <v>836</v>
      </c>
      <c r="H34" t="s">
        <v>80</v>
      </c>
    </row>
    <row r="35" spans="1:8" x14ac:dyDescent="0.25">
      <c r="A35" s="10">
        <v>44777</v>
      </c>
      <c r="B35" t="s">
        <v>1773</v>
      </c>
      <c r="C35" t="s">
        <v>96</v>
      </c>
      <c r="D35" t="s">
        <v>30</v>
      </c>
      <c r="E35" t="s">
        <v>168</v>
      </c>
      <c r="F35" s="47">
        <v>1715.04</v>
      </c>
      <c r="G35" t="s">
        <v>1776</v>
      </c>
      <c r="H35" t="s">
        <v>192</v>
      </c>
    </row>
    <row r="36" spans="1:8" x14ac:dyDescent="0.25">
      <c r="A36" s="10">
        <v>44785</v>
      </c>
      <c r="B36" t="s">
        <v>1801</v>
      </c>
      <c r="C36" t="s">
        <v>96</v>
      </c>
      <c r="D36" t="s">
        <v>30</v>
      </c>
      <c r="E36" t="s">
        <v>291</v>
      </c>
      <c r="F36" s="47">
        <v>921.85</v>
      </c>
      <c r="G36" t="s">
        <v>594</v>
      </c>
      <c r="H36" t="s">
        <v>1804</v>
      </c>
    </row>
    <row r="37" spans="1:8" x14ac:dyDescent="0.25">
      <c r="A37" s="10">
        <v>44799</v>
      </c>
      <c r="B37" t="s">
        <v>1805</v>
      </c>
      <c r="C37" t="s">
        <v>96</v>
      </c>
      <c r="D37" t="s">
        <v>30</v>
      </c>
      <c r="E37" t="s">
        <v>281</v>
      </c>
      <c r="F37" s="47">
        <v>824</v>
      </c>
      <c r="G37" t="s">
        <v>1365</v>
      </c>
      <c r="H37" t="s">
        <v>80</v>
      </c>
    </row>
    <row r="38" spans="1:8" x14ac:dyDescent="0.25">
      <c r="A38" s="10">
        <v>44800</v>
      </c>
      <c r="B38" t="s">
        <v>485</v>
      </c>
      <c r="C38" t="s">
        <v>360</v>
      </c>
      <c r="D38" t="s">
        <v>30</v>
      </c>
      <c r="E38" t="s">
        <v>281</v>
      </c>
      <c r="F38" s="47">
        <v>950</v>
      </c>
      <c r="G38" t="s">
        <v>1808</v>
      </c>
      <c r="H38" t="s">
        <v>80</v>
      </c>
    </row>
    <row r="39" spans="1:8" x14ac:dyDescent="0.25">
      <c r="A39" s="10">
        <v>44784</v>
      </c>
      <c r="B39" t="s">
        <v>987</v>
      </c>
      <c r="C39" t="s">
        <v>96</v>
      </c>
      <c r="D39" t="s">
        <v>30</v>
      </c>
      <c r="E39" t="s">
        <v>281</v>
      </c>
      <c r="F39" s="47">
        <v>326</v>
      </c>
      <c r="G39" t="s">
        <v>1809</v>
      </c>
      <c r="H39" t="s">
        <v>80</v>
      </c>
    </row>
    <row r="40" spans="1:8" x14ac:dyDescent="0.25">
      <c r="A40" s="10">
        <v>44789</v>
      </c>
      <c r="B40" t="s">
        <v>435</v>
      </c>
      <c r="C40" t="s">
        <v>96</v>
      </c>
      <c r="D40" t="s">
        <v>30</v>
      </c>
      <c r="E40" t="s">
        <v>281</v>
      </c>
      <c r="F40" s="47">
        <v>2163.7199999999998</v>
      </c>
      <c r="G40" t="s">
        <v>1810</v>
      </c>
      <c r="H40" t="s">
        <v>80</v>
      </c>
    </row>
    <row r="41" spans="1:8" x14ac:dyDescent="0.25">
      <c r="A41" s="10">
        <v>44802</v>
      </c>
      <c r="B41" t="s">
        <v>1811</v>
      </c>
      <c r="C41" t="s">
        <v>96</v>
      </c>
      <c r="D41" t="s">
        <v>30</v>
      </c>
      <c r="E41" t="s">
        <v>168</v>
      </c>
      <c r="F41" s="47">
        <v>2611.5</v>
      </c>
      <c r="G41" t="s">
        <v>1814</v>
      </c>
      <c r="H41" t="s">
        <v>192</v>
      </c>
    </row>
    <row r="42" spans="1:8" x14ac:dyDescent="0.25">
      <c r="A42" s="10">
        <v>44803</v>
      </c>
      <c r="B42" t="s">
        <v>1815</v>
      </c>
      <c r="C42" t="s">
        <v>96</v>
      </c>
      <c r="D42" t="s">
        <v>32</v>
      </c>
      <c r="E42" t="s">
        <v>1818</v>
      </c>
      <c r="F42" s="47">
        <v>4227</v>
      </c>
      <c r="G42" t="s">
        <v>1819</v>
      </c>
      <c r="H42" t="s">
        <v>872</v>
      </c>
    </row>
    <row r="43" spans="1:8" x14ac:dyDescent="0.25">
      <c r="A43" s="10">
        <v>44776</v>
      </c>
      <c r="B43" t="s">
        <v>1820</v>
      </c>
      <c r="C43" t="s">
        <v>96</v>
      </c>
      <c r="D43" t="s">
        <v>30</v>
      </c>
      <c r="E43" t="s">
        <v>291</v>
      </c>
      <c r="F43" s="47">
        <v>1629</v>
      </c>
      <c r="G43" t="s">
        <v>1823</v>
      </c>
      <c r="H43" t="s">
        <v>192</v>
      </c>
    </row>
    <row r="44" spans="1:8" x14ac:dyDescent="0.25">
      <c r="A44" s="10">
        <v>44796</v>
      </c>
      <c r="B44" t="s">
        <v>1824</v>
      </c>
      <c r="C44" t="s">
        <v>96</v>
      </c>
      <c r="D44" t="s">
        <v>30</v>
      </c>
      <c r="E44" t="s">
        <v>168</v>
      </c>
      <c r="F44" s="47">
        <v>500</v>
      </c>
      <c r="G44" t="s">
        <v>1827</v>
      </c>
      <c r="H44" t="s">
        <v>1828</v>
      </c>
    </row>
    <row r="45" spans="1:8" x14ac:dyDescent="0.25">
      <c r="A45" s="10">
        <v>44798</v>
      </c>
      <c r="B45" t="s">
        <v>241</v>
      </c>
      <c r="C45" t="s">
        <v>96</v>
      </c>
      <c r="D45" t="s">
        <v>30</v>
      </c>
      <c r="E45" t="s">
        <v>281</v>
      </c>
      <c r="F45" s="47">
        <v>1822.72</v>
      </c>
      <c r="G45" t="s">
        <v>1838</v>
      </c>
      <c r="H45" t="s">
        <v>80</v>
      </c>
    </row>
    <row r="46" spans="1:8" x14ac:dyDescent="0.25">
      <c r="A46" s="10">
        <v>44782</v>
      </c>
      <c r="B46" t="s">
        <v>1861</v>
      </c>
      <c r="C46" t="s">
        <v>361</v>
      </c>
      <c r="D46" t="s">
        <v>30</v>
      </c>
      <c r="E46" t="s">
        <v>168</v>
      </c>
      <c r="F46" s="47">
        <v>586.79999999999995</v>
      </c>
      <c r="G46" t="s">
        <v>464</v>
      </c>
      <c r="H46" t="s">
        <v>518</v>
      </c>
    </row>
    <row r="47" spans="1:8" x14ac:dyDescent="0.25">
      <c r="A47" s="10">
        <v>44797</v>
      </c>
      <c r="B47" t="s">
        <v>1865</v>
      </c>
      <c r="C47" t="s">
        <v>361</v>
      </c>
      <c r="D47" t="s">
        <v>30</v>
      </c>
      <c r="E47" t="s">
        <v>291</v>
      </c>
      <c r="F47" s="47">
        <v>1344.85</v>
      </c>
      <c r="G47" t="s">
        <v>1868</v>
      </c>
      <c r="H47" t="s">
        <v>1874</v>
      </c>
    </row>
    <row r="48" spans="1:8" x14ac:dyDescent="0.25">
      <c r="A48" s="10">
        <v>44798</v>
      </c>
      <c r="B48" t="s">
        <v>1869</v>
      </c>
      <c r="C48" t="s">
        <v>361</v>
      </c>
      <c r="D48" t="s">
        <v>30</v>
      </c>
      <c r="E48" t="s">
        <v>291</v>
      </c>
      <c r="F48" s="47">
        <v>4170</v>
      </c>
      <c r="G48" t="s">
        <v>1920</v>
      </c>
      <c r="H48" t="s">
        <v>1873</v>
      </c>
    </row>
    <row r="49" spans="1:10" x14ac:dyDescent="0.25">
      <c r="A49" s="10">
        <v>44799</v>
      </c>
      <c r="B49" t="s">
        <v>1883</v>
      </c>
      <c r="C49" t="s">
        <v>360</v>
      </c>
      <c r="D49" t="s">
        <v>30</v>
      </c>
      <c r="E49" t="s">
        <v>281</v>
      </c>
      <c r="F49" s="47">
        <v>3437.6</v>
      </c>
      <c r="G49" t="s">
        <v>1884</v>
      </c>
      <c r="H49" t="s">
        <v>80</v>
      </c>
    </row>
    <row r="50" spans="1:10" x14ac:dyDescent="0.25">
      <c r="A50" s="10">
        <v>44788</v>
      </c>
      <c r="B50" t="s">
        <v>1721</v>
      </c>
      <c r="C50" t="s">
        <v>96</v>
      </c>
      <c r="D50" t="s">
        <v>30</v>
      </c>
      <c r="E50" t="s">
        <v>281</v>
      </c>
      <c r="F50" s="47">
        <v>1493.93</v>
      </c>
      <c r="G50" t="s">
        <v>1890</v>
      </c>
      <c r="H50" t="s">
        <v>80</v>
      </c>
    </row>
    <row r="51" spans="1:10" x14ac:dyDescent="0.25">
      <c r="A51" s="10">
        <v>44797</v>
      </c>
      <c r="B51" t="s">
        <v>1758</v>
      </c>
      <c r="C51" t="s">
        <v>96</v>
      </c>
      <c r="D51" t="s">
        <v>30</v>
      </c>
      <c r="E51" t="s">
        <v>281</v>
      </c>
      <c r="F51" s="47">
        <v>581.28</v>
      </c>
      <c r="G51" t="s">
        <v>1903</v>
      </c>
      <c r="H51" t="s">
        <v>80</v>
      </c>
    </row>
    <row r="52" spans="1:10" x14ac:dyDescent="0.25">
      <c r="A52" s="10">
        <v>44800</v>
      </c>
      <c r="B52" t="s">
        <v>1904</v>
      </c>
      <c r="C52" t="s">
        <v>96</v>
      </c>
      <c r="D52" t="s">
        <v>30</v>
      </c>
      <c r="E52" t="s">
        <v>281</v>
      </c>
      <c r="F52" s="47">
        <v>1665</v>
      </c>
      <c r="G52" t="s">
        <v>1919</v>
      </c>
      <c r="H52" t="s">
        <v>80</v>
      </c>
    </row>
    <row r="53" spans="1:10" x14ac:dyDescent="0.25">
      <c r="F53" s="47"/>
    </row>
    <row r="54" spans="1:10" x14ac:dyDescent="0.25">
      <c r="F54" s="47"/>
    </row>
    <row r="55" spans="1:10" x14ac:dyDescent="0.25">
      <c r="F55" s="47"/>
    </row>
    <row r="56" spans="1:10" x14ac:dyDescent="0.25">
      <c r="F56" s="47"/>
    </row>
    <row r="57" spans="1:10" x14ac:dyDescent="0.25">
      <c r="F57" s="47"/>
    </row>
    <row r="59" spans="1:10" ht="15.75" thickBot="1" x14ac:dyDescent="0.3">
      <c r="A59" s="106" t="s">
        <v>16</v>
      </c>
      <c r="B59" s="106"/>
      <c r="C59" s="106"/>
      <c r="D59" s="106"/>
      <c r="E59" s="106"/>
      <c r="F59" s="106"/>
      <c r="G59" s="8"/>
    </row>
    <row r="60" spans="1:10" x14ac:dyDescent="0.25">
      <c r="A60" s="9" t="s">
        <v>17</v>
      </c>
      <c r="B60" s="10"/>
      <c r="C60" s="11">
        <f>SUM(F2:F57)</f>
        <v>126362.08</v>
      </c>
      <c r="D60" s="12"/>
      <c r="E60" s="13" t="s">
        <v>18</v>
      </c>
      <c r="F60" s="14"/>
      <c r="G60" s="8"/>
      <c r="H60" s="15" t="s">
        <v>19</v>
      </c>
      <c r="I60" s="16">
        <v>32</v>
      </c>
      <c r="J60" s="17"/>
    </row>
    <row r="61" spans="1:10" x14ac:dyDescent="0.25">
      <c r="A61" s="9"/>
      <c r="B61" s="10"/>
      <c r="C61" s="11"/>
      <c r="D61" s="12"/>
      <c r="E61" s="18" t="s">
        <v>20</v>
      </c>
      <c r="F61" s="11">
        <v>124115.8</v>
      </c>
      <c r="G61" s="8"/>
      <c r="H61" s="18" t="s">
        <v>21</v>
      </c>
      <c r="I61" s="20">
        <v>6</v>
      </c>
      <c r="J61" s="21">
        <f>I61/I$60</f>
        <v>0.1875</v>
      </c>
    </row>
    <row r="62" spans="1:10" ht="15.75" thickBot="1" x14ac:dyDescent="0.3">
      <c r="A62" s="9" t="s">
        <v>22</v>
      </c>
      <c r="B62" s="10"/>
      <c r="C62" s="22">
        <v>25</v>
      </c>
      <c r="D62" s="12"/>
      <c r="E62" s="23" t="s">
        <v>23</v>
      </c>
      <c r="F62" s="24">
        <f>C60/C62</f>
        <v>5054.4831999999997</v>
      </c>
      <c r="G62" s="8"/>
      <c r="H62" s="18" t="s">
        <v>24</v>
      </c>
      <c r="I62" s="20">
        <v>25</v>
      </c>
      <c r="J62" s="21">
        <f>I62/I$60</f>
        <v>0.78125</v>
      </c>
    </row>
    <row r="63" spans="1:10" ht="15.75" thickBot="1" x14ac:dyDescent="0.3">
      <c r="A63" s="9" t="s">
        <v>25</v>
      </c>
      <c r="B63" s="10"/>
      <c r="C63">
        <v>51</v>
      </c>
      <c r="D63" s="12"/>
      <c r="E63" s="12"/>
      <c r="F63" s="25"/>
      <c r="G63" s="8"/>
      <c r="H63" s="23" t="s">
        <v>26</v>
      </c>
      <c r="I63" s="26">
        <v>1</v>
      </c>
      <c r="J63" s="27">
        <f>I63/I$60</f>
        <v>3.125E-2</v>
      </c>
    </row>
    <row r="64" spans="1:10" x14ac:dyDescent="0.25">
      <c r="A64" s="9"/>
      <c r="B64" s="10"/>
      <c r="D64" s="12" t="s">
        <v>27</v>
      </c>
      <c r="E64" s="13" t="s">
        <v>28</v>
      </c>
      <c r="F64" s="14"/>
      <c r="G64" s="8"/>
    </row>
    <row r="65" spans="1:10" ht="15.75" thickBot="1" x14ac:dyDescent="0.3">
      <c r="A65" s="9" t="s">
        <v>29</v>
      </c>
      <c r="B65" s="10"/>
      <c r="C65">
        <v>44</v>
      </c>
      <c r="D65" s="12" t="s">
        <v>27</v>
      </c>
      <c r="E65" s="18" t="s">
        <v>30</v>
      </c>
      <c r="F65" s="21">
        <f>C65/C$63</f>
        <v>0.86274509803921573</v>
      </c>
      <c r="G65" s="8"/>
    </row>
    <row r="66" spans="1:10" ht="15.75" thickBot="1" x14ac:dyDescent="0.3">
      <c r="A66" s="9" t="s">
        <v>31</v>
      </c>
      <c r="B66" s="10"/>
      <c r="C66">
        <v>6</v>
      </c>
      <c r="D66" s="12"/>
      <c r="E66" s="23" t="s">
        <v>32</v>
      </c>
      <c r="F66" s="27">
        <f>C66/C$63</f>
        <v>0.11764705882352941</v>
      </c>
      <c r="G66" s="8"/>
      <c r="H66" s="15" t="s">
        <v>33</v>
      </c>
      <c r="I66" s="16">
        <v>59</v>
      </c>
      <c r="J66" s="17"/>
    </row>
    <row r="67" spans="1:10" ht="15.75" thickBot="1" x14ac:dyDescent="0.3">
      <c r="A67" s="9"/>
      <c r="B67" s="10"/>
      <c r="D67" s="12"/>
      <c r="E67" s="12"/>
      <c r="F67" s="25"/>
      <c r="G67" s="8"/>
      <c r="H67" s="28" t="s">
        <v>34</v>
      </c>
      <c r="I67" s="20">
        <v>40</v>
      </c>
      <c r="J67" s="21">
        <f>I67/I$66</f>
        <v>0.67796610169491522</v>
      </c>
    </row>
    <row r="68" spans="1:10" x14ac:dyDescent="0.25">
      <c r="A68" s="9" t="s">
        <v>35</v>
      </c>
      <c r="B68" s="10"/>
      <c r="D68" s="12"/>
      <c r="E68" s="13" t="s">
        <v>36</v>
      </c>
      <c r="F68" s="14"/>
      <c r="G68" s="8"/>
      <c r="H68" s="28" t="s">
        <v>37</v>
      </c>
      <c r="I68" s="20">
        <v>9</v>
      </c>
      <c r="J68" s="21">
        <f>I68/I$66</f>
        <v>0.15254237288135594</v>
      </c>
    </row>
    <row r="69" spans="1:10" ht="15.75" thickBot="1" x14ac:dyDescent="0.3">
      <c r="A69" s="9" t="s">
        <v>38</v>
      </c>
      <c r="B69" s="10"/>
      <c r="C69">
        <v>1</v>
      </c>
      <c r="D69" s="12"/>
      <c r="E69" s="29" t="s">
        <v>38</v>
      </c>
      <c r="F69" s="21">
        <f>C69/C$78</f>
        <v>6.7567567567567571E-3</v>
      </c>
      <c r="G69" s="8"/>
      <c r="H69" s="30" t="s">
        <v>39</v>
      </c>
      <c r="I69" s="26">
        <v>10</v>
      </c>
      <c r="J69" s="27">
        <f>I69/I$66</f>
        <v>0.16949152542372881</v>
      </c>
    </row>
    <row r="70" spans="1:10" ht="15.75" thickBot="1" x14ac:dyDescent="0.3">
      <c r="A70" s="9" t="s">
        <v>19</v>
      </c>
      <c r="B70" s="10"/>
      <c r="C70">
        <v>32</v>
      </c>
      <c r="D70" s="12"/>
      <c r="E70" s="29" t="s">
        <v>19</v>
      </c>
      <c r="F70" s="21">
        <f t="shared" ref="F70:F77" si="0">C70/C$78</f>
        <v>0.21621621621621623</v>
      </c>
      <c r="G70" s="8"/>
      <c r="H70" s="20"/>
      <c r="I70" s="20"/>
      <c r="J70" s="38"/>
    </row>
    <row r="71" spans="1:10" x14ac:dyDescent="0.25">
      <c r="A71" s="9" t="s">
        <v>40</v>
      </c>
      <c r="B71" s="10"/>
      <c r="C71">
        <v>59</v>
      </c>
      <c r="D71" s="12"/>
      <c r="E71" s="29" t="s">
        <v>40</v>
      </c>
      <c r="F71" s="21">
        <f t="shared" si="0"/>
        <v>0.39864864864864863</v>
      </c>
      <c r="G71" s="12" t="s">
        <v>27</v>
      </c>
      <c r="H71" s="80" t="s">
        <v>365</v>
      </c>
      <c r="I71" s="16">
        <v>30</v>
      </c>
      <c r="J71" s="14">
        <f t="shared" ref="J71:J82" si="1">I71/I$66</f>
        <v>0.50847457627118642</v>
      </c>
    </row>
    <row r="72" spans="1:10" x14ac:dyDescent="0.25">
      <c r="A72" s="9" t="s">
        <v>41</v>
      </c>
      <c r="B72" s="10"/>
      <c r="C72">
        <v>0</v>
      </c>
      <c r="D72" s="12"/>
      <c r="E72" s="29" t="s">
        <v>41</v>
      </c>
      <c r="F72" s="21">
        <f t="shared" si="0"/>
        <v>0</v>
      </c>
      <c r="G72" s="8"/>
      <c r="H72" s="69" t="s">
        <v>366</v>
      </c>
      <c r="I72" s="68">
        <v>5</v>
      </c>
      <c r="J72" s="21">
        <f t="shared" si="1"/>
        <v>8.4745762711864403E-2</v>
      </c>
    </row>
    <row r="73" spans="1:10" x14ac:dyDescent="0.25">
      <c r="A73" s="9" t="s">
        <v>42</v>
      </c>
      <c r="B73" s="10"/>
      <c r="C73">
        <v>11</v>
      </c>
      <c r="D73" s="12"/>
      <c r="E73" s="29" t="s">
        <v>42</v>
      </c>
      <c r="F73" s="21">
        <f t="shared" si="0"/>
        <v>7.4324324324324328E-2</v>
      </c>
      <c r="G73" s="8"/>
      <c r="H73" s="28" t="s">
        <v>367</v>
      </c>
      <c r="I73" s="20">
        <v>6</v>
      </c>
      <c r="J73" s="21">
        <f t="shared" si="1"/>
        <v>0.10169491525423729</v>
      </c>
    </row>
    <row r="74" spans="1:10" x14ac:dyDescent="0.25">
      <c r="A74" s="9" t="s">
        <v>43</v>
      </c>
      <c r="B74" s="10"/>
      <c r="C74">
        <v>2</v>
      </c>
      <c r="D74" s="12"/>
      <c r="E74" s="29" t="s">
        <v>43</v>
      </c>
      <c r="F74" s="21">
        <f t="shared" si="0"/>
        <v>1.3513513513513514E-2</v>
      </c>
      <c r="G74" s="8"/>
      <c r="H74" s="28" t="s">
        <v>368</v>
      </c>
      <c r="I74" s="20">
        <v>2</v>
      </c>
      <c r="J74" s="21">
        <f t="shared" si="1"/>
        <v>3.3898305084745763E-2</v>
      </c>
    </row>
    <row r="75" spans="1:10" x14ac:dyDescent="0.25">
      <c r="A75" s="9" t="s">
        <v>44</v>
      </c>
      <c r="B75" s="10"/>
      <c r="C75">
        <v>22</v>
      </c>
      <c r="D75" s="12"/>
      <c r="E75" s="29" t="s">
        <v>44</v>
      </c>
      <c r="F75" s="21">
        <f t="shared" si="0"/>
        <v>0.14864864864864866</v>
      </c>
      <c r="G75" s="8"/>
      <c r="H75" s="28" t="s">
        <v>369</v>
      </c>
      <c r="I75" s="20">
        <v>7</v>
      </c>
      <c r="J75" s="21">
        <f t="shared" si="1"/>
        <v>0.11864406779661017</v>
      </c>
    </row>
    <row r="76" spans="1:10" x14ac:dyDescent="0.25">
      <c r="A76" s="9" t="s">
        <v>45</v>
      </c>
      <c r="B76" s="10"/>
      <c r="C76">
        <v>3</v>
      </c>
      <c r="D76" s="12"/>
      <c r="E76" s="29" t="s">
        <v>45</v>
      </c>
      <c r="F76" s="21">
        <f t="shared" si="0"/>
        <v>2.0270270270270271E-2</v>
      </c>
      <c r="G76" s="8"/>
      <c r="H76" s="28" t="s">
        <v>370</v>
      </c>
      <c r="I76" s="20">
        <v>5</v>
      </c>
      <c r="J76" s="21">
        <f t="shared" si="1"/>
        <v>8.4745762711864403E-2</v>
      </c>
    </row>
    <row r="77" spans="1:10" ht="15.75" thickBot="1" x14ac:dyDescent="0.3">
      <c r="A77" s="9" t="s">
        <v>46</v>
      </c>
      <c r="B77" s="10"/>
      <c r="C77">
        <v>18</v>
      </c>
      <c r="D77" s="12"/>
      <c r="E77" s="31" t="s">
        <v>46</v>
      </c>
      <c r="F77" s="27">
        <f t="shared" si="0"/>
        <v>0.12162162162162163</v>
      </c>
      <c r="G77" s="12" t="s">
        <v>27</v>
      </c>
      <c r="H77" s="69" t="s">
        <v>371</v>
      </c>
      <c r="I77" s="68">
        <v>3</v>
      </c>
      <c r="J77" s="21">
        <f t="shared" si="1"/>
        <v>5.0847457627118647E-2</v>
      </c>
    </row>
    <row r="78" spans="1:10" ht="15.75" thickBot="1" x14ac:dyDescent="0.3">
      <c r="A78" s="9" t="s">
        <v>47</v>
      </c>
      <c r="B78" s="10"/>
      <c r="C78">
        <f>SUM(C69:C77)</f>
        <v>148</v>
      </c>
      <c r="D78" s="12"/>
      <c r="E78" s="9"/>
      <c r="F78" s="25"/>
      <c r="G78" s="8"/>
      <c r="H78" s="69" t="s">
        <v>372</v>
      </c>
      <c r="I78" s="68">
        <v>0</v>
      </c>
      <c r="J78" s="21">
        <f t="shared" si="1"/>
        <v>0</v>
      </c>
    </row>
    <row r="79" spans="1:10" x14ac:dyDescent="0.25">
      <c r="A79" s="9"/>
      <c r="B79" s="10"/>
      <c r="D79" s="12"/>
      <c r="E79" s="32" t="s">
        <v>49</v>
      </c>
      <c r="F79" s="14"/>
      <c r="G79" s="8"/>
      <c r="H79" s="69" t="s">
        <v>373</v>
      </c>
      <c r="I79" s="68">
        <v>0</v>
      </c>
      <c r="J79" s="21">
        <f t="shared" si="1"/>
        <v>0</v>
      </c>
    </row>
    <row r="80" spans="1:10" x14ac:dyDescent="0.25">
      <c r="A80" s="9" t="s">
        <v>51</v>
      </c>
      <c r="B80" s="10"/>
      <c r="D80" s="12"/>
      <c r="E80" s="29" t="s">
        <v>52</v>
      </c>
      <c r="F80" s="21">
        <f>C81/C$91</f>
        <v>0.40764331210191085</v>
      </c>
      <c r="G80" s="8"/>
      <c r="H80" s="69" t="s">
        <v>374</v>
      </c>
      <c r="I80" s="68">
        <v>0</v>
      </c>
      <c r="J80" s="21">
        <f t="shared" si="1"/>
        <v>0</v>
      </c>
    </row>
    <row r="81" spans="1:10" x14ac:dyDescent="0.25">
      <c r="A81" s="9" t="s">
        <v>52</v>
      </c>
      <c r="B81" s="10"/>
      <c r="C81">
        <v>64</v>
      </c>
      <c r="D81" s="12"/>
      <c r="E81" s="29" t="s">
        <v>53</v>
      </c>
      <c r="F81" s="21">
        <f t="shared" ref="F81:F89" si="2">C82/C$91</f>
        <v>0.12101910828025478</v>
      </c>
      <c r="G81" s="8"/>
      <c r="H81" s="69" t="s">
        <v>375</v>
      </c>
      <c r="I81" s="68">
        <v>0</v>
      </c>
      <c r="J81" s="21">
        <f t="shared" si="1"/>
        <v>0</v>
      </c>
    </row>
    <row r="82" spans="1:10" ht="15.75" thickBot="1" x14ac:dyDescent="0.3">
      <c r="A82" s="9" t="s">
        <v>53</v>
      </c>
      <c r="B82" s="10"/>
      <c r="C82">
        <v>19</v>
      </c>
      <c r="D82" s="12"/>
      <c r="E82" s="29" t="s">
        <v>54</v>
      </c>
      <c r="F82" s="21">
        <f t="shared" si="2"/>
        <v>9.5541401273885357E-2</v>
      </c>
      <c r="G82" s="8"/>
      <c r="H82" s="70" t="s">
        <v>376</v>
      </c>
      <c r="I82" s="26">
        <v>1</v>
      </c>
      <c r="J82" s="27">
        <f t="shared" si="1"/>
        <v>1.6949152542372881E-2</v>
      </c>
    </row>
    <row r="83" spans="1:10" ht="15.75" thickBot="1" x14ac:dyDescent="0.3">
      <c r="A83" s="9" t="s">
        <v>54</v>
      </c>
      <c r="B83" s="10"/>
      <c r="C83">
        <v>15</v>
      </c>
      <c r="D83" s="12"/>
      <c r="E83" s="29" t="s">
        <v>56</v>
      </c>
      <c r="F83" s="21">
        <f t="shared" si="2"/>
        <v>0.26751592356687898</v>
      </c>
      <c r="G83" s="8"/>
    </row>
    <row r="84" spans="1:10" x14ac:dyDescent="0.25">
      <c r="A84" s="9" t="s">
        <v>56</v>
      </c>
      <c r="B84" s="10"/>
      <c r="C84">
        <v>42</v>
      </c>
      <c r="D84" s="12"/>
      <c r="E84" s="29" t="s">
        <v>58</v>
      </c>
      <c r="F84" s="21">
        <f t="shared" si="2"/>
        <v>3.1847133757961783E-2</v>
      </c>
      <c r="G84" s="12" t="s">
        <v>27</v>
      </c>
      <c r="H84" s="15" t="s">
        <v>42</v>
      </c>
      <c r="I84" s="16">
        <v>11</v>
      </c>
      <c r="J84" s="17"/>
    </row>
    <row r="85" spans="1:10" x14ac:dyDescent="0.25">
      <c r="A85" s="9" t="s">
        <v>58</v>
      </c>
      <c r="B85" s="10"/>
      <c r="C85">
        <v>5</v>
      </c>
      <c r="D85" s="12"/>
      <c r="E85" s="29" t="s">
        <v>60</v>
      </c>
      <c r="F85" s="21">
        <f t="shared" si="2"/>
        <v>1.2738853503184714E-2</v>
      </c>
      <c r="G85" s="8"/>
      <c r="H85" s="28" t="s">
        <v>48</v>
      </c>
      <c r="I85" s="20">
        <v>2</v>
      </c>
      <c r="J85" s="21">
        <f>I85/I$84</f>
        <v>0.18181818181818182</v>
      </c>
    </row>
    <row r="86" spans="1:10" ht="15.75" thickBot="1" x14ac:dyDescent="0.3">
      <c r="A86" s="9" t="s">
        <v>60</v>
      </c>
      <c r="B86" s="10"/>
      <c r="C86">
        <v>2</v>
      </c>
      <c r="D86" s="12"/>
      <c r="E86" s="29" t="s">
        <v>62</v>
      </c>
      <c r="F86" s="21">
        <f t="shared" si="2"/>
        <v>1.2738853503184714E-2</v>
      </c>
      <c r="G86" s="8"/>
      <c r="H86" s="30" t="s">
        <v>50</v>
      </c>
      <c r="I86" s="26">
        <v>9</v>
      </c>
      <c r="J86" s="27">
        <f>I86/I$84</f>
        <v>0.81818181818181823</v>
      </c>
    </row>
    <row r="87" spans="1:10" x14ac:dyDescent="0.25">
      <c r="A87" s="9" t="s">
        <v>62</v>
      </c>
      <c r="B87" s="10"/>
      <c r="C87">
        <v>2</v>
      </c>
      <c r="D87" s="12"/>
      <c r="E87" s="29" t="s">
        <v>64</v>
      </c>
      <c r="F87" s="21">
        <f t="shared" si="2"/>
        <v>0</v>
      </c>
      <c r="G87" s="8"/>
    </row>
    <row r="88" spans="1:10" ht="15.75" thickBot="1" x14ac:dyDescent="0.3">
      <c r="A88" s="9" t="s">
        <v>64</v>
      </c>
      <c r="B88" s="10"/>
      <c r="C88">
        <v>0</v>
      </c>
      <c r="D88" s="12"/>
      <c r="E88" s="29" t="s">
        <v>66</v>
      </c>
      <c r="F88" s="21">
        <f t="shared" si="2"/>
        <v>0</v>
      </c>
      <c r="G88" s="8"/>
    </row>
    <row r="89" spans="1:10" ht="15.75" thickBot="1" x14ac:dyDescent="0.3">
      <c r="A89" s="9" t="s">
        <v>66</v>
      </c>
      <c r="B89" s="10"/>
      <c r="C89">
        <v>0</v>
      </c>
      <c r="D89" s="12"/>
      <c r="E89" s="31" t="s">
        <v>68</v>
      </c>
      <c r="F89" s="27">
        <f t="shared" si="2"/>
        <v>5.0955414012738856E-2</v>
      </c>
      <c r="G89" s="8"/>
      <c r="H89" s="15" t="s">
        <v>55</v>
      </c>
      <c r="I89" s="16">
        <v>2</v>
      </c>
      <c r="J89" s="17"/>
    </row>
    <row r="90" spans="1:10" ht="15.75" thickBot="1" x14ac:dyDescent="0.3">
      <c r="A90" s="9" t="s">
        <v>68</v>
      </c>
      <c r="B90" s="10"/>
      <c r="C90">
        <v>8</v>
      </c>
      <c r="D90" s="12"/>
      <c r="E90" s="9"/>
      <c r="F90" s="25"/>
      <c r="G90" s="8"/>
      <c r="H90" s="28" t="s">
        <v>57</v>
      </c>
      <c r="I90" s="20">
        <v>0</v>
      </c>
      <c r="J90" s="21">
        <f t="shared" ref="J90:J95" si="3">I90/I$89</f>
        <v>0</v>
      </c>
    </row>
    <row r="91" spans="1:10" x14ac:dyDescent="0.25">
      <c r="A91" s="9" t="s">
        <v>70</v>
      </c>
      <c r="B91" s="10"/>
      <c r="C91">
        <f>SUM(C81:C90)</f>
        <v>157</v>
      </c>
      <c r="D91" s="12"/>
      <c r="E91" s="32" t="s">
        <v>71</v>
      </c>
      <c r="F91" s="14"/>
      <c r="G91" s="8"/>
      <c r="H91" s="28" t="s">
        <v>59</v>
      </c>
      <c r="I91" s="20">
        <v>2</v>
      </c>
      <c r="J91" s="21">
        <f t="shared" si="3"/>
        <v>1</v>
      </c>
    </row>
    <row r="92" spans="1:10" x14ac:dyDescent="0.25">
      <c r="A92" s="9"/>
      <c r="B92" s="10"/>
      <c r="D92" s="12"/>
      <c r="E92" s="33" t="s">
        <v>72</v>
      </c>
      <c r="F92" s="21">
        <f>C93/C$63</f>
        <v>0.76470588235294112</v>
      </c>
      <c r="G92" s="8"/>
      <c r="H92" s="28" t="s">
        <v>61</v>
      </c>
      <c r="I92" s="20">
        <v>0</v>
      </c>
      <c r="J92" s="21">
        <f t="shared" si="3"/>
        <v>0</v>
      </c>
    </row>
    <row r="93" spans="1:10" x14ac:dyDescent="0.25">
      <c r="A93" s="9" t="s">
        <v>73</v>
      </c>
      <c r="B93" s="10"/>
      <c r="C93">
        <v>39</v>
      </c>
      <c r="D93" s="12"/>
      <c r="E93" s="33" t="s">
        <v>74</v>
      </c>
      <c r="F93" s="21">
        <f>C94/C$63</f>
        <v>1.9607843137254902E-2</v>
      </c>
      <c r="G93" s="8"/>
      <c r="H93" s="28" t="s">
        <v>63</v>
      </c>
      <c r="I93" s="20">
        <v>0</v>
      </c>
      <c r="J93" s="21">
        <f t="shared" si="3"/>
        <v>0</v>
      </c>
    </row>
    <row r="94" spans="1:10" ht="15.75" thickBot="1" x14ac:dyDescent="0.3">
      <c r="A94" s="9" t="s">
        <v>75</v>
      </c>
      <c r="B94" s="10"/>
      <c r="C94">
        <v>1</v>
      </c>
      <c r="D94" s="12"/>
      <c r="E94" s="34" t="s">
        <v>76</v>
      </c>
      <c r="F94" s="27">
        <f>C95/C$63</f>
        <v>0.21568627450980393</v>
      </c>
      <c r="G94" s="8"/>
      <c r="H94" s="28" t="s">
        <v>65</v>
      </c>
      <c r="I94" s="20">
        <v>0</v>
      </c>
      <c r="J94" s="21">
        <f t="shared" si="3"/>
        <v>0</v>
      </c>
    </row>
    <row r="95" spans="1:10" ht="15.75" thickBot="1" x14ac:dyDescent="0.3">
      <c r="A95" s="9" t="s">
        <v>77</v>
      </c>
      <c r="B95" s="10"/>
      <c r="C95">
        <v>11</v>
      </c>
      <c r="D95" s="12"/>
      <c r="E95" s="35"/>
      <c r="F95" s="25"/>
      <c r="G95" s="12" t="s">
        <v>27</v>
      </c>
      <c r="H95" s="30" t="s">
        <v>67</v>
      </c>
      <c r="I95" s="26">
        <v>0</v>
      </c>
      <c r="J95" s="27">
        <f t="shared" si="3"/>
        <v>0</v>
      </c>
    </row>
    <row r="96" spans="1:10" ht="15.75" thickBot="1" x14ac:dyDescent="0.3">
      <c r="A96" s="9"/>
      <c r="B96" s="10"/>
      <c r="D96" s="12"/>
      <c r="E96" s="36" t="s">
        <v>28</v>
      </c>
      <c r="F96" s="14"/>
      <c r="G96" s="8"/>
    </row>
    <row r="97" spans="1:10" x14ac:dyDescent="0.25">
      <c r="A97" s="9" t="s">
        <v>28</v>
      </c>
      <c r="B97" s="10"/>
      <c r="D97" s="12"/>
      <c r="E97" s="29" t="s">
        <v>78</v>
      </c>
      <c r="F97" s="21">
        <f>C98/C$63</f>
        <v>0.62745098039215685</v>
      </c>
      <c r="G97" s="8"/>
      <c r="H97" s="15" t="s">
        <v>69</v>
      </c>
      <c r="I97" s="16">
        <v>0</v>
      </c>
      <c r="J97" s="17"/>
    </row>
    <row r="98" spans="1:10" ht="15.75" thickBot="1" x14ac:dyDescent="0.3">
      <c r="A98" s="9" t="s">
        <v>79</v>
      </c>
      <c r="B98" s="10"/>
      <c r="C98">
        <v>32</v>
      </c>
      <c r="D98" s="12"/>
      <c r="E98" s="31" t="s">
        <v>80</v>
      </c>
      <c r="F98" s="27">
        <f>C99/C$63</f>
        <v>0.37254901960784315</v>
      </c>
      <c r="G98" s="8"/>
      <c r="H98" s="28" t="s">
        <v>57</v>
      </c>
      <c r="I98" s="20">
        <v>0</v>
      </c>
      <c r="J98" s="21" t="e">
        <f t="shared" ref="J98:J103" si="4">I98/I$97</f>
        <v>#DIV/0!</v>
      </c>
    </row>
    <row r="99" spans="1:10" ht="15.75" thickBot="1" x14ac:dyDescent="0.3">
      <c r="A99" s="9" t="s">
        <v>80</v>
      </c>
      <c r="B99" s="10"/>
      <c r="C99">
        <v>19</v>
      </c>
      <c r="D99" s="12"/>
      <c r="E99" s="96"/>
      <c r="F99" s="97"/>
      <c r="G99" s="8"/>
      <c r="H99" s="28" t="s">
        <v>59</v>
      </c>
      <c r="I99" s="20">
        <v>0</v>
      </c>
      <c r="J99" s="21" t="e">
        <f t="shared" si="4"/>
        <v>#DIV/0!</v>
      </c>
    </row>
    <row r="100" spans="1:10" x14ac:dyDescent="0.25">
      <c r="A100" s="9"/>
      <c r="B100" s="10"/>
      <c r="D100" s="12"/>
      <c r="E100" s="15" t="s">
        <v>1166</v>
      </c>
      <c r="F100" s="14"/>
      <c r="G100" s="8"/>
      <c r="H100" s="28" t="s">
        <v>61</v>
      </c>
      <c r="I100" s="20">
        <v>0</v>
      </c>
      <c r="J100" s="21" t="e">
        <f t="shared" si="4"/>
        <v>#DIV/0!</v>
      </c>
    </row>
    <row r="101" spans="1:10" x14ac:dyDescent="0.25">
      <c r="A101" t="s">
        <v>1166</v>
      </c>
      <c r="B101" s="10"/>
      <c r="D101" s="12"/>
      <c r="E101" s="28" t="s">
        <v>1167</v>
      </c>
      <c r="F101" s="21">
        <f>C102/C$99</f>
        <v>0.78947368421052633</v>
      </c>
      <c r="G101" s="8"/>
      <c r="H101" s="28" t="s">
        <v>63</v>
      </c>
      <c r="I101" s="20">
        <v>0</v>
      </c>
      <c r="J101" s="21" t="e">
        <f t="shared" si="4"/>
        <v>#DIV/0!</v>
      </c>
    </row>
    <row r="102" spans="1:10" ht="15.75" thickBot="1" x14ac:dyDescent="0.3">
      <c r="A102" t="s">
        <v>1167</v>
      </c>
      <c r="B102" s="10"/>
      <c r="C102">
        <v>15</v>
      </c>
      <c r="D102" s="12"/>
      <c r="E102" s="30" t="s">
        <v>1168</v>
      </c>
      <c r="F102" s="27">
        <f>C103/C$99</f>
        <v>0.21052631578947367</v>
      </c>
      <c r="G102" s="8"/>
      <c r="H102" s="28" t="s">
        <v>65</v>
      </c>
      <c r="I102" s="20">
        <v>0</v>
      </c>
      <c r="J102" s="21" t="e">
        <f t="shared" si="4"/>
        <v>#DIV/0!</v>
      </c>
    </row>
    <row r="103" spans="1:10" ht="15.75" thickBot="1" x14ac:dyDescent="0.3">
      <c r="A103" t="s">
        <v>1168</v>
      </c>
      <c r="B103" s="10"/>
      <c r="C103">
        <v>4</v>
      </c>
      <c r="D103" s="12"/>
      <c r="E103" s="37"/>
      <c r="F103" s="38"/>
      <c r="G103" s="8"/>
      <c r="H103" s="30" t="s">
        <v>67</v>
      </c>
      <c r="I103" s="26">
        <v>0</v>
      </c>
      <c r="J103" s="27" t="e">
        <f t="shared" si="4"/>
        <v>#DIV/0!</v>
      </c>
    </row>
    <row r="104" spans="1:10" x14ac:dyDescent="0.25">
      <c r="A104" s="9"/>
      <c r="B104" s="10"/>
      <c r="C104" t="s">
        <v>27</v>
      </c>
      <c r="D104" s="12"/>
      <c r="E104" s="32" t="s">
        <v>81</v>
      </c>
      <c r="F104" s="14"/>
      <c r="G104" s="8"/>
    </row>
    <row r="105" spans="1:10" ht="15.75" thickBot="1" x14ac:dyDescent="0.3">
      <c r="A105" s="9" t="s">
        <v>83</v>
      </c>
      <c r="B105" s="10"/>
      <c r="D105" s="12"/>
      <c r="E105" s="29" t="s">
        <v>84</v>
      </c>
      <c r="F105" s="21">
        <f t="shared" ref="F105:F110" si="5">C106/C$63</f>
        <v>0.45098039215686275</v>
      </c>
      <c r="G105" s="8"/>
    </row>
    <row r="106" spans="1:10" x14ac:dyDescent="0.25">
      <c r="A106" s="9" t="s">
        <v>84</v>
      </c>
      <c r="B106" s="10"/>
      <c r="C106">
        <v>23</v>
      </c>
      <c r="D106" s="12"/>
      <c r="E106" s="18" t="s">
        <v>86</v>
      </c>
      <c r="F106" s="21">
        <f t="shared" si="5"/>
        <v>0.13725490196078433</v>
      </c>
      <c r="G106" s="8"/>
      <c r="H106" s="15" t="s">
        <v>44</v>
      </c>
      <c r="I106" s="16">
        <v>22</v>
      </c>
      <c r="J106" s="17"/>
    </row>
    <row r="107" spans="1:10" x14ac:dyDescent="0.25">
      <c r="A107" s="9" t="s">
        <v>86</v>
      </c>
      <c r="B107" s="10"/>
      <c r="C107">
        <v>7</v>
      </c>
      <c r="D107" s="12"/>
      <c r="E107" s="18" t="s">
        <v>88</v>
      </c>
      <c r="F107" s="21">
        <f t="shared" si="5"/>
        <v>0</v>
      </c>
      <c r="G107" s="8"/>
      <c r="H107" s="28" t="s">
        <v>82</v>
      </c>
      <c r="I107" s="20">
        <v>7</v>
      </c>
      <c r="J107" s="21">
        <f>I107/I$106</f>
        <v>0.31818181818181818</v>
      </c>
    </row>
    <row r="108" spans="1:10" x14ac:dyDescent="0.25">
      <c r="A108" s="9" t="s">
        <v>88</v>
      </c>
      <c r="B108" s="10"/>
      <c r="C108">
        <v>0</v>
      </c>
      <c r="D108" s="12"/>
      <c r="E108" s="18" t="s">
        <v>90</v>
      </c>
      <c r="F108" s="21">
        <f t="shared" si="5"/>
        <v>0</v>
      </c>
      <c r="G108" s="8"/>
      <c r="H108" s="28" t="s">
        <v>85</v>
      </c>
      <c r="I108" s="20">
        <v>8</v>
      </c>
      <c r="J108" s="21">
        <f>I108/I$106</f>
        <v>0.36363636363636365</v>
      </c>
    </row>
    <row r="109" spans="1:10" x14ac:dyDescent="0.25">
      <c r="A109" s="9" t="s">
        <v>90</v>
      </c>
      <c r="B109" s="10"/>
      <c r="C109">
        <v>0</v>
      </c>
      <c r="D109" s="12"/>
      <c r="E109" s="18" t="s">
        <v>91</v>
      </c>
      <c r="F109" s="21">
        <f t="shared" si="5"/>
        <v>0.37254901960784315</v>
      </c>
      <c r="G109" s="8"/>
      <c r="H109" s="28" t="s">
        <v>87</v>
      </c>
      <c r="I109" s="20">
        <v>3</v>
      </c>
      <c r="J109" s="21">
        <f>I109/I$106</f>
        <v>0.13636363636363635</v>
      </c>
    </row>
    <row r="110" spans="1:10" ht="15.75" thickBot="1" x14ac:dyDescent="0.3">
      <c r="A110" s="9" t="s">
        <v>91</v>
      </c>
      <c r="B110" s="10"/>
      <c r="C110">
        <v>19</v>
      </c>
      <c r="D110" s="12"/>
      <c r="E110" s="23" t="s">
        <v>46</v>
      </c>
      <c r="F110" s="27">
        <f t="shared" si="5"/>
        <v>3.9215686274509803E-2</v>
      </c>
      <c r="G110" s="8"/>
      <c r="H110" s="30" t="s">
        <v>89</v>
      </c>
      <c r="I110" s="26">
        <v>4</v>
      </c>
      <c r="J110" s="27">
        <f>I110/I$106</f>
        <v>0.18181818181818182</v>
      </c>
    </row>
    <row r="111" spans="1:10" ht="15.75" thickBot="1" x14ac:dyDescent="0.3">
      <c r="A111" s="9" t="s">
        <v>46</v>
      </c>
      <c r="B111" s="10"/>
      <c r="C111">
        <v>2</v>
      </c>
      <c r="D111" s="12"/>
      <c r="E111" s="12"/>
      <c r="F111" s="25"/>
      <c r="G111" s="8"/>
    </row>
    <row r="112" spans="1:10" ht="15.75" thickBot="1" x14ac:dyDescent="0.3">
      <c r="A112" s="9"/>
      <c r="B112" s="10"/>
      <c r="D112" s="12"/>
      <c r="E112" s="13" t="s">
        <v>93</v>
      </c>
      <c r="F112" s="14"/>
      <c r="G112" s="8"/>
    </row>
    <row r="113" spans="1:10" x14ac:dyDescent="0.25">
      <c r="A113" s="9" t="s">
        <v>95</v>
      </c>
      <c r="B113" s="10"/>
      <c r="C113">
        <v>4</v>
      </c>
      <c r="D113" s="12"/>
      <c r="E113" s="18" t="s">
        <v>96</v>
      </c>
      <c r="F113" s="21">
        <f>C114/C$63</f>
        <v>0.66666666666666663</v>
      </c>
      <c r="G113" s="8"/>
      <c r="H113" s="15" t="s">
        <v>46</v>
      </c>
      <c r="I113" s="16">
        <v>18</v>
      </c>
      <c r="J113" s="17"/>
    </row>
    <row r="114" spans="1:10" x14ac:dyDescent="0.25">
      <c r="A114" s="9" t="s">
        <v>96</v>
      </c>
      <c r="B114" s="10"/>
      <c r="C114">
        <v>34</v>
      </c>
      <c r="D114" s="12"/>
      <c r="E114" s="18" t="s">
        <v>98</v>
      </c>
      <c r="F114" s="21">
        <f>C115/C$63</f>
        <v>0.19607843137254902</v>
      </c>
      <c r="G114" s="8"/>
      <c r="H114" s="28" t="s">
        <v>92</v>
      </c>
      <c r="I114" s="20">
        <v>1</v>
      </c>
      <c r="J114" s="21">
        <f>I114/I$113</f>
        <v>5.5555555555555552E-2</v>
      </c>
    </row>
    <row r="115" spans="1:10" x14ac:dyDescent="0.25">
      <c r="A115" s="9" t="s">
        <v>98</v>
      </c>
      <c r="B115" s="10"/>
      <c r="C115">
        <v>10</v>
      </c>
      <c r="D115" s="12"/>
      <c r="E115" s="18" t="s">
        <v>100</v>
      </c>
      <c r="F115" s="21">
        <f>C116/C$63</f>
        <v>3.9215686274509803E-2</v>
      </c>
      <c r="G115" s="8"/>
      <c r="H115" s="28" t="s">
        <v>94</v>
      </c>
      <c r="I115" s="20">
        <v>4</v>
      </c>
      <c r="J115" s="21">
        <f t="shared" ref="J115:J123" si="6">I115/I$113</f>
        <v>0.22222222222222221</v>
      </c>
    </row>
    <row r="116" spans="1:10" x14ac:dyDescent="0.25">
      <c r="A116" s="9" t="s">
        <v>100</v>
      </c>
      <c r="B116" s="10"/>
      <c r="C116">
        <v>2</v>
      </c>
      <c r="D116" s="12"/>
      <c r="E116" s="18" t="s">
        <v>102</v>
      </c>
      <c r="F116" s="21">
        <f>C117/C$63</f>
        <v>9.8039215686274508E-2</v>
      </c>
      <c r="G116" s="8"/>
      <c r="H116" s="28" t="s">
        <v>97</v>
      </c>
      <c r="I116" s="20">
        <v>0</v>
      </c>
      <c r="J116" s="21">
        <f t="shared" si="6"/>
        <v>0</v>
      </c>
    </row>
    <row r="117" spans="1:10" ht="15.75" thickBot="1" x14ac:dyDescent="0.3">
      <c r="A117" s="9" t="s">
        <v>102</v>
      </c>
      <c r="B117" s="10"/>
      <c r="C117">
        <v>5</v>
      </c>
      <c r="E117" s="23" t="s">
        <v>103</v>
      </c>
      <c r="F117" s="27">
        <f>C118/C$63</f>
        <v>0</v>
      </c>
      <c r="H117" s="28" t="s">
        <v>99</v>
      </c>
      <c r="I117" s="20">
        <v>0</v>
      </c>
      <c r="J117" s="21">
        <f t="shared" si="6"/>
        <v>0</v>
      </c>
    </row>
    <row r="118" spans="1:10" x14ac:dyDescent="0.25">
      <c r="A118" s="9" t="s">
        <v>103</v>
      </c>
      <c r="B118" s="10"/>
      <c r="C118">
        <v>0</v>
      </c>
      <c r="E118" s="12"/>
      <c r="F118" s="25"/>
      <c r="H118" s="28" t="s">
        <v>101</v>
      </c>
      <c r="I118" s="20">
        <v>6</v>
      </c>
      <c r="J118" s="21">
        <f t="shared" si="6"/>
        <v>0.33333333333333331</v>
      </c>
    </row>
    <row r="119" spans="1:10" x14ac:dyDescent="0.25">
      <c r="A119" s="9" t="s">
        <v>104</v>
      </c>
      <c r="B119" s="10"/>
      <c r="C119">
        <v>0</v>
      </c>
      <c r="E119" s="12"/>
      <c r="F119" s="25"/>
      <c r="H119" s="66" t="s">
        <v>159</v>
      </c>
      <c r="I119" s="68">
        <v>1</v>
      </c>
      <c r="J119" s="21">
        <f t="shared" si="6"/>
        <v>5.5555555555555552E-2</v>
      </c>
    </row>
    <row r="120" spans="1:10" x14ac:dyDescent="0.25">
      <c r="A120" s="9"/>
      <c r="B120" s="10"/>
      <c r="E120" s="12"/>
      <c r="F120" s="25"/>
      <c r="H120" s="66" t="s">
        <v>160</v>
      </c>
      <c r="I120" s="68">
        <v>1</v>
      </c>
      <c r="J120" s="21">
        <f t="shared" si="6"/>
        <v>5.5555555555555552E-2</v>
      </c>
    </row>
    <row r="121" spans="1:10" ht="15.75" thickBot="1" x14ac:dyDescent="0.3">
      <c r="H121" s="66" t="s">
        <v>161</v>
      </c>
      <c r="I121" s="68">
        <v>0</v>
      </c>
      <c r="J121" s="21">
        <f t="shared" si="6"/>
        <v>0</v>
      </c>
    </row>
    <row r="122" spans="1:10" x14ac:dyDescent="0.25">
      <c r="A122" s="89" t="s">
        <v>7</v>
      </c>
      <c r="B122" s="100">
        <v>126362.08</v>
      </c>
      <c r="H122" s="66" t="s">
        <v>162</v>
      </c>
      <c r="I122" s="68">
        <v>2</v>
      </c>
      <c r="J122" s="21">
        <f t="shared" si="6"/>
        <v>0.1111111111111111</v>
      </c>
    </row>
    <row r="123" spans="1:10" ht="15.75" thickBot="1" x14ac:dyDescent="0.3">
      <c r="A123" s="91" t="s">
        <v>84</v>
      </c>
      <c r="B123" s="92">
        <f>SUM(F2,F5:F19,F21,F23,F31,F33,F35,F41,F44,F46,)</f>
        <v>45924.240000000005</v>
      </c>
      <c r="H123" s="67" t="s">
        <v>163</v>
      </c>
      <c r="I123" s="26">
        <v>0</v>
      </c>
      <c r="J123" s="27">
        <f t="shared" si="6"/>
        <v>0</v>
      </c>
    </row>
    <row r="124" spans="1:10" x14ac:dyDescent="0.25">
      <c r="A124" s="91" t="s">
        <v>281</v>
      </c>
      <c r="B124" s="92">
        <f>SUM(F3:F4,F20,F24:F25,F29:F30,F32,F34,F37:F40,F45,F49:F52,)</f>
        <v>56446.090000000004</v>
      </c>
    </row>
    <row r="125" spans="1:10" x14ac:dyDescent="0.25">
      <c r="A125" s="91" t="s">
        <v>291</v>
      </c>
      <c r="B125" s="92">
        <f>SUM(F22,F26,F28,F36,F43,F47:F48,)</f>
        <v>17392.75</v>
      </c>
    </row>
    <row r="126" spans="1:10" x14ac:dyDescent="0.25">
      <c r="A126" s="91" t="s">
        <v>46</v>
      </c>
      <c r="B126" s="93">
        <f>SUM(F27,F42,)</f>
        <v>6599</v>
      </c>
    </row>
    <row r="127" spans="1:10" ht="15.75" thickBot="1" x14ac:dyDescent="0.3">
      <c r="A127" s="94"/>
      <c r="B127" s="95">
        <f>SUM(B123:B126)</f>
        <v>126362.08000000002</v>
      </c>
    </row>
  </sheetData>
  <mergeCells count="1">
    <mergeCell ref="A59:F5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3"/>
  <sheetViews>
    <sheetView topLeftCell="A75" workbookViewId="0">
      <selection activeCell="H117" sqref="H117:I121"/>
    </sheetView>
  </sheetViews>
  <sheetFormatPr baseColWidth="10" defaultRowHeight="15" x14ac:dyDescent="0.25"/>
  <cols>
    <col min="1" max="1" width="12" customWidth="1"/>
    <col min="2" max="2" width="34.28515625" customWidth="1"/>
    <col min="3" max="3" width="11.7109375" customWidth="1"/>
    <col min="4" max="4" width="5" customWidth="1"/>
    <col min="5" max="5" width="7.140625" customWidth="1"/>
    <col min="7" max="7" width="45.28515625" customWidth="1"/>
    <col min="8" max="8" width="41.5703125" customWidth="1"/>
  </cols>
  <sheetData>
    <row r="1" spans="1:8" ht="15" customHeight="1" x14ac:dyDescent="0.25">
      <c r="A1" s="3" t="s">
        <v>2</v>
      </c>
      <c r="B1" s="4" t="s">
        <v>3</v>
      </c>
      <c r="C1" s="4" t="s">
        <v>5</v>
      </c>
      <c r="D1" s="4" t="s">
        <v>15</v>
      </c>
      <c r="E1" s="7" t="s">
        <v>6</v>
      </c>
      <c r="F1" s="5" t="s">
        <v>8</v>
      </c>
      <c r="G1" s="6" t="s">
        <v>10</v>
      </c>
      <c r="H1" s="1" t="s">
        <v>11</v>
      </c>
    </row>
    <row r="2" spans="1:8" x14ac:dyDescent="0.25">
      <c r="A2" s="10">
        <v>44805</v>
      </c>
      <c r="B2" t="s">
        <v>1829</v>
      </c>
      <c r="C2" t="s">
        <v>360</v>
      </c>
      <c r="D2" t="s">
        <v>30</v>
      </c>
      <c r="E2" t="s">
        <v>168</v>
      </c>
      <c r="F2" s="11">
        <v>1086</v>
      </c>
      <c r="G2" t="s">
        <v>1832</v>
      </c>
      <c r="H2" t="s">
        <v>1833</v>
      </c>
    </row>
    <row r="3" spans="1:8" x14ac:dyDescent="0.25">
      <c r="A3" s="10">
        <v>44806</v>
      </c>
      <c r="B3" t="s">
        <v>1834</v>
      </c>
      <c r="C3" t="s">
        <v>96</v>
      </c>
      <c r="D3" t="s">
        <v>30</v>
      </c>
      <c r="E3" t="s">
        <v>291</v>
      </c>
      <c r="F3" s="11">
        <v>2650</v>
      </c>
      <c r="G3" t="s">
        <v>1837</v>
      </c>
      <c r="H3" t="s">
        <v>786</v>
      </c>
    </row>
    <row r="4" spans="1:8" x14ac:dyDescent="0.25">
      <c r="A4" s="10">
        <v>44809</v>
      </c>
      <c r="B4" t="s">
        <v>1839</v>
      </c>
      <c r="C4" t="s">
        <v>360</v>
      </c>
      <c r="D4" t="s">
        <v>30</v>
      </c>
      <c r="E4" t="s">
        <v>168</v>
      </c>
      <c r="F4" s="11">
        <v>3251</v>
      </c>
      <c r="G4" t="s">
        <v>1842</v>
      </c>
      <c r="H4" t="s">
        <v>1444</v>
      </c>
    </row>
    <row r="5" spans="1:8" x14ac:dyDescent="0.25">
      <c r="A5" s="10">
        <v>44809</v>
      </c>
      <c r="B5" t="s">
        <v>1843</v>
      </c>
      <c r="C5" t="s">
        <v>360</v>
      </c>
      <c r="D5" t="s">
        <v>30</v>
      </c>
      <c r="E5" t="s">
        <v>168</v>
      </c>
      <c r="F5" s="11">
        <v>850</v>
      </c>
      <c r="G5" t="s">
        <v>895</v>
      </c>
      <c r="H5" t="s">
        <v>192</v>
      </c>
    </row>
    <row r="6" spans="1:8" x14ac:dyDescent="0.25">
      <c r="A6" s="10">
        <v>44810</v>
      </c>
      <c r="B6" t="s">
        <v>1846</v>
      </c>
      <c r="C6" t="s">
        <v>96</v>
      </c>
      <c r="D6" t="s">
        <v>30</v>
      </c>
      <c r="E6" t="s">
        <v>168</v>
      </c>
      <c r="F6" s="11">
        <v>1379</v>
      </c>
      <c r="G6" t="s">
        <v>252</v>
      </c>
      <c r="H6" t="s">
        <v>192</v>
      </c>
    </row>
    <row r="7" spans="1:8" x14ac:dyDescent="0.25">
      <c r="A7" s="10">
        <v>44810</v>
      </c>
      <c r="B7" t="s">
        <v>1820</v>
      </c>
      <c r="C7" t="s">
        <v>96</v>
      </c>
      <c r="D7" t="s">
        <v>30</v>
      </c>
      <c r="E7" t="s">
        <v>281</v>
      </c>
      <c r="F7" s="11">
        <v>2398</v>
      </c>
      <c r="G7" t="s">
        <v>1850</v>
      </c>
      <c r="H7" t="s">
        <v>80</v>
      </c>
    </row>
    <row r="8" spans="1:8" x14ac:dyDescent="0.25">
      <c r="A8" s="10">
        <v>44810</v>
      </c>
      <c r="B8" t="s">
        <v>1851</v>
      </c>
      <c r="C8" t="s">
        <v>360</v>
      </c>
      <c r="D8" t="s">
        <v>30</v>
      </c>
      <c r="E8" t="s">
        <v>168</v>
      </c>
      <c r="F8" s="11">
        <v>1348</v>
      </c>
      <c r="G8" t="s">
        <v>1854</v>
      </c>
      <c r="H8" t="s">
        <v>1864</v>
      </c>
    </row>
    <row r="9" spans="1:8" x14ac:dyDescent="0.25">
      <c r="A9" s="10">
        <v>44806</v>
      </c>
      <c r="B9" t="s">
        <v>1875</v>
      </c>
      <c r="C9" t="s">
        <v>360</v>
      </c>
      <c r="D9" t="s">
        <v>30</v>
      </c>
      <c r="E9" t="s">
        <v>168</v>
      </c>
      <c r="F9" s="11">
        <v>1197.1199999999999</v>
      </c>
      <c r="G9" t="s">
        <v>1878</v>
      </c>
      <c r="H9" t="s">
        <v>192</v>
      </c>
    </row>
    <row r="10" spans="1:8" x14ac:dyDescent="0.25">
      <c r="A10" s="10">
        <v>44811</v>
      </c>
      <c r="B10" t="s">
        <v>1152</v>
      </c>
      <c r="C10" t="s">
        <v>96</v>
      </c>
      <c r="D10" t="s">
        <v>30</v>
      </c>
      <c r="E10" t="s">
        <v>281</v>
      </c>
      <c r="F10" s="11">
        <v>1086</v>
      </c>
      <c r="G10" t="s">
        <v>1832</v>
      </c>
      <c r="H10" t="s">
        <v>1879</v>
      </c>
    </row>
    <row r="11" spans="1:8" x14ac:dyDescent="0.25">
      <c r="A11" s="10">
        <v>44811</v>
      </c>
      <c r="B11" t="s">
        <v>1880</v>
      </c>
      <c r="C11" t="s">
        <v>96</v>
      </c>
      <c r="D11" t="s">
        <v>30</v>
      </c>
      <c r="E11" t="s">
        <v>1818</v>
      </c>
      <c r="F11" s="11">
        <v>840</v>
      </c>
      <c r="G11" t="s">
        <v>1077</v>
      </c>
      <c r="H11" t="s">
        <v>192</v>
      </c>
    </row>
    <row r="12" spans="1:8" x14ac:dyDescent="0.25">
      <c r="A12" s="10">
        <v>44812</v>
      </c>
      <c r="B12" t="s">
        <v>1885</v>
      </c>
      <c r="C12" t="s">
        <v>96</v>
      </c>
      <c r="D12" t="s">
        <v>30</v>
      </c>
      <c r="E12" t="s">
        <v>168</v>
      </c>
      <c r="F12" s="11">
        <v>1353</v>
      </c>
      <c r="G12" t="s">
        <v>1888</v>
      </c>
      <c r="H12" t="s">
        <v>1889</v>
      </c>
    </row>
    <row r="13" spans="1:8" x14ac:dyDescent="0.25">
      <c r="A13" s="10">
        <v>44813</v>
      </c>
      <c r="B13" t="s">
        <v>1891</v>
      </c>
      <c r="C13" t="s">
        <v>360</v>
      </c>
      <c r="D13" t="s">
        <v>32</v>
      </c>
      <c r="E13" t="s">
        <v>168</v>
      </c>
      <c r="F13" s="11">
        <v>1049.8</v>
      </c>
      <c r="G13" t="s">
        <v>1041</v>
      </c>
      <c r="H13" t="s">
        <v>192</v>
      </c>
    </row>
    <row r="14" spans="1:8" x14ac:dyDescent="0.25">
      <c r="A14" s="10">
        <v>44813</v>
      </c>
      <c r="B14" t="s">
        <v>1895</v>
      </c>
      <c r="C14" t="s">
        <v>360</v>
      </c>
      <c r="D14" t="s">
        <v>30</v>
      </c>
      <c r="E14" t="s">
        <v>168</v>
      </c>
      <c r="F14" s="11">
        <v>1182</v>
      </c>
      <c r="G14" t="s">
        <v>1897</v>
      </c>
      <c r="H14" t="s">
        <v>1898</v>
      </c>
    </row>
    <row r="15" spans="1:8" x14ac:dyDescent="0.25">
      <c r="A15" s="10">
        <v>44814</v>
      </c>
      <c r="B15" t="s">
        <v>1899</v>
      </c>
      <c r="C15" t="s">
        <v>96</v>
      </c>
      <c r="D15" t="s">
        <v>30</v>
      </c>
      <c r="E15" t="s">
        <v>168</v>
      </c>
      <c r="F15" s="11">
        <v>905</v>
      </c>
      <c r="G15" t="s">
        <v>1133</v>
      </c>
      <c r="H15" t="s">
        <v>192</v>
      </c>
    </row>
    <row r="16" spans="1:8" x14ac:dyDescent="0.25">
      <c r="A16" s="10">
        <v>44815</v>
      </c>
      <c r="B16" t="s">
        <v>1907</v>
      </c>
      <c r="C16" t="s">
        <v>96</v>
      </c>
      <c r="D16" t="s">
        <v>32</v>
      </c>
      <c r="E16" t="s">
        <v>168</v>
      </c>
      <c r="F16" s="11">
        <v>3252.64</v>
      </c>
      <c r="G16" t="s">
        <v>1368</v>
      </c>
      <c r="H16" t="s">
        <v>1910</v>
      </c>
    </row>
    <row r="17" spans="1:8" x14ac:dyDescent="0.25">
      <c r="A17" s="10">
        <v>44816</v>
      </c>
      <c r="B17" t="s">
        <v>1911</v>
      </c>
      <c r="C17" t="s">
        <v>96</v>
      </c>
      <c r="D17" t="s">
        <v>30</v>
      </c>
      <c r="E17" t="s">
        <v>291</v>
      </c>
      <c r="F17" s="11">
        <v>1065</v>
      </c>
      <c r="G17" t="s">
        <v>1914</v>
      </c>
      <c r="H17" t="s">
        <v>676</v>
      </c>
    </row>
    <row r="18" spans="1:8" x14ac:dyDescent="0.25">
      <c r="A18" s="10">
        <v>44816</v>
      </c>
      <c r="B18" t="s">
        <v>1915</v>
      </c>
      <c r="C18" t="s">
        <v>96</v>
      </c>
      <c r="D18" t="s">
        <v>30</v>
      </c>
      <c r="E18" t="s">
        <v>291</v>
      </c>
      <c r="F18" s="11">
        <v>1779</v>
      </c>
      <c r="G18" t="s">
        <v>1918</v>
      </c>
      <c r="H18" t="s">
        <v>1936</v>
      </c>
    </row>
    <row r="19" spans="1:8" x14ac:dyDescent="0.25">
      <c r="A19" s="10">
        <v>44817</v>
      </c>
      <c r="B19" t="s">
        <v>1932</v>
      </c>
      <c r="C19" t="s">
        <v>96</v>
      </c>
      <c r="D19" t="s">
        <v>30</v>
      </c>
      <c r="E19" t="s">
        <v>168</v>
      </c>
      <c r="F19" s="11">
        <v>1152</v>
      </c>
      <c r="G19" t="s">
        <v>1935</v>
      </c>
      <c r="H19" t="s">
        <v>1953</v>
      </c>
    </row>
    <row r="20" spans="1:8" x14ac:dyDescent="0.25">
      <c r="A20" s="10">
        <v>44818</v>
      </c>
      <c r="B20" t="s">
        <v>1949</v>
      </c>
      <c r="C20" t="s">
        <v>96</v>
      </c>
      <c r="D20" t="s">
        <v>30</v>
      </c>
      <c r="E20" t="s">
        <v>168</v>
      </c>
      <c r="F20" s="11">
        <v>4324</v>
      </c>
      <c r="G20" t="s">
        <v>1952</v>
      </c>
      <c r="H20" t="s">
        <v>192</v>
      </c>
    </row>
    <row r="21" spans="1:8" x14ac:dyDescent="0.25">
      <c r="A21" s="10">
        <v>44818</v>
      </c>
      <c r="B21" t="s">
        <v>1954</v>
      </c>
      <c r="C21" t="s">
        <v>96</v>
      </c>
      <c r="D21" t="s">
        <v>30</v>
      </c>
      <c r="E21" t="s">
        <v>291</v>
      </c>
      <c r="F21" s="11">
        <v>1500</v>
      </c>
      <c r="G21" t="s">
        <v>836</v>
      </c>
      <c r="H21" t="s">
        <v>382</v>
      </c>
    </row>
    <row r="22" spans="1:8" x14ac:dyDescent="0.25">
      <c r="A22" s="10">
        <v>44819</v>
      </c>
      <c r="B22" t="s">
        <v>1956</v>
      </c>
      <c r="C22" t="s">
        <v>103</v>
      </c>
      <c r="D22" t="s">
        <v>30</v>
      </c>
      <c r="E22" t="s">
        <v>168</v>
      </c>
      <c r="F22" s="11">
        <v>888</v>
      </c>
      <c r="G22" t="s">
        <v>404</v>
      </c>
      <c r="H22" t="s">
        <v>192</v>
      </c>
    </row>
    <row r="23" spans="1:8" x14ac:dyDescent="0.25">
      <c r="A23" s="10">
        <v>44821</v>
      </c>
      <c r="B23" t="s">
        <v>1959</v>
      </c>
      <c r="C23" t="s">
        <v>96</v>
      </c>
      <c r="D23" t="s">
        <v>30</v>
      </c>
      <c r="E23" t="s">
        <v>168</v>
      </c>
      <c r="F23" s="11">
        <v>1239</v>
      </c>
      <c r="G23" t="s">
        <v>1962</v>
      </c>
      <c r="H23" t="s">
        <v>775</v>
      </c>
    </row>
    <row r="24" spans="1:8" x14ac:dyDescent="0.25">
      <c r="A24" s="10">
        <v>44821</v>
      </c>
      <c r="B24" t="s">
        <v>1963</v>
      </c>
      <c r="C24" t="s">
        <v>96</v>
      </c>
      <c r="D24" t="s">
        <v>30</v>
      </c>
      <c r="E24" t="s">
        <v>168</v>
      </c>
      <c r="F24" s="11">
        <v>1717</v>
      </c>
      <c r="G24" t="s">
        <v>1965</v>
      </c>
      <c r="H24" t="s">
        <v>1966</v>
      </c>
    </row>
    <row r="25" spans="1:8" x14ac:dyDescent="0.25">
      <c r="A25" s="10">
        <v>44823</v>
      </c>
      <c r="B25" t="s">
        <v>1967</v>
      </c>
      <c r="C25" t="s">
        <v>96</v>
      </c>
      <c r="D25" t="s">
        <v>30</v>
      </c>
      <c r="E25" t="s">
        <v>281</v>
      </c>
      <c r="F25" s="11">
        <v>3343.5</v>
      </c>
      <c r="G25" t="s">
        <v>1970</v>
      </c>
      <c r="H25" t="s">
        <v>329</v>
      </c>
    </row>
    <row r="26" spans="1:8" x14ac:dyDescent="0.25">
      <c r="A26" s="10">
        <v>44823</v>
      </c>
      <c r="B26" t="s">
        <v>1971</v>
      </c>
      <c r="C26" t="s">
        <v>361</v>
      </c>
      <c r="D26" t="s">
        <v>30</v>
      </c>
      <c r="E26" t="s">
        <v>168</v>
      </c>
      <c r="F26" s="11">
        <v>2174</v>
      </c>
      <c r="G26" t="s">
        <v>1974</v>
      </c>
      <c r="H26" t="s">
        <v>1990</v>
      </c>
    </row>
    <row r="27" spans="1:8" x14ac:dyDescent="0.25">
      <c r="A27" s="10">
        <v>44823</v>
      </c>
      <c r="B27" t="s">
        <v>1986</v>
      </c>
      <c r="C27" t="s">
        <v>96</v>
      </c>
      <c r="D27" t="s">
        <v>30</v>
      </c>
      <c r="E27" t="s">
        <v>281</v>
      </c>
      <c r="F27" s="11">
        <v>292</v>
      </c>
      <c r="G27" t="s">
        <v>1989</v>
      </c>
      <c r="H27" t="s">
        <v>80</v>
      </c>
    </row>
    <row r="28" spans="1:8" x14ac:dyDescent="0.25">
      <c r="A28" s="10">
        <v>44824</v>
      </c>
      <c r="B28" t="s">
        <v>1674</v>
      </c>
      <c r="C28" t="s">
        <v>362</v>
      </c>
      <c r="D28" t="s">
        <v>30</v>
      </c>
      <c r="E28" t="s">
        <v>281</v>
      </c>
      <c r="F28" s="11">
        <v>993</v>
      </c>
      <c r="G28" t="s">
        <v>1677</v>
      </c>
      <c r="H28" t="s">
        <v>80</v>
      </c>
    </row>
    <row r="29" spans="1:8" x14ac:dyDescent="0.25">
      <c r="A29" s="10">
        <v>44824</v>
      </c>
      <c r="B29" t="s">
        <v>1991</v>
      </c>
      <c r="C29" t="s">
        <v>362</v>
      </c>
      <c r="D29" t="s">
        <v>30</v>
      </c>
      <c r="E29" t="s">
        <v>168</v>
      </c>
      <c r="F29" s="11">
        <v>1086</v>
      </c>
      <c r="G29" t="s">
        <v>1832</v>
      </c>
      <c r="H29" t="s">
        <v>192</v>
      </c>
    </row>
    <row r="30" spans="1:8" x14ac:dyDescent="0.25">
      <c r="A30" s="10">
        <v>44805</v>
      </c>
      <c r="B30" t="s">
        <v>1994</v>
      </c>
      <c r="C30" t="s">
        <v>96</v>
      </c>
      <c r="D30" t="s">
        <v>30</v>
      </c>
      <c r="E30" t="s">
        <v>168</v>
      </c>
      <c r="F30" s="11">
        <v>1080</v>
      </c>
      <c r="G30" t="s">
        <v>1997</v>
      </c>
      <c r="H30" t="s">
        <v>2008</v>
      </c>
    </row>
    <row r="31" spans="1:8" x14ac:dyDescent="0.25">
      <c r="A31" s="10">
        <v>44812</v>
      </c>
      <c r="B31" t="s">
        <v>1883</v>
      </c>
      <c r="C31" t="s">
        <v>360</v>
      </c>
      <c r="D31" t="s">
        <v>30</v>
      </c>
      <c r="E31" t="s">
        <v>281</v>
      </c>
      <c r="F31" s="11">
        <v>1328.8</v>
      </c>
      <c r="G31" t="s">
        <v>1998</v>
      </c>
      <c r="H31" t="s">
        <v>281</v>
      </c>
    </row>
    <row r="32" spans="1:8" x14ac:dyDescent="0.25">
      <c r="A32" s="10">
        <v>44825</v>
      </c>
      <c r="B32" t="s">
        <v>1999</v>
      </c>
      <c r="C32" t="s">
        <v>96</v>
      </c>
      <c r="D32" t="s">
        <v>30</v>
      </c>
      <c r="E32" t="s">
        <v>168</v>
      </c>
      <c r="F32" s="11">
        <v>2244.8000000000002</v>
      </c>
      <c r="G32" t="s">
        <v>2002</v>
      </c>
      <c r="H32" t="s">
        <v>2009</v>
      </c>
    </row>
    <row r="33" spans="1:8" x14ac:dyDescent="0.25">
      <c r="A33" s="10">
        <v>44826</v>
      </c>
      <c r="B33" t="s">
        <v>2003</v>
      </c>
      <c r="C33" t="s">
        <v>96</v>
      </c>
      <c r="D33" t="s">
        <v>30</v>
      </c>
      <c r="E33" t="s">
        <v>168</v>
      </c>
      <c r="F33" s="11">
        <v>3627</v>
      </c>
      <c r="G33" t="s">
        <v>2006</v>
      </c>
      <c r="H33" t="s">
        <v>2007</v>
      </c>
    </row>
    <row r="34" spans="1:8" x14ac:dyDescent="0.25">
      <c r="A34" s="10">
        <v>44827</v>
      </c>
      <c r="B34" t="s">
        <v>2010</v>
      </c>
      <c r="C34" t="s">
        <v>96</v>
      </c>
      <c r="D34" t="s">
        <v>30</v>
      </c>
      <c r="E34" t="s">
        <v>168</v>
      </c>
      <c r="F34" s="11">
        <v>1355</v>
      </c>
      <c r="G34" t="s">
        <v>2013</v>
      </c>
      <c r="H34" t="s">
        <v>1135</v>
      </c>
    </row>
    <row r="35" spans="1:8" x14ac:dyDescent="0.25">
      <c r="A35" s="10">
        <v>44828</v>
      </c>
      <c r="B35" t="s">
        <v>2014</v>
      </c>
      <c r="C35" t="s">
        <v>360</v>
      </c>
      <c r="D35" t="s">
        <v>30</v>
      </c>
      <c r="E35" t="s">
        <v>281</v>
      </c>
      <c r="F35" s="11">
        <v>1337</v>
      </c>
      <c r="G35" t="s">
        <v>2015</v>
      </c>
      <c r="H35" t="s">
        <v>80</v>
      </c>
    </row>
    <row r="36" spans="1:8" x14ac:dyDescent="0.25">
      <c r="A36" s="10">
        <v>44812</v>
      </c>
      <c r="B36" t="s">
        <v>2028</v>
      </c>
      <c r="C36" t="s">
        <v>96</v>
      </c>
      <c r="D36" t="s">
        <v>30</v>
      </c>
      <c r="E36" t="s">
        <v>168</v>
      </c>
      <c r="F36" s="11">
        <v>1601.52</v>
      </c>
      <c r="G36" t="s">
        <v>1868</v>
      </c>
      <c r="H36" t="s">
        <v>2029</v>
      </c>
    </row>
    <row r="37" spans="1:8" x14ac:dyDescent="0.25">
      <c r="A37" s="10">
        <v>44817</v>
      </c>
      <c r="B37" t="s">
        <v>2018</v>
      </c>
      <c r="C37" t="s">
        <v>96</v>
      </c>
      <c r="D37" t="s">
        <v>32</v>
      </c>
      <c r="E37" t="s">
        <v>168</v>
      </c>
      <c r="F37" s="11">
        <v>1351.24</v>
      </c>
      <c r="G37" t="s">
        <v>342</v>
      </c>
      <c r="H37" t="s">
        <v>192</v>
      </c>
    </row>
    <row r="38" spans="1:8" x14ac:dyDescent="0.25">
      <c r="A38" s="10">
        <v>44828</v>
      </c>
      <c r="B38" t="s">
        <v>2003</v>
      </c>
      <c r="C38" t="s">
        <v>96</v>
      </c>
      <c r="D38" t="s">
        <v>30</v>
      </c>
      <c r="E38" t="s">
        <v>281</v>
      </c>
      <c r="F38" s="11">
        <v>3628.4</v>
      </c>
      <c r="G38" t="s">
        <v>2022</v>
      </c>
      <c r="H38" t="s">
        <v>80</v>
      </c>
    </row>
    <row r="39" spans="1:8" x14ac:dyDescent="0.25">
      <c r="A39" s="10">
        <v>44830</v>
      </c>
      <c r="B39" t="s">
        <v>1307</v>
      </c>
      <c r="C39" t="s">
        <v>96</v>
      </c>
      <c r="D39" t="s">
        <v>32</v>
      </c>
      <c r="E39" t="s">
        <v>281</v>
      </c>
      <c r="F39" s="11">
        <v>7784.06</v>
      </c>
      <c r="G39" t="s">
        <v>2023</v>
      </c>
      <c r="H39" t="s">
        <v>80</v>
      </c>
    </row>
    <row r="40" spans="1:8" x14ac:dyDescent="0.25">
      <c r="A40" s="10">
        <v>44812</v>
      </c>
      <c r="B40" t="s">
        <v>2024</v>
      </c>
      <c r="C40" t="s">
        <v>96</v>
      </c>
      <c r="D40" t="s">
        <v>30</v>
      </c>
      <c r="E40" t="s">
        <v>168</v>
      </c>
      <c r="F40" s="11">
        <v>1259.96</v>
      </c>
      <c r="G40" t="s">
        <v>2027</v>
      </c>
      <c r="H40" t="s">
        <v>192</v>
      </c>
    </row>
    <row r="41" spans="1:8" x14ac:dyDescent="0.25">
      <c r="A41" s="10">
        <v>44831</v>
      </c>
      <c r="B41" t="s">
        <v>2037</v>
      </c>
      <c r="C41" t="s">
        <v>96</v>
      </c>
      <c r="D41" t="s">
        <v>30</v>
      </c>
      <c r="E41" t="s">
        <v>168</v>
      </c>
      <c r="F41" s="11">
        <v>1159</v>
      </c>
      <c r="G41" t="s">
        <v>2127</v>
      </c>
      <c r="H41" t="s">
        <v>2038</v>
      </c>
    </row>
    <row r="42" spans="1:8" x14ac:dyDescent="0.25">
      <c r="A42" s="10">
        <v>44831</v>
      </c>
      <c r="B42" t="s">
        <v>2033</v>
      </c>
      <c r="C42" t="s">
        <v>96</v>
      </c>
      <c r="D42" t="s">
        <v>30</v>
      </c>
      <c r="E42" t="s">
        <v>291</v>
      </c>
      <c r="F42" s="11">
        <v>1492</v>
      </c>
      <c r="G42" t="s">
        <v>2036</v>
      </c>
      <c r="H42" t="s">
        <v>2039</v>
      </c>
    </row>
    <row r="43" spans="1:8" x14ac:dyDescent="0.25">
      <c r="A43" s="10">
        <v>44832</v>
      </c>
      <c r="B43" t="s">
        <v>2052</v>
      </c>
      <c r="C43" t="s">
        <v>96</v>
      </c>
      <c r="D43" t="s">
        <v>30</v>
      </c>
      <c r="E43" t="s">
        <v>168</v>
      </c>
      <c r="F43" s="11">
        <v>1379</v>
      </c>
      <c r="G43" t="s">
        <v>2055</v>
      </c>
      <c r="H43" t="s">
        <v>569</v>
      </c>
    </row>
    <row r="44" spans="1:8" x14ac:dyDescent="0.25">
      <c r="A44" s="10">
        <v>44819</v>
      </c>
      <c r="B44" t="s">
        <v>1381</v>
      </c>
      <c r="C44" t="s">
        <v>96</v>
      </c>
      <c r="D44" t="s">
        <v>30</v>
      </c>
      <c r="E44" t="s">
        <v>281</v>
      </c>
      <c r="F44" s="11">
        <v>3231.3</v>
      </c>
      <c r="G44" t="s">
        <v>1890</v>
      </c>
      <c r="H44" t="s">
        <v>80</v>
      </c>
    </row>
    <row r="45" spans="1:8" x14ac:dyDescent="0.25">
      <c r="A45" s="10">
        <v>44824</v>
      </c>
      <c r="B45" t="s">
        <v>2062</v>
      </c>
      <c r="C45" t="s">
        <v>96</v>
      </c>
      <c r="D45" t="s">
        <v>30</v>
      </c>
      <c r="E45" t="s">
        <v>291</v>
      </c>
      <c r="F45" s="11">
        <v>6006</v>
      </c>
      <c r="G45" t="s">
        <v>2064</v>
      </c>
      <c r="H45" t="s">
        <v>2088</v>
      </c>
    </row>
    <row r="46" spans="1:8" x14ac:dyDescent="0.25">
      <c r="A46" s="10">
        <v>44831</v>
      </c>
      <c r="B46" t="s">
        <v>2084</v>
      </c>
      <c r="C46" t="s">
        <v>96</v>
      </c>
      <c r="D46" t="s">
        <v>30</v>
      </c>
      <c r="E46" t="s">
        <v>168</v>
      </c>
      <c r="F46" s="11">
        <v>2299.5</v>
      </c>
      <c r="G46" t="s">
        <v>2087</v>
      </c>
      <c r="H46" t="s">
        <v>278</v>
      </c>
    </row>
    <row r="47" spans="1:8" x14ac:dyDescent="0.25">
      <c r="A47" s="10">
        <v>44824</v>
      </c>
      <c r="B47" t="s">
        <v>2090</v>
      </c>
      <c r="C47" t="s">
        <v>96</v>
      </c>
      <c r="D47" t="s">
        <v>32</v>
      </c>
      <c r="E47" t="s">
        <v>281</v>
      </c>
      <c r="F47" s="11">
        <v>1759</v>
      </c>
      <c r="G47" t="s">
        <v>594</v>
      </c>
      <c r="H47" t="s">
        <v>80</v>
      </c>
    </row>
    <row r="48" spans="1:8" x14ac:dyDescent="0.25">
      <c r="A48" s="10">
        <v>44827</v>
      </c>
      <c r="B48" t="s">
        <v>1971</v>
      </c>
      <c r="C48" t="s">
        <v>361</v>
      </c>
      <c r="D48" t="s">
        <v>30</v>
      </c>
      <c r="E48" t="s">
        <v>281</v>
      </c>
      <c r="F48" s="11">
        <v>2135</v>
      </c>
      <c r="G48" t="s">
        <v>2128</v>
      </c>
      <c r="H48" t="s">
        <v>80</v>
      </c>
    </row>
    <row r="49" spans="1:10" x14ac:dyDescent="0.25">
      <c r="A49" s="10">
        <v>44832</v>
      </c>
      <c r="B49" t="s">
        <v>1331</v>
      </c>
      <c r="C49" t="s">
        <v>96</v>
      </c>
      <c r="D49" t="s">
        <v>30</v>
      </c>
      <c r="E49" t="s">
        <v>281</v>
      </c>
      <c r="F49" s="11">
        <v>1092.96</v>
      </c>
      <c r="G49" t="s">
        <v>1349</v>
      </c>
      <c r="H49" t="s">
        <v>80</v>
      </c>
    </row>
    <row r="56" spans="1:10" ht="15.75" thickBot="1" x14ac:dyDescent="0.3">
      <c r="A56" s="106" t="s">
        <v>16</v>
      </c>
      <c r="B56" s="106"/>
      <c r="C56" s="106"/>
      <c r="D56" s="106"/>
      <c r="E56" s="106"/>
      <c r="F56" s="106"/>
      <c r="G56" s="8"/>
    </row>
    <row r="57" spans="1:10" x14ac:dyDescent="0.25">
      <c r="A57" s="9" t="s">
        <v>17</v>
      </c>
      <c r="B57" s="10"/>
      <c r="C57" s="11">
        <f>SUM(F2:F53)</f>
        <v>92531.60000000002</v>
      </c>
      <c r="D57" s="12"/>
      <c r="E57" s="13" t="s">
        <v>18</v>
      </c>
      <c r="F57" s="73" t="s">
        <v>27</v>
      </c>
      <c r="G57" s="8"/>
      <c r="H57" s="15" t="s">
        <v>19</v>
      </c>
      <c r="I57" s="16">
        <v>16</v>
      </c>
      <c r="J57" s="17"/>
    </row>
    <row r="58" spans="1:10" x14ac:dyDescent="0.25">
      <c r="A58" s="9"/>
      <c r="B58" s="10"/>
      <c r="C58" s="11"/>
      <c r="D58" s="12"/>
      <c r="E58" s="18" t="s">
        <v>20</v>
      </c>
      <c r="F58" s="19">
        <v>92531.60000000002</v>
      </c>
      <c r="G58" s="8"/>
      <c r="H58" s="18" t="s">
        <v>21</v>
      </c>
      <c r="I58" s="20">
        <v>2</v>
      </c>
      <c r="J58" s="21">
        <f>I58/I$57</f>
        <v>0.125</v>
      </c>
    </row>
    <row r="59" spans="1:10" ht="15.75" thickBot="1" x14ac:dyDescent="0.3">
      <c r="A59" s="9" t="s">
        <v>22</v>
      </c>
      <c r="B59" s="10"/>
      <c r="C59" s="22">
        <v>25</v>
      </c>
      <c r="D59" s="12"/>
      <c r="E59" s="23" t="s">
        <v>23</v>
      </c>
      <c r="F59" s="24">
        <f>C57/C59</f>
        <v>3701.264000000001</v>
      </c>
      <c r="G59" s="8"/>
      <c r="H59" s="18" t="s">
        <v>24</v>
      </c>
      <c r="I59" s="20">
        <v>13</v>
      </c>
      <c r="J59" s="21">
        <f>I59/I$57</f>
        <v>0.8125</v>
      </c>
    </row>
    <row r="60" spans="1:10" ht="15.75" thickBot="1" x14ac:dyDescent="0.3">
      <c r="A60" s="9" t="s">
        <v>25</v>
      </c>
      <c r="B60" s="10"/>
      <c r="C60">
        <v>48</v>
      </c>
      <c r="D60" s="12"/>
      <c r="E60" s="12"/>
      <c r="F60" s="25"/>
      <c r="G60" s="8"/>
      <c r="H60" s="23" t="s">
        <v>26</v>
      </c>
      <c r="I60" s="26">
        <v>1</v>
      </c>
      <c r="J60" s="27">
        <f>I60/I$57</f>
        <v>6.25E-2</v>
      </c>
    </row>
    <row r="61" spans="1:10" x14ac:dyDescent="0.25">
      <c r="A61" s="9"/>
      <c r="B61" s="10"/>
      <c r="D61" s="12" t="s">
        <v>27</v>
      </c>
      <c r="E61" s="13" t="s">
        <v>28</v>
      </c>
      <c r="F61" s="14"/>
      <c r="G61" s="8"/>
    </row>
    <row r="62" spans="1:10" ht="15.75" thickBot="1" x14ac:dyDescent="0.3">
      <c r="A62" s="9" t="s">
        <v>29</v>
      </c>
      <c r="B62" s="10"/>
      <c r="C62">
        <v>43</v>
      </c>
      <c r="D62" s="12" t="s">
        <v>27</v>
      </c>
      <c r="E62" s="18" t="s">
        <v>30</v>
      </c>
      <c r="F62" s="21">
        <f>C62/C$60</f>
        <v>0.89583333333333337</v>
      </c>
      <c r="G62" s="8"/>
    </row>
    <row r="63" spans="1:10" ht="15.75" thickBot="1" x14ac:dyDescent="0.3">
      <c r="A63" s="9" t="s">
        <v>31</v>
      </c>
      <c r="B63" s="10"/>
      <c r="C63">
        <v>5</v>
      </c>
      <c r="D63" s="12"/>
      <c r="E63" s="23" t="s">
        <v>32</v>
      </c>
      <c r="F63" s="27">
        <f>C63/C$60</f>
        <v>0.10416666666666667</v>
      </c>
      <c r="G63" s="8"/>
      <c r="H63" s="15" t="s">
        <v>33</v>
      </c>
      <c r="I63" s="16">
        <v>32</v>
      </c>
      <c r="J63" s="17"/>
    </row>
    <row r="64" spans="1:10" ht="15.75" thickBot="1" x14ac:dyDescent="0.3">
      <c r="A64" s="9"/>
      <c r="B64" s="10"/>
      <c r="D64" s="12"/>
      <c r="E64" s="12"/>
      <c r="F64" s="25"/>
      <c r="G64" s="8"/>
      <c r="H64" s="28" t="s">
        <v>34</v>
      </c>
      <c r="I64" s="20">
        <v>15</v>
      </c>
      <c r="J64" s="21">
        <f>I64/I$63</f>
        <v>0.46875</v>
      </c>
    </row>
    <row r="65" spans="1:10" x14ac:dyDescent="0.25">
      <c r="A65" s="9" t="s">
        <v>35</v>
      </c>
      <c r="B65" s="10"/>
      <c r="D65" s="12"/>
      <c r="E65" s="13" t="s">
        <v>36</v>
      </c>
      <c r="F65" s="14"/>
      <c r="G65" s="8"/>
      <c r="H65" s="28" t="s">
        <v>37</v>
      </c>
      <c r="I65" s="20">
        <v>14</v>
      </c>
      <c r="J65" s="21">
        <f>I65/I$63</f>
        <v>0.4375</v>
      </c>
    </row>
    <row r="66" spans="1:10" ht="15.75" thickBot="1" x14ac:dyDescent="0.3">
      <c r="A66" s="9" t="s">
        <v>38</v>
      </c>
      <c r="B66" s="10"/>
      <c r="C66">
        <v>3</v>
      </c>
      <c r="D66" s="12"/>
      <c r="E66" s="29" t="s">
        <v>38</v>
      </c>
      <c r="F66" s="21">
        <f>C66/C$75</f>
        <v>2.8571428571428571E-2</v>
      </c>
      <c r="G66" s="8"/>
      <c r="H66" s="30" t="s">
        <v>39</v>
      </c>
      <c r="I66" s="26">
        <v>3</v>
      </c>
      <c r="J66" s="27">
        <f>I66/I$63</f>
        <v>9.375E-2</v>
      </c>
    </row>
    <row r="67" spans="1:10" ht="15.75" thickBot="1" x14ac:dyDescent="0.3">
      <c r="A67" s="9" t="s">
        <v>19</v>
      </c>
      <c r="B67" s="10"/>
      <c r="C67">
        <v>16</v>
      </c>
      <c r="D67" s="12"/>
      <c r="E67" s="29" t="s">
        <v>19</v>
      </c>
      <c r="F67" s="21">
        <f t="shared" ref="F67:F74" si="0">C67/C$75</f>
        <v>0.15238095238095239</v>
      </c>
      <c r="G67" s="8"/>
    </row>
    <row r="68" spans="1:10" x14ac:dyDescent="0.25">
      <c r="A68" s="9" t="s">
        <v>40</v>
      </c>
      <c r="B68" s="10"/>
      <c r="C68">
        <v>32</v>
      </c>
      <c r="D68" s="12"/>
      <c r="E68" s="29" t="s">
        <v>40</v>
      </c>
      <c r="F68" s="21">
        <f t="shared" si="0"/>
        <v>0.30476190476190479</v>
      </c>
      <c r="G68" s="12" t="s">
        <v>27</v>
      </c>
      <c r="H68" s="15" t="s">
        <v>365</v>
      </c>
      <c r="I68" s="16">
        <v>3</v>
      </c>
      <c r="J68" s="14">
        <f t="shared" ref="J68:J79" si="1">I68/I$63</f>
        <v>9.375E-2</v>
      </c>
    </row>
    <row r="69" spans="1:10" x14ac:dyDescent="0.25">
      <c r="A69" s="9" t="s">
        <v>41</v>
      </c>
      <c r="B69" s="10"/>
      <c r="C69">
        <v>2</v>
      </c>
      <c r="D69" s="12"/>
      <c r="E69" s="29" t="s">
        <v>41</v>
      </c>
      <c r="F69" s="21">
        <f t="shared" si="0"/>
        <v>1.9047619047619049E-2</v>
      </c>
      <c r="G69" s="8"/>
      <c r="H69" s="28" t="s">
        <v>366</v>
      </c>
      <c r="I69" s="68">
        <v>3</v>
      </c>
      <c r="J69" s="21">
        <f t="shared" si="1"/>
        <v>9.375E-2</v>
      </c>
    </row>
    <row r="70" spans="1:10" x14ac:dyDescent="0.25">
      <c r="A70" s="9" t="s">
        <v>42</v>
      </c>
      <c r="B70" s="10"/>
      <c r="C70">
        <v>13</v>
      </c>
      <c r="D70" s="12"/>
      <c r="E70" s="29" t="s">
        <v>42</v>
      </c>
      <c r="F70" s="21">
        <f t="shared" si="0"/>
        <v>0.12380952380952381</v>
      </c>
      <c r="G70" s="8"/>
      <c r="H70" s="28" t="s">
        <v>367</v>
      </c>
      <c r="I70" s="20">
        <v>5</v>
      </c>
      <c r="J70" s="21">
        <f t="shared" si="1"/>
        <v>0.15625</v>
      </c>
    </row>
    <row r="71" spans="1:10" x14ac:dyDescent="0.25">
      <c r="A71" s="9" t="s">
        <v>43</v>
      </c>
      <c r="B71" s="10"/>
      <c r="C71">
        <v>2</v>
      </c>
      <c r="D71" s="12"/>
      <c r="E71" s="29" t="s">
        <v>43</v>
      </c>
      <c r="F71" s="21">
        <f t="shared" si="0"/>
        <v>1.9047619047619049E-2</v>
      </c>
      <c r="G71" s="8"/>
      <c r="H71" s="28" t="s">
        <v>368</v>
      </c>
      <c r="I71" s="20">
        <v>1</v>
      </c>
      <c r="J71" s="21">
        <f t="shared" si="1"/>
        <v>3.125E-2</v>
      </c>
    </row>
    <row r="72" spans="1:10" x14ac:dyDescent="0.25">
      <c r="A72" s="9" t="s">
        <v>44</v>
      </c>
      <c r="B72" s="10"/>
      <c r="C72">
        <v>17</v>
      </c>
      <c r="D72" s="12"/>
      <c r="E72" s="29" t="s">
        <v>44</v>
      </c>
      <c r="F72" s="21">
        <f t="shared" si="0"/>
        <v>0.16190476190476191</v>
      </c>
      <c r="G72" s="8"/>
      <c r="H72" s="28" t="s">
        <v>369</v>
      </c>
      <c r="I72" s="20">
        <v>8</v>
      </c>
      <c r="J72" s="21">
        <f t="shared" si="1"/>
        <v>0.25</v>
      </c>
    </row>
    <row r="73" spans="1:10" x14ac:dyDescent="0.25">
      <c r="A73" s="9" t="s">
        <v>45</v>
      </c>
      <c r="B73" s="10"/>
      <c r="C73">
        <v>4</v>
      </c>
      <c r="D73" s="12"/>
      <c r="E73" s="29" t="s">
        <v>45</v>
      </c>
      <c r="F73" s="21">
        <f t="shared" si="0"/>
        <v>3.8095238095238099E-2</v>
      </c>
      <c r="G73" s="8"/>
      <c r="H73" s="28" t="s">
        <v>370</v>
      </c>
      <c r="I73" s="20">
        <v>8</v>
      </c>
      <c r="J73" s="21">
        <f t="shared" si="1"/>
        <v>0.25</v>
      </c>
    </row>
    <row r="74" spans="1:10" ht="15.75" thickBot="1" x14ac:dyDescent="0.3">
      <c r="A74" s="9" t="s">
        <v>46</v>
      </c>
      <c r="B74" s="10"/>
      <c r="C74">
        <v>16</v>
      </c>
      <c r="D74" s="12"/>
      <c r="E74" s="31" t="s">
        <v>46</v>
      </c>
      <c r="F74" s="27">
        <f t="shared" si="0"/>
        <v>0.15238095238095239</v>
      </c>
      <c r="G74" s="12" t="s">
        <v>27</v>
      </c>
      <c r="H74" s="69" t="s">
        <v>371</v>
      </c>
      <c r="I74" s="68">
        <v>4</v>
      </c>
      <c r="J74" s="21">
        <f t="shared" si="1"/>
        <v>0.125</v>
      </c>
    </row>
    <row r="75" spans="1:10" ht="15.75" thickBot="1" x14ac:dyDescent="0.3">
      <c r="A75" s="9" t="s">
        <v>47</v>
      </c>
      <c r="B75" s="10"/>
      <c r="C75">
        <f>SUM(C66:C74)</f>
        <v>105</v>
      </c>
      <c r="D75" s="12"/>
      <c r="E75" s="9"/>
      <c r="F75" s="25"/>
      <c r="G75" s="8"/>
      <c r="H75" s="69" t="s">
        <v>372</v>
      </c>
      <c r="I75" s="68">
        <v>0</v>
      </c>
      <c r="J75" s="21">
        <f t="shared" si="1"/>
        <v>0</v>
      </c>
    </row>
    <row r="76" spans="1:10" x14ac:dyDescent="0.25">
      <c r="A76" s="9"/>
      <c r="B76" s="10"/>
      <c r="D76" s="12"/>
      <c r="E76" s="32" t="s">
        <v>49</v>
      </c>
      <c r="F76" s="14"/>
      <c r="G76" s="8"/>
      <c r="H76" s="69" t="s">
        <v>373</v>
      </c>
      <c r="I76" s="68">
        <v>0</v>
      </c>
      <c r="J76" s="21">
        <f t="shared" si="1"/>
        <v>0</v>
      </c>
    </row>
    <row r="77" spans="1:10" x14ac:dyDescent="0.25">
      <c r="A77" s="9" t="s">
        <v>51</v>
      </c>
      <c r="B77" s="10"/>
      <c r="D77" s="12"/>
      <c r="E77" s="29" t="s">
        <v>52</v>
      </c>
      <c r="F77" s="21">
        <f>C78/C$88</f>
        <v>0.37606837606837606</v>
      </c>
      <c r="G77" s="8"/>
      <c r="H77" s="69" t="s">
        <v>374</v>
      </c>
      <c r="I77" s="68">
        <v>0</v>
      </c>
      <c r="J77" s="21">
        <f t="shared" si="1"/>
        <v>0</v>
      </c>
    </row>
    <row r="78" spans="1:10" x14ac:dyDescent="0.25">
      <c r="A78" s="9" t="s">
        <v>52</v>
      </c>
      <c r="B78" s="10"/>
      <c r="C78">
        <v>44</v>
      </c>
      <c r="D78" s="12"/>
      <c r="E78" s="29" t="s">
        <v>53</v>
      </c>
      <c r="F78" s="21">
        <f t="shared" ref="F78:F86" si="2">C79/C$88</f>
        <v>0.15384615384615385</v>
      </c>
      <c r="G78" s="8"/>
      <c r="H78" s="69" t="s">
        <v>375</v>
      </c>
      <c r="I78" s="68">
        <v>0</v>
      </c>
      <c r="J78" s="21">
        <f t="shared" si="1"/>
        <v>0</v>
      </c>
    </row>
    <row r="79" spans="1:10" ht="15.75" thickBot="1" x14ac:dyDescent="0.3">
      <c r="A79" s="9" t="s">
        <v>53</v>
      </c>
      <c r="B79" s="10"/>
      <c r="C79">
        <v>18</v>
      </c>
      <c r="D79" s="12"/>
      <c r="E79" s="29" t="s">
        <v>54</v>
      </c>
      <c r="F79" s="21">
        <f t="shared" si="2"/>
        <v>0.21367521367521367</v>
      </c>
      <c r="G79" s="8"/>
      <c r="H79" s="70" t="s">
        <v>376</v>
      </c>
      <c r="I79" s="26">
        <v>0</v>
      </c>
      <c r="J79" s="27">
        <f t="shared" si="1"/>
        <v>0</v>
      </c>
    </row>
    <row r="80" spans="1:10" x14ac:dyDescent="0.25">
      <c r="A80" s="9" t="s">
        <v>54</v>
      </c>
      <c r="B80" s="10"/>
      <c r="C80">
        <v>25</v>
      </c>
      <c r="D80" s="12"/>
      <c r="E80" s="29" t="s">
        <v>56</v>
      </c>
      <c r="F80" s="21">
        <f t="shared" si="2"/>
        <v>5.9829059829059832E-2</v>
      </c>
      <c r="G80" s="8"/>
    </row>
    <row r="81" spans="1:10" ht="15.75" thickBot="1" x14ac:dyDescent="0.3">
      <c r="A81" s="9" t="s">
        <v>56</v>
      </c>
      <c r="B81" s="10"/>
      <c r="C81">
        <v>7</v>
      </c>
      <c r="D81" s="12"/>
      <c r="E81" s="29" t="s">
        <v>58</v>
      </c>
      <c r="F81" s="21">
        <f t="shared" si="2"/>
        <v>4.2735042735042736E-2</v>
      </c>
      <c r="G81" s="12" t="s">
        <v>27</v>
      </c>
    </row>
    <row r="82" spans="1:10" x14ac:dyDescent="0.25">
      <c r="A82" s="9" t="s">
        <v>58</v>
      </c>
      <c r="B82" s="10"/>
      <c r="C82">
        <v>5</v>
      </c>
      <c r="D82" s="12"/>
      <c r="E82" s="29" t="s">
        <v>60</v>
      </c>
      <c r="F82" s="21">
        <f t="shared" si="2"/>
        <v>1.7094017094017096E-2</v>
      </c>
      <c r="G82" s="8"/>
      <c r="H82" s="15" t="s">
        <v>42</v>
      </c>
      <c r="I82" s="16">
        <v>13</v>
      </c>
      <c r="J82" s="17"/>
    </row>
    <row r="83" spans="1:10" x14ac:dyDescent="0.25">
      <c r="A83" s="9" t="s">
        <v>60</v>
      </c>
      <c r="B83" s="10"/>
      <c r="C83">
        <v>2</v>
      </c>
      <c r="D83" s="12"/>
      <c r="E83" s="29" t="s">
        <v>62</v>
      </c>
      <c r="F83" s="21">
        <f t="shared" si="2"/>
        <v>0</v>
      </c>
      <c r="G83" s="8"/>
      <c r="H83" s="28" t="s">
        <v>48</v>
      </c>
      <c r="I83" s="20">
        <v>2</v>
      </c>
      <c r="J83" s="21">
        <f>I83/I$82</f>
        <v>0.15384615384615385</v>
      </c>
    </row>
    <row r="84" spans="1:10" ht="15.75" thickBot="1" x14ac:dyDescent="0.3">
      <c r="A84" s="9" t="s">
        <v>62</v>
      </c>
      <c r="B84" s="10"/>
      <c r="C84">
        <v>0</v>
      </c>
      <c r="D84" s="12"/>
      <c r="E84" s="29" t="s">
        <v>64</v>
      </c>
      <c r="F84" s="21">
        <f t="shared" si="2"/>
        <v>0</v>
      </c>
      <c r="G84" s="8"/>
      <c r="H84" s="30" t="s">
        <v>50</v>
      </c>
      <c r="I84" s="26">
        <v>11</v>
      </c>
      <c r="J84" s="27">
        <f>I84/I$82</f>
        <v>0.84615384615384615</v>
      </c>
    </row>
    <row r="85" spans="1:10" x14ac:dyDescent="0.25">
      <c r="A85" s="9" t="s">
        <v>64</v>
      </c>
      <c r="B85" s="10"/>
      <c r="C85">
        <v>0</v>
      </c>
      <c r="D85" s="12"/>
      <c r="E85" s="29" t="s">
        <v>66</v>
      </c>
      <c r="F85" s="21">
        <f t="shared" si="2"/>
        <v>3.4188034188034191E-2</v>
      </c>
      <c r="G85" s="8"/>
    </row>
    <row r="86" spans="1:10" ht="15.75" thickBot="1" x14ac:dyDescent="0.3">
      <c r="A86" s="9" t="s">
        <v>66</v>
      </c>
      <c r="B86" s="10"/>
      <c r="C86">
        <v>4</v>
      </c>
      <c r="D86" s="12"/>
      <c r="E86" s="31" t="s">
        <v>68</v>
      </c>
      <c r="F86" s="27">
        <f t="shared" si="2"/>
        <v>0.10256410256410256</v>
      </c>
      <c r="G86" s="8"/>
    </row>
    <row r="87" spans="1:10" ht="15.75" thickBot="1" x14ac:dyDescent="0.3">
      <c r="A87" s="9" t="s">
        <v>68</v>
      </c>
      <c r="B87" s="10"/>
      <c r="C87">
        <v>12</v>
      </c>
      <c r="D87" s="12"/>
      <c r="E87" s="9"/>
      <c r="F87" s="25"/>
      <c r="G87" s="8"/>
      <c r="H87" s="15" t="s">
        <v>55</v>
      </c>
      <c r="I87" s="16">
        <v>2</v>
      </c>
      <c r="J87" s="17"/>
    </row>
    <row r="88" spans="1:10" x14ac:dyDescent="0.25">
      <c r="A88" s="9" t="s">
        <v>70</v>
      </c>
      <c r="B88" s="10"/>
      <c r="C88">
        <f>SUM(C78:C87)</f>
        <v>117</v>
      </c>
      <c r="D88" s="12"/>
      <c r="E88" s="32" t="s">
        <v>71</v>
      </c>
      <c r="F88" s="14"/>
      <c r="G88" s="8"/>
      <c r="H88" s="28" t="s">
        <v>57</v>
      </c>
      <c r="I88" s="20">
        <v>1</v>
      </c>
      <c r="J88" s="21">
        <f t="shared" ref="J88:J93" si="3">I88/I$87</f>
        <v>0.5</v>
      </c>
    </row>
    <row r="89" spans="1:10" x14ac:dyDescent="0.25">
      <c r="A89" s="9"/>
      <c r="B89" s="10"/>
      <c r="D89" s="12"/>
      <c r="E89" s="33" t="s">
        <v>72</v>
      </c>
      <c r="F89" s="21">
        <f>C90/C$60</f>
        <v>0.70833333333333337</v>
      </c>
      <c r="G89" s="8"/>
      <c r="H89" s="28" t="s">
        <v>59</v>
      </c>
      <c r="I89" s="20">
        <v>0</v>
      </c>
      <c r="J89" s="21">
        <f t="shared" si="3"/>
        <v>0</v>
      </c>
    </row>
    <row r="90" spans="1:10" x14ac:dyDescent="0.25">
      <c r="A90" s="9" t="s">
        <v>73</v>
      </c>
      <c r="B90" s="10"/>
      <c r="C90">
        <v>34</v>
      </c>
      <c r="D90" s="12"/>
      <c r="E90" s="33" t="s">
        <v>74</v>
      </c>
      <c r="F90" s="21">
        <f>C91/C$60</f>
        <v>2.0833333333333332E-2</v>
      </c>
      <c r="G90" s="8"/>
      <c r="H90" s="28" t="s">
        <v>61</v>
      </c>
      <c r="I90" s="20">
        <v>0</v>
      </c>
      <c r="J90" s="21">
        <f t="shared" si="3"/>
        <v>0</v>
      </c>
    </row>
    <row r="91" spans="1:10" ht="15.75" thickBot="1" x14ac:dyDescent="0.3">
      <c r="A91" s="9" t="s">
        <v>75</v>
      </c>
      <c r="B91" s="10"/>
      <c r="C91">
        <v>1</v>
      </c>
      <c r="D91" s="12"/>
      <c r="E91" s="34" t="s">
        <v>76</v>
      </c>
      <c r="F91" s="27">
        <f>C92/C$60</f>
        <v>0.27083333333333331</v>
      </c>
      <c r="G91" s="8"/>
      <c r="H91" s="28" t="s">
        <v>63</v>
      </c>
      <c r="I91" s="20">
        <v>0</v>
      </c>
      <c r="J91" s="21">
        <f t="shared" si="3"/>
        <v>0</v>
      </c>
    </row>
    <row r="92" spans="1:10" ht="15.75" thickBot="1" x14ac:dyDescent="0.3">
      <c r="A92" s="9" t="s">
        <v>77</v>
      </c>
      <c r="B92" s="10"/>
      <c r="C92">
        <v>13</v>
      </c>
      <c r="D92" s="12"/>
      <c r="E92" s="35"/>
      <c r="F92" s="25"/>
      <c r="G92" s="12" t="s">
        <v>27</v>
      </c>
      <c r="H92" s="28" t="s">
        <v>65</v>
      </c>
      <c r="I92" s="20">
        <v>0</v>
      </c>
      <c r="J92" s="21">
        <f t="shared" si="3"/>
        <v>0</v>
      </c>
    </row>
    <row r="93" spans="1:10" ht="15.75" thickBot="1" x14ac:dyDescent="0.3">
      <c r="A93" s="9"/>
      <c r="B93" s="10"/>
      <c r="D93" s="12"/>
      <c r="E93" s="36" t="s">
        <v>28</v>
      </c>
      <c r="F93" s="14"/>
      <c r="G93" s="8"/>
      <c r="H93" s="30" t="s">
        <v>67</v>
      </c>
      <c r="I93" s="26">
        <v>1</v>
      </c>
      <c r="J93" s="27">
        <f t="shared" si="3"/>
        <v>0.5</v>
      </c>
    </row>
    <row r="94" spans="1:10" ht="15.75" thickBot="1" x14ac:dyDescent="0.3">
      <c r="A94" s="9" t="s">
        <v>28</v>
      </c>
      <c r="B94" s="10"/>
      <c r="D94" s="12"/>
      <c r="E94" s="29" t="s">
        <v>78</v>
      </c>
      <c r="F94" s="21">
        <f>C95/C$60</f>
        <v>0.72916666666666663</v>
      </c>
      <c r="G94" s="8"/>
    </row>
    <row r="95" spans="1:10" ht="15.75" thickBot="1" x14ac:dyDescent="0.3">
      <c r="A95" s="9" t="s">
        <v>79</v>
      </c>
      <c r="B95" s="10"/>
      <c r="C95">
        <v>35</v>
      </c>
      <c r="D95" s="12"/>
      <c r="E95" s="31" t="s">
        <v>80</v>
      </c>
      <c r="F95" s="27">
        <f>C96/C$60</f>
        <v>0.27083333333333331</v>
      </c>
      <c r="G95" s="8"/>
      <c r="H95" s="15" t="s">
        <v>69</v>
      </c>
      <c r="I95" s="16">
        <v>0</v>
      </c>
      <c r="J95" s="17"/>
    </row>
    <row r="96" spans="1:10" ht="15.75" thickBot="1" x14ac:dyDescent="0.3">
      <c r="A96" s="9" t="s">
        <v>80</v>
      </c>
      <c r="B96" s="10"/>
      <c r="C96">
        <v>13</v>
      </c>
      <c r="D96" s="12"/>
      <c r="E96" s="96"/>
      <c r="F96" s="97"/>
      <c r="G96" s="8"/>
      <c r="H96" s="28" t="s">
        <v>57</v>
      </c>
      <c r="I96" s="20">
        <v>0</v>
      </c>
      <c r="J96" s="21" t="e">
        <f t="shared" ref="J96:J101" si="4">I96/I$95</f>
        <v>#DIV/0!</v>
      </c>
    </row>
    <row r="97" spans="1:10" x14ac:dyDescent="0.25">
      <c r="A97" s="9"/>
      <c r="B97" s="10"/>
      <c r="C97" t="s">
        <v>27</v>
      </c>
      <c r="D97" s="12"/>
      <c r="E97" s="15" t="s">
        <v>1166</v>
      </c>
      <c r="F97" s="14"/>
      <c r="G97" s="8"/>
      <c r="H97" s="28" t="s">
        <v>59</v>
      </c>
      <c r="I97" s="20">
        <v>0</v>
      </c>
      <c r="J97" s="21" t="e">
        <f t="shared" si="4"/>
        <v>#DIV/0!</v>
      </c>
    </row>
    <row r="98" spans="1:10" x14ac:dyDescent="0.25">
      <c r="A98" t="s">
        <v>1166</v>
      </c>
      <c r="B98" s="10"/>
      <c r="D98" s="12"/>
      <c r="E98" s="28" t="s">
        <v>1167</v>
      </c>
      <c r="F98" s="21">
        <f>C99/C$96</f>
        <v>0.84615384615384615</v>
      </c>
      <c r="G98" s="8"/>
      <c r="H98" s="28" t="s">
        <v>61</v>
      </c>
      <c r="I98" s="20">
        <v>0</v>
      </c>
      <c r="J98" s="21" t="e">
        <f t="shared" si="4"/>
        <v>#DIV/0!</v>
      </c>
    </row>
    <row r="99" spans="1:10" ht="15.75" thickBot="1" x14ac:dyDescent="0.3">
      <c r="A99" t="s">
        <v>1167</v>
      </c>
      <c r="B99" s="10"/>
      <c r="C99">
        <v>11</v>
      </c>
      <c r="D99" s="12"/>
      <c r="E99" s="30" t="s">
        <v>1168</v>
      </c>
      <c r="F99" s="27">
        <f>C100/C$96</f>
        <v>0.15384615384615385</v>
      </c>
      <c r="G99" s="8"/>
      <c r="H99" s="28" t="s">
        <v>63</v>
      </c>
      <c r="I99" s="20">
        <v>0</v>
      </c>
      <c r="J99" s="21" t="e">
        <f t="shared" si="4"/>
        <v>#DIV/0!</v>
      </c>
    </row>
    <row r="100" spans="1:10" ht="15.75" thickBot="1" x14ac:dyDescent="0.3">
      <c r="A100" t="s">
        <v>1168</v>
      </c>
      <c r="B100" s="10"/>
      <c r="C100">
        <v>2</v>
      </c>
      <c r="D100" s="12"/>
      <c r="E100" s="37"/>
      <c r="F100" s="38"/>
      <c r="G100" s="8"/>
      <c r="H100" s="28" t="s">
        <v>65</v>
      </c>
      <c r="I100" s="20">
        <v>0</v>
      </c>
      <c r="J100" s="21" t="e">
        <f t="shared" si="4"/>
        <v>#DIV/0!</v>
      </c>
    </row>
    <row r="101" spans="1:10" ht="15.75" thickBot="1" x14ac:dyDescent="0.3">
      <c r="A101" s="9"/>
      <c r="B101" s="10"/>
      <c r="C101" t="s">
        <v>27</v>
      </c>
      <c r="D101" s="12"/>
      <c r="E101" s="32" t="s">
        <v>81</v>
      </c>
      <c r="F101" s="14"/>
      <c r="G101" s="8"/>
      <c r="H101" s="30" t="s">
        <v>67</v>
      </c>
      <c r="I101" s="26">
        <v>0</v>
      </c>
      <c r="J101" s="27" t="e">
        <f t="shared" si="4"/>
        <v>#DIV/0!</v>
      </c>
    </row>
    <row r="102" spans="1:10" x14ac:dyDescent="0.25">
      <c r="A102" s="9" t="s">
        <v>83</v>
      </c>
      <c r="B102" s="10"/>
      <c r="C102" t="s">
        <v>27</v>
      </c>
      <c r="D102" s="12"/>
      <c r="E102" s="29" t="s">
        <v>84</v>
      </c>
      <c r="F102" s="21">
        <f t="shared" ref="F102:F107" si="5">C103/C$60</f>
        <v>0.58333333333333337</v>
      </c>
      <c r="G102" s="8"/>
    </row>
    <row r="103" spans="1:10" ht="15.75" thickBot="1" x14ac:dyDescent="0.3">
      <c r="A103" s="9" t="s">
        <v>84</v>
      </c>
      <c r="B103" s="10"/>
      <c r="C103">
        <v>28</v>
      </c>
      <c r="D103" s="12"/>
      <c r="E103" s="18" t="s">
        <v>86</v>
      </c>
      <c r="F103" s="21">
        <f t="shared" si="5"/>
        <v>0.125</v>
      </c>
      <c r="G103" s="8"/>
    </row>
    <row r="104" spans="1:10" x14ac:dyDescent="0.25">
      <c r="A104" s="9" t="s">
        <v>86</v>
      </c>
      <c r="B104" s="10"/>
      <c r="C104">
        <v>6</v>
      </c>
      <c r="D104" s="12"/>
      <c r="E104" s="18" t="s">
        <v>88</v>
      </c>
      <c r="F104" s="21">
        <f t="shared" si="5"/>
        <v>0</v>
      </c>
      <c r="G104" s="8"/>
      <c r="H104" s="15" t="s">
        <v>44</v>
      </c>
      <c r="I104" s="16">
        <v>17</v>
      </c>
      <c r="J104" s="17"/>
    </row>
    <row r="105" spans="1:10" x14ac:dyDescent="0.25">
      <c r="A105" s="9" t="s">
        <v>88</v>
      </c>
      <c r="B105" s="10"/>
      <c r="C105">
        <v>0</v>
      </c>
      <c r="D105" s="12"/>
      <c r="E105" s="18" t="s">
        <v>90</v>
      </c>
      <c r="F105" s="21">
        <f t="shared" si="5"/>
        <v>0</v>
      </c>
      <c r="G105" s="8"/>
      <c r="H105" s="28" t="s">
        <v>82</v>
      </c>
      <c r="I105" s="20">
        <v>6</v>
      </c>
      <c r="J105" s="21">
        <f>I105/I$104</f>
        <v>0.35294117647058826</v>
      </c>
    </row>
    <row r="106" spans="1:10" x14ac:dyDescent="0.25">
      <c r="A106" s="9" t="s">
        <v>90</v>
      </c>
      <c r="B106" s="10"/>
      <c r="C106">
        <v>0</v>
      </c>
      <c r="D106" s="12"/>
      <c r="E106" s="18" t="s">
        <v>91</v>
      </c>
      <c r="F106" s="21">
        <f t="shared" si="5"/>
        <v>0.27083333333333331</v>
      </c>
      <c r="G106" s="8"/>
      <c r="H106" s="28" t="s">
        <v>85</v>
      </c>
      <c r="I106" s="20">
        <v>1</v>
      </c>
      <c r="J106" s="21">
        <f>I106/I$104</f>
        <v>5.8823529411764705E-2</v>
      </c>
    </row>
    <row r="107" spans="1:10" ht="15.75" thickBot="1" x14ac:dyDescent="0.3">
      <c r="A107" s="9" t="s">
        <v>91</v>
      </c>
      <c r="B107" s="10"/>
      <c r="C107">
        <v>13</v>
      </c>
      <c r="D107" s="12"/>
      <c r="E107" s="23" t="s">
        <v>46</v>
      </c>
      <c r="F107" s="27">
        <f t="shared" si="5"/>
        <v>2.0833333333333332E-2</v>
      </c>
      <c r="G107" s="8"/>
      <c r="H107" s="28" t="s">
        <v>87</v>
      </c>
      <c r="I107" s="20">
        <v>0</v>
      </c>
      <c r="J107" s="21">
        <f>I107/I$104</f>
        <v>0</v>
      </c>
    </row>
    <row r="108" spans="1:10" ht="15.75" thickBot="1" x14ac:dyDescent="0.3">
      <c r="A108" s="9" t="s">
        <v>46</v>
      </c>
      <c r="B108" s="10"/>
      <c r="C108">
        <v>1</v>
      </c>
      <c r="D108" s="12"/>
      <c r="E108" s="12"/>
      <c r="F108" s="25"/>
      <c r="G108" s="8"/>
      <c r="H108" s="30" t="s">
        <v>89</v>
      </c>
      <c r="I108" s="26">
        <v>10</v>
      </c>
      <c r="J108" s="27">
        <f>I108/I$104</f>
        <v>0.58823529411764708</v>
      </c>
    </row>
    <row r="109" spans="1:10" x14ac:dyDescent="0.25">
      <c r="A109" s="9"/>
      <c r="B109" s="10"/>
      <c r="C109" t="s">
        <v>27</v>
      </c>
      <c r="D109" s="12"/>
      <c r="E109" s="13" t="s">
        <v>93</v>
      </c>
      <c r="F109" s="14"/>
      <c r="G109" s="8"/>
    </row>
    <row r="110" spans="1:10" ht="15.75" thickBot="1" x14ac:dyDescent="0.3">
      <c r="A110" s="9" t="s">
        <v>95</v>
      </c>
      <c r="B110" s="10"/>
      <c r="C110" t="s">
        <v>27</v>
      </c>
      <c r="D110" s="12"/>
      <c r="E110" s="18" t="s">
        <v>96</v>
      </c>
      <c r="F110" s="21">
        <f>C111/C$60</f>
        <v>0.70833333333333337</v>
      </c>
      <c r="G110" s="8"/>
    </row>
    <row r="111" spans="1:10" x14ac:dyDescent="0.25">
      <c r="A111" s="9" t="s">
        <v>96</v>
      </c>
      <c r="B111" s="10"/>
      <c r="C111">
        <v>34</v>
      </c>
      <c r="D111" s="12"/>
      <c r="E111" s="18" t="s">
        <v>98</v>
      </c>
      <c r="F111" s="21">
        <f>C112/C$60</f>
        <v>0.1875</v>
      </c>
      <c r="G111" s="8"/>
      <c r="H111" s="15" t="s">
        <v>46</v>
      </c>
      <c r="I111" s="16">
        <v>16</v>
      </c>
      <c r="J111" s="17"/>
    </row>
    <row r="112" spans="1:10" x14ac:dyDescent="0.25">
      <c r="A112" s="9" t="s">
        <v>98</v>
      </c>
      <c r="B112" s="10"/>
      <c r="C112">
        <v>9</v>
      </c>
      <c r="D112" s="12"/>
      <c r="E112" s="18" t="s">
        <v>100</v>
      </c>
      <c r="F112" s="21">
        <f>C113/C$60</f>
        <v>4.1666666666666664E-2</v>
      </c>
      <c r="G112" s="8"/>
      <c r="H112" s="28" t="s">
        <v>92</v>
      </c>
      <c r="I112" s="20">
        <v>1</v>
      </c>
      <c r="J112" s="21">
        <f>I112/I$111</f>
        <v>6.25E-2</v>
      </c>
    </row>
    <row r="113" spans="1:10" x14ac:dyDescent="0.25">
      <c r="A113" s="9" t="s">
        <v>100</v>
      </c>
      <c r="B113" s="10"/>
      <c r="C113">
        <v>2</v>
      </c>
      <c r="D113" s="12"/>
      <c r="E113" s="18" t="s">
        <v>102</v>
      </c>
      <c r="F113" s="21">
        <f>C114/C$60</f>
        <v>4.1666666666666664E-2</v>
      </c>
      <c r="G113" s="8"/>
      <c r="H113" s="28" t="s">
        <v>94</v>
      </c>
      <c r="I113" s="20">
        <v>2</v>
      </c>
      <c r="J113" s="21">
        <f t="shared" ref="J113:J121" si="6">I113/I$111</f>
        <v>0.125</v>
      </c>
    </row>
    <row r="114" spans="1:10" ht="15.75" thickBot="1" x14ac:dyDescent="0.3">
      <c r="A114" s="9" t="s">
        <v>102</v>
      </c>
      <c r="C114">
        <v>2</v>
      </c>
      <c r="E114" s="23" t="s">
        <v>103</v>
      </c>
      <c r="F114" s="27">
        <f>C115/C$60</f>
        <v>2.0833333333333332E-2</v>
      </c>
      <c r="H114" s="28" t="s">
        <v>97</v>
      </c>
      <c r="I114" s="20">
        <v>0</v>
      </c>
      <c r="J114" s="21">
        <f t="shared" si="6"/>
        <v>0</v>
      </c>
    </row>
    <row r="115" spans="1:10" x14ac:dyDescent="0.25">
      <c r="A115" s="9" t="s">
        <v>103</v>
      </c>
      <c r="C115">
        <v>1</v>
      </c>
      <c r="E115" s="12"/>
      <c r="F115" s="25"/>
      <c r="H115" s="28" t="s">
        <v>99</v>
      </c>
      <c r="I115" s="20">
        <v>0</v>
      </c>
      <c r="J115" s="21">
        <f t="shared" si="6"/>
        <v>0</v>
      </c>
    </row>
    <row r="116" spans="1:10" x14ac:dyDescent="0.25">
      <c r="A116" s="9" t="s">
        <v>104</v>
      </c>
      <c r="C116">
        <v>0</v>
      </c>
      <c r="E116" s="12"/>
      <c r="F116" s="25"/>
      <c r="H116" s="28" t="s">
        <v>101</v>
      </c>
      <c r="I116" s="20">
        <v>8</v>
      </c>
      <c r="J116" s="21">
        <f t="shared" si="6"/>
        <v>0.5</v>
      </c>
    </row>
    <row r="117" spans="1:10" ht="15.75" thickBot="1" x14ac:dyDescent="0.3">
      <c r="A117" s="9"/>
      <c r="E117" s="12"/>
      <c r="F117" s="25"/>
      <c r="H117" s="66" t="s">
        <v>159</v>
      </c>
      <c r="I117" s="68">
        <v>2</v>
      </c>
      <c r="J117" s="21">
        <f t="shared" si="6"/>
        <v>0.125</v>
      </c>
    </row>
    <row r="118" spans="1:10" x14ac:dyDescent="0.25">
      <c r="A118" s="89" t="s">
        <v>7</v>
      </c>
      <c r="B118" s="100">
        <v>92531.60000000002</v>
      </c>
      <c r="H118" s="66" t="s">
        <v>160</v>
      </c>
      <c r="I118" s="68">
        <v>0</v>
      </c>
      <c r="J118" s="21">
        <f t="shared" si="6"/>
        <v>0</v>
      </c>
    </row>
    <row r="119" spans="1:10" x14ac:dyDescent="0.25">
      <c r="A119" s="91" t="s">
        <v>84</v>
      </c>
      <c r="B119" s="92">
        <f>SUM(F2,F4:F6,F8:F9,F12:F16,F19:F20,F22:F24,F26,F29:F30,F32:F34,F36:F37,F40:F41,F43,F46,)</f>
        <v>46790.579999999994</v>
      </c>
      <c r="H119" s="66" t="s">
        <v>161</v>
      </c>
      <c r="I119" s="68">
        <v>3</v>
      </c>
      <c r="J119" s="21">
        <f t="shared" si="6"/>
        <v>0.1875</v>
      </c>
    </row>
    <row r="120" spans="1:10" x14ac:dyDescent="0.25">
      <c r="A120" s="91" t="s">
        <v>281</v>
      </c>
      <c r="B120" s="92">
        <f>SUM(F7,F10,F25,F27:F28,F31,F35,F38:F39,F44,F47:F49)</f>
        <v>30409.019999999997</v>
      </c>
      <c r="H120" s="66" t="s">
        <v>162</v>
      </c>
      <c r="I120" s="68">
        <v>0</v>
      </c>
      <c r="J120" s="21">
        <f t="shared" si="6"/>
        <v>0</v>
      </c>
    </row>
    <row r="121" spans="1:10" ht="15.75" thickBot="1" x14ac:dyDescent="0.3">
      <c r="A121" s="91" t="s">
        <v>291</v>
      </c>
      <c r="B121" s="92">
        <f>SUM(F3,F17:F18,F21,F42,F45,)</f>
        <v>14492</v>
      </c>
      <c r="H121" s="67" t="s">
        <v>163</v>
      </c>
      <c r="I121" s="26">
        <v>0</v>
      </c>
      <c r="J121" s="27">
        <f t="shared" si="6"/>
        <v>0</v>
      </c>
    </row>
    <row r="122" spans="1:10" x14ac:dyDescent="0.25">
      <c r="A122" s="91" t="s">
        <v>46</v>
      </c>
      <c r="B122" s="93">
        <f>SUM(F11,)</f>
        <v>840</v>
      </c>
    </row>
    <row r="123" spans="1:10" ht="15.75" thickBot="1" x14ac:dyDescent="0.3">
      <c r="A123" s="94"/>
      <c r="B123" s="95">
        <f>SUM(B119:B122)</f>
        <v>92531.599999999991</v>
      </c>
    </row>
  </sheetData>
  <mergeCells count="1">
    <mergeCell ref="A56:F5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9"/>
  <sheetViews>
    <sheetView topLeftCell="A62" workbookViewId="0">
      <selection activeCell="H103" sqref="H103:J107"/>
    </sheetView>
  </sheetViews>
  <sheetFormatPr baseColWidth="10" defaultRowHeight="15" x14ac:dyDescent="0.25"/>
  <cols>
    <col min="2" max="2" width="33.85546875" customWidth="1"/>
    <col min="3" max="3" width="12" customWidth="1"/>
    <col min="4" max="4" width="5.28515625" customWidth="1"/>
    <col min="5" max="5" width="5.85546875" customWidth="1"/>
    <col min="7" max="7" width="34" customWidth="1"/>
  </cols>
  <sheetData>
    <row r="1" spans="1:8" ht="15" customHeight="1" x14ac:dyDescent="0.25">
      <c r="A1" s="3" t="s">
        <v>2</v>
      </c>
      <c r="B1" s="4" t="s">
        <v>3</v>
      </c>
      <c r="C1" s="4" t="s">
        <v>5</v>
      </c>
      <c r="D1" s="4" t="s">
        <v>15</v>
      </c>
      <c r="E1" s="7" t="s">
        <v>6</v>
      </c>
      <c r="F1" s="5" t="s">
        <v>8</v>
      </c>
      <c r="G1" s="6" t="s">
        <v>10</v>
      </c>
      <c r="H1" s="1" t="s">
        <v>11</v>
      </c>
    </row>
    <row r="2" spans="1:8" x14ac:dyDescent="0.25">
      <c r="A2" s="10">
        <v>44837</v>
      </c>
      <c r="B2" t="s">
        <v>2056</v>
      </c>
      <c r="C2" t="s">
        <v>360</v>
      </c>
      <c r="D2" t="s">
        <v>30</v>
      </c>
      <c r="E2" t="s">
        <v>281</v>
      </c>
      <c r="F2" s="11">
        <v>978</v>
      </c>
      <c r="G2" t="s">
        <v>2059</v>
      </c>
      <c r="H2" t="s">
        <v>80</v>
      </c>
    </row>
    <row r="3" spans="1:8" x14ac:dyDescent="0.25">
      <c r="A3" s="10">
        <v>44838</v>
      </c>
      <c r="B3" t="s">
        <v>2078</v>
      </c>
      <c r="C3" t="s">
        <v>96</v>
      </c>
      <c r="D3" t="s">
        <v>30</v>
      </c>
      <c r="E3" t="s">
        <v>168</v>
      </c>
      <c r="F3" s="11">
        <v>1894.65</v>
      </c>
      <c r="G3" t="s">
        <v>2081</v>
      </c>
      <c r="H3" t="s">
        <v>2083</v>
      </c>
    </row>
    <row r="4" spans="1:8" x14ac:dyDescent="0.25">
      <c r="A4" s="10">
        <v>44840</v>
      </c>
      <c r="B4" t="s">
        <v>2093</v>
      </c>
      <c r="C4" t="s">
        <v>360</v>
      </c>
      <c r="D4" t="s">
        <v>30</v>
      </c>
      <c r="E4" t="s">
        <v>168</v>
      </c>
      <c r="F4" s="11">
        <v>2631</v>
      </c>
      <c r="G4" t="s">
        <v>2096</v>
      </c>
      <c r="H4" t="s">
        <v>2108</v>
      </c>
    </row>
    <row r="5" spans="1:8" x14ac:dyDescent="0.25">
      <c r="A5" s="10">
        <v>44841</v>
      </c>
      <c r="B5" t="s">
        <v>2097</v>
      </c>
      <c r="C5" t="s">
        <v>360</v>
      </c>
      <c r="D5" t="s">
        <v>32</v>
      </c>
      <c r="E5" t="s">
        <v>168</v>
      </c>
      <c r="F5" s="11">
        <v>975.24</v>
      </c>
      <c r="G5" t="s">
        <v>2100</v>
      </c>
      <c r="H5" t="s">
        <v>2109</v>
      </c>
    </row>
    <row r="6" spans="1:8" x14ac:dyDescent="0.25">
      <c r="A6" s="10">
        <v>44841</v>
      </c>
      <c r="B6" t="s">
        <v>2101</v>
      </c>
      <c r="C6" t="s">
        <v>96</v>
      </c>
      <c r="D6" t="s">
        <v>30</v>
      </c>
      <c r="E6" t="s">
        <v>291</v>
      </c>
      <c r="F6" s="11">
        <v>1090</v>
      </c>
      <c r="G6" t="s">
        <v>2204</v>
      </c>
      <c r="H6" t="s">
        <v>2110</v>
      </c>
    </row>
    <row r="7" spans="1:8" x14ac:dyDescent="0.25">
      <c r="A7" s="10">
        <v>44842</v>
      </c>
      <c r="B7" t="s">
        <v>2104</v>
      </c>
      <c r="C7" t="s">
        <v>96</v>
      </c>
      <c r="D7" t="s">
        <v>30</v>
      </c>
      <c r="E7" t="s">
        <v>281</v>
      </c>
      <c r="F7" s="11">
        <v>1891</v>
      </c>
      <c r="G7" t="s">
        <v>2107</v>
      </c>
      <c r="H7" t="s">
        <v>80</v>
      </c>
    </row>
    <row r="8" spans="1:8" x14ac:dyDescent="0.25">
      <c r="A8" s="10">
        <v>44845</v>
      </c>
      <c r="B8" t="s">
        <v>2111</v>
      </c>
      <c r="C8" t="s">
        <v>360</v>
      </c>
      <c r="D8" t="s">
        <v>30</v>
      </c>
      <c r="E8" t="s">
        <v>168</v>
      </c>
      <c r="F8" s="11">
        <v>1641</v>
      </c>
      <c r="G8" t="s">
        <v>2114</v>
      </c>
      <c r="H8" t="s">
        <v>2116</v>
      </c>
    </row>
    <row r="9" spans="1:8" x14ac:dyDescent="0.25">
      <c r="A9" s="10">
        <v>44838</v>
      </c>
      <c r="B9" t="s">
        <v>2118</v>
      </c>
      <c r="C9" t="s">
        <v>96</v>
      </c>
      <c r="D9" t="s">
        <v>30</v>
      </c>
      <c r="E9" t="s">
        <v>168</v>
      </c>
      <c r="F9" s="11">
        <v>2001.84</v>
      </c>
      <c r="G9" t="s">
        <v>2121</v>
      </c>
      <c r="H9" t="s">
        <v>278</v>
      </c>
    </row>
    <row r="10" spans="1:8" x14ac:dyDescent="0.25">
      <c r="A10" s="10">
        <v>44839</v>
      </c>
      <c r="B10" t="s">
        <v>2122</v>
      </c>
      <c r="C10" t="s">
        <v>360</v>
      </c>
      <c r="D10" t="s">
        <v>30</v>
      </c>
      <c r="E10" t="s">
        <v>168</v>
      </c>
      <c r="F10" s="11">
        <v>1194</v>
      </c>
      <c r="G10" t="s">
        <v>451</v>
      </c>
      <c r="H10" t="s">
        <v>192</v>
      </c>
    </row>
    <row r="11" spans="1:8" x14ac:dyDescent="0.25">
      <c r="A11" s="10">
        <v>44847</v>
      </c>
      <c r="B11" t="s">
        <v>1144</v>
      </c>
      <c r="C11" t="s">
        <v>96</v>
      </c>
      <c r="D11" t="s">
        <v>30</v>
      </c>
      <c r="E11" t="s">
        <v>281</v>
      </c>
      <c r="F11" s="11">
        <v>1542.8</v>
      </c>
      <c r="G11" t="s">
        <v>2126</v>
      </c>
      <c r="H11" t="s">
        <v>80</v>
      </c>
    </row>
    <row r="12" spans="1:8" x14ac:dyDescent="0.25">
      <c r="A12" s="10">
        <v>44842</v>
      </c>
      <c r="B12" t="s">
        <v>2129</v>
      </c>
      <c r="C12" t="s">
        <v>96</v>
      </c>
      <c r="D12" t="s">
        <v>30</v>
      </c>
      <c r="E12" t="s">
        <v>281</v>
      </c>
      <c r="F12" s="11">
        <v>1312</v>
      </c>
      <c r="G12" t="s">
        <v>2132</v>
      </c>
      <c r="H12" t="s">
        <v>80</v>
      </c>
    </row>
    <row r="13" spans="1:8" x14ac:dyDescent="0.25">
      <c r="A13" s="10">
        <v>44847</v>
      </c>
      <c r="B13" t="s">
        <v>2133</v>
      </c>
      <c r="C13" t="s">
        <v>96</v>
      </c>
      <c r="D13" t="s">
        <v>30</v>
      </c>
      <c r="E13" t="s">
        <v>168</v>
      </c>
      <c r="F13" s="11">
        <v>2720</v>
      </c>
      <c r="G13" t="s">
        <v>2136</v>
      </c>
      <c r="H13" t="s">
        <v>192</v>
      </c>
    </row>
    <row r="14" spans="1:8" x14ac:dyDescent="0.25">
      <c r="A14" s="10">
        <v>44848</v>
      </c>
      <c r="B14" t="s">
        <v>2137</v>
      </c>
      <c r="C14" t="s">
        <v>96</v>
      </c>
      <c r="D14" t="s">
        <v>30</v>
      </c>
      <c r="E14" t="s">
        <v>281</v>
      </c>
      <c r="F14" s="11">
        <v>2660</v>
      </c>
      <c r="G14" t="s">
        <v>2139</v>
      </c>
      <c r="H14" t="s">
        <v>80</v>
      </c>
    </row>
    <row r="15" spans="1:8" x14ac:dyDescent="0.25">
      <c r="A15" s="10">
        <v>44849</v>
      </c>
      <c r="B15" t="s">
        <v>2140</v>
      </c>
      <c r="C15" t="s">
        <v>96</v>
      </c>
      <c r="D15" t="s">
        <v>32</v>
      </c>
      <c r="E15" t="s">
        <v>168</v>
      </c>
      <c r="F15" s="11">
        <v>7027.28</v>
      </c>
      <c r="G15" t="s">
        <v>244</v>
      </c>
      <c r="H15" t="s">
        <v>277</v>
      </c>
    </row>
    <row r="16" spans="1:8" x14ac:dyDescent="0.25">
      <c r="A16" s="10">
        <v>44838</v>
      </c>
      <c r="B16" t="s">
        <v>1994</v>
      </c>
      <c r="C16" t="s">
        <v>96</v>
      </c>
      <c r="D16" t="s">
        <v>30</v>
      </c>
      <c r="E16" t="s">
        <v>281</v>
      </c>
      <c r="F16" s="11">
        <v>953.28</v>
      </c>
      <c r="G16" t="s">
        <v>2144</v>
      </c>
      <c r="H16" t="s">
        <v>80</v>
      </c>
    </row>
    <row r="17" spans="1:8" x14ac:dyDescent="0.25">
      <c r="A17" s="10">
        <v>44851</v>
      </c>
      <c r="B17" t="s">
        <v>2014</v>
      </c>
      <c r="C17" t="s">
        <v>360</v>
      </c>
      <c r="D17" t="s">
        <v>30</v>
      </c>
      <c r="E17" t="s">
        <v>281</v>
      </c>
      <c r="F17" s="11">
        <v>1337</v>
      </c>
      <c r="G17" t="s">
        <v>2148</v>
      </c>
      <c r="H17" t="s">
        <v>80</v>
      </c>
    </row>
    <row r="18" spans="1:8" x14ac:dyDescent="0.25">
      <c r="A18" s="10">
        <v>44851</v>
      </c>
      <c r="B18" t="s">
        <v>2149</v>
      </c>
      <c r="C18" t="s">
        <v>360</v>
      </c>
      <c r="D18" t="s">
        <v>32</v>
      </c>
      <c r="E18" t="s">
        <v>168</v>
      </c>
      <c r="F18" s="11">
        <v>2220.1999999999998</v>
      </c>
      <c r="G18" t="s">
        <v>2152</v>
      </c>
      <c r="H18" t="s">
        <v>193</v>
      </c>
    </row>
    <row r="19" spans="1:8" x14ac:dyDescent="0.25">
      <c r="A19" s="10">
        <v>44844</v>
      </c>
      <c r="B19" t="s">
        <v>2153</v>
      </c>
      <c r="C19" t="s">
        <v>96</v>
      </c>
      <c r="D19" t="s">
        <v>30</v>
      </c>
      <c r="E19" t="s">
        <v>168</v>
      </c>
      <c r="F19" s="11">
        <v>1872.3</v>
      </c>
      <c r="G19" t="s">
        <v>2156</v>
      </c>
      <c r="H19" t="s">
        <v>192</v>
      </c>
    </row>
    <row r="20" spans="1:8" x14ac:dyDescent="0.25">
      <c r="A20" s="10">
        <v>44852</v>
      </c>
      <c r="B20" t="s">
        <v>2157</v>
      </c>
      <c r="C20" t="s">
        <v>96</v>
      </c>
      <c r="D20" t="s">
        <v>30</v>
      </c>
      <c r="E20" t="s">
        <v>168</v>
      </c>
      <c r="F20" s="11">
        <v>1343.52</v>
      </c>
      <c r="G20" t="s">
        <v>244</v>
      </c>
      <c r="H20" t="s">
        <v>2160</v>
      </c>
    </row>
    <row r="21" spans="1:8" x14ac:dyDescent="0.25">
      <c r="A21" s="10">
        <v>44844</v>
      </c>
      <c r="B21" t="s">
        <v>771</v>
      </c>
      <c r="C21" t="s">
        <v>96</v>
      </c>
      <c r="D21" t="s">
        <v>30</v>
      </c>
      <c r="E21" t="s">
        <v>281</v>
      </c>
      <c r="F21" s="11">
        <v>618</v>
      </c>
      <c r="G21" t="s">
        <v>2162</v>
      </c>
      <c r="H21" t="s">
        <v>80</v>
      </c>
    </row>
    <row r="22" spans="1:8" x14ac:dyDescent="0.25">
      <c r="A22" s="10">
        <v>44853</v>
      </c>
      <c r="B22" t="s">
        <v>2163</v>
      </c>
      <c r="C22" t="s">
        <v>96</v>
      </c>
      <c r="D22" t="s">
        <v>30</v>
      </c>
      <c r="E22" t="s">
        <v>291</v>
      </c>
      <c r="F22" s="11">
        <v>1535</v>
      </c>
      <c r="G22" t="s">
        <v>2166</v>
      </c>
      <c r="H22" t="s">
        <v>193</v>
      </c>
    </row>
    <row r="23" spans="1:8" x14ac:dyDescent="0.25">
      <c r="A23" s="10">
        <v>44854</v>
      </c>
      <c r="B23" t="s">
        <v>2167</v>
      </c>
      <c r="C23" t="s">
        <v>96</v>
      </c>
      <c r="D23" t="s">
        <v>30</v>
      </c>
      <c r="E23" t="s">
        <v>168</v>
      </c>
      <c r="F23" s="11">
        <v>1150</v>
      </c>
      <c r="G23" t="s">
        <v>270</v>
      </c>
      <c r="H23" t="s">
        <v>193</v>
      </c>
    </row>
    <row r="24" spans="1:8" x14ac:dyDescent="0.25">
      <c r="A24" s="10">
        <v>44855</v>
      </c>
      <c r="B24" t="s">
        <v>1307</v>
      </c>
      <c r="C24" t="s">
        <v>96</v>
      </c>
      <c r="D24" t="s">
        <v>32</v>
      </c>
      <c r="E24" t="s">
        <v>281</v>
      </c>
      <c r="F24" s="11">
        <v>5160.84</v>
      </c>
      <c r="G24" t="s">
        <v>2171</v>
      </c>
      <c r="H24" t="s">
        <v>80</v>
      </c>
    </row>
    <row r="25" spans="1:8" x14ac:dyDescent="0.25">
      <c r="A25" s="10">
        <v>44855</v>
      </c>
      <c r="B25" t="s">
        <v>2172</v>
      </c>
      <c r="C25" t="s">
        <v>96</v>
      </c>
      <c r="D25" t="s">
        <v>30</v>
      </c>
      <c r="E25" t="s">
        <v>281</v>
      </c>
      <c r="F25" s="11">
        <v>1580</v>
      </c>
      <c r="G25" t="s">
        <v>2175</v>
      </c>
      <c r="H25" t="s">
        <v>80</v>
      </c>
    </row>
    <row r="26" spans="1:8" x14ac:dyDescent="0.25">
      <c r="A26" s="10">
        <v>44858</v>
      </c>
      <c r="B26" t="s">
        <v>2176</v>
      </c>
      <c r="C26" t="s">
        <v>96</v>
      </c>
      <c r="D26" t="s">
        <v>32</v>
      </c>
      <c r="E26" t="s">
        <v>281</v>
      </c>
      <c r="F26" s="11">
        <v>25761.96</v>
      </c>
      <c r="G26" t="s">
        <v>575</v>
      </c>
      <c r="H26" t="s">
        <v>80</v>
      </c>
    </row>
    <row r="27" spans="1:8" x14ac:dyDescent="0.25">
      <c r="A27" s="10">
        <v>44847</v>
      </c>
      <c r="B27" t="s">
        <v>2122</v>
      </c>
      <c r="C27" t="s">
        <v>360</v>
      </c>
      <c r="D27" t="s">
        <v>30</v>
      </c>
      <c r="E27" t="s">
        <v>281</v>
      </c>
      <c r="F27" s="11">
        <v>1168</v>
      </c>
      <c r="G27" t="s">
        <v>2177</v>
      </c>
      <c r="H27" t="s">
        <v>80</v>
      </c>
    </row>
    <row r="28" spans="1:8" x14ac:dyDescent="0.25">
      <c r="A28" s="10">
        <v>44847</v>
      </c>
      <c r="B28" t="s">
        <v>2178</v>
      </c>
      <c r="C28" t="s">
        <v>360</v>
      </c>
      <c r="D28" t="s">
        <v>30</v>
      </c>
      <c r="E28" t="s">
        <v>168</v>
      </c>
      <c r="F28" s="11">
        <v>2016</v>
      </c>
      <c r="G28" t="s">
        <v>723</v>
      </c>
      <c r="H28" t="s">
        <v>192</v>
      </c>
    </row>
    <row r="29" spans="1:8" x14ac:dyDescent="0.25">
      <c r="A29" s="10">
        <v>44853</v>
      </c>
      <c r="B29" t="s">
        <v>1537</v>
      </c>
      <c r="C29" t="s">
        <v>96</v>
      </c>
      <c r="D29" t="s">
        <v>30</v>
      </c>
      <c r="E29" t="s">
        <v>281</v>
      </c>
      <c r="F29" s="11">
        <v>600</v>
      </c>
      <c r="G29" t="s">
        <v>2181</v>
      </c>
      <c r="H29" t="s">
        <v>80</v>
      </c>
    </row>
    <row r="30" spans="1:8" x14ac:dyDescent="0.25">
      <c r="A30" s="10">
        <v>44862</v>
      </c>
      <c r="B30" t="s">
        <v>2182</v>
      </c>
      <c r="C30" t="s">
        <v>96</v>
      </c>
      <c r="D30" t="s">
        <v>30</v>
      </c>
      <c r="E30" t="s">
        <v>291</v>
      </c>
      <c r="F30" s="11">
        <v>2244.5500000000002</v>
      </c>
      <c r="G30" t="s">
        <v>2185</v>
      </c>
      <c r="H30" t="s">
        <v>2195</v>
      </c>
    </row>
    <row r="31" spans="1:8" x14ac:dyDescent="0.25">
      <c r="A31" s="10">
        <v>44865</v>
      </c>
      <c r="B31" t="s">
        <v>2172</v>
      </c>
      <c r="C31" t="s">
        <v>96</v>
      </c>
      <c r="D31" t="s">
        <v>30</v>
      </c>
      <c r="E31" t="s">
        <v>281</v>
      </c>
      <c r="F31" s="11">
        <v>1999</v>
      </c>
      <c r="G31" t="s">
        <v>2194</v>
      </c>
      <c r="H31" t="s">
        <v>80</v>
      </c>
    </row>
    <row r="32" spans="1:8" x14ac:dyDescent="0.25">
      <c r="A32" s="10">
        <v>44865</v>
      </c>
      <c r="B32" t="s">
        <v>2196</v>
      </c>
      <c r="C32" t="s">
        <v>96</v>
      </c>
      <c r="D32" t="s">
        <v>30</v>
      </c>
      <c r="E32" t="s">
        <v>281</v>
      </c>
      <c r="F32" s="11">
        <v>1050</v>
      </c>
      <c r="G32" t="s">
        <v>2199</v>
      </c>
      <c r="H32" t="s">
        <v>80</v>
      </c>
    </row>
    <row r="33" spans="1:10" x14ac:dyDescent="0.25">
      <c r="A33" s="10">
        <v>44860</v>
      </c>
      <c r="B33" t="s">
        <v>2200</v>
      </c>
      <c r="C33" t="s">
        <v>96</v>
      </c>
      <c r="D33" t="s">
        <v>32</v>
      </c>
      <c r="E33" t="s">
        <v>281</v>
      </c>
      <c r="F33" s="11">
        <v>7662.54</v>
      </c>
      <c r="G33" t="s">
        <v>2201</v>
      </c>
      <c r="H33" t="s">
        <v>80</v>
      </c>
    </row>
    <row r="34" spans="1:10" x14ac:dyDescent="0.25">
      <c r="A34" s="10">
        <v>44863</v>
      </c>
      <c r="B34" t="s">
        <v>2200</v>
      </c>
      <c r="C34" t="s">
        <v>96</v>
      </c>
      <c r="D34" t="s">
        <v>32</v>
      </c>
      <c r="E34" t="s">
        <v>281</v>
      </c>
      <c r="F34" s="11">
        <v>7433.27</v>
      </c>
      <c r="G34" t="s">
        <v>895</v>
      </c>
      <c r="H34" t="s">
        <v>80</v>
      </c>
    </row>
    <row r="41" spans="1:10" ht="15.75" thickBot="1" x14ac:dyDescent="0.3">
      <c r="A41" s="106" t="s">
        <v>16</v>
      </c>
      <c r="B41" s="106"/>
      <c r="C41" s="106"/>
      <c r="D41" s="106"/>
      <c r="E41" s="106"/>
      <c r="F41" s="106"/>
      <c r="G41" s="8"/>
    </row>
    <row r="42" spans="1:10" x14ac:dyDescent="0.25">
      <c r="A42" s="9" t="s">
        <v>17</v>
      </c>
      <c r="B42" s="10"/>
      <c r="C42" s="11">
        <f>SUM(F2:F39)</f>
        <v>97264.27</v>
      </c>
      <c r="D42" s="12"/>
      <c r="E42" s="13" t="s">
        <v>18</v>
      </c>
      <c r="F42" s="14"/>
      <c r="G42" s="8"/>
      <c r="H42" s="15" t="s">
        <v>19</v>
      </c>
      <c r="I42" s="16">
        <v>23</v>
      </c>
      <c r="J42" s="17"/>
    </row>
    <row r="43" spans="1:10" x14ac:dyDescent="0.25">
      <c r="A43" s="9"/>
      <c r="B43" s="10"/>
      <c r="C43" s="11"/>
      <c r="D43" s="12"/>
      <c r="E43" s="18" t="s">
        <v>20</v>
      </c>
      <c r="F43" s="19">
        <v>97264.27</v>
      </c>
      <c r="G43" s="8"/>
      <c r="H43" s="18" t="s">
        <v>21</v>
      </c>
      <c r="I43" s="20">
        <v>9</v>
      </c>
      <c r="J43" s="21">
        <f>I43/I$42</f>
        <v>0.39130434782608697</v>
      </c>
    </row>
    <row r="44" spans="1:10" ht="15.75" thickBot="1" x14ac:dyDescent="0.3">
      <c r="A44" s="9" t="s">
        <v>22</v>
      </c>
      <c r="B44" s="10"/>
      <c r="C44" s="22">
        <v>26</v>
      </c>
      <c r="D44" s="12"/>
      <c r="E44" s="23" t="s">
        <v>23</v>
      </c>
      <c r="F44" s="24">
        <f>C42/C44</f>
        <v>3740.9334615384619</v>
      </c>
      <c r="G44" s="8"/>
      <c r="H44" s="18" t="s">
        <v>24</v>
      </c>
      <c r="I44" s="20">
        <v>12</v>
      </c>
      <c r="J44" s="21">
        <f>I44/I$42</f>
        <v>0.52173913043478259</v>
      </c>
    </row>
    <row r="45" spans="1:10" ht="15.75" thickBot="1" x14ac:dyDescent="0.3">
      <c r="A45" s="9" t="s">
        <v>25</v>
      </c>
      <c r="B45" s="10"/>
      <c r="C45">
        <v>33</v>
      </c>
      <c r="D45" s="12"/>
      <c r="E45" s="12"/>
      <c r="F45" s="25"/>
      <c r="G45" s="8"/>
      <c r="H45" s="23" t="s">
        <v>26</v>
      </c>
      <c r="I45" s="26">
        <v>2</v>
      </c>
      <c r="J45" s="27">
        <f>I45/I$42</f>
        <v>8.6956521739130432E-2</v>
      </c>
    </row>
    <row r="46" spans="1:10" x14ac:dyDescent="0.25">
      <c r="A46" s="9"/>
      <c r="B46" s="10"/>
      <c r="D46" s="12" t="s">
        <v>27</v>
      </c>
      <c r="E46" s="13" t="s">
        <v>28</v>
      </c>
      <c r="F46" s="14"/>
      <c r="G46" s="8"/>
    </row>
    <row r="47" spans="1:10" ht="15.75" thickBot="1" x14ac:dyDescent="0.3">
      <c r="A47" s="9" t="s">
        <v>29</v>
      </c>
      <c r="B47" s="10"/>
      <c r="C47">
        <v>26</v>
      </c>
      <c r="D47" s="12" t="s">
        <v>27</v>
      </c>
      <c r="E47" s="18" t="s">
        <v>30</v>
      </c>
      <c r="F47" s="21">
        <f>C47/C$45</f>
        <v>0.78787878787878785</v>
      </c>
      <c r="G47" s="8"/>
    </row>
    <row r="48" spans="1:10" ht="15.75" thickBot="1" x14ac:dyDescent="0.3">
      <c r="A48" s="9" t="s">
        <v>31</v>
      </c>
      <c r="B48" s="10"/>
      <c r="C48">
        <v>7</v>
      </c>
      <c r="D48" s="12"/>
      <c r="E48" s="23" t="s">
        <v>32</v>
      </c>
      <c r="F48" s="27">
        <f>C48/C$45</f>
        <v>0.21212121212121213</v>
      </c>
      <c r="G48" s="8"/>
      <c r="H48" s="15" t="s">
        <v>33</v>
      </c>
      <c r="I48" s="16">
        <v>14</v>
      </c>
      <c r="J48" s="17"/>
    </row>
    <row r="49" spans="1:10" ht="15.75" thickBot="1" x14ac:dyDescent="0.3">
      <c r="A49" s="9"/>
      <c r="B49" s="10"/>
      <c r="D49" s="12"/>
      <c r="E49" s="12"/>
      <c r="F49" s="25"/>
      <c r="G49" s="8"/>
      <c r="H49" s="28" t="s">
        <v>34</v>
      </c>
      <c r="I49" s="20">
        <v>7</v>
      </c>
      <c r="J49" s="21">
        <f>I49/I$48</f>
        <v>0.5</v>
      </c>
    </row>
    <row r="50" spans="1:10" x14ac:dyDescent="0.25">
      <c r="A50" s="9" t="s">
        <v>35</v>
      </c>
      <c r="B50" s="10"/>
      <c r="D50" s="12"/>
      <c r="E50" s="13" t="s">
        <v>36</v>
      </c>
      <c r="F50" s="14"/>
      <c r="G50" s="8"/>
      <c r="H50" s="28" t="s">
        <v>37</v>
      </c>
      <c r="I50" s="20">
        <v>3</v>
      </c>
      <c r="J50" s="21">
        <f>I50/I$48</f>
        <v>0.21428571428571427</v>
      </c>
    </row>
    <row r="51" spans="1:10" ht="15.75" thickBot="1" x14ac:dyDescent="0.3">
      <c r="A51" s="9" t="s">
        <v>38</v>
      </c>
      <c r="B51" s="10"/>
      <c r="C51">
        <v>5</v>
      </c>
      <c r="D51" s="12"/>
      <c r="E51" s="29" t="s">
        <v>38</v>
      </c>
      <c r="F51" s="21">
        <f>C51/C$60</f>
        <v>6.7567567567567571E-2</v>
      </c>
      <c r="G51" s="8"/>
      <c r="H51" s="30" t="s">
        <v>39</v>
      </c>
      <c r="I51" s="26">
        <v>4</v>
      </c>
      <c r="J51" s="27">
        <f>I51/I$48</f>
        <v>0.2857142857142857</v>
      </c>
    </row>
    <row r="52" spans="1:10" ht="15.75" thickBot="1" x14ac:dyDescent="0.3">
      <c r="A52" s="9" t="s">
        <v>19</v>
      </c>
      <c r="B52" s="10"/>
      <c r="C52">
        <v>23</v>
      </c>
      <c r="D52" s="12"/>
      <c r="E52" s="29" t="s">
        <v>19</v>
      </c>
      <c r="F52" s="21">
        <f t="shared" ref="F52:F59" si="0">C52/C$60</f>
        <v>0.3108108108108108</v>
      </c>
      <c r="G52" s="8"/>
      <c r="H52" s="20"/>
      <c r="I52" s="20"/>
      <c r="J52" s="38"/>
    </row>
    <row r="53" spans="1:10" x14ac:dyDescent="0.25">
      <c r="A53" s="9" t="s">
        <v>40</v>
      </c>
      <c r="B53" s="10"/>
      <c r="C53">
        <v>14</v>
      </c>
      <c r="D53" s="12"/>
      <c r="E53" s="29" t="s">
        <v>40</v>
      </c>
      <c r="F53" s="21">
        <f t="shared" si="0"/>
        <v>0.1891891891891892</v>
      </c>
      <c r="G53" s="12" t="s">
        <v>27</v>
      </c>
      <c r="H53" s="80" t="s">
        <v>365</v>
      </c>
      <c r="I53" s="16">
        <v>0</v>
      </c>
      <c r="J53" s="14">
        <f t="shared" ref="J53:J64" si="1">I53/I$48</f>
        <v>0</v>
      </c>
    </row>
    <row r="54" spans="1:10" x14ac:dyDescent="0.25">
      <c r="A54" s="9" t="s">
        <v>41</v>
      </c>
      <c r="B54" s="10"/>
      <c r="C54">
        <v>0</v>
      </c>
      <c r="D54" s="12"/>
      <c r="E54" s="29" t="s">
        <v>41</v>
      </c>
      <c r="F54" s="21">
        <f t="shared" si="0"/>
        <v>0</v>
      </c>
      <c r="G54" s="8"/>
      <c r="H54" s="69" t="s">
        <v>366</v>
      </c>
      <c r="I54" s="68">
        <v>3</v>
      </c>
      <c r="J54" s="21">
        <f t="shared" si="1"/>
        <v>0.21428571428571427</v>
      </c>
    </row>
    <row r="55" spans="1:10" x14ac:dyDescent="0.25">
      <c r="A55" s="9" t="s">
        <v>42</v>
      </c>
      <c r="B55" s="10"/>
      <c r="C55">
        <v>4</v>
      </c>
      <c r="D55" s="12"/>
      <c r="E55" s="29" t="s">
        <v>42</v>
      </c>
      <c r="F55" s="21">
        <f t="shared" si="0"/>
        <v>5.4054054054054057E-2</v>
      </c>
      <c r="G55" s="8"/>
      <c r="H55" s="28" t="s">
        <v>367</v>
      </c>
      <c r="I55" s="20">
        <v>2</v>
      </c>
      <c r="J55" s="21">
        <f t="shared" si="1"/>
        <v>0.14285714285714285</v>
      </c>
    </row>
    <row r="56" spans="1:10" x14ac:dyDescent="0.25">
      <c r="A56" s="9" t="s">
        <v>43</v>
      </c>
      <c r="B56" s="10"/>
      <c r="C56">
        <v>2</v>
      </c>
      <c r="D56" s="12"/>
      <c r="E56" s="29" t="s">
        <v>43</v>
      </c>
      <c r="F56" s="21">
        <f t="shared" si="0"/>
        <v>2.7027027027027029E-2</v>
      </c>
      <c r="G56" s="8"/>
      <c r="H56" s="28" t="s">
        <v>368</v>
      </c>
      <c r="I56" s="20">
        <v>2</v>
      </c>
      <c r="J56" s="21">
        <f t="shared" si="1"/>
        <v>0.14285714285714285</v>
      </c>
    </row>
    <row r="57" spans="1:10" x14ac:dyDescent="0.25">
      <c r="A57" s="9" t="s">
        <v>44</v>
      </c>
      <c r="B57" s="10"/>
      <c r="C57">
        <v>12</v>
      </c>
      <c r="D57" s="12"/>
      <c r="E57" s="29" t="s">
        <v>44</v>
      </c>
      <c r="F57" s="21">
        <f t="shared" si="0"/>
        <v>0.16216216216216217</v>
      </c>
      <c r="G57" s="8"/>
      <c r="H57" s="28" t="s">
        <v>369</v>
      </c>
      <c r="I57" s="20">
        <v>4</v>
      </c>
      <c r="J57" s="21">
        <f t="shared" si="1"/>
        <v>0.2857142857142857</v>
      </c>
    </row>
    <row r="58" spans="1:10" x14ac:dyDescent="0.25">
      <c r="A58" s="9" t="s">
        <v>45</v>
      </c>
      <c r="B58" s="10"/>
      <c r="C58">
        <v>1</v>
      </c>
      <c r="D58" s="12"/>
      <c r="E58" s="29" t="s">
        <v>45</v>
      </c>
      <c r="F58" s="21">
        <f t="shared" si="0"/>
        <v>1.3513513513513514E-2</v>
      </c>
      <c r="G58" s="8"/>
      <c r="H58" s="28" t="s">
        <v>370</v>
      </c>
      <c r="I58" s="20">
        <v>2</v>
      </c>
      <c r="J58" s="21">
        <f t="shared" si="1"/>
        <v>0.14285714285714285</v>
      </c>
    </row>
    <row r="59" spans="1:10" ht="15.75" thickBot="1" x14ac:dyDescent="0.3">
      <c r="A59" s="9" t="s">
        <v>46</v>
      </c>
      <c r="B59" s="10"/>
      <c r="C59">
        <v>13</v>
      </c>
      <c r="D59" s="12"/>
      <c r="E59" s="31" t="s">
        <v>46</v>
      </c>
      <c r="F59" s="27">
        <f t="shared" si="0"/>
        <v>0.17567567567567569</v>
      </c>
      <c r="G59" s="12" t="s">
        <v>27</v>
      </c>
      <c r="H59" s="69" t="s">
        <v>371</v>
      </c>
      <c r="I59" s="68">
        <v>0</v>
      </c>
      <c r="J59" s="21">
        <f t="shared" si="1"/>
        <v>0</v>
      </c>
    </row>
    <row r="60" spans="1:10" ht="15.75" thickBot="1" x14ac:dyDescent="0.3">
      <c r="A60" s="9" t="s">
        <v>47</v>
      </c>
      <c r="B60" s="10"/>
      <c r="C60">
        <f>SUM(C51:C59)</f>
        <v>74</v>
      </c>
      <c r="D60" s="12"/>
      <c r="E60" s="9"/>
      <c r="F60" s="25"/>
      <c r="G60" s="8"/>
      <c r="H60" s="69" t="s">
        <v>372</v>
      </c>
      <c r="I60" s="68">
        <v>0</v>
      </c>
      <c r="J60" s="21">
        <f t="shared" si="1"/>
        <v>0</v>
      </c>
    </row>
    <row r="61" spans="1:10" x14ac:dyDescent="0.25">
      <c r="A61" s="9"/>
      <c r="B61" s="10"/>
      <c r="D61" s="12"/>
      <c r="E61" s="32" t="s">
        <v>49</v>
      </c>
      <c r="F61" s="14"/>
      <c r="G61" s="8"/>
      <c r="H61" s="69" t="s">
        <v>373</v>
      </c>
      <c r="I61" s="68">
        <v>0</v>
      </c>
      <c r="J61" s="21">
        <f t="shared" si="1"/>
        <v>0</v>
      </c>
    </row>
    <row r="62" spans="1:10" x14ac:dyDescent="0.25">
      <c r="A62" s="9" t="s">
        <v>51</v>
      </c>
      <c r="B62" s="10"/>
      <c r="D62" s="12"/>
      <c r="E62" s="29" t="s">
        <v>52</v>
      </c>
      <c r="F62" s="21">
        <f>C63/C$73</f>
        <v>0.36585365853658536</v>
      </c>
      <c r="G62" s="8"/>
      <c r="H62" s="69" t="s">
        <v>374</v>
      </c>
      <c r="I62" s="68">
        <v>1</v>
      </c>
      <c r="J62" s="21">
        <f t="shared" si="1"/>
        <v>7.1428571428571425E-2</v>
      </c>
    </row>
    <row r="63" spans="1:10" x14ac:dyDescent="0.25">
      <c r="A63" s="9" t="s">
        <v>52</v>
      </c>
      <c r="B63" s="10"/>
      <c r="C63">
        <v>30</v>
      </c>
      <c r="D63" s="12"/>
      <c r="E63" s="29" t="s">
        <v>53</v>
      </c>
      <c r="F63" s="21">
        <f t="shared" ref="F63:F71" si="2">C64/C$73</f>
        <v>0.32926829268292684</v>
      </c>
      <c r="G63" s="8"/>
      <c r="H63" s="69" t="s">
        <v>375</v>
      </c>
      <c r="I63" s="68">
        <v>0</v>
      </c>
      <c r="J63" s="21">
        <f t="shared" si="1"/>
        <v>0</v>
      </c>
    </row>
    <row r="64" spans="1:10" ht="15.75" thickBot="1" x14ac:dyDescent="0.3">
      <c r="A64" s="9" t="s">
        <v>53</v>
      </c>
      <c r="B64" s="10"/>
      <c r="C64">
        <v>27</v>
      </c>
      <c r="D64" s="12"/>
      <c r="E64" s="29" t="s">
        <v>54</v>
      </c>
      <c r="F64" s="21">
        <f t="shared" si="2"/>
        <v>7.3170731707317069E-2</v>
      </c>
      <c r="G64" s="8"/>
      <c r="H64" s="70" t="s">
        <v>376</v>
      </c>
      <c r="I64" s="26">
        <v>0</v>
      </c>
      <c r="J64" s="27">
        <f t="shared" si="1"/>
        <v>0</v>
      </c>
    </row>
    <row r="65" spans="1:10" x14ac:dyDescent="0.25">
      <c r="A65" s="9" t="s">
        <v>54</v>
      </c>
      <c r="B65" s="10"/>
      <c r="C65">
        <v>6</v>
      </c>
      <c r="D65" s="12"/>
      <c r="E65" s="29" t="s">
        <v>56</v>
      </c>
      <c r="F65" s="21">
        <f t="shared" si="2"/>
        <v>4.878048780487805E-2</v>
      </c>
      <c r="G65" s="8"/>
    </row>
    <row r="66" spans="1:10" ht="15.75" thickBot="1" x14ac:dyDescent="0.3">
      <c r="A66" s="9" t="s">
        <v>56</v>
      </c>
      <c r="B66" s="10"/>
      <c r="C66">
        <v>4</v>
      </c>
      <c r="D66" s="12"/>
      <c r="E66" s="29" t="s">
        <v>58</v>
      </c>
      <c r="F66" s="21">
        <f t="shared" si="2"/>
        <v>7.3170731707317069E-2</v>
      </c>
      <c r="G66" s="12" t="s">
        <v>27</v>
      </c>
    </row>
    <row r="67" spans="1:10" x14ac:dyDescent="0.25">
      <c r="A67" s="9" t="s">
        <v>58</v>
      </c>
      <c r="B67" s="10"/>
      <c r="C67">
        <v>6</v>
      </c>
      <c r="D67" s="12"/>
      <c r="E67" s="29" t="s">
        <v>60</v>
      </c>
      <c r="F67" s="21">
        <f t="shared" si="2"/>
        <v>0</v>
      </c>
      <c r="G67" s="8"/>
      <c r="H67" s="15" t="s">
        <v>42</v>
      </c>
      <c r="I67" s="16">
        <v>4</v>
      </c>
      <c r="J67" s="17"/>
    </row>
    <row r="68" spans="1:10" x14ac:dyDescent="0.25">
      <c r="A68" s="9" t="s">
        <v>60</v>
      </c>
      <c r="B68" s="10"/>
      <c r="C68">
        <v>0</v>
      </c>
      <c r="D68" s="12"/>
      <c r="E68" s="29" t="s">
        <v>62</v>
      </c>
      <c r="F68" s="21">
        <f t="shared" si="2"/>
        <v>0</v>
      </c>
      <c r="G68" s="8"/>
      <c r="H68" s="28" t="s">
        <v>48</v>
      </c>
      <c r="I68" s="20">
        <v>0</v>
      </c>
      <c r="J68" s="21">
        <f>I68/I$67</f>
        <v>0</v>
      </c>
    </row>
    <row r="69" spans="1:10" ht="15.75" thickBot="1" x14ac:dyDescent="0.3">
      <c r="A69" s="9" t="s">
        <v>62</v>
      </c>
      <c r="B69" s="10"/>
      <c r="C69">
        <v>0</v>
      </c>
      <c r="D69" s="12"/>
      <c r="E69" s="29" t="s">
        <v>64</v>
      </c>
      <c r="F69" s="21">
        <f t="shared" si="2"/>
        <v>2.4390243902439025E-2</v>
      </c>
      <c r="G69" s="8"/>
      <c r="H69" s="30" t="s">
        <v>50</v>
      </c>
      <c r="I69" s="26">
        <v>4</v>
      </c>
      <c r="J69" s="27">
        <f>I69/I$67</f>
        <v>1</v>
      </c>
    </row>
    <row r="70" spans="1:10" x14ac:dyDescent="0.25">
      <c r="A70" s="9" t="s">
        <v>64</v>
      </c>
      <c r="B70" s="10"/>
      <c r="C70">
        <v>2</v>
      </c>
      <c r="D70" s="12"/>
      <c r="E70" s="29" t="s">
        <v>66</v>
      </c>
      <c r="F70" s="21">
        <f t="shared" si="2"/>
        <v>1.2195121951219513E-2</v>
      </c>
      <c r="G70" s="8"/>
    </row>
    <row r="71" spans="1:10" ht="15.75" thickBot="1" x14ac:dyDescent="0.3">
      <c r="A71" s="9" t="s">
        <v>66</v>
      </c>
      <c r="B71" s="10"/>
      <c r="C71">
        <v>1</v>
      </c>
      <c r="D71" s="12"/>
      <c r="E71" s="31" t="s">
        <v>68</v>
      </c>
      <c r="F71" s="27">
        <f t="shared" si="2"/>
        <v>7.3170731707317069E-2</v>
      </c>
      <c r="G71" s="8"/>
    </row>
    <row r="72" spans="1:10" ht="15.75" thickBot="1" x14ac:dyDescent="0.3">
      <c r="A72" s="9" t="s">
        <v>68</v>
      </c>
      <c r="B72" s="10"/>
      <c r="C72">
        <v>6</v>
      </c>
      <c r="D72" s="12"/>
      <c r="E72" s="9"/>
      <c r="F72" s="25"/>
      <c r="G72" s="8"/>
      <c r="H72" s="15" t="s">
        <v>55</v>
      </c>
      <c r="I72" s="16">
        <v>2</v>
      </c>
      <c r="J72" s="17"/>
    </row>
    <row r="73" spans="1:10" x14ac:dyDescent="0.25">
      <c r="A73" s="9" t="s">
        <v>70</v>
      </c>
      <c r="B73" s="10"/>
      <c r="C73">
        <f>SUM(C63:C72)</f>
        <v>82</v>
      </c>
      <c r="D73" s="12"/>
      <c r="E73" s="32" t="s">
        <v>71</v>
      </c>
      <c r="F73" s="14"/>
      <c r="G73" s="8"/>
      <c r="H73" s="28" t="s">
        <v>57</v>
      </c>
      <c r="I73" s="20">
        <v>0</v>
      </c>
      <c r="J73" s="21">
        <f t="shared" ref="J73:J78" si="3">I73/I$72</f>
        <v>0</v>
      </c>
    </row>
    <row r="74" spans="1:10" x14ac:dyDescent="0.25">
      <c r="A74" s="9"/>
      <c r="B74" s="10"/>
      <c r="D74" s="12"/>
      <c r="E74" s="33" t="s">
        <v>72</v>
      </c>
      <c r="F74" s="21">
        <f>C75/C$45</f>
        <v>0.87878787878787878</v>
      </c>
      <c r="G74" s="8"/>
      <c r="H74" s="28" t="s">
        <v>59</v>
      </c>
      <c r="I74" s="20">
        <v>0</v>
      </c>
      <c r="J74" s="21">
        <f t="shared" si="3"/>
        <v>0</v>
      </c>
    </row>
    <row r="75" spans="1:10" x14ac:dyDescent="0.25">
      <c r="A75" s="9" t="s">
        <v>73</v>
      </c>
      <c r="B75" s="10"/>
      <c r="C75">
        <v>29</v>
      </c>
      <c r="D75" s="12"/>
      <c r="E75" s="33" t="s">
        <v>74</v>
      </c>
      <c r="F75" s="21">
        <f>C76/C$45</f>
        <v>3.0303030303030304E-2</v>
      </c>
      <c r="G75" s="8"/>
      <c r="H75" s="28" t="s">
        <v>61</v>
      </c>
      <c r="I75" s="20">
        <v>0</v>
      </c>
      <c r="J75" s="21">
        <f t="shared" si="3"/>
        <v>0</v>
      </c>
    </row>
    <row r="76" spans="1:10" ht="15.75" thickBot="1" x14ac:dyDescent="0.3">
      <c r="A76" s="9" t="s">
        <v>75</v>
      </c>
      <c r="B76" s="10"/>
      <c r="C76">
        <v>1</v>
      </c>
      <c r="D76" s="12"/>
      <c r="E76" s="34" t="s">
        <v>76</v>
      </c>
      <c r="F76" s="27">
        <f>C77/C$45</f>
        <v>9.0909090909090912E-2</v>
      </c>
      <c r="G76" s="8"/>
      <c r="H76" s="28" t="s">
        <v>63</v>
      </c>
      <c r="I76" s="20">
        <v>1</v>
      </c>
      <c r="J76" s="21">
        <f t="shared" si="3"/>
        <v>0.5</v>
      </c>
    </row>
    <row r="77" spans="1:10" ht="15.75" thickBot="1" x14ac:dyDescent="0.3">
      <c r="A77" s="9" t="s">
        <v>77</v>
      </c>
      <c r="B77" s="10"/>
      <c r="C77">
        <v>3</v>
      </c>
      <c r="D77" s="12"/>
      <c r="E77" s="35"/>
      <c r="F77" s="25"/>
      <c r="G77" s="12" t="s">
        <v>27</v>
      </c>
      <c r="H77" s="28" t="s">
        <v>65</v>
      </c>
      <c r="I77" s="20">
        <v>0</v>
      </c>
      <c r="J77" s="21">
        <f t="shared" si="3"/>
        <v>0</v>
      </c>
    </row>
    <row r="78" spans="1:10" ht="15.75" thickBot="1" x14ac:dyDescent="0.3">
      <c r="A78" s="9"/>
      <c r="B78" s="10"/>
      <c r="D78" s="12"/>
      <c r="E78" s="36" t="s">
        <v>28</v>
      </c>
      <c r="F78" s="14"/>
      <c r="G78" s="8"/>
      <c r="H78" s="30" t="s">
        <v>67</v>
      </c>
      <c r="I78" s="26">
        <v>1</v>
      </c>
      <c r="J78" s="27">
        <f t="shared" si="3"/>
        <v>0.5</v>
      </c>
    </row>
    <row r="79" spans="1:10" ht="15.75" thickBot="1" x14ac:dyDescent="0.3">
      <c r="A79" s="9" t="s">
        <v>28</v>
      </c>
      <c r="B79" s="10"/>
      <c r="D79" s="12"/>
      <c r="E79" s="29" t="s">
        <v>78</v>
      </c>
      <c r="F79" s="21">
        <f>C80/C$45</f>
        <v>0.48484848484848486</v>
      </c>
      <c r="G79" s="8"/>
    </row>
    <row r="80" spans="1:10" ht="15.75" thickBot="1" x14ac:dyDescent="0.3">
      <c r="A80" s="9" t="s">
        <v>79</v>
      </c>
      <c r="B80" s="10"/>
      <c r="C80">
        <v>16</v>
      </c>
      <c r="D80" s="12"/>
      <c r="E80" s="31" t="s">
        <v>80</v>
      </c>
      <c r="F80" s="27">
        <f>C81/C$45</f>
        <v>0.51515151515151514</v>
      </c>
      <c r="G80" s="8"/>
      <c r="H80" s="15" t="s">
        <v>69</v>
      </c>
      <c r="I80" s="16">
        <v>0</v>
      </c>
      <c r="J80" s="17"/>
    </row>
    <row r="81" spans="1:10" ht="15.75" thickBot="1" x14ac:dyDescent="0.3">
      <c r="A81" s="9" t="s">
        <v>80</v>
      </c>
      <c r="B81" s="10"/>
      <c r="C81">
        <v>17</v>
      </c>
      <c r="D81" s="12"/>
      <c r="E81" s="37"/>
      <c r="F81" s="38"/>
      <c r="G81" s="8"/>
      <c r="H81" s="28" t="s">
        <v>57</v>
      </c>
      <c r="I81" s="20">
        <v>0</v>
      </c>
      <c r="J81" s="21" t="e">
        <f t="shared" ref="J81:J86" si="4">I81/I$80</f>
        <v>#DIV/0!</v>
      </c>
    </row>
    <row r="82" spans="1:10" x14ac:dyDescent="0.25">
      <c r="A82" s="9"/>
      <c r="B82" s="10"/>
      <c r="D82" s="12"/>
      <c r="E82" s="15" t="s">
        <v>1166</v>
      </c>
      <c r="F82" s="14"/>
      <c r="G82" s="8"/>
      <c r="H82" s="28" t="s">
        <v>59</v>
      </c>
      <c r="I82" s="20">
        <v>1</v>
      </c>
      <c r="J82" s="21" t="e">
        <f t="shared" si="4"/>
        <v>#DIV/0!</v>
      </c>
    </row>
    <row r="83" spans="1:10" x14ac:dyDescent="0.25">
      <c r="A83" t="s">
        <v>1166</v>
      </c>
      <c r="B83" s="10"/>
      <c r="D83" s="12"/>
      <c r="E83" s="28" t="s">
        <v>1167</v>
      </c>
      <c r="F83" s="21">
        <f>C84/C$81</f>
        <v>0.94117647058823528</v>
      </c>
      <c r="G83" s="8"/>
      <c r="H83" s="28" t="s">
        <v>61</v>
      </c>
      <c r="I83" s="20">
        <v>0</v>
      </c>
      <c r="J83" s="21" t="e">
        <f t="shared" si="4"/>
        <v>#DIV/0!</v>
      </c>
    </row>
    <row r="84" spans="1:10" ht="15.75" thickBot="1" x14ac:dyDescent="0.3">
      <c r="A84" t="s">
        <v>1167</v>
      </c>
      <c r="B84" s="10"/>
      <c r="C84">
        <v>16</v>
      </c>
      <c r="D84" s="12"/>
      <c r="E84" s="30" t="s">
        <v>1168</v>
      </c>
      <c r="F84" s="27">
        <f>C85/C$81</f>
        <v>5.8823529411764705E-2</v>
      </c>
      <c r="G84" s="8"/>
      <c r="H84" s="28" t="s">
        <v>63</v>
      </c>
      <c r="I84" s="20">
        <v>0</v>
      </c>
      <c r="J84" s="21" t="e">
        <f t="shared" si="4"/>
        <v>#DIV/0!</v>
      </c>
    </row>
    <row r="85" spans="1:10" ht="15.75" thickBot="1" x14ac:dyDescent="0.3">
      <c r="A85" t="s">
        <v>1168</v>
      </c>
      <c r="B85" s="10"/>
      <c r="C85">
        <v>1</v>
      </c>
      <c r="D85" s="12"/>
      <c r="E85" s="37"/>
      <c r="F85" s="38"/>
      <c r="G85" s="8"/>
      <c r="H85" s="28" t="s">
        <v>65</v>
      </c>
      <c r="I85" s="20">
        <v>0</v>
      </c>
      <c r="J85" s="21" t="e">
        <f t="shared" si="4"/>
        <v>#DIV/0!</v>
      </c>
    </row>
    <row r="86" spans="1:10" ht="15.75" thickBot="1" x14ac:dyDescent="0.3">
      <c r="A86" s="9"/>
      <c r="B86" s="10"/>
      <c r="C86" t="s">
        <v>27</v>
      </c>
      <c r="D86" s="12"/>
      <c r="E86" s="32" t="s">
        <v>81</v>
      </c>
      <c r="F86" s="14"/>
      <c r="G86" s="8"/>
      <c r="H86" s="30" t="s">
        <v>67</v>
      </c>
      <c r="I86" s="26">
        <v>0</v>
      </c>
      <c r="J86" s="27" t="e">
        <f t="shared" si="4"/>
        <v>#DIV/0!</v>
      </c>
    </row>
    <row r="87" spans="1:10" x14ac:dyDescent="0.25">
      <c r="A87" s="9" t="s">
        <v>83</v>
      </c>
      <c r="B87" s="10"/>
      <c r="D87" s="12"/>
      <c r="E87" s="29" t="s">
        <v>84</v>
      </c>
      <c r="F87" s="21">
        <f t="shared" ref="F87:F92" si="5">C88/C$45</f>
        <v>0.39393939393939392</v>
      </c>
      <c r="G87" s="8"/>
    </row>
    <row r="88" spans="1:10" ht="15.75" thickBot="1" x14ac:dyDescent="0.3">
      <c r="A88" s="9" t="s">
        <v>84</v>
      </c>
      <c r="B88" s="10"/>
      <c r="C88">
        <v>13</v>
      </c>
      <c r="D88" s="12"/>
      <c r="E88" s="18" t="s">
        <v>86</v>
      </c>
      <c r="F88" s="21">
        <f t="shared" si="5"/>
        <v>9.0909090909090912E-2</v>
      </c>
      <c r="G88" s="8"/>
    </row>
    <row r="89" spans="1:10" x14ac:dyDescent="0.25">
      <c r="A89" s="9" t="s">
        <v>86</v>
      </c>
      <c r="B89" s="10"/>
      <c r="C89">
        <v>3</v>
      </c>
      <c r="D89" s="12"/>
      <c r="E89" s="18" t="s">
        <v>88</v>
      </c>
      <c r="F89" s="21">
        <f t="shared" si="5"/>
        <v>0</v>
      </c>
      <c r="G89" s="8"/>
      <c r="H89" s="15" t="s">
        <v>44</v>
      </c>
      <c r="I89" s="16">
        <v>12</v>
      </c>
      <c r="J89" s="17"/>
    </row>
    <row r="90" spans="1:10" x14ac:dyDescent="0.25">
      <c r="A90" s="9" t="s">
        <v>88</v>
      </c>
      <c r="B90" s="10"/>
      <c r="C90">
        <v>0</v>
      </c>
      <c r="D90" s="12"/>
      <c r="E90" s="18" t="s">
        <v>90</v>
      </c>
      <c r="F90" s="21">
        <f t="shared" si="5"/>
        <v>0</v>
      </c>
      <c r="G90" s="8"/>
      <c r="H90" s="28" t="s">
        <v>158</v>
      </c>
      <c r="I90" s="68">
        <v>1</v>
      </c>
      <c r="J90" s="21">
        <f>I90/I$89</f>
        <v>8.3333333333333329E-2</v>
      </c>
    </row>
    <row r="91" spans="1:10" x14ac:dyDescent="0.25">
      <c r="A91" s="9" t="s">
        <v>90</v>
      </c>
      <c r="B91" s="10"/>
      <c r="C91">
        <v>0</v>
      </c>
      <c r="D91" s="12"/>
      <c r="E91" s="18" t="s">
        <v>91</v>
      </c>
      <c r="F91" s="21">
        <f t="shared" si="5"/>
        <v>0.51515151515151514</v>
      </c>
      <c r="G91" s="8"/>
      <c r="H91" s="28" t="s">
        <v>82</v>
      </c>
      <c r="I91" s="20">
        <v>4</v>
      </c>
      <c r="J91" s="21">
        <f>I91/I$89</f>
        <v>0.33333333333333331</v>
      </c>
    </row>
    <row r="92" spans="1:10" ht="15.75" thickBot="1" x14ac:dyDescent="0.3">
      <c r="A92" s="9" t="s">
        <v>91</v>
      </c>
      <c r="B92" s="10"/>
      <c r="C92">
        <v>17</v>
      </c>
      <c r="D92" s="12"/>
      <c r="E92" s="23" t="s">
        <v>46</v>
      </c>
      <c r="F92" s="27">
        <f t="shared" si="5"/>
        <v>0</v>
      </c>
      <c r="G92" s="8"/>
      <c r="H92" s="28" t="s">
        <v>85</v>
      </c>
      <c r="I92" s="20">
        <v>4</v>
      </c>
      <c r="J92" s="21">
        <f>I92/I$89</f>
        <v>0.33333333333333331</v>
      </c>
    </row>
    <row r="93" spans="1:10" ht="15.75" thickBot="1" x14ac:dyDescent="0.3">
      <c r="A93" s="9" t="s">
        <v>46</v>
      </c>
      <c r="B93" s="10"/>
      <c r="C93">
        <v>0</v>
      </c>
      <c r="D93" s="12"/>
      <c r="E93" s="12"/>
      <c r="F93" s="25"/>
      <c r="G93" s="8"/>
      <c r="H93" s="28" t="s">
        <v>87</v>
      </c>
      <c r="I93" s="20">
        <v>2</v>
      </c>
      <c r="J93" s="21">
        <f>I93/I$89</f>
        <v>0.16666666666666666</v>
      </c>
    </row>
    <row r="94" spans="1:10" ht="15.75" thickBot="1" x14ac:dyDescent="0.3">
      <c r="A94" s="9"/>
      <c r="B94" s="10"/>
      <c r="D94" s="12"/>
      <c r="E94" s="13" t="s">
        <v>93</v>
      </c>
      <c r="F94" s="14"/>
      <c r="G94" s="8"/>
      <c r="H94" s="30" t="s">
        <v>89</v>
      </c>
      <c r="I94" s="26">
        <v>1</v>
      </c>
      <c r="J94" s="27">
        <f>I94/I$89</f>
        <v>8.3333333333333329E-2</v>
      </c>
    </row>
    <row r="95" spans="1:10" x14ac:dyDescent="0.25">
      <c r="A95" s="9" t="s">
        <v>95</v>
      </c>
      <c r="B95" s="10"/>
      <c r="C95">
        <v>2</v>
      </c>
      <c r="D95" s="12"/>
      <c r="E95" s="18" t="s">
        <v>96</v>
      </c>
      <c r="F95" s="21">
        <f>C96/C$45</f>
        <v>0.72727272727272729</v>
      </c>
      <c r="G95" s="8"/>
    </row>
    <row r="96" spans="1:10" ht="15.75" thickBot="1" x14ac:dyDescent="0.3">
      <c r="A96" s="9" t="s">
        <v>96</v>
      </c>
      <c r="B96" s="10"/>
      <c r="C96">
        <v>24</v>
      </c>
      <c r="D96" s="12"/>
      <c r="E96" s="18" t="s">
        <v>98</v>
      </c>
      <c r="F96" s="21">
        <f>C97/C$45</f>
        <v>0.27272727272727271</v>
      </c>
      <c r="G96" s="8"/>
    </row>
    <row r="97" spans="1:10" x14ac:dyDescent="0.25">
      <c r="A97" s="9" t="s">
        <v>98</v>
      </c>
      <c r="B97" s="10"/>
      <c r="C97">
        <v>9</v>
      </c>
      <c r="D97" s="12"/>
      <c r="E97" s="18" t="s">
        <v>100</v>
      </c>
      <c r="F97" s="21">
        <f>C98/C$45</f>
        <v>0</v>
      </c>
      <c r="G97" s="8"/>
      <c r="H97" s="15" t="s">
        <v>46</v>
      </c>
      <c r="I97" s="16">
        <v>13</v>
      </c>
      <c r="J97" s="17"/>
    </row>
    <row r="98" spans="1:10" x14ac:dyDescent="0.25">
      <c r="A98" s="9" t="s">
        <v>100</v>
      </c>
      <c r="B98" s="10"/>
      <c r="C98">
        <v>0</v>
      </c>
      <c r="D98" s="12"/>
      <c r="E98" s="18" t="s">
        <v>102</v>
      </c>
      <c r="F98" s="21">
        <f>C99/C$45</f>
        <v>0</v>
      </c>
      <c r="G98" s="8"/>
      <c r="H98" s="28" t="s">
        <v>92</v>
      </c>
      <c r="I98" s="20">
        <v>1</v>
      </c>
      <c r="J98" s="21">
        <f>I98/I$97</f>
        <v>7.6923076923076927E-2</v>
      </c>
    </row>
    <row r="99" spans="1:10" ht="15.75" thickBot="1" x14ac:dyDescent="0.3">
      <c r="A99" s="9" t="s">
        <v>102</v>
      </c>
      <c r="B99" s="10"/>
      <c r="C99">
        <v>0</v>
      </c>
      <c r="E99" s="23" t="s">
        <v>103</v>
      </c>
      <c r="F99" s="27">
        <f>C100/C$45</f>
        <v>0</v>
      </c>
      <c r="H99" s="28" t="s">
        <v>94</v>
      </c>
      <c r="I99" s="20">
        <v>4</v>
      </c>
      <c r="J99" s="21">
        <f t="shared" ref="J99:J107" si="6">I99/I$97</f>
        <v>0.30769230769230771</v>
      </c>
    </row>
    <row r="100" spans="1:10" x14ac:dyDescent="0.25">
      <c r="A100" s="9" t="s">
        <v>103</v>
      </c>
      <c r="B100" s="10"/>
      <c r="C100">
        <v>0</v>
      </c>
      <c r="E100" s="12"/>
      <c r="F100" s="25"/>
      <c r="H100" s="28" t="s">
        <v>97</v>
      </c>
      <c r="I100" s="20">
        <v>1</v>
      </c>
      <c r="J100" s="21">
        <f t="shared" si="6"/>
        <v>7.6923076923076927E-2</v>
      </c>
    </row>
    <row r="101" spans="1:10" x14ac:dyDescent="0.25">
      <c r="A101" s="9" t="s">
        <v>104</v>
      </c>
      <c r="B101" s="10"/>
      <c r="C101">
        <v>0</v>
      </c>
      <c r="E101" s="12"/>
      <c r="F101" s="25"/>
      <c r="H101" s="28" t="s">
        <v>99</v>
      </c>
      <c r="I101" s="20">
        <v>0</v>
      </c>
      <c r="J101" s="21">
        <f t="shared" si="6"/>
        <v>0</v>
      </c>
    </row>
    <row r="102" spans="1:10" x14ac:dyDescent="0.25">
      <c r="A102" s="9"/>
      <c r="B102" s="10"/>
      <c r="E102" s="12"/>
      <c r="F102" s="25"/>
      <c r="H102" s="28" t="s">
        <v>101</v>
      </c>
      <c r="I102" s="20">
        <v>5</v>
      </c>
      <c r="J102" s="21">
        <f t="shared" si="6"/>
        <v>0.38461538461538464</v>
      </c>
    </row>
    <row r="103" spans="1:10" ht="15.75" thickBot="1" x14ac:dyDescent="0.3">
      <c r="H103" s="66" t="s">
        <v>159</v>
      </c>
      <c r="I103" s="68">
        <v>1</v>
      </c>
      <c r="J103" s="21">
        <f t="shared" si="6"/>
        <v>7.6923076923076927E-2</v>
      </c>
    </row>
    <row r="104" spans="1:10" x14ac:dyDescent="0.25">
      <c r="A104" s="89" t="s">
        <v>7</v>
      </c>
      <c r="B104" s="100">
        <v>97264.27</v>
      </c>
      <c r="H104" s="66" t="s">
        <v>160</v>
      </c>
      <c r="I104" s="68">
        <v>0</v>
      </c>
      <c r="J104" s="21">
        <f t="shared" si="6"/>
        <v>0</v>
      </c>
    </row>
    <row r="105" spans="1:10" x14ac:dyDescent="0.25">
      <c r="A105" s="91" t="s">
        <v>84</v>
      </c>
      <c r="B105" s="92">
        <f>SUM(F3:F5,F8:F10,F13,F15,F18:F20,F23,F28,)</f>
        <v>28687.03</v>
      </c>
      <c r="H105" s="66" t="s">
        <v>161</v>
      </c>
      <c r="I105" s="68">
        <v>0</v>
      </c>
      <c r="J105" s="21">
        <f t="shared" si="6"/>
        <v>0</v>
      </c>
    </row>
    <row r="106" spans="1:10" x14ac:dyDescent="0.25">
      <c r="A106" s="91" t="s">
        <v>281</v>
      </c>
      <c r="B106" s="92">
        <f>SUM(F2,F7,F11:F12,F14,F16:F17,F21,F24:F27,F29,F31:F34,,)</f>
        <v>63707.69</v>
      </c>
      <c r="H106" s="66" t="s">
        <v>162</v>
      </c>
      <c r="I106" s="68">
        <v>0</v>
      </c>
      <c r="J106" s="21">
        <f t="shared" si="6"/>
        <v>0</v>
      </c>
    </row>
    <row r="107" spans="1:10" ht="15.75" thickBot="1" x14ac:dyDescent="0.3">
      <c r="A107" s="91" t="s">
        <v>291</v>
      </c>
      <c r="B107" s="92">
        <f>SUM(F6,F22,F30,,)</f>
        <v>4869.55</v>
      </c>
      <c r="H107" s="67" t="s">
        <v>163</v>
      </c>
      <c r="I107" s="26">
        <v>0</v>
      </c>
      <c r="J107" s="27">
        <f t="shared" si="6"/>
        <v>0</v>
      </c>
    </row>
    <row r="108" spans="1:10" x14ac:dyDescent="0.25">
      <c r="A108" s="91" t="s">
        <v>46</v>
      </c>
      <c r="B108" s="93">
        <v>0</v>
      </c>
    </row>
    <row r="109" spans="1:10" ht="15.75" thickBot="1" x14ac:dyDescent="0.3">
      <c r="A109" s="94"/>
      <c r="B109" s="95">
        <f>SUM(B105:B108)</f>
        <v>97264.27</v>
      </c>
    </row>
  </sheetData>
  <mergeCells count="1">
    <mergeCell ref="A41:F4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8"/>
  <sheetViews>
    <sheetView topLeftCell="A75" workbookViewId="0">
      <selection activeCell="H110" sqref="H110:J114"/>
    </sheetView>
  </sheetViews>
  <sheetFormatPr baseColWidth="10" defaultRowHeight="15" x14ac:dyDescent="0.25"/>
  <cols>
    <col min="2" max="2" width="34" customWidth="1"/>
    <col min="3" max="3" width="11.5703125" customWidth="1"/>
    <col min="4" max="4" width="5.85546875" customWidth="1"/>
    <col min="5" max="5" width="7.42578125" customWidth="1"/>
    <col min="7" max="7" width="45.5703125" customWidth="1"/>
  </cols>
  <sheetData>
    <row r="1" spans="1:8" ht="15" customHeight="1" x14ac:dyDescent="0.25">
      <c r="A1" s="3" t="s">
        <v>2</v>
      </c>
      <c r="B1" s="4" t="s">
        <v>3</v>
      </c>
      <c r="C1" s="4" t="s">
        <v>5</v>
      </c>
      <c r="D1" s="4" t="s">
        <v>15</v>
      </c>
      <c r="E1" s="7" t="s">
        <v>6</v>
      </c>
      <c r="F1" s="5" t="s">
        <v>8</v>
      </c>
      <c r="G1" s="6" t="s">
        <v>10</v>
      </c>
      <c r="H1" s="1" t="s">
        <v>11</v>
      </c>
    </row>
    <row r="2" spans="1:8" x14ac:dyDescent="0.25">
      <c r="A2" s="10">
        <v>44867</v>
      </c>
      <c r="B2" t="s">
        <v>2207</v>
      </c>
      <c r="C2" t="s">
        <v>96</v>
      </c>
      <c r="D2" t="s">
        <v>30</v>
      </c>
      <c r="E2" t="s">
        <v>281</v>
      </c>
      <c r="F2" s="11">
        <v>3001</v>
      </c>
      <c r="G2" t="s">
        <v>2209</v>
      </c>
      <c r="H2" t="s">
        <v>80</v>
      </c>
    </row>
    <row r="3" spans="1:8" x14ac:dyDescent="0.25">
      <c r="A3" s="10">
        <v>44868</v>
      </c>
      <c r="B3" t="s">
        <v>2210</v>
      </c>
      <c r="C3" t="s">
        <v>96</v>
      </c>
      <c r="D3" t="s">
        <v>30</v>
      </c>
      <c r="E3" t="s">
        <v>281</v>
      </c>
      <c r="F3" s="11">
        <v>1139</v>
      </c>
      <c r="G3" t="s">
        <v>2213</v>
      </c>
      <c r="H3" t="s">
        <v>80</v>
      </c>
    </row>
    <row r="4" spans="1:8" x14ac:dyDescent="0.25">
      <c r="A4" s="10">
        <v>44868</v>
      </c>
      <c r="B4" t="s">
        <v>2214</v>
      </c>
      <c r="C4" t="s">
        <v>96</v>
      </c>
      <c r="D4" t="s">
        <v>30</v>
      </c>
      <c r="E4" t="s">
        <v>168</v>
      </c>
      <c r="F4" s="11">
        <v>824</v>
      </c>
      <c r="G4" t="s">
        <v>1365</v>
      </c>
      <c r="H4" t="s">
        <v>2225</v>
      </c>
    </row>
    <row r="5" spans="1:8" x14ac:dyDescent="0.25">
      <c r="A5" s="10">
        <v>44868</v>
      </c>
      <c r="B5" t="s">
        <v>2220</v>
      </c>
      <c r="C5" t="s">
        <v>96</v>
      </c>
      <c r="D5" t="s">
        <v>32</v>
      </c>
      <c r="E5" t="s">
        <v>168</v>
      </c>
      <c r="F5" s="11">
        <v>1931.4</v>
      </c>
      <c r="G5" t="s">
        <v>2219</v>
      </c>
      <c r="H5" t="s">
        <v>2226</v>
      </c>
    </row>
    <row r="6" spans="1:8" x14ac:dyDescent="0.25">
      <c r="A6" s="10">
        <v>44870</v>
      </c>
      <c r="B6" t="s">
        <v>2221</v>
      </c>
      <c r="C6" t="s">
        <v>360</v>
      </c>
      <c r="D6" t="s">
        <v>30</v>
      </c>
      <c r="E6" t="s">
        <v>168</v>
      </c>
      <c r="F6" s="11">
        <v>1200</v>
      </c>
      <c r="G6" t="s">
        <v>2224</v>
      </c>
      <c r="H6" t="s">
        <v>277</v>
      </c>
    </row>
    <row r="7" spans="1:8" x14ac:dyDescent="0.25">
      <c r="A7" s="10">
        <v>44872</v>
      </c>
      <c r="B7" t="s">
        <v>2233</v>
      </c>
      <c r="C7" t="s">
        <v>96</v>
      </c>
      <c r="D7" t="s">
        <v>30</v>
      </c>
      <c r="E7" t="s">
        <v>168</v>
      </c>
      <c r="F7" s="11">
        <v>991</v>
      </c>
      <c r="G7" t="s">
        <v>2236</v>
      </c>
      <c r="H7" t="s">
        <v>192</v>
      </c>
    </row>
    <row r="8" spans="1:8" x14ac:dyDescent="0.25">
      <c r="A8" s="10">
        <v>44872</v>
      </c>
      <c r="B8" t="s">
        <v>1811</v>
      </c>
      <c r="C8" t="s">
        <v>96</v>
      </c>
      <c r="D8" t="s">
        <v>30</v>
      </c>
      <c r="E8" t="s">
        <v>168</v>
      </c>
      <c r="F8" s="11">
        <v>1320</v>
      </c>
      <c r="G8" t="s">
        <v>2239</v>
      </c>
      <c r="H8" t="s">
        <v>277</v>
      </c>
    </row>
    <row r="9" spans="1:8" x14ac:dyDescent="0.25">
      <c r="A9" s="10">
        <v>44873</v>
      </c>
      <c r="B9" t="s">
        <v>2207</v>
      </c>
      <c r="C9" t="s">
        <v>96</v>
      </c>
      <c r="D9" t="s">
        <v>30</v>
      </c>
      <c r="E9" t="s">
        <v>281</v>
      </c>
      <c r="F9" s="11">
        <v>1396.8</v>
      </c>
      <c r="G9" t="s">
        <v>2240</v>
      </c>
      <c r="H9" t="s">
        <v>80</v>
      </c>
    </row>
    <row r="10" spans="1:8" x14ac:dyDescent="0.25">
      <c r="A10" s="10">
        <v>44874</v>
      </c>
      <c r="B10" t="s">
        <v>2241</v>
      </c>
      <c r="C10" t="s">
        <v>96</v>
      </c>
      <c r="D10" t="s">
        <v>30</v>
      </c>
      <c r="E10" t="s">
        <v>168</v>
      </c>
      <c r="F10" s="11">
        <v>1981</v>
      </c>
      <c r="G10" t="s">
        <v>2244</v>
      </c>
      <c r="H10" t="s">
        <v>192</v>
      </c>
    </row>
    <row r="11" spans="1:8" x14ac:dyDescent="0.25">
      <c r="A11" s="10">
        <v>44874</v>
      </c>
      <c r="B11" t="s">
        <v>2205</v>
      </c>
      <c r="C11" t="s">
        <v>96</v>
      </c>
      <c r="D11" t="s">
        <v>30</v>
      </c>
      <c r="E11" t="s">
        <v>281</v>
      </c>
      <c r="F11" s="11">
        <v>2088</v>
      </c>
      <c r="G11" t="s">
        <v>2246</v>
      </c>
      <c r="H11" t="s">
        <v>80</v>
      </c>
    </row>
    <row r="12" spans="1:8" x14ac:dyDescent="0.25">
      <c r="A12" s="10">
        <v>44874</v>
      </c>
      <c r="B12" t="s">
        <v>2247</v>
      </c>
      <c r="C12" t="s">
        <v>96</v>
      </c>
      <c r="D12" t="s">
        <v>30</v>
      </c>
      <c r="E12" t="s">
        <v>291</v>
      </c>
      <c r="F12" s="11">
        <v>1120</v>
      </c>
      <c r="G12" t="s">
        <v>2250</v>
      </c>
      <c r="H12" t="s">
        <v>2253</v>
      </c>
    </row>
    <row r="13" spans="1:8" x14ac:dyDescent="0.25">
      <c r="A13" s="10">
        <v>44875</v>
      </c>
      <c r="B13" t="s">
        <v>1529</v>
      </c>
      <c r="C13" t="s">
        <v>96</v>
      </c>
      <c r="D13" t="s">
        <v>30</v>
      </c>
      <c r="E13" t="s">
        <v>281</v>
      </c>
      <c r="F13" s="11">
        <v>2286</v>
      </c>
      <c r="G13" t="s">
        <v>2252</v>
      </c>
      <c r="H13" t="s">
        <v>80</v>
      </c>
    </row>
    <row r="14" spans="1:8" x14ac:dyDescent="0.25">
      <c r="A14" s="10">
        <v>44876</v>
      </c>
      <c r="B14" t="s">
        <v>1652</v>
      </c>
      <c r="C14" t="s">
        <v>96</v>
      </c>
      <c r="D14" t="s">
        <v>32</v>
      </c>
      <c r="E14" t="s">
        <v>281</v>
      </c>
      <c r="F14" s="11">
        <v>1549</v>
      </c>
      <c r="G14" t="s">
        <v>2261</v>
      </c>
      <c r="H14" t="s">
        <v>80</v>
      </c>
    </row>
    <row r="15" spans="1:8" x14ac:dyDescent="0.25">
      <c r="A15" s="10">
        <v>44876</v>
      </c>
      <c r="B15" t="s">
        <v>2262</v>
      </c>
      <c r="C15" t="s">
        <v>96</v>
      </c>
      <c r="D15" t="s">
        <v>30</v>
      </c>
      <c r="E15" t="s">
        <v>168</v>
      </c>
      <c r="F15" s="11">
        <v>1394</v>
      </c>
      <c r="G15" t="s">
        <v>2265</v>
      </c>
      <c r="H15" t="s">
        <v>872</v>
      </c>
    </row>
    <row r="16" spans="1:8" x14ac:dyDescent="0.25">
      <c r="A16" s="10">
        <v>44876</v>
      </c>
      <c r="B16" t="s">
        <v>2266</v>
      </c>
      <c r="C16" t="s">
        <v>96</v>
      </c>
      <c r="D16" t="s">
        <v>30</v>
      </c>
      <c r="E16" t="s">
        <v>168</v>
      </c>
      <c r="F16" s="11">
        <v>984</v>
      </c>
      <c r="G16" t="s">
        <v>2269</v>
      </c>
      <c r="H16" t="s">
        <v>2278</v>
      </c>
    </row>
    <row r="17" spans="1:8" x14ac:dyDescent="0.25">
      <c r="A17" s="10">
        <v>44877</v>
      </c>
      <c r="B17" t="s">
        <v>2270</v>
      </c>
      <c r="C17" t="s">
        <v>96</v>
      </c>
      <c r="D17" t="s">
        <v>30</v>
      </c>
      <c r="E17" t="s">
        <v>281</v>
      </c>
      <c r="F17" s="11">
        <v>2101.6999999999998</v>
      </c>
      <c r="G17" t="s">
        <v>2272</v>
      </c>
      <c r="H17" t="s">
        <v>80</v>
      </c>
    </row>
    <row r="18" spans="1:8" x14ac:dyDescent="0.25">
      <c r="A18" s="10">
        <v>44880</v>
      </c>
      <c r="B18" t="s">
        <v>2122</v>
      </c>
      <c r="C18" t="s">
        <v>360</v>
      </c>
      <c r="D18" t="s">
        <v>30</v>
      </c>
      <c r="E18" t="s">
        <v>281</v>
      </c>
      <c r="F18" s="11">
        <v>1143</v>
      </c>
      <c r="G18" t="s">
        <v>2273</v>
      </c>
      <c r="H18" t="s">
        <v>80</v>
      </c>
    </row>
    <row r="19" spans="1:8" x14ac:dyDescent="0.25">
      <c r="A19" s="10">
        <v>44880</v>
      </c>
      <c r="B19" t="s">
        <v>2274</v>
      </c>
      <c r="C19" t="s">
        <v>758</v>
      </c>
      <c r="D19" t="s">
        <v>30</v>
      </c>
      <c r="E19" t="s">
        <v>168</v>
      </c>
      <c r="F19" s="11">
        <v>840.16</v>
      </c>
      <c r="G19" t="s">
        <v>2277</v>
      </c>
      <c r="H19" t="s">
        <v>2283</v>
      </c>
    </row>
    <row r="20" spans="1:8" x14ac:dyDescent="0.25">
      <c r="A20" s="10">
        <v>44881</v>
      </c>
      <c r="B20" t="s">
        <v>2279</v>
      </c>
      <c r="C20" t="s">
        <v>96</v>
      </c>
      <c r="D20" t="s">
        <v>30</v>
      </c>
      <c r="E20" t="s">
        <v>168</v>
      </c>
      <c r="F20" s="11">
        <v>1000</v>
      </c>
      <c r="G20" t="s">
        <v>2282</v>
      </c>
      <c r="H20" t="s">
        <v>518</v>
      </c>
    </row>
    <row r="21" spans="1:8" x14ac:dyDescent="0.25">
      <c r="A21" s="10">
        <v>44872</v>
      </c>
      <c r="B21" t="s">
        <v>2303</v>
      </c>
      <c r="C21" t="s">
        <v>360</v>
      </c>
      <c r="D21" t="s">
        <v>30</v>
      </c>
      <c r="E21" t="s">
        <v>168</v>
      </c>
      <c r="F21" s="11">
        <v>1512</v>
      </c>
      <c r="G21" t="s">
        <v>2306</v>
      </c>
      <c r="H21" t="s">
        <v>569</v>
      </c>
    </row>
    <row r="22" spans="1:8" x14ac:dyDescent="0.25">
      <c r="A22" s="10">
        <v>44882</v>
      </c>
      <c r="B22" t="s">
        <v>2307</v>
      </c>
      <c r="C22" t="s">
        <v>96</v>
      </c>
      <c r="D22" t="s">
        <v>30</v>
      </c>
      <c r="E22" t="s">
        <v>291</v>
      </c>
      <c r="F22" s="11">
        <v>6135.2</v>
      </c>
      <c r="G22" t="s">
        <v>2310</v>
      </c>
      <c r="H22" t="s">
        <v>2311</v>
      </c>
    </row>
    <row r="23" spans="1:8" x14ac:dyDescent="0.25">
      <c r="A23" s="10">
        <v>44883</v>
      </c>
      <c r="B23" t="s">
        <v>2312</v>
      </c>
      <c r="C23" t="s">
        <v>96</v>
      </c>
      <c r="D23" t="s">
        <v>30</v>
      </c>
      <c r="E23" t="s">
        <v>168</v>
      </c>
      <c r="F23" s="11">
        <v>888</v>
      </c>
      <c r="G23" t="s">
        <v>404</v>
      </c>
      <c r="H23" t="s">
        <v>518</v>
      </c>
    </row>
    <row r="24" spans="1:8" x14ac:dyDescent="0.25">
      <c r="A24" s="10">
        <v>44883</v>
      </c>
      <c r="B24" t="s">
        <v>2315</v>
      </c>
      <c r="C24" t="s">
        <v>96</v>
      </c>
      <c r="D24" t="s">
        <v>32</v>
      </c>
      <c r="E24" t="s">
        <v>281</v>
      </c>
      <c r="F24" s="11">
        <v>8766.1200000000008</v>
      </c>
      <c r="G24" t="s">
        <v>2316</v>
      </c>
      <c r="H24" t="s">
        <v>80</v>
      </c>
    </row>
    <row r="25" spans="1:8" x14ac:dyDescent="0.25">
      <c r="A25" s="10">
        <v>44884</v>
      </c>
      <c r="B25" t="s">
        <v>2317</v>
      </c>
      <c r="C25" t="s">
        <v>360</v>
      </c>
      <c r="D25" t="s">
        <v>30</v>
      </c>
      <c r="E25" t="s">
        <v>168</v>
      </c>
      <c r="F25" s="11">
        <v>1086</v>
      </c>
      <c r="G25" t="s">
        <v>2320</v>
      </c>
      <c r="H25" t="s">
        <v>569</v>
      </c>
    </row>
    <row r="26" spans="1:8" x14ac:dyDescent="0.25">
      <c r="A26" s="10">
        <v>44869</v>
      </c>
      <c r="B26" t="s">
        <v>1323</v>
      </c>
      <c r="C26" t="s">
        <v>96</v>
      </c>
      <c r="D26" t="s">
        <v>30</v>
      </c>
      <c r="E26" t="s">
        <v>281</v>
      </c>
      <c r="F26" s="11">
        <v>1692</v>
      </c>
      <c r="G26" t="s">
        <v>2323</v>
      </c>
      <c r="H26" t="s">
        <v>80</v>
      </c>
    </row>
    <row r="27" spans="1:8" x14ac:dyDescent="0.25">
      <c r="A27" s="10">
        <v>44879</v>
      </c>
      <c r="B27" t="s">
        <v>771</v>
      </c>
      <c r="C27" t="s">
        <v>96</v>
      </c>
      <c r="D27" t="s">
        <v>30</v>
      </c>
      <c r="E27" t="s">
        <v>281</v>
      </c>
      <c r="F27" s="11">
        <v>962.8</v>
      </c>
      <c r="G27" t="s">
        <v>205</v>
      </c>
      <c r="H27" t="s">
        <v>80</v>
      </c>
    </row>
    <row r="28" spans="1:8" x14ac:dyDescent="0.25">
      <c r="A28" s="10">
        <v>44881</v>
      </c>
      <c r="B28" t="s">
        <v>2325</v>
      </c>
      <c r="C28" t="s">
        <v>96</v>
      </c>
      <c r="D28" t="s">
        <v>30</v>
      </c>
      <c r="E28" t="s">
        <v>168</v>
      </c>
      <c r="F28" s="11">
        <v>811.2</v>
      </c>
      <c r="G28" t="s">
        <v>205</v>
      </c>
      <c r="H28" t="s">
        <v>2341</v>
      </c>
    </row>
    <row r="29" spans="1:8" x14ac:dyDescent="0.25">
      <c r="A29" s="10">
        <v>44887</v>
      </c>
      <c r="B29" t="s">
        <v>2328</v>
      </c>
      <c r="C29" t="s">
        <v>96</v>
      </c>
      <c r="D29" t="s">
        <v>30</v>
      </c>
      <c r="E29" t="s">
        <v>168</v>
      </c>
      <c r="F29" s="11">
        <v>1085</v>
      </c>
      <c r="G29" t="s">
        <v>2331</v>
      </c>
      <c r="H29" t="s">
        <v>2343</v>
      </c>
    </row>
    <row r="30" spans="1:8" x14ac:dyDescent="0.25">
      <c r="A30" s="10">
        <v>44887</v>
      </c>
      <c r="B30" t="s">
        <v>2332</v>
      </c>
      <c r="C30" t="s">
        <v>96</v>
      </c>
      <c r="D30" t="s">
        <v>30</v>
      </c>
      <c r="E30" t="s">
        <v>168</v>
      </c>
      <c r="F30" s="11">
        <v>1248</v>
      </c>
      <c r="G30" t="s">
        <v>2335</v>
      </c>
      <c r="H30" t="s">
        <v>277</v>
      </c>
    </row>
    <row r="31" spans="1:8" x14ac:dyDescent="0.25">
      <c r="A31" s="10">
        <v>44888</v>
      </c>
      <c r="B31" t="s">
        <v>2336</v>
      </c>
      <c r="C31" t="s">
        <v>360</v>
      </c>
      <c r="D31" t="s">
        <v>30</v>
      </c>
      <c r="E31" t="s">
        <v>168</v>
      </c>
      <c r="F31" s="11">
        <v>1292.8</v>
      </c>
      <c r="G31" t="s">
        <v>2339</v>
      </c>
      <c r="H31" t="s">
        <v>2340</v>
      </c>
    </row>
    <row r="32" spans="1:8" x14ac:dyDescent="0.25">
      <c r="A32" s="10">
        <v>44888</v>
      </c>
      <c r="B32" t="s">
        <v>2307</v>
      </c>
      <c r="C32" t="s">
        <v>96</v>
      </c>
      <c r="D32" t="s">
        <v>30</v>
      </c>
      <c r="E32" t="s">
        <v>281</v>
      </c>
      <c r="F32" s="11">
        <v>5412.96</v>
      </c>
      <c r="G32" t="s">
        <v>2342</v>
      </c>
      <c r="H32" t="s">
        <v>80</v>
      </c>
    </row>
    <row r="33" spans="1:8" x14ac:dyDescent="0.25">
      <c r="A33" s="10">
        <v>44890</v>
      </c>
      <c r="B33" t="s">
        <v>2344</v>
      </c>
      <c r="C33" t="s">
        <v>96</v>
      </c>
      <c r="D33" t="s">
        <v>30</v>
      </c>
      <c r="E33" t="s">
        <v>168</v>
      </c>
      <c r="F33" s="11">
        <v>1710</v>
      </c>
      <c r="G33" t="s">
        <v>2347</v>
      </c>
      <c r="H33" t="s">
        <v>277</v>
      </c>
    </row>
    <row r="34" spans="1:8" x14ac:dyDescent="0.25">
      <c r="A34" s="10">
        <v>44890</v>
      </c>
      <c r="B34" t="s">
        <v>2348</v>
      </c>
      <c r="C34" t="s">
        <v>360</v>
      </c>
      <c r="D34" t="s">
        <v>30</v>
      </c>
      <c r="E34" t="s">
        <v>168</v>
      </c>
      <c r="F34" s="11">
        <v>1198</v>
      </c>
      <c r="G34" t="s">
        <v>2351</v>
      </c>
      <c r="H34" t="s">
        <v>2357</v>
      </c>
    </row>
    <row r="35" spans="1:8" x14ac:dyDescent="0.25">
      <c r="A35" s="10">
        <v>44891</v>
      </c>
      <c r="B35" t="s">
        <v>2352</v>
      </c>
      <c r="C35" t="s">
        <v>103</v>
      </c>
      <c r="D35" t="s">
        <v>30</v>
      </c>
      <c r="E35" t="s">
        <v>168</v>
      </c>
      <c r="F35" s="11">
        <v>1255</v>
      </c>
      <c r="G35" t="s">
        <v>2355</v>
      </c>
      <c r="H35" t="s">
        <v>676</v>
      </c>
    </row>
    <row r="36" spans="1:8" x14ac:dyDescent="0.25">
      <c r="A36" s="10">
        <v>44882</v>
      </c>
      <c r="B36" t="s">
        <v>1290</v>
      </c>
      <c r="C36" t="s">
        <v>96</v>
      </c>
      <c r="D36" t="s">
        <v>30</v>
      </c>
      <c r="E36" t="s">
        <v>281</v>
      </c>
      <c r="F36" s="11">
        <v>3581.79</v>
      </c>
      <c r="G36" t="s">
        <v>2356</v>
      </c>
      <c r="H36" t="s">
        <v>80</v>
      </c>
    </row>
    <row r="37" spans="1:8" x14ac:dyDescent="0.25">
      <c r="A37" s="10">
        <v>44887</v>
      </c>
      <c r="B37" t="s">
        <v>2358</v>
      </c>
      <c r="C37" t="s">
        <v>96</v>
      </c>
      <c r="D37" t="s">
        <v>30</v>
      </c>
      <c r="E37" t="s">
        <v>168</v>
      </c>
      <c r="F37" s="11">
        <v>2635.5</v>
      </c>
      <c r="G37" t="s">
        <v>2361</v>
      </c>
      <c r="H37" t="s">
        <v>2362</v>
      </c>
    </row>
    <row r="38" spans="1:8" x14ac:dyDescent="0.25">
      <c r="A38" s="10">
        <v>44893</v>
      </c>
      <c r="B38" t="s">
        <v>2358</v>
      </c>
      <c r="C38" t="s">
        <v>96</v>
      </c>
      <c r="D38" t="s">
        <v>30</v>
      </c>
      <c r="E38" t="s">
        <v>281</v>
      </c>
      <c r="F38" s="11">
        <v>1405</v>
      </c>
      <c r="G38" t="s">
        <v>2363</v>
      </c>
      <c r="H38" t="s">
        <v>80</v>
      </c>
    </row>
    <row r="39" spans="1:8" x14ac:dyDescent="0.25">
      <c r="A39" s="10">
        <v>44894</v>
      </c>
      <c r="B39" t="s">
        <v>2364</v>
      </c>
      <c r="C39" t="s">
        <v>96</v>
      </c>
      <c r="D39" t="s">
        <v>30</v>
      </c>
      <c r="E39" t="s">
        <v>168</v>
      </c>
      <c r="F39" s="11">
        <v>6932</v>
      </c>
      <c r="G39" t="s">
        <v>2367</v>
      </c>
      <c r="H39" t="s">
        <v>355</v>
      </c>
    </row>
    <row r="40" spans="1:8" x14ac:dyDescent="0.25">
      <c r="A40" s="10">
        <v>44895</v>
      </c>
      <c r="B40" t="s">
        <v>2369</v>
      </c>
      <c r="C40" t="s">
        <v>96</v>
      </c>
      <c r="D40" t="s">
        <v>30</v>
      </c>
      <c r="E40" t="s">
        <v>281</v>
      </c>
      <c r="F40" s="11">
        <v>905</v>
      </c>
      <c r="G40" t="s">
        <v>1133</v>
      </c>
      <c r="H40" t="s">
        <v>80</v>
      </c>
    </row>
    <row r="41" spans="1:8" x14ac:dyDescent="0.25">
      <c r="A41" s="10">
        <v>44895</v>
      </c>
      <c r="B41" t="s">
        <v>2393</v>
      </c>
      <c r="C41" t="s">
        <v>96</v>
      </c>
      <c r="D41" t="s">
        <v>30</v>
      </c>
      <c r="E41" t="s">
        <v>168</v>
      </c>
      <c r="F41" s="11">
        <v>1322</v>
      </c>
      <c r="G41" t="s">
        <v>2396</v>
      </c>
      <c r="H41" t="s">
        <v>355</v>
      </c>
    </row>
    <row r="42" spans="1:8" x14ac:dyDescent="0.25">
      <c r="A42" s="10">
        <v>44887</v>
      </c>
      <c r="B42" t="s">
        <v>318</v>
      </c>
      <c r="C42" t="s">
        <v>96</v>
      </c>
      <c r="D42" t="s">
        <v>30</v>
      </c>
      <c r="E42" t="s">
        <v>281</v>
      </c>
      <c r="F42" s="11">
        <v>1750</v>
      </c>
      <c r="G42" t="s">
        <v>2405</v>
      </c>
      <c r="H42" t="s">
        <v>80</v>
      </c>
    </row>
    <row r="43" spans="1:8" x14ac:dyDescent="0.25">
      <c r="A43" s="10">
        <v>44891</v>
      </c>
      <c r="B43" t="s">
        <v>2415</v>
      </c>
      <c r="C43" t="s">
        <v>360</v>
      </c>
      <c r="D43" t="s">
        <v>30</v>
      </c>
      <c r="E43" t="s">
        <v>168</v>
      </c>
      <c r="F43" s="11">
        <v>964.57</v>
      </c>
      <c r="G43" t="s">
        <v>1139</v>
      </c>
      <c r="H43" t="s">
        <v>355</v>
      </c>
    </row>
    <row r="44" spans="1:8" x14ac:dyDescent="0.25">
      <c r="A44" s="10">
        <v>44893</v>
      </c>
      <c r="B44" t="s">
        <v>2418</v>
      </c>
      <c r="C44" t="s">
        <v>96</v>
      </c>
      <c r="D44" t="s">
        <v>30</v>
      </c>
      <c r="E44" t="s">
        <v>168</v>
      </c>
      <c r="F44" s="11">
        <v>2739.3</v>
      </c>
      <c r="G44" t="s">
        <v>2421</v>
      </c>
      <c r="H44" t="s">
        <v>2426</v>
      </c>
    </row>
    <row r="45" spans="1:8" x14ac:dyDescent="0.25">
      <c r="A45" s="10">
        <v>44894</v>
      </c>
      <c r="B45" t="s">
        <v>2364</v>
      </c>
      <c r="C45" t="s">
        <v>96</v>
      </c>
      <c r="D45" t="s">
        <v>30</v>
      </c>
      <c r="E45" t="s">
        <v>281</v>
      </c>
      <c r="F45" s="11">
        <v>609.96</v>
      </c>
      <c r="G45" t="s">
        <v>1349</v>
      </c>
      <c r="H45" t="s">
        <v>80</v>
      </c>
    </row>
    <row r="50" spans="1:10" ht="15.75" thickBot="1" x14ac:dyDescent="0.3">
      <c r="A50" s="106" t="s">
        <v>16</v>
      </c>
      <c r="B50" s="106"/>
      <c r="C50" s="106"/>
      <c r="D50" s="106"/>
      <c r="E50" s="106"/>
      <c r="F50" s="106"/>
      <c r="G50" s="8"/>
    </row>
    <row r="51" spans="1:10" x14ac:dyDescent="0.25">
      <c r="A51" s="9" t="s">
        <v>17</v>
      </c>
      <c r="B51" s="10"/>
      <c r="C51" s="11">
        <f>SUM(F2:F47)</f>
        <v>86190.260000000009</v>
      </c>
      <c r="D51" s="12"/>
      <c r="E51" s="13" t="s">
        <v>18</v>
      </c>
      <c r="F51" s="14"/>
      <c r="G51" s="8"/>
      <c r="H51" s="15" t="s">
        <v>19</v>
      </c>
      <c r="I51" s="16">
        <v>25</v>
      </c>
      <c r="J51" s="17"/>
    </row>
    <row r="52" spans="1:10" x14ac:dyDescent="0.25">
      <c r="A52" s="9"/>
      <c r="B52" s="10"/>
      <c r="C52" s="11"/>
      <c r="D52" s="12"/>
      <c r="E52" s="18" t="s">
        <v>20</v>
      </c>
      <c r="F52" s="19">
        <v>86190.260000000009</v>
      </c>
      <c r="G52" s="8"/>
      <c r="H52" s="18" t="s">
        <v>21</v>
      </c>
      <c r="I52" s="20">
        <v>9</v>
      </c>
      <c r="J52" s="21">
        <f>I52/I$51</f>
        <v>0.36</v>
      </c>
    </row>
    <row r="53" spans="1:10" ht="15.75" thickBot="1" x14ac:dyDescent="0.3">
      <c r="A53" s="9" t="s">
        <v>22</v>
      </c>
      <c r="B53" s="10"/>
      <c r="C53" s="22">
        <v>28</v>
      </c>
      <c r="D53" s="12"/>
      <c r="E53" s="23" t="s">
        <v>23</v>
      </c>
      <c r="F53" s="24">
        <f>C51/C53</f>
        <v>3078.2235714285716</v>
      </c>
      <c r="G53" s="8"/>
      <c r="H53" s="18" t="s">
        <v>24</v>
      </c>
      <c r="I53" s="20">
        <v>15</v>
      </c>
      <c r="J53" s="21">
        <f>I53/I$51</f>
        <v>0.6</v>
      </c>
    </row>
    <row r="54" spans="1:10" ht="15.75" thickBot="1" x14ac:dyDescent="0.3">
      <c r="A54" s="9" t="s">
        <v>25</v>
      </c>
      <c r="B54" s="10"/>
      <c r="C54">
        <v>44</v>
      </c>
      <c r="D54" s="12"/>
      <c r="E54" s="12"/>
      <c r="F54" s="25"/>
      <c r="G54" s="8"/>
      <c r="H54" s="23" t="s">
        <v>26</v>
      </c>
      <c r="I54" s="26">
        <v>1</v>
      </c>
      <c r="J54" s="27">
        <f>I54/I$51</f>
        <v>0.04</v>
      </c>
    </row>
    <row r="55" spans="1:10" x14ac:dyDescent="0.25">
      <c r="A55" s="9"/>
      <c r="B55" s="10"/>
      <c r="D55" s="12" t="s">
        <v>27</v>
      </c>
      <c r="E55" s="13" t="s">
        <v>28</v>
      </c>
      <c r="F55" s="14"/>
      <c r="G55" s="8"/>
    </row>
    <row r="56" spans="1:10" ht="15.75" thickBot="1" x14ac:dyDescent="0.3">
      <c r="A56" s="9" t="s">
        <v>29</v>
      </c>
      <c r="B56" s="10"/>
      <c r="C56">
        <v>41</v>
      </c>
      <c r="D56" s="12" t="s">
        <v>27</v>
      </c>
      <c r="E56" s="18" t="s">
        <v>30</v>
      </c>
      <c r="F56" s="21">
        <f>C56/C$54</f>
        <v>0.93181818181818177</v>
      </c>
      <c r="G56" s="8"/>
    </row>
    <row r="57" spans="1:10" ht="15.75" thickBot="1" x14ac:dyDescent="0.3">
      <c r="A57" s="9" t="s">
        <v>31</v>
      </c>
      <c r="B57" s="10"/>
      <c r="C57">
        <v>3</v>
      </c>
      <c r="D57" s="12"/>
      <c r="E57" s="23" t="s">
        <v>32</v>
      </c>
      <c r="F57" s="27">
        <f>C57/C$54</f>
        <v>6.8181818181818177E-2</v>
      </c>
      <c r="G57" s="8"/>
      <c r="H57" s="15" t="s">
        <v>33</v>
      </c>
      <c r="I57" s="16">
        <v>38</v>
      </c>
      <c r="J57" s="17"/>
    </row>
    <row r="58" spans="1:10" ht="15.75" thickBot="1" x14ac:dyDescent="0.3">
      <c r="A58" s="9"/>
      <c r="B58" s="10"/>
      <c r="D58" s="12"/>
      <c r="E58" s="12"/>
      <c r="F58" s="25"/>
      <c r="G58" s="8"/>
      <c r="H58" s="28" t="s">
        <v>34</v>
      </c>
      <c r="I58" s="20">
        <v>17</v>
      </c>
      <c r="J58" s="21">
        <f>I58/I$57</f>
        <v>0.44736842105263158</v>
      </c>
    </row>
    <row r="59" spans="1:10" x14ac:dyDescent="0.25">
      <c r="A59" s="9" t="s">
        <v>35</v>
      </c>
      <c r="B59" s="10"/>
      <c r="D59" s="12"/>
      <c r="E59" s="13" t="s">
        <v>36</v>
      </c>
      <c r="F59" s="14"/>
      <c r="G59" s="8"/>
      <c r="H59" s="28" t="s">
        <v>37</v>
      </c>
      <c r="I59" s="20">
        <v>16</v>
      </c>
      <c r="J59" s="21">
        <f>I59/I$57</f>
        <v>0.42105263157894735</v>
      </c>
    </row>
    <row r="60" spans="1:10" ht="15.75" thickBot="1" x14ac:dyDescent="0.3">
      <c r="A60" s="9" t="s">
        <v>38</v>
      </c>
      <c r="B60" s="10"/>
      <c r="C60">
        <v>3</v>
      </c>
      <c r="D60" s="12"/>
      <c r="E60" s="29" t="s">
        <v>38</v>
      </c>
      <c r="F60" s="21">
        <f>C60/C$69</f>
        <v>2.8037383177570093E-2</v>
      </c>
      <c r="G60" s="8"/>
      <c r="H60" s="30" t="s">
        <v>39</v>
      </c>
      <c r="I60" s="26">
        <v>5</v>
      </c>
      <c r="J60" s="27">
        <f>I60/I$57</f>
        <v>0.13157894736842105</v>
      </c>
    </row>
    <row r="61" spans="1:10" ht="15.75" thickBot="1" x14ac:dyDescent="0.3">
      <c r="A61" s="9" t="s">
        <v>19</v>
      </c>
      <c r="B61" s="10"/>
      <c r="C61">
        <v>25</v>
      </c>
      <c r="D61" s="12"/>
      <c r="E61" s="29" t="s">
        <v>19</v>
      </c>
      <c r="F61" s="21">
        <f t="shared" ref="F61:F68" si="0">C61/C$69</f>
        <v>0.23364485981308411</v>
      </c>
      <c r="G61" s="8"/>
      <c r="H61" s="20"/>
      <c r="I61" s="20"/>
      <c r="J61" s="38"/>
    </row>
    <row r="62" spans="1:10" x14ac:dyDescent="0.25">
      <c r="A62" s="9" t="s">
        <v>40</v>
      </c>
      <c r="B62" s="10"/>
      <c r="C62">
        <v>38</v>
      </c>
      <c r="D62" s="12"/>
      <c r="E62" s="29" t="s">
        <v>40</v>
      </c>
      <c r="F62" s="21">
        <f t="shared" si="0"/>
        <v>0.35514018691588783</v>
      </c>
      <c r="G62" s="12" t="s">
        <v>27</v>
      </c>
      <c r="H62" s="80" t="s">
        <v>365</v>
      </c>
      <c r="I62" s="16">
        <v>16</v>
      </c>
      <c r="J62" s="14">
        <f t="shared" ref="J62:J73" si="1">I62/I$57</f>
        <v>0.42105263157894735</v>
      </c>
    </row>
    <row r="63" spans="1:10" x14ac:dyDescent="0.25">
      <c r="A63" s="9" t="s">
        <v>41</v>
      </c>
      <c r="B63" s="10"/>
      <c r="C63">
        <v>1</v>
      </c>
      <c r="D63" s="12"/>
      <c r="E63" s="29" t="s">
        <v>41</v>
      </c>
      <c r="F63" s="21">
        <f t="shared" si="0"/>
        <v>9.3457943925233638E-3</v>
      </c>
      <c r="G63" s="8"/>
      <c r="H63" s="69" t="s">
        <v>366</v>
      </c>
      <c r="I63" s="68">
        <v>2</v>
      </c>
      <c r="J63" s="21">
        <f t="shared" si="1"/>
        <v>5.2631578947368418E-2</v>
      </c>
    </row>
    <row r="64" spans="1:10" x14ac:dyDescent="0.25">
      <c r="A64" s="9" t="s">
        <v>42</v>
      </c>
      <c r="B64" s="10"/>
      <c r="C64">
        <v>11</v>
      </c>
      <c r="D64" s="12"/>
      <c r="E64" s="29" t="s">
        <v>42</v>
      </c>
      <c r="F64" s="21">
        <f t="shared" si="0"/>
        <v>0.10280373831775701</v>
      </c>
      <c r="G64" s="8"/>
      <c r="H64" s="28" t="s">
        <v>367</v>
      </c>
      <c r="I64" s="20">
        <v>2</v>
      </c>
      <c r="J64" s="21">
        <f t="shared" si="1"/>
        <v>5.2631578947368418E-2</v>
      </c>
    </row>
    <row r="65" spans="1:10" x14ac:dyDescent="0.25">
      <c r="A65" s="9" t="s">
        <v>43</v>
      </c>
      <c r="B65" s="10"/>
      <c r="C65">
        <v>1</v>
      </c>
      <c r="D65" s="12"/>
      <c r="E65" s="29" t="s">
        <v>43</v>
      </c>
      <c r="F65" s="21">
        <f t="shared" si="0"/>
        <v>9.3457943925233638E-3</v>
      </c>
      <c r="G65" s="8"/>
      <c r="H65" s="28" t="s">
        <v>368</v>
      </c>
      <c r="I65" s="20">
        <v>2</v>
      </c>
      <c r="J65" s="21">
        <f t="shared" si="1"/>
        <v>5.2631578947368418E-2</v>
      </c>
    </row>
    <row r="66" spans="1:10" x14ac:dyDescent="0.25">
      <c r="A66" s="9" t="s">
        <v>44</v>
      </c>
      <c r="B66" s="10"/>
      <c r="C66">
        <v>9</v>
      </c>
      <c r="D66" s="12"/>
      <c r="E66" s="29" t="s">
        <v>44</v>
      </c>
      <c r="F66" s="21">
        <f t="shared" si="0"/>
        <v>8.4112149532710276E-2</v>
      </c>
      <c r="G66" s="8"/>
      <c r="H66" s="28" t="s">
        <v>369</v>
      </c>
      <c r="I66" s="20">
        <v>5</v>
      </c>
      <c r="J66" s="21">
        <f t="shared" si="1"/>
        <v>0.13157894736842105</v>
      </c>
    </row>
    <row r="67" spans="1:10" x14ac:dyDescent="0.25">
      <c r="A67" s="9" t="s">
        <v>45</v>
      </c>
      <c r="B67" s="10"/>
      <c r="C67">
        <v>1</v>
      </c>
      <c r="D67" s="12"/>
      <c r="E67" s="29" t="s">
        <v>45</v>
      </c>
      <c r="F67" s="21">
        <f t="shared" si="0"/>
        <v>9.3457943925233638E-3</v>
      </c>
      <c r="G67" s="8"/>
      <c r="H67" s="28" t="s">
        <v>370</v>
      </c>
      <c r="I67" s="20">
        <v>7</v>
      </c>
      <c r="J67" s="21">
        <f t="shared" si="1"/>
        <v>0.18421052631578946</v>
      </c>
    </row>
    <row r="68" spans="1:10" ht="15.75" thickBot="1" x14ac:dyDescent="0.3">
      <c r="A68" s="9" t="s">
        <v>46</v>
      </c>
      <c r="B68" s="10"/>
      <c r="C68">
        <v>18</v>
      </c>
      <c r="D68" s="12"/>
      <c r="E68" s="31" t="s">
        <v>46</v>
      </c>
      <c r="F68" s="27">
        <f t="shared" si="0"/>
        <v>0.16822429906542055</v>
      </c>
      <c r="G68" s="12" t="s">
        <v>27</v>
      </c>
      <c r="H68" s="69" t="s">
        <v>371</v>
      </c>
      <c r="I68" s="68">
        <v>1</v>
      </c>
      <c r="J68" s="21">
        <f t="shared" si="1"/>
        <v>2.6315789473684209E-2</v>
      </c>
    </row>
    <row r="69" spans="1:10" ht="15.75" thickBot="1" x14ac:dyDescent="0.3">
      <c r="A69" s="9" t="s">
        <v>47</v>
      </c>
      <c r="B69" s="10"/>
      <c r="C69">
        <f>SUM(C60:C68)</f>
        <v>107</v>
      </c>
      <c r="D69" s="12"/>
      <c r="E69" s="9"/>
      <c r="F69" s="25"/>
      <c r="G69" s="8"/>
      <c r="H69" s="69" t="s">
        <v>372</v>
      </c>
      <c r="I69" s="68">
        <v>2</v>
      </c>
      <c r="J69" s="21">
        <f t="shared" si="1"/>
        <v>5.2631578947368418E-2</v>
      </c>
    </row>
    <row r="70" spans="1:10" x14ac:dyDescent="0.25">
      <c r="A70" s="9"/>
      <c r="B70" s="10"/>
      <c r="D70" s="12"/>
      <c r="E70" s="32" t="s">
        <v>49</v>
      </c>
      <c r="F70" s="14"/>
      <c r="G70" s="8"/>
      <c r="H70" s="69" t="s">
        <v>373</v>
      </c>
      <c r="I70" s="68">
        <v>0</v>
      </c>
      <c r="J70" s="21">
        <f t="shared" si="1"/>
        <v>0</v>
      </c>
    </row>
    <row r="71" spans="1:10" x14ac:dyDescent="0.25">
      <c r="A71" s="9" t="s">
        <v>51</v>
      </c>
      <c r="B71" s="10"/>
      <c r="D71" s="12"/>
      <c r="E71" s="29" t="s">
        <v>52</v>
      </c>
      <c r="F71" s="21">
        <f>C72/C$82</f>
        <v>0.30909090909090908</v>
      </c>
      <c r="G71" s="8"/>
      <c r="H71" s="69" t="s">
        <v>374</v>
      </c>
      <c r="I71" s="68">
        <v>1</v>
      </c>
      <c r="J71" s="21">
        <f t="shared" si="1"/>
        <v>2.6315789473684209E-2</v>
      </c>
    </row>
    <row r="72" spans="1:10" x14ac:dyDescent="0.25">
      <c r="A72" s="9" t="s">
        <v>52</v>
      </c>
      <c r="B72" s="10"/>
      <c r="C72">
        <v>34</v>
      </c>
      <c r="D72" s="12"/>
      <c r="E72" s="29" t="s">
        <v>53</v>
      </c>
      <c r="F72" s="21">
        <f t="shared" ref="F72:F80" si="2">C73/C$82</f>
        <v>8.1818181818181818E-2</v>
      </c>
      <c r="G72" s="8"/>
      <c r="H72" s="69" t="s">
        <v>375</v>
      </c>
      <c r="I72" s="68">
        <v>0</v>
      </c>
      <c r="J72" s="21">
        <f t="shared" si="1"/>
        <v>0</v>
      </c>
    </row>
    <row r="73" spans="1:10" ht="15.75" thickBot="1" x14ac:dyDescent="0.3">
      <c r="A73" s="9" t="s">
        <v>53</v>
      </c>
      <c r="B73" s="10"/>
      <c r="C73">
        <v>9</v>
      </c>
      <c r="D73" s="12"/>
      <c r="E73" s="29" t="s">
        <v>54</v>
      </c>
      <c r="F73" s="21">
        <f t="shared" si="2"/>
        <v>0.30909090909090908</v>
      </c>
      <c r="G73" s="8"/>
      <c r="H73" s="70" t="s">
        <v>376</v>
      </c>
      <c r="I73" s="26">
        <v>0</v>
      </c>
      <c r="J73" s="27">
        <f t="shared" si="1"/>
        <v>0</v>
      </c>
    </row>
    <row r="74" spans="1:10" ht="15.75" thickBot="1" x14ac:dyDescent="0.3">
      <c r="A74" s="9" t="s">
        <v>54</v>
      </c>
      <c r="B74" s="10"/>
      <c r="C74">
        <v>34</v>
      </c>
      <c r="D74" s="12"/>
      <c r="E74" s="29" t="s">
        <v>56</v>
      </c>
      <c r="F74" s="21">
        <f t="shared" si="2"/>
        <v>0.14545454545454545</v>
      </c>
      <c r="G74" s="8"/>
    </row>
    <row r="75" spans="1:10" x14ac:dyDescent="0.25">
      <c r="A75" s="9" t="s">
        <v>56</v>
      </c>
      <c r="B75" s="10"/>
      <c r="C75">
        <v>16</v>
      </c>
      <c r="D75" s="12"/>
      <c r="E75" s="29" t="s">
        <v>58</v>
      </c>
      <c r="F75" s="21">
        <f t="shared" si="2"/>
        <v>6.363636363636363E-2</v>
      </c>
      <c r="G75" s="12" t="s">
        <v>27</v>
      </c>
      <c r="H75" s="15" t="s">
        <v>42</v>
      </c>
      <c r="I75" s="16">
        <v>11</v>
      </c>
      <c r="J75" s="17"/>
    </row>
    <row r="76" spans="1:10" x14ac:dyDescent="0.25">
      <c r="A76" s="9" t="s">
        <v>58</v>
      </c>
      <c r="B76" s="10"/>
      <c r="C76">
        <v>7</v>
      </c>
      <c r="D76" s="12"/>
      <c r="E76" s="29" t="s">
        <v>60</v>
      </c>
      <c r="F76" s="21">
        <f t="shared" si="2"/>
        <v>4.5454545454545456E-2</v>
      </c>
      <c r="G76" s="8"/>
      <c r="H76" s="28" t="s">
        <v>48</v>
      </c>
      <c r="I76" s="20">
        <v>3</v>
      </c>
      <c r="J76" s="21">
        <f>I76/I$75</f>
        <v>0.27272727272727271</v>
      </c>
    </row>
    <row r="77" spans="1:10" ht="15.75" thickBot="1" x14ac:dyDescent="0.3">
      <c r="A77" s="9" t="s">
        <v>60</v>
      </c>
      <c r="B77" s="10"/>
      <c r="C77">
        <v>5</v>
      </c>
      <c r="D77" s="12"/>
      <c r="E77" s="29" t="s">
        <v>62</v>
      </c>
      <c r="F77" s="21">
        <f t="shared" si="2"/>
        <v>9.0909090909090905E-3</v>
      </c>
      <c r="G77" s="8"/>
      <c r="H77" s="30" t="s">
        <v>50</v>
      </c>
      <c r="I77" s="26">
        <v>8</v>
      </c>
      <c r="J77" s="27">
        <f>I77/I$75</f>
        <v>0.72727272727272729</v>
      </c>
    </row>
    <row r="78" spans="1:10" x14ac:dyDescent="0.25">
      <c r="A78" s="9" t="s">
        <v>62</v>
      </c>
      <c r="B78" s="10"/>
      <c r="C78">
        <v>1</v>
      </c>
      <c r="D78" s="12"/>
      <c r="E78" s="29" t="s">
        <v>64</v>
      </c>
      <c r="F78" s="21">
        <f t="shared" si="2"/>
        <v>0</v>
      </c>
      <c r="G78" s="8"/>
    </row>
    <row r="79" spans="1:10" ht="15.75" thickBot="1" x14ac:dyDescent="0.3">
      <c r="A79" s="9" t="s">
        <v>64</v>
      </c>
      <c r="B79" s="10"/>
      <c r="C79">
        <v>0</v>
      </c>
      <c r="D79" s="12"/>
      <c r="E79" s="29" t="s">
        <v>66</v>
      </c>
      <c r="F79" s="21">
        <f t="shared" si="2"/>
        <v>9.0909090909090905E-3</v>
      </c>
      <c r="G79" s="8"/>
    </row>
    <row r="80" spans="1:10" ht="15.75" thickBot="1" x14ac:dyDescent="0.3">
      <c r="A80" s="9" t="s">
        <v>66</v>
      </c>
      <c r="B80" s="10"/>
      <c r="C80">
        <v>1</v>
      </c>
      <c r="D80" s="12"/>
      <c r="E80" s="31" t="s">
        <v>68</v>
      </c>
      <c r="F80" s="27">
        <f t="shared" si="2"/>
        <v>2.7272727272727271E-2</v>
      </c>
      <c r="G80" s="8"/>
      <c r="H80" s="15" t="s">
        <v>55</v>
      </c>
      <c r="I80" s="16">
        <v>1</v>
      </c>
      <c r="J80" s="17"/>
    </row>
    <row r="81" spans="1:10" ht="15.75" thickBot="1" x14ac:dyDescent="0.3">
      <c r="A81" s="9" t="s">
        <v>68</v>
      </c>
      <c r="B81" s="10"/>
      <c r="C81">
        <v>3</v>
      </c>
      <c r="D81" s="12"/>
      <c r="E81" s="9"/>
      <c r="F81" s="25"/>
      <c r="G81" s="8"/>
      <c r="H81" s="28" t="s">
        <v>57</v>
      </c>
      <c r="I81" s="20">
        <v>0</v>
      </c>
      <c r="J81" s="21">
        <f t="shared" ref="J81:J86" si="3">I81/I$80</f>
        <v>0</v>
      </c>
    </row>
    <row r="82" spans="1:10" x14ac:dyDescent="0.25">
      <c r="A82" s="9" t="s">
        <v>70</v>
      </c>
      <c r="B82" s="10"/>
      <c r="C82">
        <f>SUM(C72:C81)</f>
        <v>110</v>
      </c>
      <c r="D82" s="12"/>
      <c r="E82" s="32" t="s">
        <v>71</v>
      </c>
      <c r="F82" s="14"/>
      <c r="G82" s="8"/>
      <c r="H82" s="28" t="s">
        <v>59</v>
      </c>
      <c r="I82" s="20">
        <v>0</v>
      </c>
      <c r="J82" s="21">
        <f t="shared" si="3"/>
        <v>0</v>
      </c>
    </row>
    <row r="83" spans="1:10" x14ac:dyDescent="0.25">
      <c r="A83" s="9"/>
      <c r="B83" s="10"/>
      <c r="D83" s="12"/>
      <c r="E83" s="33" t="s">
        <v>72</v>
      </c>
      <c r="F83" s="21">
        <f>C84/C$54</f>
        <v>0.84090909090909094</v>
      </c>
      <c r="G83" s="8"/>
      <c r="H83" s="28" t="s">
        <v>61</v>
      </c>
      <c r="I83" s="20">
        <v>1</v>
      </c>
      <c r="J83" s="21">
        <f t="shared" si="3"/>
        <v>1</v>
      </c>
    </row>
    <row r="84" spans="1:10" x14ac:dyDescent="0.25">
      <c r="A84" s="9" t="s">
        <v>73</v>
      </c>
      <c r="B84" s="10"/>
      <c r="C84">
        <v>37</v>
      </c>
      <c r="D84" s="12"/>
      <c r="E84" s="33" t="s">
        <v>74</v>
      </c>
      <c r="F84" s="21">
        <f>C85/C$54</f>
        <v>6.8181818181818177E-2</v>
      </c>
      <c r="G84" s="8"/>
      <c r="H84" s="28" t="s">
        <v>63</v>
      </c>
      <c r="I84" s="20">
        <v>0</v>
      </c>
      <c r="J84" s="21">
        <f t="shared" si="3"/>
        <v>0</v>
      </c>
    </row>
    <row r="85" spans="1:10" ht="15.75" thickBot="1" x14ac:dyDescent="0.3">
      <c r="A85" s="9" t="s">
        <v>75</v>
      </c>
      <c r="B85" s="10"/>
      <c r="C85">
        <v>3</v>
      </c>
      <c r="D85" s="12"/>
      <c r="E85" s="34" t="s">
        <v>76</v>
      </c>
      <c r="F85" s="27">
        <f>C86/C$54</f>
        <v>9.0909090909090912E-2</v>
      </c>
      <c r="G85" s="8"/>
      <c r="H85" s="28" t="s">
        <v>65</v>
      </c>
      <c r="I85" s="20">
        <v>0</v>
      </c>
      <c r="J85" s="21">
        <f t="shared" si="3"/>
        <v>0</v>
      </c>
    </row>
    <row r="86" spans="1:10" ht="15.75" thickBot="1" x14ac:dyDescent="0.3">
      <c r="A86" s="9" t="s">
        <v>77</v>
      </c>
      <c r="B86" s="10"/>
      <c r="C86">
        <v>4</v>
      </c>
      <c r="D86" s="12"/>
      <c r="E86" s="35"/>
      <c r="F86" s="25"/>
      <c r="G86" s="12" t="s">
        <v>27</v>
      </c>
      <c r="H86" s="30" t="s">
        <v>67</v>
      </c>
      <c r="I86" s="26">
        <v>0</v>
      </c>
      <c r="J86" s="27">
        <f t="shared" si="3"/>
        <v>0</v>
      </c>
    </row>
    <row r="87" spans="1:10" ht="15.75" thickBot="1" x14ac:dyDescent="0.3">
      <c r="A87" s="9"/>
      <c r="B87" s="10"/>
      <c r="D87" s="12"/>
      <c r="E87" s="36" t="s">
        <v>28</v>
      </c>
      <c r="F87" s="14"/>
      <c r="G87" s="8"/>
    </row>
    <row r="88" spans="1:10" x14ac:dyDescent="0.25">
      <c r="A88" s="9" t="s">
        <v>28</v>
      </c>
      <c r="B88" s="10"/>
      <c r="D88" s="12"/>
      <c r="E88" s="29" t="s">
        <v>78</v>
      </c>
      <c r="F88" s="21">
        <f>C89/C$54</f>
        <v>0.61363636363636365</v>
      </c>
      <c r="G88" s="8"/>
      <c r="H88" s="15" t="s">
        <v>69</v>
      </c>
      <c r="I88" s="16">
        <v>0</v>
      </c>
      <c r="J88" s="17"/>
    </row>
    <row r="89" spans="1:10" ht="15.75" thickBot="1" x14ac:dyDescent="0.3">
      <c r="A89" s="9" t="s">
        <v>79</v>
      </c>
      <c r="B89" s="10"/>
      <c r="C89">
        <v>27</v>
      </c>
      <c r="D89" s="12"/>
      <c r="E89" s="31" t="s">
        <v>80</v>
      </c>
      <c r="F89" s="27">
        <f>C90/C$54</f>
        <v>0.38636363636363635</v>
      </c>
      <c r="G89" s="8"/>
      <c r="H89" s="28" t="s">
        <v>57</v>
      </c>
      <c r="I89" s="20">
        <v>0</v>
      </c>
      <c r="J89" s="21" t="e">
        <f t="shared" ref="J89:J94" si="4">I89/I$88</f>
        <v>#DIV/0!</v>
      </c>
    </row>
    <row r="90" spans="1:10" ht="15.75" thickBot="1" x14ac:dyDescent="0.3">
      <c r="A90" s="9" t="s">
        <v>80</v>
      </c>
      <c r="B90" s="10"/>
      <c r="C90">
        <v>17</v>
      </c>
      <c r="D90" s="12"/>
      <c r="E90" s="37"/>
      <c r="F90" s="38"/>
      <c r="G90" s="8"/>
      <c r="H90" s="28" t="s">
        <v>59</v>
      </c>
      <c r="I90" s="20">
        <v>0</v>
      </c>
      <c r="J90" s="21" t="e">
        <f t="shared" si="4"/>
        <v>#DIV/0!</v>
      </c>
    </row>
    <row r="91" spans="1:10" x14ac:dyDescent="0.25">
      <c r="A91" s="9"/>
      <c r="B91" s="10"/>
      <c r="D91" s="12"/>
      <c r="E91" s="32" t="s">
        <v>81</v>
      </c>
      <c r="F91" s="14"/>
      <c r="G91" s="8"/>
      <c r="H91" s="28" t="s">
        <v>61</v>
      </c>
      <c r="I91" s="20">
        <v>0</v>
      </c>
      <c r="J91" s="21" t="e">
        <f t="shared" si="4"/>
        <v>#DIV/0!</v>
      </c>
    </row>
    <row r="92" spans="1:10" x14ac:dyDescent="0.25">
      <c r="A92" t="s">
        <v>1166</v>
      </c>
      <c r="B92" s="10"/>
      <c r="D92" s="12"/>
      <c r="E92" s="29" t="s">
        <v>84</v>
      </c>
      <c r="F92" s="21">
        <f t="shared" ref="F92:F97" si="5">C97/C$54</f>
        <v>0.56818181818181823</v>
      </c>
      <c r="G92" s="8"/>
      <c r="H92" s="28" t="s">
        <v>63</v>
      </c>
      <c r="I92" s="20">
        <v>0</v>
      </c>
      <c r="J92" s="21" t="e">
        <f t="shared" si="4"/>
        <v>#DIV/0!</v>
      </c>
    </row>
    <row r="93" spans="1:10" x14ac:dyDescent="0.25">
      <c r="A93" t="s">
        <v>1167</v>
      </c>
      <c r="B93" s="10"/>
      <c r="C93">
        <v>16</v>
      </c>
      <c r="D93" s="12"/>
      <c r="E93" s="18" t="s">
        <v>86</v>
      </c>
      <c r="F93" s="21">
        <f t="shared" si="5"/>
        <v>4.5454545454545456E-2</v>
      </c>
      <c r="G93" s="8"/>
      <c r="H93" s="28" t="s">
        <v>65</v>
      </c>
      <c r="I93" s="20">
        <v>0</v>
      </c>
      <c r="J93" s="21" t="e">
        <f t="shared" si="4"/>
        <v>#DIV/0!</v>
      </c>
    </row>
    <row r="94" spans="1:10" ht="15.75" thickBot="1" x14ac:dyDescent="0.3">
      <c r="A94" t="s">
        <v>1168</v>
      </c>
      <c r="B94" s="10"/>
      <c r="C94">
        <v>1</v>
      </c>
      <c r="D94" s="12"/>
      <c r="E94" s="18" t="s">
        <v>88</v>
      </c>
      <c r="F94" s="21">
        <f t="shared" si="5"/>
        <v>0</v>
      </c>
      <c r="G94" s="8"/>
      <c r="H94" s="30" t="s">
        <v>67</v>
      </c>
      <c r="I94" s="26">
        <v>0</v>
      </c>
      <c r="J94" s="27" t="e">
        <f t="shared" si="4"/>
        <v>#DIV/0!</v>
      </c>
    </row>
    <row r="95" spans="1:10" x14ac:dyDescent="0.25">
      <c r="A95" s="9"/>
      <c r="B95" s="10"/>
      <c r="C95" t="s">
        <v>27</v>
      </c>
      <c r="D95" s="12"/>
      <c r="E95" s="18" t="s">
        <v>90</v>
      </c>
      <c r="F95" s="21">
        <f t="shared" si="5"/>
        <v>0</v>
      </c>
      <c r="G95" s="8"/>
    </row>
    <row r="96" spans="1:10" ht="15.75" thickBot="1" x14ac:dyDescent="0.3">
      <c r="A96" s="9" t="s">
        <v>83</v>
      </c>
      <c r="B96" s="10"/>
      <c r="D96" s="12"/>
      <c r="E96" s="18" t="s">
        <v>91</v>
      </c>
      <c r="F96" s="21">
        <f t="shared" si="5"/>
        <v>0.38636363636363635</v>
      </c>
      <c r="G96" s="8"/>
    </row>
    <row r="97" spans="1:10" ht="15.75" thickBot="1" x14ac:dyDescent="0.3">
      <c r="A97" s="9" t="s">
        <v>84</v>
      </c>
      <c r="B97" s="10"/>
      <c r="C97">
        <v>25</v>
      </c>
      <c r="D97" s="12"/>
      <c r="E97" s="23" t="s">
        <v>46</v>
      </c>
      <c r="F97" s="27">
        <f t="shared" si="5"/>
        <v>0</v>
      </c>
      <c r="G97" s="8"/>
      <c r="H97" s="15" t="s">
        <v>44</v>
      </c>
      <c r="I97" s="16">
        <v>9</v>
      </c>
      <c r="J97" s="17"/>
    </row>
    <row r="98" spans="1:10" ht="15.75" thickBot="1" x14ac:dyDescent="0.3">
      <c r="A98" s="9" t="s">
        <v>86</v>
      </c>
      <c r="B98" s="10"/>
      <c r="C98">
        <v>2</v>
      </c>
      <c r="D98" s="12"/>
      <c r="E98" s="12"/>
      <c r="F98" s="25"/>
      <c r="G98" s="8"/>
      <c r="H98" s="28" t="s">
        <v>82</v>
      </c>
      <c r="I98" s="20">
        <v>1</v>
      </c>
      <c r="J98" s="21">
        <f>I98/I$97</f>
        <v>0.1111111111111111</v>
      </c>
    </row>
    <row r="99" spans="1:10" x14ac:dyDescent="0.25">
      <c r="A99" s="9" t="s">
        <v>88</v>
      </c>
      <c r="B99" s="10"/>
      <c r="C99">
        <v>0</v>
      </c>
      <c r="D99" s="12"/>
      <c r="E99" s="13" t="s">
        <v>93</v>
      </c>
      <c r="F99" s="14"/>
      <c r="G99" s="8"/>
      <c r="H99" s="28" t="s">
        <v>85</v>
      </c>
      <c r="I99" s="20">
        <v>4</v>
      </c>
      <c r="J99" s="21">
        <f>I99/I$97</f>
        <v>0.44444444444444442</v>
      </c>
    </row>
    <row r="100" spans="1:10" x14ac:dyDescent="0.25">
      <c r="A100" s="9" t="s">
        <v>90</v>
      </c>
      <c r="B100" s="10"/>
      <c r="C100">
        <v>0</v>
      </c>
      <c r="D100" s="12"/>
      <c r="E100" s="18" t="s">
        <v>96</v>
      </c>
      <c r="F100" s="21">
        <f>C105/C$54</f>
        <v>0.79545454545454541</v>
      </c>
      <c r="G100" s="8"/>
      <c r="H100" s="28" t="s">
        <v>87</v>
      </c>
      <c r="I100" s="20">
        <v>3</v>
      </c>
      <c r="J100" s="21">
        <f>I100/I$97</f>
        <v>0.33333333333333331</v>
      </c>
    </row>
    <row r="101" spans="1:10" ht="15.75" thickBot="1" x14ac:dyDescent="0.3">
      <c r="A101" s="9" t="s">
        <v>91</v>
      </c>
      <c r="B101" s="10"/>
      <c r="C101">
        <v>17</v>
      </c>
      <c r="D101" s="12"/>
      <c r="E101" s="18" t="s">
        <v>98</v>
      </c>
      <c r="F101" s="21">
        <f>C106/C$54</f>
        <v>0.15909090909090909</v>
      </c>
      <c r="G101" s="8"/>
      <c r="H101" s="30" t="s">
        <v>89</v>
      </c>
      <c r="I101" s="26">
        <v>1</v>
      </c>
      <c r="J101" s="27">
        <f>I101/I$97</f>
        <v>0.1111111111111111</v>
      </c>
    </row>
    <row r="102" spans="1:10" x14ac:dyDescent="0.25">
      <c r="A102" s="9" t="s">
        <v>46</v>
      </c>
      <c r="B102" s="10"/>
      <c r="C102">
        <v>0</v>
      </c>
      <c r="D102" s="12"/>
      <c r="E102" s="18" t="s">
        <v>100</v>
      </c>
      <c r="F102" s="21">
        <f>C107/C$54</f>
        <v>0</v>
      </c>
      <c r="G102" s="8"/>
    </row>
    <row r="103" spans="1:10" ht="15.75" thickBot="1" x14ac:dyDescent="0.3">
      <c r="A103" s="9"/>
      <c r="B103" s="10"/>
      <c r="D103" s="12"/>
      <c r="E103" s="18" t="s">
        <v>102</v>
      </c>
      <c r="F103" s="21">
        <f>C108/C$54</f>
        <v>2.2727272727272728E-2</v>
      </c>
      <c r="G103" s="8"/>
    </row>
    <row r="104" spans="1:10" ht="15.75" thickBot="1" x14ac:dyDescent="0.3">
      <c r="A104" s="9" t="s">
        <v>95</v>
      </c>
      <c r="B104" s="10"/>
      <c r="C104">
        <v>4</v>
      </c>
      <c r="D104" s="12"/>
      <c r="E104" s="23" t="s">
        <v>103</v>
      </c>
      <c r="F104" s="27">
        <f>C109/C$54</f>
        <v>2.2727272727272728E-2</v>
      </c>
      <c r="G104" s="8"/>
      <c r="H104" s="15" t="s">
        <v>46</v>
      </c>
      <c r="I104" s="16">
        <v>18</v>
      </c>
      <c r="J104" s="17"/>
    </row>
    <row r="105" spans="1:10" x14ac:dyDescent="0.25">
      <c r="A105" s="9" t="s">
        <v>96</v>
      </c>
      <c r="B105" s="10"/>
      <c r="C105">
        <v>35</v>
      </c>
      <c r="D105" s="12"/>
      <c r="E105" s="12"/>
      <c r="F105" s="25"/>
      <c r="G105" s="8"/>
      <c r="H105" s="28" t="s">
        <v>92</v>
      </c>
      <c r="I105" s="20">
        <v>3</v>
      </c>
      <c r="J105" s="21">
        <f>I105/I$104</f>
        <v>0.16666666666666666</v>
      </c>
    </row>
    <row r="106" spans="1:10" x14ac:dyDescent="0.25">
      <c r="A106" s="9" t="s">
        <v>98</v>
      </c>
      <c r="B106" s="10"/>
      <c r="C106">
        <v>7</v>
      </c>
      <c r="D106" s="12"/>
      <c r="E106" s="12"/>
      <c r="F106" s="25"/>
      <c r="G106" s="8"/>
      <c r="H106" s="28" t="s">
        <v>94</v>
      </c>
      <c r="I106" s="20">
        <v>0</v>
      </c>
      <c r="J106" s="21">
        <f t="shared" ref="J106:J114" si="6">I106/I$104</f>
        <v>0</v>
      </c>
    </row>
    <row r="107" spans="1:10" x14ac:dyDescent="0.25">
      <c r="A107" s="9" t="s">
        <v>100</v>
      </c>
      <c r="B107" s="10"/>
      <c r="C107">
        <v>0</v>
      </c>
      <c r="D107" s="12"/>
      <c r="E107" s="12"/>
      <c r="F107" s="25"/>
      <c r="G107" s="8"/>
      <c r="H107" s="28" t="s">
        <v>97</v>
      </c>
      <c r="I107" s="20">
        <v>0</v>
      </c>
      <c r="J107" s="21">
        <f t="shared" si="6"/>
        <v>0</v>
      </c>
    </row>
    <row r="108" spans="1:10" x14ac:dyDescent="0.25">
      <c r="A108" s="9" t="s">
        <v>102</v>
      </c>
      <c r="B108" s="10"/>
      <c r="C108">
        <v>1</v>
      </c>
      <c r="H108" s="28" t="s">
        <v>99</v>
      </c>
      <c r="I108" s="20">
        <v>0</v>
      </c>
      <c r="J108" s="21">
        <f t="shared" si="6"/>
        <v>0</v>
      </c>
    </row>
    <row r="109" spans="1:10" x14ac:dyDescent="0.25">
      <c r="A109" s="9" t="s">
        <v>103</v>
      </c>
      <c r="B109" s="10"/>
      <c r="C109">
        <v>1</v>
      </c>
      <c r="H109" s="28" t="s">
        <v>101</v>
      </c>
      <c r="I109" s="20">
        <v>5</v>
      </c>
      <c r="J109" s="21">
        <f t="shared" si="6"/>
        <v>0.27777777777777779</v>
      </c>
    </row>
    <row r="110" spans="1:10" x14ac:dyDescent="0.25">
      <c r="A110" s="9" t="s">
        <v>104</v>
      </c>
      <c r="B110" s="10"/>
      <c r="C110">
        <v>0</v>
      </c>
      <c r="H110" s="66" t="s">
        <v>159</v>
      </c>
      <c r="I110" s="68">
        <v>1</v>
      </c>
      <c r="J110" s="21">
        <f t="shared" si="6"/>
        <v>5.5555555555555552E-2</v>
      </c>
    </row>
    <row r="111" spans="1:10" x14ac:dyDescent="0.25">
      <c r="A111" s="9"/>
      <c r="B111" s="10"/>
      <c r="H111" s="66" t="s">
        <v>160</v>
      </c>
      <c r="I111" s="68">
        <v>0</v>
      </c>
      <c r="J111" s="21">
        <f t="shared" si="6"/>
        <v>0</v>
      </c>
    </row>
    <row r="112" spans="1:10" ht="15.75" thickBot="1" x14ac:dyDescent="0.3">
      <c r="H112" s="66" t="s">
        <v>161</v>
      </c>
      <c r="I112" s="68">
        <v>7</v>
      </c>
      <c r="J112" s="21">
        <f t="shared" si="6"/>
        <v>0.3888888888888889</v>
      </c>
    </row>
    <row r="113" spans="1:10" x14ac:dyDescent="0.25">
      <c r="A113" s="89" t="s">
        <v>7</v>
      </c>
      <c r="B113" s="100">
        <v>86190.260000000009</v>
      </c>
      <c r="H113" s="66" t="s">
        <v>162</v>
      </c>
      <c r="I113" s="68">
        <v>2</v>
      </c>
      <c r="J113" s="21">
        <f t="shared" si="6"/>
        <v>0.1111111111111111</v>
      </c>
    </row>
    <row r="114" spans="1:10" ht="15.75" thickBot="1" x14ac:dyDescent="0.3">
      <c r="A114" s="91" t="s">
        <v>84</v>
      </c>
      <c r="B114" s="92">
        <f>SUM(F4:F8,F10,F15:F16,F19:F21,F23,F25,F28:F31,F33:F35,F37,F39,F41,F43:F44,)</f>
        <v>39144.93</v>
      </c>
      <c r="H114" s="67" t="s">
        <v>163</v>
      </c>
      <c r="I114" s="26">
        <v>0</v>
      </c>
      <c r="J114" s="27">
        <f t="shared" si="6"/>
        <v>0</v>
      </c>
    </row>
    <row r="115" spans="1:10" x14ac:dyDescent="0.25">
      <c r="A115" s="91" t="s">
        <v>281</v>
      </c>
      <c r="B115" s="92">
        <f>SUM(F2:F3,F9,F11,F13:F14,F17:F18,F24,F26:F27,F32,F36,F38,F40,F42,F45,)</f>
        <v>39790.129999999997</v>
      </c>
    </row>
    <row r="116" spans="1:10" x14ac:dyDescent="0.25">
      <c r="A116" s="91" t="s">
        <v>291</v>
      </c>
      <c r="B116" s="92">
        <f>SUM(F12,F22,,)</f>
        <v>7255.2</v>
      </c>
    </row>
    <row r="117" spans="1:10" x14ac:dyDescent="0.25">
      <c r="A117" s="91" t="s">
        <v>46</v>
      </c>
      <c r="B117" s="93">
        <v>0</v>
      </c>
    </row>
    <row r="118" spans="1:10" ht="15.75" thickBot="1" x14ac:dyDescent="0.3">
      <c r="A118" s="94"/>
      <c r="B118" s="95">
        <f>SUM(B114:B117)</f>
        <v>86190.26</v>
      </c>
    </row>
  </sheetData>
  <mergeCells count="1">
    <mergeCell ref="A50:F50"/>
  </mergeCells>
  <pageMargins left="0.7" right="0.7" top="0.75" bottom="0.75" header="0.3" footer="0.3"/>
  <pageSetup paperSize="9" orientation="portrait" horizontalDpi="200" verticalDpi="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3"/>
  <sheetViews>
    <sheetView topLeftCell="A77" workbookViewId="0">
      <selection activeCell="B109" sqref="B109"/>
    </sheetView>
  </sheetViews>
  <sheetFormatPr baseColWidth="10" defaultRowHeight="15" x14ac:dyDescent="0.25"/>
  <cols>
    <col min="2" max="2" width="34.42578125" customWidth="1"/>
    <col min="4" max="4" width="6.28515625" customWidth="1"/>
    <col min="5" max="5" width="8.5703125" customWidth="1"/>
    <col min="7" max="7" width="45.42578125" customWidth="1"/>
  </cols>
  <sheetData>
    <row r="1" spans="1:8" ht="15" customHeight="1" x14ac:dyDescent="0.25">
      <c r="A1" s="3" t="s">
        <v>2</v>
      </c>
      <c r="B1" s="4" t="s">
        <v>3</v>
      </c>
      <c r="C1" s="4" t="s">
        <v>5</v>
      </c>
      <c r="D1" s="4" t="s">
        <v>15</v>
      </c>
      <c r="E1" s="7" t="s">
        <v>6</v>
      </c>
      <c r="F1" s="5" t="s">
        <v>8</v>
      </c>
      <c r="G1" s="6" t="s">
        <v>10</v>
      </c>
      <c r="H1" s="1" t="s">
        <v>11</v>
      </c>
    </row>
    <row r="2" spans="1:8" x14ac:dyDescent="0.25">
      <c r="A2" s="10">
        <v>44896</v>
      </c>
      <c r="B2" t="s">
        <v>2397</v>
      </c>
      <c r="C2" t="s">
        <v>103</v>
      </c>
      <c r="D2" t="s">
        <v>30</v>
      </c>
      <c r="E2" t="s">
        <v>168</v>
      </c>
      <c r="F2" s="47">
        <v>905</v>
      </c>
      <c r="G2" t="s">
        <v>1133</v>
      </c>
      <c r="H2" t="s">
        <v>192</v>
      </c>
    </row>
    <row r="3" spans="1:8" x14ac:dyDescent="0.25">
      <c r="A3" s="10">
        <v>44896</v>
      </c>
      <c r="B3" t="s">
        <v>2400</v>
      </c>
      <c r="C3" t="s">
        <v>360</v>
      </c>
      <c r="D3" t="s">
        <v>30</v>
      </c>
      <c r="E3" t="s">
        <v>291</v>
      </c>
      <c r="F3" s="47">
        <v>1200</v>
      </c>
      <c r="G3" t="s">
        <v>2403</v>
      </c>
      <c r="H3" t="s">
        <v>192</v>
      </c>
    </row>
    <row r="4" spans="1:8" x14ac:dyDescent="0.25">
      <c r="A4" s="10">
        <v>44897</v>
      </c>
      <c r="B4" t="s">
        <v>2406</v>
      </c>
      <c r="C4" t="s">
        <v>360</v>
      </c>
      <c r="D4" t="s">
        <v>30</v>
      </c>
      <c r="E4" t="s">
        <v>168</v>
      </c>
      <c r="F4" s="47">
        <v>991</v>
      </c>
      <c r="G4" t="s">
        <v>2236</v>
      </c>
      <c r="H4" t="s">
        <v>518</v>
      </c>
    </row>
    <row r="5" spans="1:8" x14ac:dyDescent="0.25">
      <c r="A5" s="10">
        <v>44897</v>
      </c>
      <c r="B5" t="s">
        <v>2409</v>
      </c>
      <c r="C5" t="s">
        <v>360</v>
      </c>
      <c r="D5" t="s">
        <v>30</v>
      </c>
      <c r="E5" t="s">
        <v>168</v>
      </c>
      <c r="F5" s="47">
        <v>2985.3</v>
      </c>
      <c r="G5" t="s">
        <v>2412</v>
      </c>
      <c r="H5" t="s">
        <v>2413</v>
      </c>
    </row>
    <row r="6" spans="1:8" x14ac:dyDescent="0.25">
      <c r="A6" s="10">
        <v>44898</v>
      </c>
      <c r="B6" t="s">
        <v>2315</v>
      </c>
      <c r="C6" t="s">
        <v>96</v>
      </c>
      <c r="D6" t="s">
        <v>32</v>
      </c>
      <c r="E6" t="s">
        <v>281</v>
      </c>
      <c r="F6" s="47">
        <v>3012.52</v>
      </c>
      <c r="G6" t="s">
        <v>2414</v>
      </c>
      <c r="H6" t="s">
        <v>80</v>
      </c>
    </row>
    <row r="7" spans="1:8" x14ac:dyDescent="0.25">
      <c r="A7" s="10">
        <v>44900</v>
      </c>
      <c r="B7" t="s">
        <v>2422</v>
      </c>
      <c r="C7" t="s">
        <v>758</v>
      </c>
      <c r="D7" t="s">
        <v>30</v>
      </c>
      <c r="E7" t="s">
        <v>168</v>
      </c>
      <c r="F7" s="47">
        <v>3326</v>
      </c>
      <c r="G7" t="s">
        <v>2425</v>
      </c>
      <c r="H7" t="s">
        <v>732</v>
      </c>
    </row>
    <row r="8" spans="1:8" x14ac:dyDescent="0.25">
      <c r="A8" s="10">
        <v>44902</v>
      </c>
      <c r="B8" t="s">
        <v>2432</v>
      </c>
      <c r="C8" t="s">
        <v>360</v>
      </c>
      <c r="D8" t="s">
        <v>30</v>
      </c>
      <c r="E8" t="s">
        <v>168</v>
      </c>
      <c r="F8" s="47">
        <v>1171.5</v>
      </c>
      <c r="G8" t="s">
        <v>1182</v>
      </c>
      <c r="H8" t="s">
        <v>2435</v>
      </c>
    </row>
    <row r="9" spans="1:8" x14ac:dyDescent="0.25">
      <c r="A9" s="10">
        <v>44902</v>
      </c>
      <c r="B9" t="s">
        <v>1674</v>
      </c>
      <c r="C9" t="s">
        <v>516</v>
      </c>
      <c r="D9" t="s">
        <v>30</v>
      </c>
      <c r="E9" t="s">
        <v>281</v>
      </c>
      <c r="F9" s="47">
        <v>993</v>
      </c>
      <c r="G9" t="s">
        <v>2437</v>
      </c>
      <c r="H9" t="s">
        <v>80</v>
      </c>
    </row>
    <row r="10" spans="1:8" x14ac:dyDescent="0.25">
      <c r="A10" s="10">
        <v>44902</v>
      </c>
      <c r="B10" t="s">
        <v>2438</v>
      </c>
      <c r="C10" t="s">
        <v>96</v>
      </c>
      <c r="D10" t="s">
        <v>30</v>
      </c>
      <c r="E10" t="s">
        <v>168</v>
      </c>
      <c r="F10" s="47">
        <v>1837</v>
      </c>
      <c r="G10" t="s">
        <v>2588</v>
      </c>
      <c r="H10" t="s">
        <v>192</v>
      </c>
    </row>
    <row r="11" spans="1:8" x14ac:dyDescent="0.25">
      <c r="A11" s="10">
        <v>44902</v>
      </c>
      <c r="B11" t="s">
        <v>2442</v>
      </c>
      <c r="C11" t="s">
        <v>516</v>
      </c>
      <c r="D11" t="s">
        <v>30</v>
      </c>
      <c r="E11" t="s">
        <v>168</v>
      </c>
      <c r="F11" s="47">
        <v>1075</v>
      </c>
      <c r="G11" t="s">
        <v>2445</v>
      </c>
      <c r="H11" t="s">
        <v>676</v>
      </c>
    </row>
    <row r="12" spans="1:8" x14ac:dyDescent="0.25">
      <c r="A12" s="10">
        <v>44902</v>
      </c>
      <c r="B12" t="s">
        <v>2446</v>
      </c>
      <c r="C12" t="s">
        <v>96</v>
      </c>
      <c r="D12" t="s">
        <v>30</v>
      </c>
      <c r="E12" t="s">
        <v>168</v>
      </c>
      <c r="F12" s="47">
        <v>1800</v>
      </c>
      <c r="G12" t="s">
        <v>2449</v>
      </c>
      <c r="H12" t="s">
        <v>2468</v>
      </c>
    </row>
    <row r="13" spans="1:8" x14ac:dyDescent="0.25">
      <c r="A13" s="10">
        <v>44904</v>
      </c>
      <c r="B13" t="s">
        <v>2464</v>
      </c>
      <c r="C13" t="s">
        <v>96</v>
      </c>
      <c r="D13" t="s">
        <v>30</v>
      </c>
      <c r="E13" t="s">
        <v>168</v>
      </c>
      <c r="F13" s="47">
        <v>2122</v>
      </c>
      <c r="G13" t="s">
        <v>2467</v>
      </c>
      <c r="H13" t="s">
        <v>676</v>
      </c>
    </row>
    <row r="14" spans="1:8" x14ac:dyDescent="0.25">
      <c r="A14" s="10">
        <v>44905</v>
      </c>
      <c r="B14" t="s">
        <v>2469</v>
      </c>
      <c r="C14" t="s">
        <v>516</v>
      </c>
      <c r="D14" t="s">
        <v>30</v>
      </c>
      <c r="E14" t="s">
        <v>281</v>
      </c>
      <c r="F14" s="47">
        <v>1086</v>
      </c>
      <c r="G14" t="s">
        <v>328</v>
      </c>
      <c r="H14" t="s">
        <v>80</v>
      </c>
    </row>
    <row r="15" spans="1:8" x14ac:dyDescent="0.25">
      <c r="A15" s="10">
        <v>44897</v>
      </c>
      <c r="B15" t="s">
        <v>643</v>
      </c>
      <c r="C15" t="s">
        <v>96</v>
      </c>
      <c r="D15" t="s">
        <v>30</v>
      </c>
      <c r="E15" t="s">
        <v>281</v>
      </c>
      <c r="F15" s="47">
        <v>1049.8399999999999</v>
      </c>
      <c r="G15" t="s">
        <v>2472</v>
      </c>
      <c r="H15" t="s">
        <v>80</v>
      </c>
    </row>
    <row r="16" spans="1:8" x14ac:dyDescent="0.25">
      <c r="A16" s="10">
        <v>44907</v>
      </c>
      <c r="B16" t="s">
        <v>1094</v>
      </c>
      <c r="C16" t="s">
        <v>96</v>
      </c>
      <c r="D16" t="s">
        <v>30</v>
      </c>
      <c r="E16" t="s">
        <v>281</v>
      </c>
      <c r="F16" s="47">
        <v>3689</v>
      </c>
      <c r="G16" t="s">
        <v>2473</v>
      </c>
      <c r="H16" t="s">
        <v>80</v>
      </c>
    </row>
    <row r="17" spans="1:8" x14ac:dyDescent="0.25">
      <c r="A17" s="10">
        <v>44907</v>
      </c>
      <c r="B17" t="s">
        <v>2474</v>
      </c>
      <c r="C17" t="s">
        <v>360</v>
      </c>
      <c r="D17" t="s">
        <v>30</v>
      </c>
      <c r="E17" t="s">
        <v>168</v>
      </c>
      <c r="F17" s="47">
        <v>1000</v>
      </c>
      <c r="G17" t="s">
        <v>2477</v>
      </c>
      <c r="H17" t="s">
        <v>2481</v>
      </c>
    </row>
    <row r="18" spans="1:8" x14ac:dyDescent="0.25">
      <c r="A18" s="10">
        <v>44904</v>
      </c>
      <c r="B18" t="s">
        <v>2478</v>
      </c>
      <c r="C18" t="s">
        <v>96</v>
      </c>
      <c r="D18" t="s">
        <v>30</v>
      </c>
      <c r="E18" t="s">
        <v>168</v>
      </c>
      <c r="F18" s="47">
        <v>916.4</v>
      </c>
      <c r="G18" t="s">
        <v>395</v>
      </c>
      <c r="H18" t="s">
        <v>277</v>
      </c>
    </row>
    <row r="19" spans="1:8" x14ac:dyDescent="0.25">
      <c r="A19" s="10">
        <v>44909</v>
      </c>
      <c r="B19" t="s">
        <v>2478</v>
      </c>
      <c r="C19" t="s">
        <v>96</v>
      </c>
      <c r="D19" t="s">
        <v>30</v>
      </c>
      <c r="E19" t="s">
        <v>281</v>
      </c>
      <c r="F19" s="47">
        <v>3929</v>
      </c>
      <c r="G19" t="s">
        <v>2483</v>
      </c>
      <c r="H19" t="s">
        <v>80</v>
      </c>
    </row>
    <row r="20" spans="1:8" x14ac:dyDescent="0.25">
      <c r="A20" s="10">
        <v>44909</v>
      </c>
      <c r="B20" t="s">
        <v>2484</v>
      </c>
      <c r="C20" t="s">
        <v>96</v>
      </c>
      <c r="D20" t="s">
        <v>30</v>
      </c>
      <c r="E20" t="s">
        <v>291</v>
      </c>
      <c r="F20" s="47">
        <v>1166</v>
      </c>
      <c r="G20" t="s">
        <v>2487</v>
      </c>
      <c r="H20" t="s">
        <v>2488</v>
      </c>
    </row>
    <row r="21" spans="1:8" x14ac:dyDescent="0.25">
      <c r="A21" s="10">
        <v>44910</v>
      </c>
      <c r="B21" t="s">
        <v>2489</v>
      </c>
      <c r="C21" t="s">
        <v>360</v>
      </c>
      <c r="D21" t="s">
        <v>30</v>
      </c>
      <c r="E21" t="s">
        <v>168</v>
      </c>
      <c r="F21" s="47">
        <v>1194</v>
      </c>
      <c r="G21" t="s">
        <v>2492</v>
      </c>
      <c r="H21" t="s">
        <v>2527</v>
      </c>
    </row>
    <row r="22" spans="1:8" x14ac:dyDescent="0.25">
      <c r="A22" s="10">
        <v>44903</v>
      </c>
      <c r="B22" t="s">
        <v>1381</v>
      </c>
      <c r="C22" t="s">
        <v>96</v>
      </c>
      <c r="D22" t="s">
        <v>30</v>
      </c>
      <c r="E22" t="s">
        <v>281</v>
      </c>
      <c r="F22" s="47">
        <v>1015.68</v>
      </c>
      <c r="G22" t="s">
        <v>423</v>
      </c>
      <c r="H22" t="s">
        <v>80</v>
      </c>
    </row>
    <row r="23" spans="1:8" x14ac:dyDescent="0.25">
      <c r="A23" s="10">
        <v>44911</v>
      </c>
      <c r="B23" t="s">
        <v>2494</v>
      </c>
      <c r="C23" t="s">
        <v>96</v>
      </c>
      <c r="D23" t="s">
        <v>30</v>
      </c>
      <c r="E23" t="s">
        <v>291</v>
      </c>
      <c r="F23" s="47">
        <v>2282.25</v>
      </c>
      <c r="G23" t="s">
        <v>2497</v>
      </c>
      <c r="H23" t="s">
        <v>2498</v>
      </c>
    </row>
    <row r="24" spans="1:8" x14ac:dyDescent="0.25">
      <c r="A24" s="10">
        <v>44911</v>
      </c>
      <c r="B24" t="s">
        <v>2499</v>
      </c>
      <c r="C24" t="s">
        <v>96</v>
      </c>
      <c r="D24" t="s">
        <v>30</v>
      </c>
      <c r="E24" t="s">
        <v>281</v>
      </c>
      <c r="F24" s="47">
        <v>1744</v>
      </c>
      <c r="G24" t="s">
        <v>244</v>
      </c>
      <c r="H24" t="s">
        <v>80</v>
      </c>
    </row>
    <row r="25" spans="1:8" x14ac:dyDescent="0.25">
      <c r="A25" s="10">
        <v>44911</v>
      </c>
      <c r="B25" t="s">
        <v>2500</v>
      </c>
      <c r="C25" t="s">
        <v>96</v>
      </c>
      <c r="D25" t="s">
        <v>30</v>
      </c>
      <c r="E25" t="s">
        <v>281</v>
      </c>
      <c r="F25" s="47">
        <v>3328.2</v>
      </c>
      <c r="G25" t="s">
        <v>2503</v>
      </c>
      <c r="H25" t="s">
        <v>80</v>
      </c>
    </row>
    <row r="26" spans="1:8" x14ac:dyDescent="0.25">
      <c r="A26" s="10">
        <v>44912</v>
      </c>
      <c r="B26" t="s">
        <v>2210</v>
      </c>
      <c r="C26" t="s">
        <v>96</v>
      </c>
      <c r="D26" t="s">
        <v>30</v>
      </c>
      <c r="E26" t="s">
        <v>281</v>
      </c>
      <c r="F26" s="47">
        <v>1612</v>
      </c>
      <c r="G26" t="s">
        <v>2504</v>
      </c>
      <c r="H26" t="s">
        <v>80</v>
      </c>
    </row>
    <row r="27" spans="1:8" x14ac:dyDescent="0.25">
      <c r="A27" s="10">
        <v>44907</v>
      </c>
      <c r="B27" t="s">
        <v>2505</v>
      </c>
      <c r="C27" t="s">
        <v>96</v>
      </c>
      <c r="D27" t="s">
        <v>30</v>
      </c>
      <c r="E27" t="s">
        <v>168</v>
      </c>
      <c r="F27" s="47">
        <v>1056</v>
      </c>
      <c r="G27" t="s">
        <v>2508</v>
      </c>
      <c r="H27" t="s">
        <v>2509</v>
      </c>
    </row>
    <row r="28" spans="1:8" x14ac:dyDescent="0.25">
      <c r="A28" s="10">
        <v>44914</v>
      </c>
      <c r="B28" t="s">
        <v>1587</v>
      </c>
      <c r="C28" t="s">
        <v>96</v>
      </c>
      <c r="D28" t="s">
        <v>30</v>
      </c>
      <c r="E28" t="s">
        <v>281</v>
      </c>
      <c r="F28" s="47">
        <v>1200</v>
      </c>
      <c r="G28" t="s">
        <v>2510</v>
      </c>
      <c r="H28" t="s">
        <v>80</v>
      </c>
    </row>
    <row r="29" spans="1:8" x14ac:dyDescent="0.25">
      <c r="A29" s="10">
        <v>44914</v>
      </c>
      <c r="B29" t="s">
        <v>2511</v>
      </c>
      <c r="C29" t="s">
        <v>360</v>
      </c>
      <c r="D29" t="s">
        <v>30</v>
      </c>
      <c r="E29" t="s">
        <v>168</v>
      </c>
      <c r="F29" s="47">
        <v>1191</v>
      </c>
      <c r="G29" t="s">
        <v>2514</v>
      </c>
      <c r="H29" t="s">
        <v>192</v>
      </c>
    </row>
    <row r="30" spans="1:8" x14ac:dyDescent="0.25">
      <c r="A30" s="10">
        <v>44904</v>
      </c>
      <c r="B30" t="s">
        <v>2515</v>
      </c>
      <c r="C30" t="s">
        <v>96</v>
      </c>
      <c r="D30" t="s">
        <v>30</v>
      </c>
      <c r="E30" t="s">
        <v>168</v>
      </c>
      <c r="F30" s="47">
        <v>3623.46</v>
      </c>
      <c r="G30" t="s">
        <v>2518</v>
      </c>
      <c r="H30" t="s">
        <v>193</v>
      </c>
    </row>
    <row r="31" spans="1:8" x14ac:dyDescent="0.25">
      <c r="A31" s="10">
        <v>44915</v>
      </c>
      <c r="B31" t="s">
        <v>2519</v>
      </c>
      <c r="C31" t="s">
        <v>360</v>
      </c>
      <c r="D31" t="s">
        <v>30</v>
      </c>
      <c r="E31" t="s">
        <v>168</v>
      </c>
      <c r="F31" s="47">
        <v>1870</v>
      </c>
      <c r="G31" t="s">
        <v>2522</v>
      </c>
      <c r="H31" t="s">
        <v>2523</v>
      </c>
    </row>
    <row r="32" spans="1:8" x14ac:dyDescent="0.25">
      <c r="A32" s="10">
        <v>44903</v>
      </c>
      <c r="B32" t="s">
        <v>808</v>
      </c>
      <c r="C32" t="s">
        <v>96</v>
      </c>
      <c r="D32" t="s">
        <v>30</v>
      </c>
      <c r="E32" t="s">
        <v>281</v>
      </c>
      <c r="F32" s="47">
        <v>4621</v>
      </c>
      <c r="G32" t="s">
        <v>2526</v>
      </c>
      <c r="H32" t="s">
        <v>80</v>
      </c>
    </row>
    <row r="33" spans="1:8" x14ac:dyDescent="0.25">
      <c r="A33" s="10">
        <v>44916</v>
      </c>
      <c r="B33" t="s">
        <v>347</v>
      </c>
      <c r="C33" t="s">
        <v>360</v>
      </c>
      <c r="D33" t="s">
        <v>30</v>
      </c>
      <c r="E33" t="s">
        <v>281</v>
      </c>
      <c r="F33" s="47">
        <v>968</v>
      </c>
      <c r="G33" t="s">
        <v>2530</v>
      </c>
      <c r="H33" t="s">
        <v>80</v>
      </c>
    </row>
    <row r="34" spans="1:8" x14ac:dyDescent="0.25">
      <c r="A34" s="10">
        <v>44916</v>
      </c>
      <c r="B34" t="s">
        <v>2531</v>
      </c>
      <c r="C34" t="s">
        <v>360</v>
      </c>
      <c r="D34" t="s">
        <v>30</v>
      </c>
      <c r="E34" t="s">
        <v>168</v>
      </c>
      <c r="F34" s="47">
        <v>912</v>
      </c>
      <c r="G34" t="s">
        <v>2534</v>
      </c>
      <c r="H34" t="s">
        <v>301</v>
      </c>
    </row>
    <row r="35" spans="1:8" x14ac:dyDescent="0.25">
      <c r="A35" s="10">
        <v>44917</v>
      </c>
      <c r="B35" t="s">
        <v>2535</v>
      </c>
      <c r="C35" t="s">
        <v>96</v>
      </c>
      <c r="D35" t="s">
        <v>30</v>
      </c>
      <c r="E35" t="s">
        <v>168</v>
      </c>
      <c r="F35" s="47">
        <v>1500</v>
      </c>
      <c r="G35" t="s">
        <v>2239</v>
      </c>
      <c r="H35" t="s">
        <v>1369</v>
      </c>
    </row>
    <row r="36" spans="1:8" x14ac:dyDescent="0.25">
      <c r="A36" s="10">
        <v>44918</v>
      </c>
      <c r="B36" t="s">
        <v>2538</v>
      </c>
      <c r="C36" t="s">
        <v>516</v>
      </c>
      <c r="D36" t="s">
        <v>30</v>
      </c>
      <c r="E36" t="s">
        <v>168</v>
      </c>
      <c r="F36" s="47">
        <v>6066</v>
      </c>
      <c r="G36" t="s">
        <v>2541</v>
      </c>
      <c r="H36" t="s">
        <v>2542</v>
      </c>
    </row>
    <row r="37" spans="1:8" x14ac:dyDescent="0.25">
      <c r="A37" s="10">
        <v>44921</v>
      </c>
      <c r="B37" t="s">
        <v>2543</v>
      </c>
      <c r="C37" t="s">
        <v>516</v>
      </c>
      <c r="D37" t="s">
        <v>30</v>
      </c>
      <c r="E37" t="s">
        <v>168</v>
      </c>
      <c r="F37" s="47">
        <v>3216</v>
      </c>
      <c r="G37" t="s">
        <v>2546</v>
      </c>
      <c r="H37" t="s">
        <v>192</v>
      </c>
    </row>
    <row r="38" spans="1:8" x14ac:dyDescent="0.25">
      <c r="A38" s="10">
        <v>44922</v>
      </c>
      <c r="B38" t="s">
        <v>2551</v>
      </c>
      <c r="C38" t="s">
        <v>96</v>
      </c>
      <c r="D38" t="s">
        <v>32</v>
      </c>
      <c r="E38" t="s">
        <v>168</v>
      </c>
      <c r="F38" s="47">
        <v>9401.01</v>
      </c>
      <c r="G38" t="s">
        <v>2550</v>
      </c>
      <c r="H38" t="s">
        <v>2562</v>
      </c>
    </row>
    <row r="39" spans="1:8" x14ac:dyDescent="0.25">
      <c r="A39" s="10">
        <v>44905</v>
      </c>
      <c r="B39" t="s">
        <v>2554</v>
      </c>
      <c r="C39" t="s">
        <v>96</v>
      </c>
      <c r="D39" t="s">
        <v>30</v>
      </c>
      <c r="E39" t="s">
        <v>168</v>
      </c>
      <c r="F39" s="47">
        <v>3144.6</v>
      </c>
      <c r="G39" t="s">
        <v>2557</v>
      </c>
      <c r="H39" t="s">
        <v>2561</v>
      </c>
    </row>
    <row r="40" spans="1:8" x14ac:dyDescent="0.25">
      <c r="A40" s="10">
        <v>44916</v>
      </c>
      <c r="B40" t="s">
        <v>2558</v>
      </c>
      <c r="C40" t="s">
        <v>96</v>
      </c>
      <c r="D40" t="s">
        <v>32</v>
      </c>
      <c r="E40" t="s">
        <v>168</v>
      </c>
      <c r="F40" s="47">
        <v>1560.9</v>
      </c>
      <c r="G40" t="s">
        <v>1147</v>
      </c>
      <c r="H40" t="s">
        <v>2563</v>
      </c>
    </row>
    <row r="41" spans="1:8" x14ac:dyDescent="0.25">
      <c r="A41" s="10">
        <v>44914</v>
      </c>
      <c r="B41" t="s">
        <v>2566</v>
      </c>
      <c r="C41" t="s">
        <v>360</v>
      </c>
      <c r="D41" t="s">
        <v>30</v>
      </c>
      <c r="E41" t="s">
        <v>2569</v>
      </c>
      <c r="F41" s="47">
        <v>959.21</v>
      </c>
      <c r="G41" t="s">
        <v>2421</v>
      </c>
      <c r="H41" t="s">
        <v>606</v>
      </c>
    </row>
    <row r="42" spans="1:8" x14ac:dyDescent="0.25">
      <c r="A42" s="10">
        <v>44923</v>
      </c>
      <c r="B42" t="s">
        <v>2570</v>
      </c>
      <c r="C42" t="s">
        <v>96</v>
      </c>
      <c r="D42" t="s">
        <v>32</v>
      </c>
      <c r="E42" t="s">
        <v>168</v>
      </c>
      <c r="F42" s="47">
        <v>2067.1</v>
      </c>
      <c r="G42" t="s">
        <v>2574</v>
      </c>
      <c r="H42" t="s">
        <v>1444</v>
      </c>
    </row>
    <row r="43" spans="1:8" x14ac:dyDescent="0.25">
      <c r="A43" s="10">
        <v>44923</v>
      </c>
      <c r="B43" t="s">
        <v>2576</v>
      </c>
      <c r="C43" t="s">
        <v>96</v>
      </c>
      <c r="D43" t="s">
        <v>30</v>
      </c>
      <c r="E43" t="s">
        <v>168</v>
      </c>
      <c r="F43" s="47">
        <v>1232.8800000000001</v>
      </c>
      <c r="G43" t="s">
        <v>2581</v>
      </c>
      <c r="H43" t="s">
        <v>355</v>
      </c>
    </row>
    <row r="44" spans="1:8" x14ac:dyDescent="0.25">
      <c r="A44" s="10">
        <v>44914</v>
      </c>
      <c r="B44" t="s">
        <v>2584</v>
      </c>
      <c r="C44" t="s">
        <v>96</v>
      </c>
      <c r="D44" t="s">
        <v>30</v>
      </c>
      <c r="E44" t="s">
        <v>281</v>
      </c>
      <c r="F44" s="47">
        <v>1235.82</v>
      </c>
      <c r="G44" t="s">
        <v>2587</v>
      </c>
      <c r="H44" t="s">
        <v>80</v>
      </c>
    </row>
    <row r="49" spans="1:10" ht="15.75" thickBot="1" x14ac:dyDescent="0.3">
      <c r="A49" s="106" t="s">
        <v>16</v>
      </c>
      <c r="B49" s="106"/>
      <c r="C49" s="106"/>
      <c r="D49" s="106"/>
      <c r="E49" s="106"/>
      <c r="F49" s="106"/>
      <c r="G49" s="8"/>
    </row>
    <row r="50" spans="1:10" x14ac:dyDescent="0.25">
      <c r="A50" s="9" t="s">
        <v>17</v>
      </c>
      <c r="B50" s="10"/>
      <c r="C50" s="11">
        <f>SUM(F2:F46)</f>
        <v>91255.670000000013</v>
      </c>
      <c r="D50" s="12"/>
      <c r="E50" s="13" t="s">
        <v>18</v>
      </c>
      <c r="F50" s="14"/>
      <c r="G50" s="8"/>
      <c r="H50" s="15" t="s">
        <v>19</v>
      </c>
      <c r="I50" s="16">
        <v>28</v>
      </c>
      <c r="J50" s="17"/>
    </row>
    <row r="51" spans="1:10" x14ac:dyDescent="0.25">
      <c r="A51" s="9"/>
      <c r="B51" s="10"/>
      <c r="C51" s="11"/>
      <c r="D51" s="12"/>
      <c r="E51" s="18" t="s">
        <v>20</v>
      </c>
      <c r="F51" s="19">
        <v>91255.670000000013</v>
      </c>
      <c r="G51" s="8"/>
      <c r="H51" s="18" t="s">
        <v>21</v>
      </c>
      <c r="I51" s="20">
        <v>9</v>
      </c>
      <c r="J51" s="21">
        <f>I51/I$50</f>
        <v>0.32142857142857145</v>
      </c>
    </row>
    <row r="52" spans="1:10" ht="15.75" thickBot="1" x14ac:dyDescent="0.3">
      <c r="A52" s="9" t="s">
        <v>22</v>
      </c>
      <c r="B52" s="10"/>
      <c r="C52" s="22">
        <v>20</v>
      </c>
      <c r="D52" s="12"/>
      <c r="E52" s="23" t="s">
        <v>23</v>
      </c>
      <c r="F52" s="24">
        <f>C50/C52</f>
        <v>4562.7835000000005</v>
      </c>
      <c r="G52" s="8"/>
      <c r="H52" s="18" t="s">
        <v>24</v>
      </c>
      <c r="I52" s="20">
        <v>17</v>
      </c>
      <c r="J52" s="21">
        <f>I52/I$50</f>
        <v>0.6071428571428571</v>
      </c>
    </row>
    <row r="53" spans="1:10" ht="15.75" thickBot="1" x14ac:dyDescent="0.3">
      <c r="A53" s="9" t="s">
        <v>25</v>
      </c>
      <c r="B53" s="10"/>
      <c r="C53">
        <v>43</v>
      </c>
      <c r="D53" s="12"/>
      <c r="E53" s="12"/>
      <c r="F53" s="25"/>
      <c r="G53" s="8"/>
      <c r="H53" s="23" t="s">
        <v>26</v>
      </c>
      <c r="I53" s="26">
        <v>2</v>
      </c>
      <c r="J53" s="27">
        <f>I53/I$50</f>
        <v>7.1428571428571425E-2</v>
      </c>
    </row>
    <row r="54" spans="1:10" x14ac:dyDescent="0.25">
      <c r="A54" s="9"/>
      <c r="B54" s="10"/>
      <c r="D54" s="12" t="s">
        <v>27</v>
      </c>
      <c r="E54" s="13" t="s">
        <v>28</v>
      </c>
      <c r="F54" s="14"/>
      <c r="G54" s="8"/>
    </row>
    <row r="55" spans="1:10" ht="15.75" thickBot="1" x14ac:dyDescent="0.3">
      <c r="A55" s="9" t="s">
        <v>29</v>
      </c>
      <c r="B55" s="10"/>
      <c r="C55">
        <v>39</v>
      </c>
      <c r="D55" s="12" t="s">
        <v>27</v>
      </c>
      <c r="E55" s="18" t="s">
        <v>30</v>
      </c>
      <c r="F55" s="21">
        <f>C55/C$53</f>
        <v>0.90697674418604646</v>
      </c>
      <c r="G55" s="8"/>
    </row>
    <row r="56" spans="1:10" ht="15.75" thickBot="1" x14ac:dyDescent="0.3">
      <c r="A56" s="9" t="s">
        <v>31</v>
      </c>
      <c r="B56" s="10"/>
      <c r="C56">
        <v>4</v>
      </c>
      <c r="D56" s="12"/>
      <c r="E56" s="23" t="s">
        <v>32</v>
      </c>
      <c r="F56" s="27">
        <f>C56/C$53</f>
        <v>9.3023255813953487E-2</v>
      </c>
      <c r="G56" s="8"/>
      <c r="H56" s="15" t="s">
        <v>33</v>
      </c>
      <c r="I56" s="16">
        <v>28</v>
      </c>
      <c r="J56" s="17"/>
    </row>
    <row r="57" spans="1:10" ht="15.75" thickBot="1" x14ac:dyDescent="0.3">
      <c r="A57" s="9"/>
      <c r="B57" s="10"/>
      <c r="D57" s="12"/>
      <c r="E57" s="12"/>
      <c r="F57" s="25"/>
      <c r="G57" s="8"/>
      <c r="H57" s="28" t="s">
        <v>34</v>
      </c>
      <c r="I57" s="20">
        <v>16</v>
      </c>
      <c r="J57" s="21">
        <f>I57/I$56</f>
        <v>0.5714285714285714</v>
      </c>
    </row>
    <row r="58" spans="1:10" x14ac:dyDescent="0.25">
      <c r="A58" s="9" t="s">
        <v>35</v>
      </c>
      <c r="B58" s="10"/>
      <c r="D58" s="12"/>
      <c r="E58" s="13" t="s">
        <v>36</v>
      </c>
      <c r="F58" s="14"/>
      <c r="G58" s="8"/>
      <c r="H58" s="28" t="s">
        <v>37</v>
      </c>
      <c r="I58" s="20">
        <v>8</v>
      </c>
      <c r="J58" s="21">
        <f>I58/I$56</f>
        <v>0.2857142857142857</v>
      </c>
    </row>
    <row r="59" spans="1:10" ht="15.75" thickBot="1" x14ac:dyDescent="0.3">
      <c r="A59" s="9" t="s">
        <v>38</v>
      </c>
      <c r="B59" s="10"/>
      <c r="C59">
        <v>4</v>
      </c>
      <c r="D59" s="12"/>
      <c r="E59" s="29" t="s">
        <v>38</v>
      </c>
      <c r="F59" s="21">
        <f>C59/C$68</f>
        <v>4.1237113402061855E-2</v>
      </c>
      <c r="G59" s="8"/>
      <c r="H59" s="30" t="s">
        <v>39</v>
      </c>
      <c r="I59" s="26">
        <v>4</v>
      </c>
      <c r="J59" s="27">
        <f>I59/I$56</f>
        <v>0.14285714285714285</v>
      </c>
    </row>
    <row r="60" spans="1:10" ht="15.75" thickBot="1" x14ac:dyDescent="0.3">
      <c r="A60" s="9" t="s">
        <v>19</v>
      </c>
      <c r="B60" s="10"/>
      <c r="C60">
        <v>28</v>
      </c>
      <c r="D60" s="12"/>
      <c r="E60" s="29" t="s">
        <v>19</v>
      </c>
      <c r="F60" s="21">
        <f t="shared" ref="F60:F67" si="0">C60/C$68</f>
        <v>0.28865979381443296</v>
      </c>
      <c r="G60" s="8"/>
      <c r="H60" s="20"/>
      <c r="I60" s="20"/>
      <c r="J60" s="38"/>
    </row>
    <row r="61" spans="1:10" x14ac:dyDescent="0.25">
      <c r="A61" s="9" t="s">
        <v>40</v>
      </c>
      <c r="B61" s="10"/>
      <c r="C61">
        <v>28</v>
      </c>
      <c r="D61" s="12"/>
      <c r="E61" s="29" t="s">
        <v>40</v>
      </c>
      <c r="F61" s="21">
        <f t="shared" si="0"/>
        <v>0.28865979381443296</v>
      </c>
      <c r="G61" s="12" t="s">
        <v>27</v>
      </c>
      <c r="H61" s="80" t="s">
        <v>365</v>
      </c>
      <c r="I61" s="16">
        <v>6</v>
      </c>
      <c r="J61" s="14">
        <f t="shared" ref="J61:J72" si="1">I61/I$56</f>
        <v>0.21428571428571427</v>
      </c>
    </row>
    <row r="62" spans="1:10" x14ac:dyDescent="0.25">
      <c r="A62" s="9" t="s">
        <v>41</v>
      </c>
      <c r="B62" s="10"/>
      <c r="C62">
        <v>2</v>
      </c>
      <c r="D62" s="12"/>
      <c r="E62" s="29" t="s">
        <v>41</v>
      </c>
      <c r="F62" s="21">
        <f t="shared" si="0"/>
        <v>2.0618556701030927E-2</v>
      </c>
      <c r="G62" s="8"/>
      <c r="H62" s="69" t="s">
        <v>366</v>
      </c>
      <c r="I62" s="68">
        <v>2</v>
      </c>
      <c r="J62" s="21">
        <f t="shared" si="1"/>
        <v>7.1428571428571425E-2</v>
      </c>
    </row>
    <row r="63" spans="1:10" x14ac:dyDescent="0.25">
      <c r="A63" s="9" t="s">
        <v>42</v>
      </c>
      <c r="B63" s="10"/>
      <c r="C63">
        <v>8</v>
      </c>
      <c r="D63" s="12"/>
      <c r="E63" s="29" t="s">
        <v>42</v>
      </c>
      <c r="F63" s="21">
        <f t="shared" si="0"/>
        <v>8.247422680412371E-2</v>
      </c>
      <c r="G63" s="8"/>
      <c r="H63" s="28" t="s">
        <v>367</v>
      </c>
      <c r="I63" s="20">
        <v>3</v>
      </c>
      <c r="J63" s="21">
        <f t="shared" si="1"/>
        <v>0.10714285714285714</v>
      </c>
    </row>
    <row r="64" spans="1:10" x14ac:dyDescent="0.25">
      <c r="A64" s="9" t="s">
        <v>43</v>
      </c>
      <c r="B64" s="10"/>
      <c r="C64">
        <v>1</v>
      </c>
      <c r="D64" s="12"/>
      <c r="E64" s="29" t="s">
        <v>43</v>
      </c>
      <c r="F64" s="21">
        <f t="shared" si="0"/>
        <v>1.0309278350515464E-2</v>
      </c>
      <c r="G64" s="8"/>
      <c r="H64" s="28" t="s">
        <v>368</v>
      </c>
      <c r="I64" s="20">
        <v>2</v>
      </c>
      <c r="J64" s="21">
        <f t="shared" si="1"/>
        <v>7.1428571428571425E-2</v>
      </c>
    </row>
    <row r="65" spans="1:10" x14ac:dyDescent="0.25">
      <c r="A65" s="9" t="s">
        <v>44</v>
      </c>
      <c r="B65" s="10"/>
      <c r="C65">
        <v>16</v>
      </c>
      <c r="D65" s="12"/>
      <c r="E65" s="29" t="s">
        <v>44</v>
      </c>
      <c r="F65" s="21">
        <f t="shared" si="0"/>
        <v>0.16494845360824742</v>
      </c>
      <c r="G65" s="8"/>
      <c r="H65" s="28" t="s">
        <v>369</v>
      </c>
      <c r="I65" s="20">
        <v>4</v>
      </c>
      <c r="J65" s="21">
        <f t="shared" si="1"/>
        <v>0.14285714285714285</v>
      </c>
    </row>
    <row r="66" spans="1:10" x14ac:dyDescent="0.25">
      <c r="A66" s="9" t="s">
        <v>45</v>
      </c>
      <c r="B66" s="10"/>
      <c r="C66">
        <v>2</v>
      </c>
      <c r="D66" s="12"/>
      <c r="E66" s="29" t="s">
        <v>45</v>
      </c>
      <c r="F66" s="21">
        <f t="shared" si="0"/>
        <v>2.0618556701030927E-2</v>
      </c>
      <c r="G66" s="8"/>
      <c r="H66" s="28" t="s">
        <v>370</v>
      </c>
      <c r="I66" s="20">
        <v>6</v>
      </c>
      <c r="J66" s="21">
        <f t="shared" si="1"/>
        <v>0.21428571428571427</v>
      </c>
    </row>
    <row r="67" spans="1:10" ht="15.75" thickBot="1" x14ac:dyDescent="0.3">
      <c r="A67" s="9" t="s">
        <v>46</v>
      </c>
      <c r="B67" s="10"/>
      <c r="C67">
        <v>8</v>
      </c>
      <c r="D67" s="12"/>
      <c r="E67" s="31" t="s">
        <v>46</v>
      </c>
      <c r="F67" s="27">
        <f t="shared" si="0"/>
        <v>8.247422680412371E-2</v>
      </c>
      <c r="G67" s="12" t="s">
        <v>27</v>
      </c>
      <c r="H67" s="69" t="s">
        <v>371</v>
      </c>
      <c r="I67" s="68">
        <v>3</v>
      </c>
      <c r="J67" s="21">
        <f t="shared" si="1"/>
        <v>0.10714285714285714</v>
      </c>
    </row>
    <row r="68" spans="1:10" ht="15.75" thickBot="1" x14ac:dyDescent="0.3">
      <c r="A68" s="9" t="s">
        <v>47</v>
      </c>
      <c r="B68" s="10"/>
      <c r="C68">
        <f>SUM(C59:C67)</f>
        <v>97</v>
      </c>
      <c r="D68" s="12"/>
      <c r="E68" s="9"/>
      <c r="F68" s="25"/>
      <c r="G68" s="8"/>
      <c r="H68" s="69" t="s">
        <v>372</v>
      </c>
      <c r="I68" s="68">
        <v>0</v>
      </c>
      <c r="J68" s="21">
        <f t="shared" si="1"/>
        <v>0</v>
      </c>
    </row>
    <row r="69" spans="1:10" x14ac:dyDescent="0.25">
      <c r="A69" s="9"/>
      <c r="B69" s="10"/>
      <c r="C69" t="s">
        <v>27</v>
      </c>
      <c r="D69" s="12"/>
      <c r="E69" s="32" t="s">
        <v>49</v>
      </c>
      <c r="F69" s="14"/>
      <c r="G69" s="8"/>
      <c r="H69" s="69" t="s">
        <v>373</v>
      </c>
      <c r="I69" s="68">
        <v>0</v>
      </c>
      <c r="J69" s="21">
        <f t="shared" si="1"/>
        <v>0</v>
      </c>
    </row>
    <row r="70" spans="1:10" x14ac:dyDescent="0.25">
      <c r="A70" s="9" t="s">
        <v>51</v>
      </c>
      <c r="B70" s="10"/>
      <c r="D70" s="12"/>
      <c r="E70" s="29" t="s">
        <v>52</v>
      </c>
      <c r="F70" s="21">
        <f>C71/C$81</f>
        <v>0.38235294117647056</v>
      </c>
      <c r="G70" s="8"/>
      <c r="H70" s="69" t="s">
        <v>374</v>
      </c>
      <c r="I70" s="68">
        <v>0</v>
      </c>
      <c r="J70" s="21">
        <f t="shared" si="1"/>
        <v>0</v>
      </c>
    </row>
    <row r="71" spans="1:10" x14ac:dyDescent="0.25">
      <c r="A71" s="9" t="s">
        <v>52</v>
      </c>
      <c r="B71" s="10"/>
      <c r="C71">
        <v>39</v>
      </c>
      <c r="D71" s="12"/>
      <c r="E71" s="29" t="s">
        <v>53</v>
      </c>
      <c r="F71" s="21">
        <f t="shared" ref="F71:F79" si="2">C72/C$81</f>
        <v>0.11764705882352941</v>
      </c>
      <c r="G71" s="8"/>
      <c r="H71" s="69" t="s">
        <v>375</v>
      </c>
      <c r="I71" s="68">
        <v>0</v>
      </c>
      <c r="J71" s="21">
        <f t="shared" si="1"/>
        <v>0</v>
      </c>
    </row>
    <row r="72" spans="1:10" ht="15.75" thickBot="1" x14ac:dyDescent="0.3">
      <c r="A72" s="9" t="s">
        <v>53</v>
      </c>
      <c r="B72" s="10"/>
      <c r="C72">
        <v>12</v>
      </c>
      <c r="D72" s="12"/>
      <c r="E72" s="29" t="s">
        <v>54</v>
      </c>
      <c r="F72" s="21">
        <f t="shared" si="2"/>
        <v>0.25490196078431371</v>
      </c>
      <c r="G72" s="8"/>
      <c r="H72" s="70" t="s">
        <v>376</v>
      </c>
      <c r="I72" s="26">
        <v>0</v>
      </c>
      <c r="J72" s="27">
        <f t="shared" si="1"/>
        <v>0</v>
      </c>
    </row>
    <row r="73" spans="1:10" ht="15.75" thickBot="1" x14ac:dyDescent="0.3">
      <c r="A73" s="9" t="s">
        <v>54</v>
      </c>
      <c r="B73" s="10"/>
      <c r="C73">
        <v>26</v>
      </c>
      <c r="D73" s="12"/>
      <c r="E73" s="29" t="s">
        <v>56</v>
      </c>
      <c r="F73" s="21">
        <f t="shared" si="2"/>
        <v>9.8039215686274508E-2</v>
      </c>
      <c r="G73" s="8"/>
    </row>
    <row r="74" spans="1:10" x14ac:dyDescent="0.25">
      <c r="A74" s="9" t="s">
        <v>56</v>
      </c>
      <c r="B74" s="10"/>
      <c r="C74">
        <v>10</v>
      </c>
      <c r="D74" s="12"/>
      <c r="E74" s="29" t="s">
        <v>58</v>
      </c>
      <c r="F74" s="21">
        <f t="shared" si="2"/>
        <v>6.8627450980392163E-2</v>
      </c>
      <c r="G74" s="12" t="s">
        <v>27</v>
      </c>
      <c r="H74" s="15" t="s">
        <v>42</v>
      </c>
      <c r="I74" s="16">
        <v>8</v>
      </c>
      <c r="J74" s="17"/>
    </row>
    <row r="75" spans="1:10" x14ac:dyDescent="0.25">
      <c r="A75" s="9" t="s">
        <v>58</v>
      </c>
      <c r="B75" s="10"/>
      <c r="C75">
        <v>7</v>
      </c>
      <c r="D75" s="12"/>
      <c r="E75" s="29" t="s">
        <v>60</v>
      </c>
      <c r="F75" s="21">
        <f t="shared" si="2"/>
        <v>9.8039215686274508E-3</v>
      </c>
      <c r="G75" s="8"/>
      <c r="H75" s="28" t="s">
        <v>48</v>
      </c>
      <c r="I75" s="20">
        <v>2</v>
      </c>
      <c r="J75" s="21">
        <f>I75/I$74</f>
        <v>0.25</v>
      </c>
    </row>
    <row r="76" spans="1:10" ht="15.75" thickBot="1" x14ac:dyDescent="0.3">
      <c r="A76" s="9" t="s">
        <v>60</v>
      </c>
      <c r="B76" s="10"/>
      <c r="C76">
        <v>1</v>
      </c>
      <c r="D76" s="12"/>
      <c r="E76" s="29" t="s">
        <v>62</v>
      </c>
      <c r="F76" s="21">
        <f t="shared" si="2"/>
        <v>0</v>
      </c>
      <c r="G76" s="8"/>
      <c r="H76" s="30" t="s">
        <v>50</v>
      </c>
      <c r="I76" s="26">
        <v>6</v>
      </c>
      <c r="J76" s="27">
        <f>I76/I$74</f>
        <v>0.75</v>
      </c>
    </row>
    <row r="77" spans="1:10" x14ac:dyDescent="0.25">
      <c r="A77" s="9" t="s">
        <v>62</v>
      </c>
      <c r="B77" s="10"/>
      <c r="C77">
        <v>0</v>
      </c>
      <c r="D77" s="12"/>
      <c r="E77" s="29" t="s">
        <v>64</v>
      </c>
      <c r="F77" s="21">
        <f t="shared" si="2"/>
        <v>0</v>
      </c>
      <c r="G77" s="8"/>
    </row>
    <row r="78" spans="1:10" ht="15.75" thickBot="1" x14ac:dyDescent="0.3">
      <c r="A78" s="9" t="s">
        <v>64</v>
      </c>
      <c r="B78" s="10"/>
      <c r="C78">
        <v>0</v>
      </c>
      <c r="D78" s="12"/>
      <c r="E78" s="29" t="s">
        <v>66</v>
      </c>
      <c r="F78" s="21">
        <f t="shared" si="2"/>
        <v>1.9607843137254902E-2</v>
      </c>
      <c r="G78" s="8"/>
    </row>
    <row r="79" spans="1:10" ht="15.75" thickBot="1" x14ac:dyDescent="0.3">
      <c r="A79" s="9" t="s">
        <v>66</v>
      </c>
      <c r="B79" s="10"/>
      <c r="C79">
        <v>2</v>
      </c>
      <c r="D79" s="12"/>
      <c r="E79" s="31" t="s">
        <v>68</v>
      </c>
      <c r="F79" s="27">
        <f t="shared" si="2"/>
        <v>4.9019607843137254E-2</v>
      </c>
      <c r="G79" s="8"/>
      <c r="H79" s="15" t="s">
        <v>55</v>
      </c>
      <c r="I79" s="16">
        <v>1</v>
      </c>
      <c r="J79" s="17"/>
    </row>
    <row r="80" spans="1:10" ht="15.75" thickBot="1" x14ac:dyDescent="0.3">
      <c r="A80" s="9" t="s">
        <v>68</v>
      </c>
      <c r="B80" s="10"/>
      <c r="C80">
        <v>5</v>
      </c>
      <c r="D80" s="12"/>
      <c r="E80" s="9"/>
      <c r="F80" s="25"/>
      <c r="G80" s="8"/>
      <c r="H80" s="28" t="s">
        <v>57</v>
      </c>
      <c r="I80" s="20">
        <v>1</v>
      </c>
      <c r="J80" s="21">
        <f t="shared" ref="J80:J85" si="3">I80/I$79</f>
        <v>1</v>
      </c>
    </row>
    <row r="81" spans="1:10" x14ac:dyDescent="0.25">
      <c r="A81" s="9" t="s">
        <v>70</v>
      </c>
      <c r="B81" s="10"/>
      <c r="C81">
        <f>SUM(C71:C80)</f>
        <v>102</v>
      </c>
      <c r="D81" s="12"/>
      <c r="E81" s="32" t="s">
        <v>71</v>
      </c>
      <c r="F81" s="14"/>
      <c r="G81" s="8"/>
      <c r="H81" s="28" t="s">
        <v>59</v>
      </c>
      <c r="I81" s="20">
        <v>0</v>
      </c>
      <c r="J81" s="21">
        <f t="shared" si="3"/>
        <v>0</v>
      </c>
    </row>
    <row r="82" spans="1:10" x14ac:dyDescent="0.25">
      <c r="A82" s="9"/>
      <c r="B82" s="10"/>
      <c r="D82" s="12"/>
      <c r="E82" s="33" t="s">
        <v>72</v>
      </c>
      <c r="F82" s="21">
        <f>C83/C$53</f>
        <v>0.79069767441860461</v>
      </c>
      <c r="G82" s="8"/>
      <c r="H82" s="28" t="s">
        <v>61</v>
      </c>
      <c r="I82" s="20">
        <v>0</v>
      </c>
      <c r="J82" s="21">
        <f t="shared" si="3"/>
        <v>0</v>
      </c>
    </row>
    <row r="83" spans="1:10" x14ac:dyDescent="0.25">
      <c r="A83" s="9" t="s">
        <v>73</v>
      </c>
      <c r="B83" s="10"/>
      <c r="C83">
        <v>34</v>
      </c>
      <c r="D83" s="12"/>
      <c r="E83" s="33" t="s">
        <v>74</v>
      </c>
      <c r="F83" s="21">
        <f>C84/C$53</f>
        <v>0</v>
      </c>
      <c r="G83" s="8"/>
      <c r="H83" s="28" t="s">
        <v>63</v>
      </c>
      <c r="I83" s="20">
        <v>0</v>
      </c>
      <c r="J83" s="21">
        <f t="shared" si="3"/>
        <v>0</v>
      </c>
    </row>
    <row r="84" spans="1:10" ht="15.75" thickBot="1" x14ac:dyDescent="0.3">
      <c r="A84" s="9" t="s">
        <v>75</v>
      </c>
      <c r="B84" s="10"/>
      <c r="C84">
        <v>0</v>
      </c>
      <c r="D84" s="12"/>
      <c r="E84" s="34" t="s">
        <v>76</v>
      </c>
      <c r="F84" s="27">
        <f>C85/C$53</f>
        <v>0.20930232558139536</v>
      </c>
      <c r="G84" s="8"/>
      <c r="H84" s="28" t="s">
        <v>65</v>
      </c>
      <c r="I84" s="20">
        <v>0</v>
      </c>
      <c r="J84" s="21">
        <f t="shared" si="3"/>
        <v>0</v>
      </c>
    </row>
    <row r="85" spans="1:10" ht="15.75" thickBot="1" x14ac:dyDescent="0.3">
      <c r="A85" s="9" t="s">
        <v>77</v>
      </c>
      <c r="B85" s="10"/>
      <c r="C85">
        <v>9</v>
      </c>
      <c r="D85" s="12"/>
      <c r="E85" s="35"/>
      <c r="F85" s="25"/>
      <c r="G85" s="12" t="s">
        <v>27</v>
      </c>
      <c r="H85" s="30" t="s">
        <v>67</v>
      </c>
      <c r="I85" s="26">
        <v>0</v>
      </c>
      <c r="J85" s="27">
        <f t="shared" si="3"/>
        <v>0</v>
      </c>
    </row>
    <row r="86" spans="1:10" ht="15.75" thickBot="1" x14ac:dyDescent="0.3">
      <c r="A86" s="9"/>
      <c r="B86" s="10"/>
      <c r="D86" s="12"/>
      <c r="E86" s="36" t="s">
        <v>28</v>
      </c>
      <c r="F86" s="14"/>
      <c r="G86" s="8"/>
    </row>
    <row r="87" spans="1:10" x14ac:dyDescent="0.25">
      <c r="A87" s="9" t="s">
        <v>28</v>
      </c>
      <c r="B87" s="10"/>
      <c r="D87" s="12"/>
      <c r="E87" s="29" t="s">
        <v>78</v>
      </c>
      <c r="F87" s="21">
        <f>C88/C$53</f>
        <v>0.67441860465116277</v>
      </c>
      <c r="G87" s="8"/>
      <c r="H87" s="15" t="s">
        <v>69</v>
      </c>
      <c r="I87" s="16">
        <v>0</v>
      </c>
      <c r="J87" s="17"/>
    </row>
    <row r="88" spans="1:10" ht="15.75" thickBot="1" x14ac:dyDescent="0.3">
      <c r="A88" s="9" t="s">
        <v>79</v>
      </c>
      <c r="B88" s="10"/>
      <c r="C88">
        <v>29</v>
      </c>
      <c r="D88" s="12"/>
      <c r="E88" s="31" t="s">
        <v>80</v>
      </c>
      <c r="F88" s="27">
        <f>C89/C$53</f>
        <v>0.32558139534883723</v>
      </c>
      <c r="G88" s="8"/>
      <c r="H88" s="28" t="s">
        <v>57</v>
      </c>
      <c r="I88" s="20">
        <v>0</v>
      </c>
      <c r="J88" s="21" t="e">
        <f t="shared" ref="J88:J93" si="4">I88/I$87</f>
        <v>#DIV/0!</v>
      </c>
    </row>
    <row r="89" spans="1:10" ht="15.75" thickBot="1" x14ac:dyDescent="0.3">
      <c r="A89" s="9" t="s">
        <v>80</v>
      </c>
      <c r="B89" s="10"/>
      <c r="C89">
        <v>14</v>
      </c>
      <c r="D89" s="12"/>
      <c r="E89" s="37"/>
      <c r="F89" s="38"/>
      <c r="G89" s="8"/>
      <c r="H89" s="28" t="s">
        <v>59</v>
      </c>
      <c r="I89" s="20">
        <v>0</v>
      </c>
      <c r="J89" s="21" t="e">
        <f t="shared" si="4"/>
        <v>#DIV/0!</v>
      </c>
    </row>
    <row r="90" spans="1:10" x14ac:dyDescent="0.25">
      <c r="A90" s="9"/>
      <c r="B90" s="10"/>
      <c r="C90" t="s">
        <v>27</v>
      </c>
      <c r="D90" s="12"/>
      <c r="E90" s="32" t="s">
        <v>81</v>
      </c>
      <c r="F90" s="14"/>
      <c r="G90" s="8"/>
      <c r="H90" s="28" t="s">
        <v>61</v>
      </c>
      <c r="I90" s="20">
        <v>0</v>
      </c>
      <c r="J90" s="21" t="e">
        <f t="shared" si="4"/>
        <v>#DIV/0!</v>
      </c>
    </row>
    <row r="91" spans="1:10" x14ac:dyDescent="0.25">
      <c r="A91" s="9" t="s">
        <v>83</v>
      </c>
      <c r="B91" s="10"/>
      <c r="D91" s="12"/>
      <c r="E91" s="29" t="s">
        <v>84</v>
      </c>
      <c r="F91" s="21">
        <f t="shared" ref="F91:F96" si="5">C92/C$53</f>
        <v>0.58139534883720934</v>
      </c>
      <c r="G91" s="8"/>
      <c r="H91" s="28" t="s">
        <v>63</v>
      </c>
      <c r="I91" s="20">
        <v>0</v>
      </c>
      <c r="J91" s="21" t="e">
        <f t="shared" si="4"/>
        <v>#DIV/0!</v>
      </c>
    </row>
    <row r="92" spans="1:10" x14ac:dyDescent="0.25">
      <c r="A92" s="9" t="s">
        <v>84</v>
      </c>
      <c r="B92" s="10"/>
      <c r="C92">
        <v>25</v>
      </c>
      <c r="D92" s="12"/>
      <c r="E92" s="18" t="s">
        <v>86</v>
      </c>
      <c r="F92" s="21">
        <f t="shared" si="5"/>
        <v>6.9767441860465115E-2</v>
      </c>
      <c r="G92" s="8"/>
      <c r="H92" s="28" t="s">
        <v>65</v>
      </c>
      <c r="I92" s="20">
        <v>0</v>
      </c>
      <c r="J92" s="21" t="e">
        <f t="shared" si="4"/>
        <v>#DIV/0!</v>
      </c>
    </row>
    <row r="93" spans="1:10" ht="15.75" thickBot="1" x14ac:dyDescent="0.3">
      <c r="A93" s="9" t="s">
        <v>86</v>
      </c>
      <c r="B93" s="10"/>
      <c r="C93">
        <v>3</v>
      </c>
      <c r="D93" s="12"/>
      <c r="E93" s="18" t="s">
        <v>88</v>
      </c>
      <c r="F93" s="21">
        <f t="shared" si="5"/>
        <v>0</v>
      </c>
      <c r="G93" s="8"/>
      <c r="H93" s="30" t="s">
        <v>67</v>
      </c>
      <c r="I93" s="26">
        <v>0</v>
      </c>
      <c r="J93" s="27" t="e">
        <f t="shared" si="4"/>
        <v>#DIV/0!</v>
      </c>
    </row>
    <row r="94" spans="1:10" x14ac:dyDescent="0.25">
      <c r="A94" s="9" t="s">
        <v>88</v>
      </c>
      <c r="B94" s="10"/>
      <c r="C94">
        <v>0</v>
      </c>
      <c r="D94" s="12"/>
      <c r="E94" s="18" t="s">
        <v>90</v>
      </c>
      <c r="F94" s="21">
        <f t="shared" si="5"/>
        <v>0</v>
      </c>
      <c r="G94" s="8"/>
    </row>
    <row r="95" spans="1:10" ht="15.75" thickBot="1" x14ac:dyDescent="0.3">
      <c r="A95" s="9" t="s">
        <v>90</v>
      </c>
      <c r="B95" s="10"/>
      <c r="C95">
        <v>0</v>
      </c>
      <c r="D95" s="12"/>
      <c r="E95" s="18" t="s">
        <v>91</v>
      </c>
      <c r="F95" s="21">
        <f t="shared" si="5"/>
        <v>0.32558139534883723</v>
      </c>
      <c r="G95" s="8"/>
    </row>
    <row r="96" spans="1:10" ht="15.75" thickBot="1" x14ac:dyDescent="0.3">
      <c r="A96" s="9" t="s">
        <v>91</v>
      </c>
      <c r="B96" s="10"/>
      <c r="C96">
        <v>14</v>
      </c>
      <c r="D96" s="12"/>
      <c r="E96" s="23" t="s">
        <v>46</v>
      </c>
      <c r="F96" s="27">
        <f t="shared" si="5"/>
        <v>2.3255813953488372E-2</v>
      </c>
      <c r="G96" s="8"/>
      <c r="H96" s="15" t="s">
        <v>44</v>
      </c>
      <c r="I96" s="16">
        <v>16</v>
      </c>
      <c r="J96" s="17"/>
    </row>
    <row r="97" spans="1:10" ht="15.75" thickBot="1" x14ac:dyDescent="0.3">
      <c r="A97" s="9" t="s">
        <v>46</v>
      </c>
      <c r="B97" s="10"/>
      <c r="C97">
        <v>1</v>
      </c>
      <c r="D97" s="12"/>
      <c r="E97" s="12"/>
      <c r="F97" s="25"/>
      <c r="G97" s="8"/>
      <c r="H97" s="28" t="s">
        <v>82</v>
      </c>
      <c r="I97" s="20">
        <v>4</v>
      </c>
      <c r="J97" s="21">
        <f>I97/I$96</f>
        <v>0.25</v>
      </c>
    </row>
    <row r="98" spans="1:10" x14ac:dyDescent="0.25">
      <c r="A98" s="9"/>
      <c r="B98" s="10"/>
      <c r="D98" s="12"/>
      <c r="E98" s="13" t="s">
        <v>93</v>
      </c>
      <c r="F98" s="14"/>
      <c r="G98" s="8"/>
      <c r="H98" s="28" t="s">
        <v>85</v>
      </c>
      <c r="I98" s="20">
        <v>8</v>
      </c>
      <c r="J98" s="21">
        <f>I98/I$96</f>
        <v>0.5</v>
      </c>
    </row>
    <row r="99" spans="1:10" x14ac:dyDescent="0.25">
      <c r="A99" s="9" t="s">
        <v>95</v>
      </c>
      <c r="B99" s="10"/>
      <c r="C99">
        <v>5</v>
      </c>
      <c r="D99" s="12"/>
      <c r="E99" s="18" t="s">
        <v>96</v>
      </c>
      <c r="F99" s="21">
        <f>C100/C$53</f>
        <v>0.58139534883720934</v>
      </c>
      <c r="G99" s="8"/>
      <c r="H99" s="28" t="s">
        <v>87</v>
      </c>
      <c r="I99" s="20">
        <v>2</v>
      </c>
      <c r="J99" s="21">
        <f>I99/I$96</f>
        <v>0.125</v>
      </c>
    </row>
    <row r="100" spans="1:10" ht="15.75" thickBot="1" x14ac:dyDescent="0.3">
      <c r="A100" s="9" t="s">
        <v>96</v>
      </c>
      <c r="B100" s="10"/>
      <c r="C100">
        <v>25</v>
      </c>
      <c r="D100" s="12"/>
      <c r="E100" s="18" t="s">
        <v>98</v>
      </c>
      <c r="F100" s="21">
        <f>C101/C$53</f>
        <v>0.2558139534883721</v>
      </c>
      <c r="G100" s="8"/>
      <c r="H100" s="30" t="s">
        <v>89</v>
      </c>
      <c r="I100" s="26">
        <v>2</v>
      </c>
      <c r="J100" s="27">
        <f>I100/I$96</f>
        <v>0.125</v>
      </c>
    </row>
    <row r="101" spans="1:10" x14ac:dyDescent="0.25">
      <c r="A101" s="9" t="s">
        <v>98</v>
      </c>
      <c r="B101" s="10"/>
      <c r="C101">
        <v>11</v>
      </c>
      <c r="D101" s="12"/>
      <c r="E101" s="18" t="s">
        <v>100</v>
      </c>
      <c r="F101" s="21">
        <f>C102/C$53</f>
        <v>0.11627906976744186</v>
      </c>
      <c r="G101" s="8"/>
    </row>
    <row r="102" spans="1:10" ht="15.75" thickBot="1" x14ac:dyDescent="0.3">
      <c r="A102" s="9" t="s">
        <v>100</v>
      </c>
      <c r="B102" s="10"/>
      <c r="C102">
        <v>5</v>
      </c>
      <c r="D102" s="12"/>
      <c r="E102" s="18" t="s">
        <v>102</v>
      </c>
      <c r="F102" s="21">
        <f>C103/C$53</f>
        <v>2.3255813953488372E-2</v>
      </c>
      <c r="G102" s="8"/>
    </row>
    <row r="103" spans="1:10" ht="15.75" thickBot="1" x14ac:dyDescent="0.3">
      <c r="A103" s="9" t="s">
        <v>102</v>
      </c>
      <c r="B103" s="10"/>
      <c r="C103">
        <v>1</v>
      </c>
      <c r="D103" s="12"/>
      <c r="E103" s="23" t="s">
        <v>103</v>
      </c>
      <c r="F103" s="27">
        <f>C104/C$53</f>
        <v>2.3255813953488372E-2</v>
      </c>
      <c r="G103" s="8"/>
      <c r="H103" s="15" t="s">
        <v>46</v>
      </c>
      <c r="I103" s="16">
        <v>8</v>
      </c>
      <c r="J103" s="17"/>
    </row>
    <row r="104" spans="1:10" x14ac:dyDescent="0.25">
      <c r="A104" s="9" t="s">
        <v>103</v>
      </c>
      <c r="B104" s="10"/>
      <c r="C104">
        <v>1</v>
      </c>
      <c r="D104" s="12"/>
      <c r="E104" s="12"/>
      <c r="F104" s="25"/>
      <c r="G104" s="8"/>
      <c r="H104" s="28" t="s">
        <v>92</v>
      </c>
      <c r="I104" s="20">
        <v>1</v>
      </c>
      <c r="J104" s="21">
        <f>I104/I$103</f>
        <v>0.125</v>
      </c>
    </row>
    <row r="105" spans="1:10" x14ac:dyDescent="0.25">
      <c r="A105" s="9" t="s">
        <v>104</v>
      </c>
      <c r="B105" s="10"/>
      <c r="C105">
        <v>0</v>
      </c>
      <c r="D105" s="12"/>
      <c r="E105" s="12"/>
      <c r="F105" s="25"/>
      <c r="G105" s="8"/>
      <c r="H105" s="28" t="s">
        <v>94</v>
      </c>
      <c r="I105" s="20">
        <v>2</v>
      </c>
      <c r="J105" s="21">
        <f t="shared" ref="J105:J113" si="6">I105/I$103</f>
        <v>0.25</v>
      </c>
    </row>
    <row r="106" spans="1:10" x14ac:dyDescent="0.25">
      <c r="A106" s="9"/>
      <c r="B106" s="10"/>
      <c r="D106" s="12"/>
      <c r="E106" s="12"/>
      <c r="F106" s="25"/>
      <c r="G106" s="8"/>
      <c r="H106" s="28" t="s">
        <v>97</v>
      </c>
      <c r="I106" s="20">
        <v>0</v>
      </c>
      <c r="J106" s="21">
        <f t="shared" si="6"/>
        <v>0</v>
      </c>
    </row>
    <row r="107" spans="1:10" ht="15.75" thickBot="1" x14ac:dyDescent="0.3">
      <c r="H107" s="28" t="s">
        <v>99</v>
      </c>
      <c r="I107" s="20">
        <v>0</v>
      </c>
      <c r="J107" s="21">
        <f t="shared" si="6"/>
        <v>0</v>
      </c>
    </row>
    <row r="108" spans="1:10" x14ac:dyDescent="0.25">
      <c r="A108" s="89" t="s">
        <v>7</v>
      </c>
      <c r="B108" s="100">
        <v>91255.670000000013</v>
      </c>
      <c r="H108" s="28" t="s">
        <v>101</v>
      </c>
      <c r="I108" s="20">
        <v>1</v>
      </c>
      <c r="J108" s="21">
        <f t="shared" si="6"/>
        <v>0.125</v>
      </c>
    </row>
    <row r="109" spans="1:10" x14ac:dyDescent="0.25">
      <c r="A109" s="91" t="s">
        <v>84</v>
      </c>
      <c r="B109" s="92">
        <f>SUM(F2,F4:F5,F7:F8,F10:F13,F17:F18,F21,F27,F29:F31,F34:F40,F42:F43,,)</f>
        <v>56164.15</v>
      </c>
      <c r="H109" s="66" t="s">
        <v>159</v>
      </c>
      <c r="I109" s="68">
        <v>2</v>
      </c>
      <c r="J109" s="21">
        <f t="shared" si="6"/>
        <v>0.25</v>
      </c>
    </row>
    <row r="110" spans="1:10" x14ac:dyDescent="0.25">
      <c r="A110" s="91" t="s">
        <v>281</v>
      </c>
      <c r="B110" s="92">
        <f>SUM(F6,F9,F14:F16,F19,F22,F24:F26,F28,F32:F33,F44,,)</f>
        <v>29484.06</v>
      </c>
      <c r="H110" s="66" t="s">
        <v>160</v>
      </c>
      <c r="I110" s="68">
        <v>0</v>
      </c>
      <c r="J110" s="21">
        <f t="shared" si="6"/>
        <v>0</v>
      </c>
    </row>
    <row r="111" spans="1:10" x14ac:dyDescent="0.25">
      <c r="A111" s="91" t="s">
        <v>291</v>
      </c>
      <c r="B111" s="92">
        <f>SUM(F3,F20,F23,,)</f>
        <v>4648.25</v>
      </c>
      <c r="H111" s="66" t="s">
        <v>161</v>
      </c>
      <c r="I111" s="68">
        <v>1</v>
      </c>
      <c r="J111" s="21">
        <f t="shared" si="6"/>
        <v>0.125</v>
      </c>
    </row>
    <row r="112" spans="1:10" x14ac:dyDescent="0.25">
      <c r="A112" s="91" t="s">
        <v>46</v>
      </c>
      <c r="B112" s="93">
        <v>959.21</v>
      </c>
      <c r="H112" s="66" t="s">
        <v>162</v>
      </c>
      <c r="I112" s="68">
        <v>1</v>
      </c>
      <c r="J112" s="21">
        <f t="shared" si="6"/>
        <v>0.125</v>
      </c>
    </row>
    <row r="113" spans="1:10" ht="15.75" thickBot="1" x14ac:dyDescent="0.3">
      <c r="A113" s="94"/>
      <c r="B113" s="95">
        <f>SUM(B109:B112)</f>
        <v>91255.670000000013</v>
      </c>
      <c r="H113" s="67" t="s">
        <v>163</v>
      </c>
      <c r="I113" s="26">
        <v>0</v>
      </c>
      <c r="J113" s="27">
        <f t="shared" si="6"/>
        <v>0</v>
      </c>
    </row>
  </sheetData>
  <mergeCells count="1">
    <mergeCell ref="A49:F49"/>
  </mergeCells>
  <pageMargins left="0.7" right="0.7" top="0.75" bottom="0.75" header="0.3" footer="0.3"/>
  <pageSetup paperSize="9" orientation="portrait" horizontalDpi="200" verticalDpi="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workbookViewId="0">
      <selection activeCell="F17" sqref="F17"/>
    </sheetView>
  </sheetViews>
  <sheetFormatPr baseColWidth="10" defaultRowHeight="15" x14ac:dyDescent="0.25"/>
  <cols>
    <col min="2" max="2" width="14.42578125" customWidth="1"/>
    <col min="3" max="3" width="12.5703125" customWidth="1"/>
    <col min="4" max="4" width="12.42578125" customWidth="1"/>
    <col min="5" max="5" width="11.85546875" customWidth="1"/>
    <col min="6" max="6" width="15.5703125" customWidth="1"/>
    <col min="7" max="7" width="12.140625" customWidth="1"/>
    <col min="8" max="8" width="12.85546875" customWidth="1"/>
    <col min="10" max="10" width="7" customWidth="1"/>
  </cols>
  <sheetData>
    <row r="1" spans="1:14" x14ac:dyDescent="0.25">
      <c r="A1" s="39" t="s">
        <v>105</v>
      </c>
      <c r="B1" s="40" t="s">
        <v>106</v>
      </c>
      <c r="C1" s="41" t="s">
        <v>107</v>
      </c>
      <c r="D1" s="41" t="s">
        <v>458</v>
      </c>
      <c r="E1" s="41" t="s">
        <v>108</v>
      </c>
      <c r="F1" s="41" t="s">
        <v>109</v>
      </c>
      <c r="G1" s="42" t="s">
        <v>110</v>
      </c>
      <c r="H1" s="43" t="s">
        <v>111</v>
      </c>
      <c r="I1" s="43" t="s">
        <v>71</v>
      </c>
      <c r="J1" s="43" t="s">
        <v>112</v>
      </c>
      <c r="K1" s="107" t="s">
        <v>113</v>
      </c>
      <c r="L1" s="108"/>
      <c r="M1" s="109" t="s">
        <v>114</v>
      </c>
      <c r="N1" s="109"/>
    </row>
    <row r="2" spans="1:14" x14ac:dyDescent="0.25">
      <c r="A2" s="39" t="s">
        <v>115</v>
      </c>
      <c r="B2" s="44">
        <v>73575.449999999983</v>
      </c>
      <c r="C2" s="44">
        <v>42446.5</v>
      </c>
      <c r="D2" s="71">
        <f>B2-C2</f>
        <v>31128.949999999983</v>
      </c>
      <c r="E2" s="44">
        <v>2943.0179999999991</v>
      </c>
      <c r="F2" s="44">
        <f>B2/G2</f>
        <v>1839.3862499999996</v>
      </c>
      <c r="G2" s="45">
        <v>40</v>
      </c>
      <c r="H2" s="46">
        <v>0.9</v>
      </c>
      <c r="I2" s="46">
        <v>0.78</v>
      </c>
      <c r="J2" s="46">
        <v>0.18</v>
      </c>
      <c r="K2" s="46" t="s">
        <v>19</v>
      </c>
      <c r="L2" s="46">
        <v>0.36</v>
      </c>
      <c r="M2" s="46" t="s">
        <v>52</v>
      </c>
      <c r="N2" s="46">
        <v>0.33</v>
      </c>
    </row>
    <row r="3" spans="1:14" x14ac:dyDescent="0.25">
      <c r="A3" s="39" t="s">
        <v>116</v>
      </c>
      <c r="B3" s="44">
        <v>41127.770000000011</v>
      </c>
      <c r="C3" s="44">
        <v>33108.509999999995</v>
      </c>
      <c r="D3" s="44">
        <f t="shared" ref="D3:D13" si="0">B3-C3</f>
        <v>8019.2600000000166</v>
      </c>
      <c r="E3" s="44">
        <v>1788.1639130434787</v>
      </c>
      <c r="F3" s="44">
        <f t="shared" ref="F3:F13" si="1">B3/G3</f>
        <v>1523.2507407407411</v>
      </c>
      <c r="G3" s="45">
        <v>27</v>
      </c>
      <c r="H3" s="46">
        <v>0.89</v>
      </c>
      <c r="I3" s="46">
        <v>0.78</v>
      </c>
      <c r="J3" s="46">
        <v>0.37</v>
      </c>
      <c r="K3" s="46" t="s">
        <v>40</v>
      </c>
      <c r="L3" s="46">
        <v>0.26</v>
      </c>
      <c r="M3" s="46" t="s">
        <v>52</v>
      </c>
      <c r="N3" s="46">
        <v>0.46</v>
      </c>
    </row>
    <row r="4" spans="1:14" x14ac:dyDescent="0.25">
      <c r="A4" s="39" t="s">
        <v>117</v>
      </c>
      <c r="B4" s="44">
        <v>100816.09000000001</v>
      </c>
      <c r="C4" s="44">
        <v>40004.080000000002</v>
      </c>
      <c r="D4" s="71">
        <f t="shared" si="0"/>
        <v>60812.010000000009</v>
      </c>
      <c r="E4" s="44">
        <v>3877.5419230769235</v>
      </c>
      <c r="F4" s="44">
        <f t="shared" si="1"/>
        <v>2400.3830952380954</v>
      </c>
      <c r="G4" s="45">
        <v>42</v>
      </c>
      <c r="H4" s="46">
        <v>0.7142857142857143</v>
      </c>
      <c r="I4" s="46">
        <v>0.79</v>
      </c>
      <c r="J4" s="46">
        <v>0.17</v>
      </c>
      <c r="K4" s="46" t="s">
        <v>19</v>
      </c>
      <c r="L4" s="46">
        <v>0.28000000000000003</v>
      </c>
      <c r="M4" s="46" t="s">
        <v>52</v>
      </c>
      <c r="N4" s="46">
        <v>0.47</v>
      </c>
    </row>
    <row r="5" spans="1:14" x14ac:dyDescent="0.25">
      <c r="A5" s="39" t="s">
        <v>118</v>
      </c>
      <c r="B5" s="47">
        <v>90782.38</v>
      </c>
      <c r="C5" s="44">
        <v>47015.97</v>
      </c>
      <c r="D5" s="47">
        <f t="shared" si="0"/>
        <v>43766.41</v>
      </c>
      <c r="E5" s="44">
        <v>3947.0600000000004</v>
      </c>
      <c r="F5" s="44">
        <f t="shared" si="1"/>
        <v>2593.782285714286</v>
      </c>
      <c r="G5" s="45">
        <v>35</v>
      </c>
      <c r="H5" s="46">
        <v>0.89</v>
      </c>
      <c r="I5" s="46">
        <v>0.63</v>
      </c>
      <c r="J5" s="46">
        <v>0.23</v>
      </c>
      <c r="K5" s="46" t="s">
        <v>40</v>
      </c>
      <c r="L5" s="46">
        <v>0.38</v>
      </c>
      <c r="M5" s="46" t="s">
        <v>52</v>
      </c>
      <c r="N5" s="46">
        <v>0.34</v>
      </c>
    </row>
    <row r="6" spans="1:14" x14ac:dyDescent="0.25">
      <c r="A6" s="39" t="s">
        <v>119</v>
      </c>
      <c r="B6" s="44">
        <v>76138.070000000007</v>
      </c>
      <c r="C6" s="44">
        <v>43789.65</v>
      </c>
      <c r="D6" s="44">
        <f t="shared" si="0"/>
        <v>32348.420000000006</v>
      </c>
      <c r="E6" s="44">
        <v>2928.3873076923078</v>
      </c>
      <c r="F6" s="44">
        <f t="shared" si="1"/>
        <v>1730.410681818182</v>
      </c>
      <c r="G6" s="45">
        <v>44</v>
      </c>
      <c r="H6" s="46">
        <v>0.86</v>
      </c>
      <c r="I6" s="46">
        <v>0.8</v>
      </c>
      <c r="J6" s="46">
        <v>0.32</v>
      </c>
      <c r="K6" s="46" t="s">
        <v>1186</v>
      </c>
      <c r="L6" s="46">
        <v>0.44</v>
      </c>
      <c r="M6" s="46" t="s">
        <v>52</v>
      </c>
      <c r="N6" s="46">
        <v>0.57999999999999996</v>
      </c>
    </row>
    <row r="7" spans="1:14" x14ac:dyDescent="0.25">
      <c r="A7" s="39" t="s">
        <v>120</v>
      </c>
      <c r="B7" s="44">
        <v>99291.18</v>
      </c>
      <c r="C7" s="44">
        <v>45012.23</v>
      </c>
      <c r="D7" s="44">
        <f t="shared" si="0"/>
        <v>54278.94999999999</v>
      </c>
      <c r="E7" s="44">
        <v>4728.1514285714284</v>
      </c>
      <c r="F7" s="44">
        <f t="shared" si="1"/>
        <v>3102.8493749999998</v>
      </c>
      <c r="G7" s="45">
        <v>32</v>
      </c>
      <c r="H7" s="46">
        <v>0.81</v>
      </c>
      <c r="I7" s="46">
        <v>0.75</v>
      </c>
      <c r="J7" s="46">
        <v>0.41</v>
      </c>
      <c r="K7" s="46" t="s">
        <v>40</v>
      </c>
      <c r="L7" s="46">
        <v>0.4</v>
      </c>
      <c r="M7" s="46" t="s">
        <v>52</v>
      </c>
      <c r="N7" s="46">
        <v>0.49</v>
      </c>
    </row>
    <row r="8" spans="1:14" x14ac:dyDescent="0.25">
      <c r="A8" s="39" t="s">
        <v>121</v>
      </c>
      <c r="B8" s="44">
        <v>110425.47000000002</v>
      </c>
      <c r="C8" s="44">
        <v>53550.31</v>
      </c>
      <c r="D8" s="44">
        <f t="shared" si="0"/>
        <v>56875.160000000018</v>
      </c>
      <c r="E8" s="44">
        <v>3807.7748275862073</v>
      </c>
      <c r="F8" s="44">
        <f t="shared" si="1"/>
        <v>1840.4245000000003</v>
      </c>
      <c r="G8" s="45">
        <v>60</v>
      </c>
      <c r="H8" s="46">
        <v>0.95</v>
      </c>
      <c r="I8" s="46">
        <v>0.82</v>
      </c>
      <c r="J8" s="46">
        <v>0.45</v>
      </c>
      <c r="K8" s="46" t="s">
        <v>40</v>
      </c>
      <c r="L8" s="46">
        <v>0.3</v>
      </c>
      <c r="M8" s="46" t="s">
        <v>52</v>
      </c>
      <c r="N8" s="46">
        <v>0.36</v>
      </c>
    </row>
    <row r="9" spans="1:14" x14ac:dyDescent="0.25">
      <c r="A9" s="39" t="s">
        <v>122</v>
      </c>
      <c r="B9" s="44">
        <v>126362.08</v>
      </c>
      <c r="C9" s="44">
        <v>48737.51</v>
      </c>
      <c r="D9" s="44">
        <f t="shared" si="0"/>
        <v>77624.570000000007</v>
      </c>
      <c r="E9" s="44">
        <v>5054.4831999999997</v>
      </c>
      <c r="F9" s="44">
        <f t="shared" si="1"/>
        <v>2477.6878431372547</v>
      </c>
      <c r="G9" s="45">
        <v>51</v>
      </c>
      <c r="H9" s="46">
        <v>0.86</v>
      </c>
      <c r="I9" s="46">
        <v>0.76</v>
      </c>
      <c r="J9" s="46">
        <v>0.62745098039215685</v>
      </c>
      <c r="K9" s="46" t="s">
        <v>40</v>
      </c>
      <c r="L9" s="46">
        <v>0.4</v>
      </c>
      <c r="M9" s="46" t="s">
        <v>52</v>
      </c>
      <c r="N9" s="46">
        <v>0.41</v>
      </c>
    </row>
    <row r="10" spans="1:14" x14ac:dyDescent="0.25">
      <c r="A10" s="39" t="s">
        <v>123</v>
      </c>
      <c r="B10" s="44">
        <v>92531.60000000002</v>
      </c>
      <c r="C10" s="44">
        <v>54049.46</v>
      </c>
      <c r="D10" s="44">
        <f t="shared" si="0"/>
        <v>38482.140000000021</v>
      </c>
      <c r="E10" s="44">
        <v>3701.264000000001</v>
      </c>
      <c r="F10" s="44">
        <f t="shared" si="1"/>
        <v>1927.741666666667</v>
      </c>
      <c r="G10" s="45">
        <v>48</v>
      </c>
      <c r="H10" s="46">
        <v>0.9</v>
      </c>
      <c r="I10" s="46">
        <v>0.71</v>
      </c>
      <c r="J10" s="46">
        <v>0.27</v>
      </c>
      <c r="K10" s="46" t="s">
        <v>40</v>
      </c>
      <c r="L10" s="46">
        <v>0.3</v>
      </c>
      <c r="M10" s="46" t="s">
        <v>52</v>
      </c>
      <c r="N10" s="46">
        <v>0.38</v>
      </c>
    </row>
    <row r="11" spans="1:14" x14ac:dyDescent="0.25">
      <c r="A11" s="39" t="s">
        <v>124</v>
      </c>
      <c r="B11" s="44">
        <v>97264.27</v>
      </c>
      <c r="C11" s="44">
        <v>54893.26</v>
      </c>
      <c r="D11" s="44">
        <f t="shared" si="0"/>
        <v>42371.01</v>
      </c>
      <c r="E11" s="44">
        <v>3740.9334615384619</v>
      </c>
      <c r="F11" s="44">
        <f t="shared" si="1"/>
        <v>2947.4021212121215</v>
      </c>
      <c r="G11" s="45">
        <v>33</v>
      </c>
      <c r="H11" s="46">
        <v>0.79</v>
      </c>
      <c r="I11" s="46">
        <v>0.88</v>
      </c>
      <c r="J11" s="46">
        <v>0.52</v>
      </c>
      <c r="K11" s="46" t="s">
        <v>19</v>
      </c>
      <c r="L11" s="46">
        <v>0.31</v>
      </c>
      <c r="M11" s="46" t="s">
        <v>52</v>
      </c>
      <c r="N11" s="46">
        <v>0.37</v>
      </c>
    </row>
    <row r="12" spans="1:14" x14ac:dyDescent="0.25">
      <c r="A12" s="39" t="s">
        <v>125</v>
      </c>
      <c r="B12" s="44">
        <v>86190.260000000009</v>
      </c>
      <c r="C12" s="44">
        <v>55246.520000000004</v>
      </c>
      <c r="D12" s="44">
        <f t="shared" si="0"/>
        <v>30943.740000000005</v>
      </c>
      <c r="E12" s="44">
        <v>3078.2235714285716</v>
      </c>
      <c r="F12" s="44">
        <f t="shared" si="1"/>
        <v>1958.8695454545457</v>
      </c>
      <c r="G12" s="45">
        <v>44</v>
      </c>
      <c r="H12" s="46">
        <v>0.93</v>
      </c>
      <c r="I12" s="46">
        <v>0.84</v>
      </c>
      <c r="J12" s="46">
        <v>0.39</v>
      </c>
      <c r="K12" s="46" t="s">
        <v>40</v>
      </c>
      <c r="L12" s="46">
        <v>0.36</v>
      </c>
      <c r="M12" s="46" t="s">
        <v>2590</v>
      </c>
      <c r="N12" s="46">
        <v>0.31</v>
      </c>
    </row>
    <row r="13" spans="1:14" x14ac:dyDescent="0.25">
      <c r="A13" s="39" t="s">
        <v>126</v>
      </c>
      <c r="B13" s="44">
        <v>91255.670000000013</v>
      </c>
      <c r="C13" s="44">
        <v>54931.91</v>
      </c>
      <c r="D13" s="44">
        <f t="shared" si="0"/>
        <v>36323.760000000009</v>
      </c>
      <c r="E13" s="44">
        <v>4562.7835000000005</v>
      </c>
      <c r="F13" s="44">
        <f t="shared" si="1"/>
        <v>2122.2248837209304</v>
      </c>
      <c r="G13" s="45">
        <v>43</v>
      </c>
      <c r="H13" s="46">
        <v>0.91</v>
      </c>
      <c r="I13" s="46">
        <v>0.79069767441860461</v>
      </c>
      <c r="J13" s="46">
        <v>0.32558139534883723</v>
      </c>
      <c r="K13" s="46" t="s">
        <v>2589</v>
      </c>
      <c r="L13" s="46">
        <v>0.28999999999999998</v>
      </c>
      <c r="M13" s="46" t="s">
        <v>52</v>
      </c>
      <c r="N13" s="46">
        <v>0.38</v>
      </c>
    </row>
    <row r="14" spans="1:14" x14ac:dyDescent="0.25">
      <c r="B14" s="47"/>
      <c r="C14" s="47"/>
      <c r="D14" s="47"/>
      <c r="E14" s="47"/>
      <c r="F14" s="47"/>
      <c r="G14" s="48"/>
      <c r="H14" s="25"/>
      <c r="I14" s="25"/>
      <c r="J14" s="25"/>
      <c r="K14" s="25"/>
      <c r="L14" s="25"/>
      <c r="M14" s="25"/>
      <c r="N14" s="25"/>
    </row>
    <row r="15" spans="1:14" x14ac:dyDescent="0.25">
      <c r="B15" s="47"/>
      <c r="C15" s="47"/>
      <c r="D15" s="47"/>
      <c r="E15" s="47"/>
      <c r="F15" s="47"/>
      <c r="G15" s="48"/>
      <c r="H15" s="25"/>
      <c r="I15" s="25"/>
      <c r="J15" s="25"/>
      <c r="K15" s="25"/>
      <c r="L15" s="25"/>
      <c r="M15" s="25"/>
      <c r="N15" s="25"/>
    </row>
    <row r="16" spans="1:14" x14ac:dyDescent="0.25">
      <c r="B16" s="47"/>
      <c r="C16" s="47"/>
      <c r="D16" s="47"/>
      <c r="E16" s="47"/>
      <c r="F16" s="47"/>
      <c r="G16" s="48"/>
      <c r="H16" s="25"/>
      <c r="I16" s="25"/>
      <c r="J16" s="25"/>
      <c r="K16" s="25"/>
      <c r="L16" s="25"/>
      <c r="M16" s="25"/>
      <c r="N16" s="25"/>
    </row>
    <row r="17" spans="1:14" x14ac:dyDescent="0.25">
      <c r="A17" s="39" t="s">
        <v>127</v>
      </c>
      <c r="B17" s="44">
        <f>SUM(B2:B13)</f>
        <v>1085760.29</v>
      </c>
      <c r="C17" s="44">
        <f>SUM(C2:C13)</f>
        <v>572785.91</v>
      </c>
      <c r="D17" s="44">
        <f>B17-C17</f>
        <v>512974.38</v>
      </c>
      <c r="E17" s="44">
        <f>SUM(E2:E13)</f>
        <v>44157.785132937381</v>
      </c>
      <c r="F17" s="44">
        <f>AVERAGE(F2:F13)</f>
        <v>2205.3677490585687</v>
      </c>
      <c r="G17" s="45">
        <f>SUM(G2:G13)</f>
        <v>499</v>
      </c>
      <c r="H17" s="46">
        <f>AVERAGE(H2:H13)</f>
        <v>0.86702380952380975</v>
      </c>
      <c r="I17" s="46">
        <f>AVERAGE(I2:I13)</f>
        <v>0.77755813953488373</v>
      </c>
      <c r="J17" s="46">
        <f>AVERAGE(J2:J13)</f>
        <v>0.35525269797841613</v>
      </c>
      <c r="K17" s="46" t="s">
        <v>19</v>
      </c>
      <c r="L17" s="46">
        <f>AVERAGE(L2, L4:L13)</f>
        <v>0.34727272727272723</v>
      </c>
      <c r="M17" s="46" t="s">
        <v>52</v>
      </c>
      <c r="N17" s="46">
        <f>AVERAGE(N4:N9,N11:N13)</f>
        <v>0.41222222222222227</v>
      </c>
    </row>
  </sheetData>
  <mergeCells count="2">
    <mergeCell ref="K1:L1"/>
    <mergeCell ref="M1:N1"/>
  </mergeCells>
  <pageMargins left="0.7" right="0.7" top="0.75" bottom="0.75" header="0.3" footer="0.3"/>
  <pageSetup paperSize="9" orientation="portrait" horizontalDpi="200" verticalDpi="2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1"/>
  <sheetViews>
    <sheetView topLeftCell="I63" workbookViewId="0">
      <selection activeCell="B86" sqref="B86:J91"/>
    </sheetView>
  </sheetViews>
  <sheetFormatPr baseColWidth="10" defaultRowHeight="15" x14ac:dyDescent="0.25"/>
  <cols>
    <col min="1" max="1" width="12.42578125" customWidth="1"/>
  </cols>
  <sheetData>
    <row r="1" spans="1:15" x14ac:dyDescent="0.25">
      <c r="A1" s="115" t="s">
        <v>36</v>
      </c>
      <c r="B1" s="111" t="s">
        <v>105</v>
      </c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2"/>
      <c r="O1" s="25"/>
    </row>
    <row r="2" spans="1:15" x14ac:dyDescent="0.25">
      <c r="A2" s="116"/>
      <c r="B2" s="39" t="s">
        <v>128</v>
      </c>
      <c r="C2" s="39" t="s">
        <v>129</v>
      </c>
      <c r="D2" s="39" t="s">
        <v>130</v>
      </c>
      <c r="E2" s="39" t="s">
        <v>131</v>
      </c>
      <c r="F2" s="39" t="s">
        <v>132</v>
      </c>
      <c r="G2" s="39" t="s">
        <v>133</v>
      </c>
      <c r="H2" s="39" t="s">
        <v>134</v>
      </c>
      <c r="I2" s="39" t="s">
        <v>135</v>
      </c>
      <c r="J2" s="39" t="s">
        <v>136</v>
      </c>
      <c r="K2" s="39" t="s">
        <v>137</v>
      </c>
      <c r="L2" s="39" t="s">
        <v>138</v>
      </c>
      <c r="M2" s="49" t="s">
        <v>139</v>
      </c>
      <c r="O2" s="25"/>
    </row>
    <row r="3" spans="1:15" x14ac:dyDescent="0.25">
      <c r="A3" s="50" t="s">
        <v>38</v>
      </c>
      <c r="B3" s="46">
        <v>1.0526315789473684E-2</v>
      </c>
      <c r="C3" s="46">
        <v>0.04</v>
      </c>
      <c r="D3" s="46">
        <v>3.0927835051546393E-2</v>
      </c>
      <c r="E3" s="46">
        <v>6.1728395061728392E-2</v>
      </c>
      <c r="F3" s="46">
        <v>2.4390243902439025E-2</v>
      </c>
      <c r="G3" s="46">
        <v>4.8192771084337352E-2</v>
      </c>
      <c r="H3" s="46">
        <v>3.3057851239669422E-2</v>
      </c>
      <c r="I3" s="46">
        <v>6.7567567567567571E-3</v>
      </c>
      <c r="J3" s="46">
        <v>2.8571428571428571E-2</v>
      </c>
      <c r="K3" s="46">
        <v>6.7567567567567571E-2</v>
      </c>
      <c r="L3" s="46">
        <v>2.8037383177570093E-2</v>
      </c>
      <c r="M3" s="51">
        <v>4.1237113402061855E-2</v>
      </c>
      <c r="N3" s="50" t="s">
        <v>38</v>
      </c>
      <c r="O3" s="25">
        <f>AVERAGE(B3:M3)</f>
        <v>3.508280513371493E-2</v>
      </c>
    </row>
    <row r="4" spans="1:15" x14ac:dyDescent="0.25">
      <c r="A4" s="50" t="s">
        <v>19</v>
      </c>
      <c r="B4" s="46">
        <v>0.35789473684210527</v>
      </c>
      <c r="C4" s="46">
        <v>0.2</v>
      </c>
      <c r="D4" s="46">
        <v>0.27835051546391754</v>
      </c>
      <c r="E4" s="46">
        <v>0.16049382716049382</v>
      </c>
      <c r="F4" s="46">
        <v>0.17073170731707318</v>
      </c>
      <c r="G4" s="46">
        <v>0.20481927710843373</v>
      </c>
      <c r="H4" s="46">
        <v>0.23966942148760331</v>
      </c>
      <c r="I4" s="46">
        <v>0.21621621621621623</v>
      </c>
      <c r="J4" s="46">
        <v>0.15238095238095239</v>
      </c>
      <c r="K4" s="46">
        <v>0.3108108108108108</v>
      </c>
      <c r="L4" s="46">
        <v>0.23364485981308411</v>
      </c>
      <c r="M4" s="51">
        <v>0.28865979381443296</v>
      </c>
      <c r="N4" s="50" t="s">
        <v>19</v>
      </c>
      <c r="O4" s="25">
        <f t="shared" ref="O4:O11" si="0">AVERAGE(B4:M4)</f>
        <v>0.23447267653459361</v>
      </c>
    </row>
    <row r="5" spans="1:15" x14ac:dyDescent="0.25">
      <c r="A5" s="50" t="s">
        <v>40</v>
      </c>
      <c r="B5" s="46">
        <v>0.27368421052631581</v>
      </c>
      <c r="C5" s="46">
        <v>0.26</v>
      </c>
      <c r="D5" s="46">
        <v>0.24742268041237114</v>
      </c>
      <c r="E5" s="46">
        <v>0.38271604938271603</v>
      </c>
      <c r="F5" s="46">
        <v>0.43902439024390244</v>
      </c>
      <c r="G5" s="46">
        <v>0.39759036144578314</v>
      </c>
      <c r="H5" s="46">
        <v>0.2975206611570248</v>
      </c>
      <c r="I5" s="46">
        <v>0.39864864864864863</v>
      </c>
      <c r="J5" s="46">
        <v>0.30476190476190479</v>
      </c>
      <c r="K5" s="46">
        <v>0.1891891891891892</v>
      </c>
      <c r="L5" s="46">
        <v>0.35514018691588783</v>
      </c>
      <c r="M5" s="51">
        <v>0.28865979381443296</v>
      </c>
      <c r="N5" s="50" t="s">
        <v>40</v>
      </c>
      <c r="O5" s="25">
        <f t="shared" si="0"/>
        <v>0.31952983970818133</v>
      </c>
    </row>
    <row r="6" spans="1:15" x14ac:dyDescent="0.25">
      <c r="A6" s="50" t="s">
        <v>41</v>
      </c>
      <c r="B6" s="46">
        <v>0</v>
      </c>
      <c r="C6" s="46">
        <v>0.04</v>
      </c>
      <c r="D6" s="46">
        <v>0</v>
      </c>
      <c r="E6" s="46">
        <v>4.9382716049382713E-2</v>
      </c>
      <c r="F6" s="46">
        <v>0</v>
      </c>
      <c r="G6" s="46">
        <v>0</v>
      </c>
      <c r="H6" s="46">
        <v>1.6528925619834711E-2</v>
      </c>
      <c r="I6" s="46">
        <v>0</v>
      </c>
      <c r="J6" s="46">
        <v>1.9047619047619049E-2</v>
      </c>
      <c r="K6" s="46">
        <v>0</v>
      </c>
      <c r="L6" s="46">
        <v>9.3457943925233638E-3</v>
      </c>
      <c r="M6" s="51">
        <v>2.0618556701030927E-2</v>
      </c>
      <c r="N6" s="50" t="s">
        <v>41</v>
      </c>
      <c r="O6" s="25">
        <f t="shared" si="0"/>
        <v>1.291030098419923E-2</v>
      </c>
    </row>
    <row r="7" spans="1:15" x14ac:dyDescent="0.25">
      <c r="A7" s="50" t="s">
        <v>42</v>
      </c>
      <c r="B7" s="46">
        <v>6.3157894736842107E-2</v>
      </c>
      <c r="C7" s="46">
        <v>0.16</v>
      </c>
      <c r="D7" s="46">
        <v>0.22680412371134021</v>
      </c>
      <c r="E7" s="46">
        <v>0.16049382716049382</v>
      </c>
      <c r="F7" s="46">
        <v>0.18292682926829268</v>
      </c>
      <c r="G7" s="46">
        <v>7.2289156626506021E-2</v>
      </c>
      <c r="H7" s="46">
        <v>7.43801652892562E-2</v>
      </c>
      <c r="I7" s="46">
        <v>7.4324324324324328E-2</v>
      </c>
      <c r="J7" s="46">
        <v>0.12380952380952381</v>
      </c>
      <c r="K7" s="46">
        <v>5.4054054054054057E-2</v>
      </c>
      <c r="L7" s="46">
        <v>0.10280373831775701</v>
      </c>
      <c r="M7" s="51">
        <v>8.247422680412371E-2</v>
      </c>
      <c r="N7" s="50" t="s">
        <v>42</v>
      </c>
      <c r="O7" s="25">
        <f t="shared" si="0"/>
        <v>0.11479315534187616</v>
      </c>
    </row>
    <row r="8" spans="1:15" x14ac:dyDescent="0.25">
      <c r="A8" s="50" t="s">
        <v>43</v>
      </c>
      <c r="B8" s="46">
        <v>4.2105263157894736E-2</v>
      </c>
      <c r="C8" s="46">
        <v>0.1</v>
      </c>
      <c r="D8" s="46">
        <v>3.0927835051546393E-2</v>
      </c>
      <c r="E8" s="46">
        <v>1.2345679012345678E-2</v>
      </c>
      <c r="F8" s="46">
        <v>1.2195121951219513E-2</v>
      </c>
      <c r="G8" s="46">
        <v>4.8192771084337352E-2</v>
      </c>
      <c r="H8" s="46">
        <v>4.1322314049586778E-2</v>
      </c>
      <c r="I8" s="46">
        <v>1.3513513513513514E-2</v>
      </c>
      <c r="J8" s="46">
        <v>1.9047619047619049E-2</v>
      </c>
      <c r="K8" s="46">
        <v>2.7027027027027029E-2</v>
      </c>
      <c r="L8" s="46">
        <v>9.3457943925233638E-3</v>
      </c>
      <c r="M8" s="51">
        <v>1.0309278350515464E-2</v>
      </c>
      <c r="N8" s="50" t="s">
        <v>43</v>
      </c>
      <c r="O8" s="25">
        <f t="shared" si="0"/>
        <v>3.0527684719844069E-2</v>
      </c>
    </row>
    <row r="9" spans="1:15" x14ac:dyDescent="0.25">
      <c r="A9" s="50" t="s">
        <v>44</v>
      </c>
      <c r="B9" s="46">
        <v>0.15789473684210525</v>
      </c>
      <c r="C9" s="46">
        <v>0.14000000000000001</v>
      </c>
      <c r="D9" s="46">
        <v>0.12371134020618557</v>
      </c>
      <c r="E9" s="46">
        <v>7.407407407407407E-2</v>
      </c>
      <c r="F9" s="46">
        <v>0.10975609756097561</v>
      </c>
      <c r="G9" s="46">
        <v>0.12048192771084337</v>
      </c>
      <c r="H9" s="46">
        <v>0.16528925619834711</v>
      </c>
      <c r="I9" s="46">
        <v>0.14864864864864866</v>
      </c>
      <c r="J9" s="46">
        <v>0.16190476190476191</v>
      </c>
      <c r="K9" s="46">
        <v>0.16216216216216217</v>
      </c>
      <c r="L9" s="46">
        <v>8.4112149532710276E-2</v>
      </c>
      <c r="M9" s="51">
        <v>0.16494845360824742</v>
      </c>
      <c r="N9" s="50" t="s">
        <v>44</v>
      </c>
      <c r="O9" s="25">
        <f t="shared" si="0"/>
        <v>0.13441530070408847</v>
      </c>
    </row>
    <row r="10" spans="1:15" x14ac:dyDescent="0.25">
      <c r="A10" s="50" t="s">
        <v>45</v>
      </c>
      <c r="B10" s="46">
        <v>0</v>
      </c>
      <c r="C10" s="46">
        <v>0.02</v>
      </c>
      <c r="D10" s="46">
        <v>1.0309278350515464E-2</v>
      </c>
      <c r="E10" s="46">
        <v>1.2345679012345678E-2</v>
      </c>
      <c r="F10" s="46">
        <v>0</v>
      </c>
      <c r="G10" s="46">
        <v>0</v>
      </c>
      <c r="H10" s="46">
        <v>8.2644628099173556E-3</v>
      </c>
      <c r="I10" s="46">
        <v>2.0270270270270271E-2</v>
      </c>
      <c r="J10" s="46">
        <v>3.8095238095238099E-2</v>
      </c>
      <c r="K10" s="46">
        <v>1.3513513513513514E-2</v>
      </c>
      <c r="L10" s="46">
        <v>9.3457943925233638E-3</v>
      </c>
      <c r="M10" s="51">
        <v>2.0618556701030927E-2</v>
      </c>
      <c r="N10" s="50" t="s">
        <v>45</v>
      </c>
      <c r="O10" s="25">
        <f t="shared" si="0"/>
        <v>1.2730232762112889E-2</v>
      </c>
    </row>
    <row r="11" spans="1:15" ht="15.75" thickBot="1" x14ac:dyDescent="0.3">
      <c r="A11" s="52" t="s">
        <v>46</v>
      </c>
      <c r="B11" s="53">
        <v>9.4736842105263161E-2</v>
      </c>
      <c r="C11" s="53">
        <v>0.04</v>
      </c>
      <c r="D11" s="53">
        <v>5.1546391752577317E-2</v>
      </c>
      <c r="E11" s="53">
        <v>8.6419753086419748E-2</v>
      </c>
      <c r="F11" s="53">
        <v>6.097560975609756E-2</v>
      </c>
      <c r="G11" s="53">
        <v>0.10843373493975904</v>
      </c>
      <c r="H11" s="53">
        <v>0.12396694214876033</v>
      </c>
      <c r="I11" s="53">
        <v>0.12162162162162163</v>
      </c>
      <c r="J11" s="53">
        <v>0.15238095238095239</v>
      </c>
      <c r="K11" s="53">
        <v>0.17567567567567569</v>
      </c>
      <c r="L11" s="53">
        <v>0.16822429906542055</v>
      </c>
      <c r="M11" s="54">
        <v>8.247422680412371E-2</v>
      </c>
      <c r="N11" s="52" t="s">
        <v>46</v>
      </c>
      <c r="O11" s="25">
        <f t="shared" si="0"/>
        <v>0.10553800411138925</v>
      </c>
    </row>
    <row r="12" spans="1:15" x14ac:dyDescent="0.25">
      <c r="O12" s="25"/>
    </row>
    <row r="13" spans="1:15" x14ac:dyDescent="0.25">
      <c r="A13" s="110" t="s">
        <v>49</v>
      </c>
      <c r="B13" s="110" t="s">
        <v>105</v>
      </c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O13" s="25"/>
    </row>
    <row r="14" spans="1:15" x14ac:dyDescent="0.25">
      <c r="A14" s="110"/>
      <c r="B14" s="39" t="s">
        <v>128</v>
      </c>
      <c r="C14" s="39" t="s">
        <v>129</v>
      </c>
      <c r="D14" s="39" t="s">
        <v>130</v>
      </c>
      <c r="E14" s="39" t="s">
        <v>131</v>
      </c>
      <c r="F14" s="39" t="s">
        <v>132</v>
      </c>
      <c r="G14" s="39" t="s">
        <v>133</v>
      </c>
      <c r="H14" s="39" t="s">
        <v>134</v>
      </c>
      <c r="I14" s="39" t="s">
        <v>135</v>
      </c>
      <c r="J14" s="39" t="s">
        <v>136</v>
      </c>
      <c r="K14" s="39" t="s">
        <v>137</v>
      </c>
      <c r="L14" s="39" t="s">
        <v>138</v>
      </c>
      <c r="M14" s="39" t="s">
        <v>139</v>
      </c>
      <c r="O14" s="25"/>
    </row>
    <row r="15" spans="1:15" x14ac:dyDescent="0.25">
      <c r="A15" s="39" t="s">
        <v>52</v>
      </c>
      <c r="B15" s="46">
        <v>0.3300970873786408</v>
      </c>
      <c r="C15" s="46">
        <v>0.46296296296296297</v>
      </c>
      <c r="D15" s="46">
        <v>0.46728971962616822</v>
      </c>
      <c r="E15" s="46">
        <v>0.33707865168539325</v>
      </c>
      <c r="F15" s="46">
        <v>0.57608695652173914</v>
      </c>
      <c r="G15" s="46">
        <v>0.4891304347826087</v>
      </c>
      <c r="H15" s="46">
        <v>0.35971223021582732</v>
      </c>
      <c r="I15" s="46">
        <v>0.40764331210191085</v>
      </c>
      <c r="J15" s="46">
        <v>0.37606837606837606</v>
      </c>
      <c r="K15" s="46">
        <v>0.36585365853658536</v>
      </c>
      <c r="L15" s="46">
        <v>0.30909090909090908</v>
      </c>
      <c r="M15" s="46">
        <v>0.38235294117647056</v>
      </c>
      <c r="N15" s="39" t="s">
        <v>52</v>
      </c>
      <c r="O15" s="25">
        <f t="shared" ref="O15:O24" si="1">AVERAGE(B15:M15)</f>
        <v>0.40528060334563271</v>
      </c>
    </row>
    <row r="16" spans="1:15" x14ac:dyDescent="0.25">
      <c r="A16" s="39" t="s">
        <v>53</v>
      </c>
      <c r="B16" s="46">
        <v>0.25242718446601942</v>
      </c>
      <c r="C16" s="46">
        <v>9.2592592592592587E-2</v>
      </c>
      <c r="D16" s="46">
        <v>0.18691588785046728</v>
      </c>
      <c r="E16" s="46">
        <v>0.15730337078651685</v>
      </c>
      <c r="F16" s="46">
        <v>6.5217391304347824E-2</v>
      </c>
      <c r="G16" s="46">
        <v>0.2391304347826087</v>
      </c>
      <c r="H16" s="46">
        <v>0.17985611510791366</v>
      </c>
      <c r="I16" s="46">
        <v>0.12101910828025478</v>
      </c>
      <c r="J16" s="46">
        <v>0.15384615384615385</v>
      </c>
      <c r="K16" s="46">
        <v>0.32926829268292684</v>
      </c>
      <c r="L16" s="46">
        <v>8.1818181818181818E-2</v>
      </c>
      <c r="M16" s="46">
        <v>0.11764705882352941</v>
      </c>
      <c r="N16" s="39" t="s">
        <v>53</v>
      </c>
      <c r="O16" s="25">
        <f t="shared" si="1"/>
        <v>0.16475348102845944</v>
      </c>
    </row>
    <row r="17" spans="1:15" x14ac:dyDescent="0.25">
      <c r="A17" s="39" t="s">
        <v>54</v>
      </c>
      <c r="B17" s="46">
        <v>9.7087378640776698E-2</v>
      </c>
      <c r="C17" s="46">
        <v>3.7037037037037035E-2</v>
      </c>
      <c r="D17" s="46">
        <v>1.8691588785046728E-2</v>
      </c>
      <c r="E17" s="46">
        <v>0.1797752808988764</v>
      </c>
      <c r="F17" s="46">
        <v>0.13043478260869565</v>
      </c>
      <c r="G17" s="46">
        <v>0.14130434782608695</v>
      </c>
      <c r="H17" s="46">
        <v>0.15107913669064749</v>
      </c>
      <c r="I17" s="46">
        <v>9.5541401273885357E-2</v>
      </c>
      <c r="J17" s="46">
        <v>0.21367521367521367</v>
      </c>
      <c r="K17" s="46">
        <v>7.3170731707317069E-2</v>
      </c>
      <c r="L17" s="46">
        <v>0.30909090909090908</v>
      </c>
      <c r="M17" s="46">
        <v>0.25490196078431371</v>
      </c>
      <c r="N17" s="39" t="s">
        <v>54</v>
      </c>
      <c r="O17" s="25">
        <f t="shared" si="1"/>
        <v>0.14181581408490049</v>
      </c>
    </row>
    <row r="18" spans="1:15" x14ac:dyDescent="0.25">
      <c r="A18" s="39" t="s">
        <v>56</v>
      </c>
      <c r="B18" s="46">
        <v>0.10679611650485436</v>
      </c>
      <c r="C18" s="46">
        <v>0.1111111111111111</v>
      </c>
      <c r="D18" s="46">
        <v>0.14018691588785046</v>
      </c>
      <c r="E18" s="46">
        <v>0.15730337078651685</v>
      </c>
      <c r="F18" s="46">
        <v>7.6086956521739135E-2</v>
      </c>
      <c r="G18" s="46">
        <v>2.1739130434782608E-2</v>
      </c>
      <c r="H18" s="46">
        <v>0.12949640287769784</v>
      </c>
      <c r="I18" s="46">
        <v>0.26751592356687898</v>
      </c>
      <c r="J18" s="46">
        <v>5.9829059829059832E-2</v>
      </c>
      <c r="K18" s="46">
        <v>4.878048780487805E-2</v>
      </c>
      <c r="L18" s="46">
        <v>0.14545454545454545</v>
      </c>
      <c r="M18" s="46">
        <v>9.8039215686274508E-2</v>
      </c>
      <c r="N18" s="39" t="s">
        <v>56</v>
      </c>
      <c r="O18" s="25">
        <f t="shared" si="1"/>
        <v>0.11352826970551579</v>
      </c>
    </row>
    <row r="19" spans="1:15" x14ac:dyDescent="0.25">
      <c r="A19" s="39" t="s">
        <v>58</v>
      </c>
      <c r="B19" s="46">
        <v>0.12621359223300971</v>
      </c>
      <c r="C19" s="46">
        <v>0.14814814814814814</v>
      </c>
      <c r="D19" s="46">
        <v>3.7383177570093455E-2</v>
      </c>
      <c r="E19" s="46">
        <v>2.247191011235955E-2</v>
      </c>
      <c r="F19" s="46">
        <v>2.1739130434782608E-2</v>
      </c>
      <c r="G19" s="46">
        <v>1.0869565217391304E-2</v>
      </c>
      <c r="H19" s="46">
        <v>2.8776978417266189E-2</v>
      </c>
      <c r="I19" s="46">
        <v>3.1847133757961783E-2</v>
      </c>
      <c r="J19" s="46">
        <v>4.2735042735042736E-2</v>
      </c>
      <c r="K19" s="46">
        <v>7.3170731707317069E-2</v>
      </c>
      <c r="L19" s="46">
        <v>6.363636363636363E-2</v>
      </c>
      <c r="M19" s="46">
        <v>6.8627450980392163E-2</v>
      </c>
      <c r="N19" s="39" t="s">
        <v>58</v>
      </c>
      <c r="O19" s="25">
        <f t="shared" si="1"/>
        <v>5.6301602079177358E-2</v>
      </c>
    </row>
    <row r="20" spans="1:15" x14ac:dyDescent="0.25">
      <c r="A20" s="39" t="s">
        <v>60</v>
      </c>
      <c r="B20" s="46">
        <v>0</v>
      </c>
      <c r="C20" s="46">
        <v>1.8518518518518517E-2</v>
      </c>
      <c r="D20" s="46">
        <v>0</v>
      </c>
      <c r="E20" s="46">
        <v>1.1235955056179775E-2</v>
      </c>
      <c r="F20" s="46">
        <v>1.0869565217391304E-2</v>
      </c>
      <c r="G20" s="46">
        <v>0</v>
      </c>
      <c r="H20" s="46">
        <v>7.1942446043165471E-3</v>
      </c>
      <c r="I20" s="46">
        <v>1.2738853503184714E-2</v>
      </c>
      <c r="J20" s="46">
        <v>1.7094017094017096E-2</v>
      </c>
      <c r="K20" s="46">
        <v>0</v>
      </c>
      <c r="L20" s="46">
        <v>4.5454545454545456E-2</v>
      </c>
      <c r="M20" s="46">
        <v>9.8039215686274508E-3</v>
      </c>
      <c r="N20" s="39" t="s">
        <v>60</v>
      </c>
      <c r="O20" s="25">
        <f t="shared" si="1"/>
        <v>1.1075801751398405E-2</v>
      </c>
    </row>
    <row r="21" spans="1:15" x14ac:dyDescent="0.25">
      <c r="A21" s="39" t="s">
        <v>62</v>
      </c>
      <c r="B21" s="46">
        <v>0</v>
      </c>
      <c r="C21" s="46">
        <v>1.8518518518518517E-2</v>
      </c>
      <c r="D21" s="46">
        <v>0</v>
      </c>
      <c r="E21" s="46">
        <v>0</v>
      </c>
      <c r="F21" s="46">
        <v>0</v>
      </c>
      <c r="G21" s="46">
        <v>0</v>
      </c>
      <c r="H21" s="46">
        <v>0</v>
      </c>
      <c r="I21" s="46">
        <v>1.2738853503184714E-2</v>
      </c>
      <c r="J21" s="46">
        <v>0</v>
      </c>
      <c r="K21" s="46">
        <v>0</v>
      </c>
      <c r="L21" s="46">
        <v>9.0909090909090905E-3</v>
      </c>
      <c r="M21" s="46">
        <v>0</v>
      </c>
      <c r="N21" s="39" t="s">
        <v>62</v>
      </c>
      <c r="O21" s="25">
        <f t="shared" si="1"/>
        <v>3.36235675938436E-3</v>
      </c>
    </row>
    <row r="22" spans="1:15" x14ac:dyDescent="0.25">
      <c r="A22" s="39" t="s">
        <v>64</v>
      </c>
      <c r="B22" s="46">
        <v>0</v>
      </c>
      <c r="C22" s="46">
        <v>0</v>
      </c>
      <c r="D22" s="46">
        <v>9.3457943925233638E-3</v>
      </c>
      <c r="E22" s="46">
        <v>4.49438202247191E-2</v>
      </c>
      <c r="F22" s="46">
        <v>0</v>
      </c>
      <c r="G22" s="46">
        <v>0</v>
      </c>
      <c r="H22" s="46">
        <v>0</v>
      </c>
      <c r="I22" s="46">
        <v>0</v>
      </c>
      <c r="J22" s="46">
        <v>0</v>
      </c>
      <c r="K22" s="46">
        <v>2.4390243902439025E-2</v>
      </c>
      <c r="L22" s="46">
        <v>0</v>
      </c>
      <c r="M22" s="46">
        <v>0</v>
      </c>
      <c r="N22" s="39" t="s">
        <v>64</v>
      </c>
      <c r="O22" s="25">
        <f t="shared" si="1"/>
        <v>6.5566548766401236E-3</v>
      </c>
    </row>
    <row r="23" spans="1:15" x14ac:dyDescent="0.25">
      <c r="A23" s="39" t="s">
        <v>66</v>
      </c>
      <c r="B23" s="46">
        <v>9.7087378640776691E-3</v>
      </c>
      <c r="C23" s="46">
        <v>3.7037037037037035E-2</v>
      </c>
      <c r="D23" s="46">
        <v>3.7383177570093455E-2</v>
      </c>
      <c r="E23" s="46">
        <v>4.49438202247191E-2</v>
      </c>
      <c r="F23" s="46">
        <v>1.0869565217391304E-2</v>
      </c>
      <c r="G23" s="46">
        <v>0</v>
      </c>
      <c r="H23" s="46">
        <v>1.4388489208633094E-2</v>
      </c>
      <c r="I23" s="46">
        <v>0</v>
      </c>
      <c r="J23" s="46">
        <v>3.4188034188034191E-2</v>
      </c>
      <c r="K23" s="46">
        <v>1.2195121951219513E-2</v>
      </c>
      <c r="L23" s="46">
        <v>9.0909090909090905E-3</v>
      </c>
      <c r="M23" s="46">
        <v>1.9607843137254902E-2</v>
      </c>
      <c r="N23" s="39" t="s">
        <v>66</v>
      </c>
      <c r="O23" s="25">
        <f t="shared" si="1"/>
        <v>1.9117727957447445E-2</v>
      </c>
    </row>
    <row r="24" spans="1:15" x14ac:dyDescent="0.25">
      <c r="A24" s="39" t="s">
        <v>68</v>
      </c>
      <c r="B24" s="46">
        <v>7.7669902912621352E-2</v>
      </c>
      <c r="C24" s="46">
        <v>7.407407407407407E-2</v>
      </c>
      <c r="D24" s="46">
        <v>0.10280373831775701</v>
      </c>
      <c r="E24" s="46">
        <v>4.49438202247191E-2</v>
      </c>
      <c r="F24" s="46">
        <v>0.10869565217391304</v>
      </c>
      <c r="G24" s="46">
        <v>9.7826086956521743E-2</v>
      </c>
      <c r="H24" s="46">
        <v>0.12949640287769784</v>
      </c>
      <c r="I24" s="46">
        <v>5.0955414012738856E-2</v>
      </c>
      <c r="J24" s="46">
        <v>0.10256410256410256</v>
      </c>
      <c r="K24" s="46">
        <v>7.3170731707317069E-2</v>
      </c>
      <c r="L24" s="46">
        <v>2.7272727272727271E-2</v>
      </c>
      <c r="M24" s="46">
        <v>4.9019607843137254E-2</v>
      </c>
      <c r="N24" s="39" t="s">
        <v>68</v>
      </c>
      <c r="O24" s="25">
        <f t="shared" si="1"/>
        <v>7.8207688411443918E-2</v>
      </c>
    </row>
    <row r="25" spans="1:15" ht="15.75" thickBot="1" x14ac:dyDescent="0.3">
      <c r="A25" s="30" t="s">
        <v>27</v>
      </c>
      <c r="O25" s="25"/>
    </row>
    <row r="26" spans="1:15" x14ac:dyDescent="0.25">
      <c r="A26" s="115" t="s">
        <v>140</v>
      </c>
      <c r="B26" s="111" t="s">
        <v>105</v>
      </c>
      <c r="C26" s="111"/>
      <c r="D26" s="111"/>
      <c r="E26" s="111"/>
      <c r="F26" s="111"/>
      <c r="G26" s="111"/>
      <c r="H26" s="111"/>
      <c r="I26" s="111"/>
      <c r="J26" s="111"/>
      <c r="K26" s="111"/>
      <c r="L26" s="111"/>
      <c r="M26" s="112"/>
      <c r="O26" s="25"/>
    </row>
    <row r="27" spans="1:15" x14ac:dyDescent="0.25">
      <c r="A27" s="116"/>
      <c r="B27" s="39" t="s">
        <v>128</v>
      </c>
      <c r="C27" s="39" t="s">
        <v>129</v>
      </c>
      <c r="D27" s="39" t="s">
        <v>130</v>
      </c>
      <c r="E27" s="39" t="s">
        <v>131</v>
      </c>
      <c r="F27" s="39" t="s">
        <v>132</v>
      </c>
      <c r="G27" s="39" t="s">
        <v>133</v>
      </c>
      <c r="H27" s="39" t="s">
        <v>134</v>
      </c>
      <c r="I27" s="39" t="s">
        <v>135</v>
      </c>
      <c r="J27" s="39" t="s">
        <v>136</v>
      </c>
      <c r="K27" s="39" t="s">
        <v>137</v>
      </c>
      <c r="L27" s="39" t="s">
        <v>138</v>
      </c>
      <c r="M27" s="49" t="s">
        <v>139</v>
      </c>
      <c r="O27" s="25"/>
    </row>
    <row r="28" spans="1:15" x14ac:dyDescent="0.25">
      <c r="A28" s="50" t="s">
        <v>141</v>
      </c>
      <c r="B28" s="46">
        <v>0.5</v>
      </c>
      <c r="C28" s="46">
        <v>1</v>
      </c>
      <c r="D28" s="46">
        <v>0.58333333333333337</v>
      </c>
      <c r="E28" s="46">
        <v>0.67741935483870963</v>
      </c>
      <c r="F28" s="46">
        <v>0.52777777777777779</v>
      </c>
      <c r="G28" s="46">
        <v>0.27272727272727271</v>
      </c>
      <c r="H28" s="46">
        <v>0.47222222222222221</v>
      </c>
      <c r="I28" s="46">
        <v>0.67796610169491522</v>
      </c>
      <c r="J28" s="46">
        <v>0.46875</v>
      </c>
      <c r="K28" s="46">
        <v>0.5</v>
      </c>
      <c r="L28" s="46">
        <v>0.44736842105263158</v>
      </c>
      <c r="M28" s="51">
        <v>0.5714285714285714</v>
      </c>
      <c r="N28" s="50" t="s">
        <v>141</v>
      </c>
      <c r="O28" s="25">
        <f>AVERAGE(B28:M28)</f>
        <v>0.55824942125628618</v>
      </c>
    </row>
    <row r="29" spans="1:15" x14ac:dyDescent="0.25">
      <c r="A29" s="50" t="s">
        <v>142</v>
      </c>
      <c r="B29" s="46">
        <v>0.34615384615384615</v>
      </c>
      <c r="C29" s="46">
        <v>0</v>
      </c>
      <c r="D29" s="46">
        <v>0.125</v>
      </c>
      <c r="E29" s="46">
        <v>0.12903225806451613</v>
      </c>
      <c r="F29" s="46">
        <v>0.25</v>
      </c>
      <c r="G29" s="46">
        <v>0.42424242424242425</v>
      </c>
      <c r="H29" s="46">
        <v>0.3611111111111111</v>
      </c>
      <c r="I29" s="46">
        <v>0.15254237288135594</v>
      </c>
      <c r="J29" s="46">
        <v>0.4375</v>
      </c>
      <c r="K29" s="46">
        <v>0.21428571428571427</v>
      </c>
      <c r="L29" s="46">
        <v>0.42105263157894735</v>
      </c>
      <c r="M29" s="51">
        <v>0.2857142857142857</v>
      </c>
      <c r="N29" s="50" t="s">
        <v>142</v>
      </c>
      <c r="O29" s="25">
        <f>AVERAGE(B29:M29)</f>
        <v>0.26221955366935007</v>
      </c>
    </row>
    <row r="30" spans="1:15" ht="15.75" thickBot="1" x14ac:dyDescent="0.3">
      <c r="A30" s="52" t="s">
        <v>143</v>
      </c>
      <c r="B30" s="53">
        <v>0.15384615384615385</v>
      </c>
      <c r="C30" s="53">
        <v>0</v>
      </c>
      <c r="D30" s="53">
        <v>0.29166666666666669</v>
      </c>
      <c r="E30" s="53">
        <v>0.19354838709677419</v>
      </c>
      <c r="F30" s="53">
        <v>0.22222222222222221</v>
      </c>
      <c r="G30" s="53">
        <v>0.30303030303030304</v>
      </c>
      <c r="H30" s="53">
        <v>0.16666666666666666</v>
      </c>
      <c r="I30" s="53">
        <v>0.16949152542372881</v>
      </c>
      <c r="J30" s="53">
        <v>9.375E-2</v>
      </c>
      <c r="K30" s="53">
        <v>0.2857142857142857</v>
      </c>
      <c r="L30" s="53">
        <v>0.13157894736842105</v>
      </c>
      <c r="M30" s="54">
        <v>0.14285714285714285</v>
      </c>
      <c r="N30" s="52" t="s">
        <v>143</v>
      </c>
      <c r="O30" s="25">
        <f>AVERAGE(B30:M30)</f>
        <v>0.17953102507436378</v>
      </c>
    </row>
    <row r="31" spans="1:15" ht="15.75" thickBot="1" x14ac:dyDescent="0.3">
      <c r="O31" s="25"/>
    </row>
    <row r="32" spans="1:15" x14ac:dyDescent="0.25">
      <c r="A32" s="115" t="s">
        <v>144</v>
      </c>
      <c r="B32" s="111" t="s">
        <v>105</v>
      </c>
      <c r="C32" s="111"/>
      <c r="D32" s="111"/>
      <c r="E32" s="111"/>
      <c r="F32" s="111"/>
      <c r="G32" s="111"/>
      <c r="H32" s="111"/>
      <c r="I32" s="111"/>
      <c r="J32" s="111"/>
      <c r="K32" s="111"/>
      <c r="L32" s="111"/>
      <c r="M32" s="112"/>
      <c r="O32" s="25"/>
    </row>
    <row r="33" spans="1:15" x14ac:dyDescent="0.25">
      <c r="A33" s="116"/>
      <c r="B33" s="39" t="s">
        <v>128</v>
      </c>
      <c r="C33" s="39" t="s">
        <v>129</v>
      </c>
      <c r="D33" s="39" t="s">
        <v>130</v>
      </c>
      <c r="E33" s="39" t="s">
        <v>131</v>
      </c>
      <c r="F33" s="39" t="s">
        <v>132</v>
      </c>
      <c r="G33" s="39" t="s">
        <v>133</v>
      </c>
      <c r="H33" s="39" t="s">
        <v>134</v>
      </c>
      <c r="I33" s="39" t="s">
        <v>135</v>
      </c>
      <c r="J33" s="39" t="s">
        <v>136</v>
      </c>
      <c r="K33" s="39" t="s">
        <v>137</v>
      </c>
      <c r="L33" s="39" t="s">
        <v>138</v>
      </c>
      <c r="M33" s="49" t="s">
        <v>139</v>
      </c>
      <c r="O33" s="25"/>
    </row>
    <row r="34" spans="1:15" x14ac:dyDescent="0.25">
      <c r="A34" s="55" t="s">
        <v>145</v>
      </c>
      <c r="B34" s="46">
        <v>3.8461538461538464E-2</v>
      </c>
      <c r="C34" s="46">
        <v>0.15384615384615385</v>
      </c>
      <c r="D34" s="46">
        <v>8.3333333333333329E-2</v>
      </c>
      <c r="E34" s="46">
        <v>0.19354838709677419</v>
      </c>
      <c r="F34" s="46">
        <v>0.22222222222222221</v>
      </c>
      <c r="G34" s="46">
        <v>0.36363636363636365</v>
      </c>
      <c r="H34" s="46">
        <v>5.5555555555555552E-2</v>
      </c>
      <c r="I34" s="46">
        <v>0.50847457627118642</v>
      </c>
      <c r="J34" s="46">
        <v>9.375E-2</v>
      </c>
      <c r="K34" s="46">
        <v>0</v>
      </c>
      <c r="L34" s="46">
        <v>0.42105263157894735</v>
      </c>
      <c r="M34" s="51">
        <v>0.21428571428571427</v>
      </c>
      <c r="N34" s="55" t="s">
        <v>145</v>
      </c>
      <c r="O34" s="25">
        <f t="shared" ref="O34:O45" si="2">AVERAGE(B34:M34)</f>
        <v>0.19568053969064914</v>
      </c>
    </row>
    <row r="35" spans="1:15" x14ac:dyDescent="0.25">
      <c r="A35" s="55" t="s">
        <v>146</v>
      </c>
      <c r="B35" s="46">
        <v>0.11538461538461539</v>
      </c>
      <c r="C35" s="46">
        <v>7.6923076923076927E-2</v>
      </c>
      <c r="D35" s="46">
        <v>4.1666666666666664E-2</v>
      </c>
      <c r="E35" s="46">
        <v>9.6774193548387094E-2</v>
      </c>
      <c r="F35" s="46">
        <v>0.19444444444444445</v>
      </c>
      <c r="G35" s="46">
        <v>6.0606060606060608E-2</v>
      </c>
      <c r="H35" s="46">
        <v>5.5555555555555552E-2</v>
      </c>
      <c r="I35" s="46">
        <v>8.4745762711864403E-2</v>
      </c>
      <c r="J35" s="46">
        <v>9.375E-2</v>
      </c>
      <c r="K35" s="46">
        <v>0.21428571428571427</v>
      </c>
      <c r="L35" s="46">
        <v>5.2631578947368418E-2</v>
      </c>
      <c r="M35" s="51">
        <v>7.1428571428571425E-2</v>
      </c>
      <c r="N35" s="55" t="s">
        <v>146</v>
      </c>
      <c r="O35" s="25">
        <f t="shared" si="2"/>
        <v>9.651635337519375E-2</v>
      </c>
    </row>
    <row r="36" spans="1:15" x14ac:dyDescent="0.25">
      <c r="A36" s="55" t="s">
        <v>147</v>
      </c>
      <c r="B36" s="46">
        <v>0.11538461538461539</v>
      </c>
      <c r="C36" s="46">
        <v>7.6923076923076927E-2</v>
      </c>
      <c r="D36" s="46">
        <v>0.125</v>
      </c>
      <c r="E36" s="46">
        <v>0.12903225806451613</v>
      </c>
      <c r="F36" s="46">
        <v>0</v>
      </c>
      <c r="G36" s="46">
        <v>0.15151515151515152</v>
      </c>
      <c r="H36" s="46">
        <v>8.3333333333333329E-2</v>
      </c>
      <c r="I36" s="46">
        <v>0.10169491525423729</v>
      </c>
      <c r="J36" s="46">
        <v>0.15625</v>
      </c>
      <c r="K36" s="46">
        <v>0.14285714285714285</v>
      </c>
      <c r="L36" s="46">
        <v>5.2631578947368418E-2</v>
      </c>
      <c r="M36" s="51">
        <v>0.10714285714285714</v>
      </c>
      <c r="N36" s="55" t="s">
        <v>147</v>
      </c>
      <c r="O36" s="25">
        <f t="shared" si="2"/>
        <v>0.10348041078519159</v>
      </c>
    </row>
    <row r="37" spans="1:15" x14ac:dyDescent="0.25">
      <c r="A37" s="55" t="s">
        <v>148</v>
      </c>
      <c r="B37" s="46">
        <v>0.23076923076923078</v>
      </c>
      <c r="C37" s="46">
        <v>0</v>
      </c>
      <c r="D37" s="46">
        <v>0.29166666666666669</v>
      </c>
      <c r="E37" s="46">
        <v>0.12903225806451613</v>
      </c>
      <c r="F37" s="46">
        <v>8.3333333333333329E-2</v>
      </c>
      <c r="G37" s="46">
        <v>6.0606060606060608E-2</v>
      </c>
      <c r="H37" s="46">
        <v>8.3333333333333329E-2</v>
      </c>
      <c r="I37" s="46">
        <v>3.3898305084745763E-2</v>
      </c>
      <c r="J37" s="46">
        <v>3.125E-2</v>
      </c>
      <c r="K37" s="46">
        <v>0.14285714285714285</v>
      </c>
      <c r="L37" s="46">
        <v>5.2631578947368418E-2</v>
      </c>
      <c r="M37" s="51">
        <v>7.1428571428571425E-2</v>
      </c>
      <c r="N37" s="55" t="s">
        <v>148</v>
      </c>
      <c r="O37" s="25">
        <f t="shared" si="2"/>
        <v>0.10090054009091411</v>
      </c>
    </row>
    <row r="38" spans="1:15" x14ac:dyDescent="0.25">
      <c r="A38" s="55" t="s">
        <v>149</v>
      </c>
      <c r="B38" s="46">
        <v>0.23076923076923078</v>
      </c>
      <c r="C38" s="46">
        <v>0.38461538461538464</v>
      </c>
      <c r="D38" s="46">
        <v>0.125</v>
      </c>
      <c r="E38" s="46">
        <v>0.25806451612903225</v>
      </c>
      <c r="F38" s="46">
        <v>0.19444444444444445</v>
      </c>
      <c r="G38" s="46">
        <v>0.12121212121212122</v>
      </c>
      <c r="H38" s="46">
        <v>0.19444444444444445</v>
      </c>
      <c r="I38" s="46">
        <v>0.11864406779661017</v>
      </c>
      <c r="J38" s="46">
        <v>0.25</v>
      </c>
      <c r="K38" s="46">
        <v>0.2857142857142857</v>
      </c>
      <c r="L38" s="46">
        <v>0.13157894736842105</v>
      </c>
      <c r="M38" s="51">
        <v>0.14285714285714285</v>
      </c>
      <c r="N38" s="55" t="s">
        <v>149</v>
      </c>
      <c r="O38" s="25">
        <f t="shared" si="2"/>
        <v>0.20311204877925979</v>
      </c>
    </row>
    <row r="39" spans="1:15" x14ac:dyDescent="0.25">
      <c r="A39" s="55" t="s">
        <v>150</v>
      </c>
      <c r="B39" s="46">
        <v>0.23076923076923078</v>
      </c>
      <c r="C39" s="46">
        <v>0.23076923076923078</v>
      </c>
      <c r="D39" s="46">
        <v>0.29166666666666669</v>
      </c>
      <c r="E39" s="46">
        <v>0.16129032258064516</v>
      </c>
      <c r="F39" s="46">
        <v>0.25</v>
      </c>
      <c r="G39" s="46">
        <v>6.0606060606060608E-2</v>
      </c>
      <c r="H39" s="46">
        <v>0.3611111111111111</v>
      </c>
      <c r="I39" s="46">
        <v>8.4745762711864403E-2</v>
      </c>
      <c r="J39" s="46">
        <v>0.25</v>
      </c>
      <c r="K39" s="46">
        <v>0.14285714285714285</v>
      </c>
      <c r="L39" s="46">
        <v>0.18421052631578946</v>
      </c>
      <c r="M39" s="51">
        <v>0.21428571428571427</v>
      </c>
      <c r="N39" s="55" t="s">
        <v>150</v>
      </c>
      <c r="O39" s="25">
        <f t="shared" si="2"/>
        <v>0.20519264738945467</v>
      </c>
    </row>
    <row r="40" spans="1:15" x14ac:dyDescent="0.25">
      <c r="A40" s="55" t="s">
        <v>151</v>
      </c>
      <c r="B40" s="46">
        <v>0</v>
      </c>
      <c r="C40" s="46">
        <v>0</v>
      </c>
      <c r="D40" s="46">
        <v>0</v>
      </c>
      <c r="E40" s="46">
        <v>0</v>
      </c>
      <c r="F40" s="46">
        <v>2.7777777777777776E-2</v>
      </c>
      <c r="G40" s="46">
        <v>9.0909090909090912E-2</v>
      </c>
      <c r="H40" s="46">
        <v>0.1111111111111111</v>
      </c>
      <c r="I40" s="56">
        <v>5.0847457627118647E-2</v>
      </c>
      <c r="J40" s="46">
        <v>0.125</v>
      </c>
      <c r="K40" s="46">
        <v>0</v>
      </c>
      <c r="L40" s="46">
        <v>2.6315789473684209E-2</v>
      </c>
      <c r="M40" s="51">
        <v>0.10714285714285714</v>
      </c>
      <c r="N40" s="55" t="s">
        <v>151</v>
      </c>
      <c r="O40" s="25">
        <f t="shared" si="2"/>
        <v>4.4925340336803309E-2</v>
      </c>
    </row>
    <row r="41" spans="1:15" x14ac:dyDescent="0.25">
      <c r="A41" s="55" t="s">
        <v>152</v>
      </c>
      <c r="B41" s="46">
        <v>3.8461538461538464E-2</v>
      </c>
      <c r="C41" s="46">
        <v>0</v>
      </c>
      <c r="D41" s="46">
        <v>0</v>
      </c>
      <c r="E41" s="46">
        <v>0</v>
      </c>
      <c r="F41" s="46">
        <v>0</v>
      </c>
      <c r="G41" s="46">
        <v>3.0303030303030304E-2</v>
      </c>
      <c r="H41" s="46">
        <v>2.7777777777777776E-2</v>
      </c>
      <c r="I41" s="56">
        <v>0</v>
      </c>
      <c r="J41" s="56">
        <v>0</v>
      </c>
      <c r="K41" s="46">
        <v>0</v>
      </c>
      <c r="L41" s="46">
        <v>5.2631578947368418E-2</v>
      </c>
      <c r="M41" s="51">
        <v>0</v>
      </c>
      <c r="N41" s="55" t="s">
        <v>152</v>
      </c>
      <c r="O41" s="25">
        <f t="shared" si="2"/>
        <v>1.2431160457476248E-2</v>
      </c>
    </row>
    <row r="42" spans="1:15" x14ac:dyDescent="0.25">
      <c r="A42" s="55" t="s">
        <v>153</v>
      </c>
      <c r="B42" s="46">
        <v>0</v>
      </c>
      <c r="C42" s="46">
        <v>7.6923076923076927E-2</v>
      </c>
      <c r="D42" s="46">
        <v>4.1666666666666664E-2</v>
      </c>
      <c r="E42" s="46">
        <v>0</v>
      </c>
      <c r="F42" s="46">
        <v>0</v>
      </c>
      <c r="G42" s="46">
        <v>0</v>
      </c>
      <c r="H42" s="46">
        <v>0</v>
      </c>
      <c r="I42" s="46">
        <v>0</v>
      </c>
      <c r="J42" s="46">
        <v>0</v>
      </c>
      <c r="K42" s="46">
        <v>0</v>
      </c>
      <c r="L42" s="46">
        <v>0</v>
      </c>
      <c r="M42" s="51">
        <v>0</v>
      </c>
      <c r="N42" s="55" t="s">
        <v>153</v>
      </c>
      <c r="O42" s="25">
        <f t="shared" si="2"/>
        <v>9.8824786324786321E-3</v>
      </c>
    </row>
    <row r="43" spans="1:15" x14ac:dyDescent="0.25">
      <c r="A43" s="55" t="s">
        <v>154</v>
      </c>
      <c r="B43" s="46">
        <v>0</v>
      </c>
      <c r="C43" s="46">
        <v>0</v>
      </c>
      <c r="D43" s="46">
        <v>0</v>
      </c>
      <c r="E43" s="46">
        <v>3.2258064516129031E-2</v>
      </c>
      <c r="F43" s="46">
        <v>0</v>
      </c>
      <c r="G43" s="46">
        <v>6.0606060606060608E-2</v>
      </c>
      <c r="H43" s="46">
        <v>2.7777777777777776E-2</v>
      </c>
      <c r="I43" s="46">
        <v>0</v>
      </c>
      <c r="J43" s="46">
        <v>0</v>
      </c>
      <c r="K43" s="46">
        <v>7.1428571428571425E-2</v>
      </c>
      <c r="L43" s="46">
        <v>2.6315789473684209E-2</v>
      </c>
      <c r="M43" s="51">
        <v>0</v>
      </c>
      <c r="N43" s="55" t="s">
        <v>154</v>
      </c>
      <c r="O43" s="25">
        <f t="shared" si="2"/>
        <v>1.8198855316851923E-2</v>
      </c>
    </row>
    <row r="44" spans="1:15" x14ac:dyDescent="0.25">
      <c r="A44" s="55" t="s">
        <v>155</v>
      </c>
      <c r="B44" s="56">
        <v>0</v>
      </c>
      <c r="C44" s="56">
        <v>0</v>
      </c>
      <c r="D44" s="56">
        <v>0</v>
      </c>
      <c r="E44" s="56">
        <v>0</v>
      </c>
      <c r="F44" s="56">
        <v>2.7777777777777776E-2</v>
      </c>
      <c r="G44" s="56">
        <v>0</v>
      </c>
      <c r="H44" s="56">
        <v>0</v>
      </c>
      <c r="I44" s="56">
        <v>0</v>
      </c>
      <c r="J44" s="56">
        <v>0</v>
      </c>
      <c r="K44" s="56">
        <v>0</v>
      </c>
      <c r="L44" s="46">
        <v>0</v>
      </c>
      <c r="M44" s="51">
        <v>0</v>
      </c>
      <c r="N44" s="55" t="s">
        <v>155</v>
      </c>
      <c r="O44" s="25">
        <f t="shared" si="2"/>
        <v>2.3148148148148147E-3</v>
      </c>
    </row>
    <row r="45" spans="1:15" ht="15.75" thickBot="1" x14ac:dyDescent="0.3">
      <c r="A45" s="57" t="s">
        <v>156</v>
      </c>
      <c r="B45" s="58">
        <v>0</v>
      </c>
      <c r="C45" s="58">
        <v>0</v>
      </c>
      <c r="D45" s="58">
        <v>0</v>
      </c>
      <c r="E45" s="58">
        <v>0</v>
      </c>
      <c r="F45" s="58">
        <v>0</v>
      </c>
      <c r="G45" s="58">
        <v>0</v>
      </c>
      <c r="H45" s="58">
        <v>0</v>
      </c>
      <c r="I45" s="53">
        <v>1.6949152542372881E-2</v>
      </c>
      <c r="J45" s="58">
        <v>0</v>
      </c>
      <c r="K45" s="58">
        <v>0</v>
      </c>
      <c r="L45" s="53">
        <v>0</v>
      </c>
      <c r="M45" s="54">
        <v>0</v>
      </c>
      <c r="N45" s="57" t="s">
        <v>156</v>
      </c>
      <c r="O45" s="25">
        <f t="shared" si="2"/>
        <v>1.4124293785310734E-3</v>
      </c>
    </row>
    <row r="46" spans="1:15" ht="15.75" thickBot="1" x14ac:dyDescent="0.3">
      <c r="O46" s="25"/>
    </row>
    <row r="47" spans="1:15" x14ac:dyDescent="0.25">
      <c r="A47" s="117" t="s">
        <v>19</v>
      </c>
      <c r="B47" s="111" t="s">
        <v>105</v>
      </c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2"/>
      <c r="O47" s="25"/>
    </row>
    <row r="48" spans="1:15" x14ac:dyDescent="0.25">
      <c r="A48" s="118"/>
      <c r="B48" s="39" t="s">
        <v>128</v>
      </c>
      <c r="C48" s="39" t="s">
        <v>129</v>
      </c>
      <c r="D48" s="39" t="s">
        <v>130</v>
      </c>
      <c r="E48" s="39" t="s">
        <v>131</v>
      </c>
      <c r="F48" s="39" t="s">
        <v>132</v>
      </c>
      <c r="G48" s="39" t="s">
        <v>133</v>
      </c>
      <c r="H48" s="39" t="s">
        <v>134</v>
      </c>
      <c r="I48" s="39" t="s">
        <v>135</v>
      </c>
      <c r="J48" s="39" t="s">
        <v>136</v>
      </c>
      <c r="K48" s="39" t="s">
        <v>137</v>
      </c>
      <c r="L48" s="39" t="s">
        <v>138</v>
      </c>
      <c r="M48" s="49" t="s">
        <v>139</v>
      </c>
      <c r="O48" s="25"/>
    </row>
    <row r="49" spans="1:15" x14ac:dyDescent="0.25">
      <c r="A49" s="50" t="s">
        <v>21</v>
      </c>
      <c r="B49" s="46">
        <v>8.8235294117647065E-2</v>
      </c>
      <c r="C49" s="46">
        <v>0.1</v>
      </c>
      <c r="D49" s="46">
        <v>0.18518518518518517</v>
      </c>
      <c r="E49" s="46">
        <v>0.46153846153846156</v>
      </c>
      <c r="F49" s="46">
        <v>7.1428571428571425E-2</v>
      </c>
      <c r="G49" s="46">
        <v>0.29411764705882354</v>
      </c>
      <c r="H49" s="46">
        <v>3.4482758620689655E-2</v>
      </c>
      <c r="I49" s="46">
        <v>0.1875</v>
      </c>
      <c r="J49" s="46">
        <v>0.125</v>
      </c>
      <c r="K49" s="46">
        <v>0.39130434782608697</v>
      </c>
      <c r="L49" s="46">
        <v>0.36</v>
      </c>
      <c r="M49" s="51">
        <v>0.32142857142857145</v>
      </c>
      <c r="N49" s="50" t="s">
        <v>21</v>
      </c>
      <c r="O49" s="25">
        <f>AVERAGE(B49:M49)</f>
        <v>0.21835173643366976</v>
      </c>
    </row>
    <row r="50" spans="1:15" x14ac:dyDescent="0.25">
      <c r="A50" s="50" t="s">
        <v>24</v>
      </c>
      <c r="B50" s="46">
        <v>0.88235294117647056</v>
      </c>
      <c r="C50" s="46">
        <v>0.9</v>
      </c>
      <c r="D50" s="46">
        <v>0.81481481481481477</v>
      </c>
      <c r="E50" s="46">
        <v>0.53846153846153844</v>
      </c>
      <c r="F50" s="46">
        <v>0.9285714285714286</v>
      </c>
      <c r="G50" s="46">
        <v>0.70588235294117652</v>
      </c>
      <c r="H50" s="46">
        <v>0.86206896551724133</v>
      </c>
      <c r="I50" s="46">
        <v>0.78125</v>
      </c>
      <c r="J50" s="46">
        <v>0.8125</v>
      </c>
      <c r="K50" s="46">
        <v>0.52173913043478259</v>
      </c>
      <c r="L50" s="46">
        <v>0.6</v>
      </c>
      <c r="M50" s="51">
        <v>0.6071428571428571</v>
      </c>
      <c r="N50" s="50" t="s">
        <v>24</v>
      </c>
      <c r="O50" s="25">
        <f>AVERAGE(B50:M50)</f>
        <v>0.74623200242169252</v>
      </c>
    </row>
    <row r="51" spans="1:15" ht="15.75" thickBot="1" x14ac:dyDescent="0.3">
      <c r="A51" s="52" t="s">
        <v>26</v>
      </c>
      <c r="B51" s="53">
        <v>2.9411764705882353E-2</v>
      </c>
      <c r="C51" s="53">
        <v>0</v>
      </c>
      <c r="D51" s="53">
        <v>0</v>
      </c>
      <c r="E51" s="53">
        <v>0</v>
      </c>
      <c r="F51" s="53">
        <v>0</v>
      </c>
      <c r="G51" s="53">
        <v>0</v>
      </c>
      <c r="H51" s="53">
        <v>0.10344827586206896</v>
      </c>
      <c r="I51" s="53">
        <v>3.125E-2</v>
      </c>
      <c r="J51" s="53">
        <v>6.25E-2</v>
      </c>
      <c r="K51" s="53">
        <v>8.6956521739130432E-2</v>
      </c>
      <c r="L51" s="53">
        <v>0.04</v>
      </c>
      <c r="M51" s="54">
        <v>7.1428571428571425E-2</v>
      </c>
      <c r="N51" s="52" t="s">
        <v>26</v>
      </c>
      <c r="O51" s="25">
        <f>AVERAGE(B51:M51)</f>
        <v>3.5416261144637758E-2</v>
      </c>
    </row>
    <row r="52" spans="1:15" ht="15.75" thickBot="1" x14ac:dyDescent="0.3">
      <c r="O52" s="25"/>
    </row>
    <row r="53" spans="1:15" x14ac:dyDescent="0.25">
      <c r="A53" s="115" t="s">
        <v>42</v>
      </c>
      <c r="B53" s="111" t="s">
        <v>105</v>
      </c>
      <c r="C53" s="111"/>
      <c r="D53" s="111"/>
      <c r="E53" s="111"/>
      <c r="F53" s="111"/>
      <c r="G53" s="111"/>
      <c r="H53" s="111"/>
      <c r="I53" s="111"/>
      <c r="J53" s="111"/>
      <c r="K53" s="111"/>
      <c r="L53" s="111"/>
      <c r="M53" s="112"/>
      <c r="O53" s="25"/>
    </row>
    <row r="54" spans="1:15" x14ac:dyDescent="0.25">
      <c r="A54" s="116"/>
      <c r="B54" s="39" t="s">
        <v>128</v>
      </c>
      <c r="C54" s="39" t="s">
        <v>129</v>
      </c>
      <c r="D54" s="39" t="s">
        <v>130</v>
      </c>
      <c r="E54" s="39" t="s">
        <v>131</v>
      </c>
      <c r="F54" s="39" t="s">
        <v>132</v>
      </c>
      <c r="G54" s="39" t="s">
        <v>133</v>
      </c>
      <c r="H54" s="39" t="s">
        <v>134</v>
      </c>
      <c r="I54" s="39" t="s">
        <v>135</v>
      </c>
      <c r="J54" s="39" t="s">
        <v>136</v>
      </c>
      <c r="K54" s="39" t="s">
        <v>137</v>
      </c>
      <c r="L54" s="39" t="s">
        <v>138</v>
      </c>
      <c r="M54" s="49" t="s">
        <v>139</v>
      </c>
      <c r="O54" s="25"/>
    </row>
    <row r="55" spans="1:15" x14ac:dyDescent="0.25">
      <c r="A55" s="50" t="s">
        <v>157</v>
      </c>
      <c r="B55" s="46">
        <v>0.16666666666666666</v>
      </c>
      <c r="C55" s="46">
        <v>0</v>
      </c>
      <c r="D55" s="46">
        <v>4.5454545454545456E-2</v>
      </c>
      <c r="E55" s="46">
        <v>7.6923076923076927E-2</v>
      </c>
      <c r="F55" s="46">
        <v>0.14285714285714285</v>
      </c>
      <c r="G55" s="46">
        <v>0</v>
      </c>
      <c r="H55" s="46">
        <v>0.33333333333333331</v>
      </c>
      <c r="I55" s="46">
        <v>0.18181818181818182</v>
      </c>
      <c r="J55" s="46">
        <v>0.15384615384615385</v>
      </c>
      <c r="K55" s="46">
        <v>0</v>
      </c>
      <c r="L55" s="46">
        <v>0.27272727272727271</v>
      </c>
      <c r="M55" s="51">
        <v>0.25</v>
      </c>
      <c r="N55" s="50" t="s">
        <v>157</v>
      </c>
      <c r="O55" s="25">
        <f>AVERAGE(B55:M55)</f>
        <v>0.13530219780219779</v>
      </c>
    </row>
    <row r="56" spans="1:15" ht="15.75" thickBot="1" x14ac:dyDescent="0.3">
      <c r="A56" s="52" t="s">
        <v>50</v>
      </c>
      <c r="B56" s="53">
        <v>0.83333333333333337</v>
      </c>
      <c r="C56" s="53">
        <v>1</v>
      </c>
      <c r="D56" s="53">
        <v>0.95454545454545459</v>
      </c>
      <c r="E56" s="53">
        <v>0.92307692307692313</v>
      </c>
      <c r="F56" s="53">
        <v>0.8571428571428571</v>
      </c>
      <c r="G56" s="53">
        <v>1</v>
      </c>
      <c r="H56" s="53">
        <v>0.66666666666666663</v>
      </c>
      <c r="I56" s="53">
        <v>0.81818181818181823</v>
      </c>
      <c r="J56" s="53">
        <v>0.84615384615384615</v>
      </c>
      <c r="K56" s="53">
        <v>1</v>
      </c>
      <c r="L56" s="53">
        <v>0.72727272727272729</v>
      </c>
      <c r="M56" s="54">
        <v>0.75</v>
      </c>
      <c r="N56" s="52" t="s">
        <v>50</v>
      </c>
      <c r="O56" s="25">
        <f>AVERAGE(B56:M56)</f>
        <v>0.86469780219780212</v>
      </c>
    </row>
    <row r="57" spans="1:15" ht="15.75" thickBot="1" x14ac:dyDescent="0.3">
      <c r="O57" s="25"/>
    </row>
    <row r="58" spans="1:15" x14ac:dyDescent="0.25">
      <c r="A58" s="115" t="s">
        <v>44</v>
      </c>
      <c r="B58" s="111" t="s">
        <v>105</v>
      </c>
      <c r="C58" s="111"/>
      <c r="D58" s="111"/>
      <c r="E58" s="111"/>
      <c r="F58" s="111"/>
      <c r="G58" s="111"/>
      <c r="H58" s="111"/>
      <c r="I58" s="111"/>
      <c r="J58" s="111"/>
      <c r="K58" s="111"/>
      <c r="L58" s="111"/>
      <c r="M58" s="112"/>
      <c r="O58" s="25"/>
    </row>
    <row r="59" spans="1:15" x14ac:dyDescent="0.25">
      <c r="A59" s="116"/>
      <c r="B59" s="39" t="s">
        <v>128</v>
      </c>
      <c r="C59" s="39" t="s">
        <v>129</v>
      </c>
      <c r="D59" s="39" t="s">
        <v>130</v>
      </c>
      <c r="E59" s="39" t="s">
        <v>131</v>
      </c>
      <c r="F59" s="39" t="s">
        <v>132</v>
      </c>
      <c r="G59" s="39" t="s">
        <v>133</v>
      </c>
      <c r="H59" s="39" t="s">
        <v>134</v>
      </c>
      <c r="I59" s="39" t="s">
        <v>135</v>
      </c>
      <c r="J59" s="39" t="s">
        <v>136</v>
      </c>
      <c r="K59" s="39" t="s">
        <v>137</v>
      </c>
      <c r="L59" s="39" t="s">
        <v>138</v>
      </c>
      <c r="M59" s="49" t="s">
        <v>139</v>
      </c>
      <c r="O59" s="25"/>
    </row>
    <row r="60" spans="1:15" x14ac:dyDescent="0.25">
      <c r="A60" s="59" t="s">
        <v>158</v>
      </c>
      <c r="B60" s="60">
        <v>0</v>
      </c>
      <c r="C60" s="60">
        <v>0</v>
      </c>
      <c r="D60" s="60">
        <v>0</v>
      </c>
      <c r="E60" s="60">
        <v>0</v>
      </c>
      <c r="F60" s="60">
        <v>0</v>
      </c>
      <c r="G60" s="60">
        <v>0</v>
      </c>
      <c r="H60" s="60">
        <v>0</v>
      </c>
      <c r="I60" s="60">
        <v>0</v>
      </c>
      <c r="J60" s="60">
        <v>0</v>
      </c>
      <c r="K60" s="60">
        <v>8.3333333333333329E-2</v>
      </c>
      <c r="L60" s="60">
        <v>0</v>
      </c>
      <c r="M60" s="61">
        <v>0</v>
      </c>
      <c r="N60" s="59" t="s">
        <v>158</v>
      </c>
      <c r="O60" s="25">
        <f>AVERAGE(B60:M60)</f>
        <v>6.9444444444444441E-3</v>
      </c>
    </row>
    <row r="61" spans="1:15" x14ac:dyDescent="0.25">
      <c r="A61" s="50" t="s">
        <v>82</v>
      </c>
      <c r="B61" s="46">
        <v>0.2</v>
      </c>
      <c r="C61" s="46">
        <v>0.14285714285714285</v>
      </c>
      <c r="D61" s="46">
        <v>0.58333333333333337</v>
      </c>
      <c r="E61" s="46">
        <v>0.33333333333333331</v>
      </c>
      <c r="F61" s="46">
        <v>0.1111111111111111</v>
      </c>
      <c r="G61" s="46">
        <v>0.1</v>
      </c>
      <c r="H61" s="46">
        <v>0.2</v>
      </c>
      <c r="I61" s="46">
        <v>0.31818181818181818</v>
      </c>
      <c r="J61" s="46">
        <v>0.35294117647058826</v>
      </c>
      <c r="K61" s="46">
        <v>0.33333333333333331</v>
      </c>
      <c r="L61" s="46">
        <v>0.1111111111111111</v>
      </c>
      <c r="M61" s="51">
        <v>0.25</v>
      </c>
      <c r="N61" s="50" t="s">
        <v>82</v>
      </c>
      <c r="O61" s="25">
        <f>AVERAGE(B61:M61)</f>
        <v>0.253016863310981</v>
      </c>
    </row>
    <row r="62" spans="1:15" x14ac:dyDescent="0.25">
      <c r="A62" s="50" t="s">
        <v>85</v>
      </c>
      <c r="B62" s="46">
        <v>0.2</v>
      </c>
      <c r="C62" s="46">
        <v>0.8571428571428571</v>
      </c>
      <c r="D62" s="46">
        <v>0.25</v>
      </c>
      <c r="E62" s="46">
        <v>0</v>
      </c>
      <c r="F62" s="46">
        <v>0.66666666666666663</v>
      </c>
      <c r="G62" s="46">
        <v>0.2</v>
      </c>
      <c r="H62" s="46">
        <v>0.4</v>
      </c>
      <c r="I62" s="46">
        <v>0.36363636363636365</v>
      </c>
      <c r="J62" s="46">
        <v>5.8823529411764705E-2</v>
      </c>
      <c r="K62" s="46">
        <v>0.33333333333333331</v>
      </c>
      <c r="L62" s="46">
        <v>0.44444444444444442</v>
      </c>
      <c r="M62" s="51">
        <v>0.5</v>
      </c>
      <c r="N62" s="50" t="s">
        <v>85</v>
      </c>
      <c r="O62" s="25">
        <f>AVERAGE(B62:M62)</f>
        <v>0.35617059955295249</v>
      </c>
    </row>
    <row r="63" spans="1:15" x14ac:dyDescent="0.25">
      <c r="A63" s="50" t="s">
        <v>87</v>
      </c>
      <c r="B63" s="46">
        <v>6.6666666666666666E-2</v>
      </c>
      <c r="C63" s="46">
        <v>0</v>
      </c>
      <c r="D63" s="46">
        <v>0</v>
      </c>
      <c r="E63" s="46">
        <v>0</v>
      </c>
      <c r="F63" s="46">
        <v>0</v>
      </c>
      <c r="G63" s="46">
        <v>0.2</v>
      </c>
      <c r="H63" s="46">
        <v>0.15</v>
      </c>
      <c r="I63" s="46">
        <v>0.13636363636363635</v>
      </c>
      <c r="J63" s="46">
        <v>0</v>
      </c>
      <c r="K63" s="46">
        <v>0.16666666666666666</v>
      </c>
      <c r="L63" s="46">
        <v>0.33333333333333331</v>
      </c>
      <c r="M63" s="51">
        <v>0.125</v>
      </c>
      <c r="N63" s="50" t="s">
        <v>87</v>
      </c>
      <c r="O63" s="25">
        <f>AVERAGE(B63:M63)</f>
        <v>9.816919191919192E-2</v>
      </c>
    </row>
    <row r="64" spans="1:15" ht="15.75" thickBot="1" x14ac:dyDescent="0.3">
      <c r="A64" s="52" t="s">
        <v>89</v>
      </c>
      <c r="B64" s="53">
        <v>0.53333333333333333</v>
      </c>
      <c r="C64" s="53">
        <v>0</v>
      </c>
      <c r="D64" s="53">
        <v>0.16666666666666666</v>
      </c>
      <c r="E64" s="53">
        <v>0.66666666666666663</v>
      </c>
      <c r="F64" s="53">
        <v>0.22222222222222221</v>
      </c>
      <c r="G64" s="53">
        <v>0.5</v>
      </c>
      <c r="H64" s="53">
        <v>0.25</v>
      </c>
      <c r="I64" s="53">
        <v>0.18181818181818182</v>
      </c>
      <c r="J64" s="53">
        <v>0.58823529411764708</v>
      </c>
      <c r="K64" s="53">
        <v>8.3333333333333329E-2</v>
      </c>
      <c r="L64" s="53">
        <v>0.1111111111111111</v>
      </c>
      <c r="M64" s="54">
        <v>0.125</v>
      </c>
      <c r="N64" s="52" t="s">
        <v>89</v>
      </c>
      <c r="O64" s="25">
        <f>AVERAGE(B64:M64)</f>
        <v>0.28569890077243021</v>
      </c>
    </row>
    <row r="65" spans="1:15" x14ac:dyDescent="0.25">
      <c r="O65" s="25"/>
    </row>
    <row r="66" spans="1:15" x14ac:dyDescent="0.25">
      <c r="A66" s="110" t="s">
        <v>46</v>
      </c>
      <c r="B66" s="110" t="s">
        <v>105</v>
      </c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O66" s="25"/>
    </row>
    <row r="67" spans="1:15" x14ac:dyDescent="0.25">
      <c r="A67" s="110"/>
      <c r="B67" s="39" t="s">
        <v>128</v>
      </c>
      <c r="C67" s="39" t="s">
        <v>129</v>
      </c>
      <c r="D67" s="39" t="s">
        <v>130</v>
      </c>
      <c r="E67" s="39" t="s">
        <v>131</v>
      </c>
      <c r="F67" s="39" t="s">
        <v>132</v>
      </c>
      <c r="G67" s="39" t="s">
        <v>133</v>
      </c>
      <c r="H67" s="39" t="s">
        <v>134</v>
      </c>
      <c r="I67" s="39" t="s">
        <v>135</v>
      </c>
      <c r="J67" s="39" t="s">
        <v>136</v>
      </c>
      <c r="K67" s="39" t="s">
        <v>137</v>
      </c>
      <c r="L67" s="39" t="s">
        <v>138</v>
      </c>
      <c r="M67" s="39" t="s">
        <v>139</v>
      </c>
      <c r="O67" s="25"/>
    </row>
    <row r="68" spans="1:15" x14ac:dyDescent="0.25">
      <c r="A68" s="39" t="s">
        <v>92</v>
      </c>
      <c r="B68" s="46">
        <v>0.33333333333333331</v>
      </c>
      <c r="C68" s="62">
        <v>0</v>
      </c>
      <c r="D68" s="46">
        <v>0</v>
      </c>
      <c r="E68" s="46">
        <v>0</v>
      </c>
      <c r="F68" s="46">
        <v>0</v>
      </c>
      <c r="G68" s="46">
        <v>0.22222222222222221</v>
      </c>
      <c r="H68" s="46">
        <v>0.33333333333333331</v>
      </c>
      <c r="I68" s="46">
        <v>5.5555555555555552E-2</v>
      </c>
      <c r="J68" s="46">
        <v>6.25E-2</v>
      </c>
      <c r="K68" s="46">
        <v>7.6923076923076927E-2</v>
      </c>
      <c r="L68" s="46">
        <v>0.16666666666666666</v>
      </c>
      <c r="M68" s="46">
        <v>0.125</v>
      </c>
      <c r="N68" s="39" t="s">
        <v>92</v>
      </c>
      <c r="O68" s="25">
        <f t="shared" ref="O68:O77" si="3">AVERAGE(B68:M68)</f>
        <v>0.114627849002849</v>
      </c>
    </row>
    <row r="69" spans="1:15" x14ac:dyDescent="0.25">
      <c r="A69" s="39" t="s">
        <v>94</v>
      </c>
      <c r="B69" s="46">
        <v>0.1111111111111111</v>
      </c>
      <c r="C69" s="46">
        <v>0</v>
      </c>
      <c r="D69" s="46">
        <v>0</v>
      </c>
      <c r="E69" s="46">
        <v>0</v>
      </c>
      <c r="F69" s="46">
        <v>0</v>
      </c>
      <c r="G69" s="46">
        <v>0.1111111111111111</v>
      </c>
      <c r="H69" s="46">
        <v>6.6666666666666666E-2</v>
      </c>
      <c r="I69" s="46">
        <v>0.22222222222222221</v>
      </c>
      <c r="J69" s="46">
        <v>0.125</v>
      </c>
      <c r="K69" s="46">
        <v>0.30769230769230771</v>
      </c>
      <c r="L69" s="46">
        <v>0</v>
      </c>
      <c r="M69" s="46">
        <v>0.25</v>
      </c>
      <c r="N69" s="39" t="s">
        <v>94</v>
      </c>
      <c r="O69" s="25">
        <f t="shared" si="3"/>
        <v>9.9483618233618232E-2</v>
      </c>
    </row>
    <row r="70" spans="1:15" x14ac:dyDescent="0.25">
      <c r="A70" s="39" t="s">
        <v>97</v>
      </c>
      <c r="B70" s="46">
        <v>0</v>
      </c>
      <c r="C70" s="46">
        <v>0</v>
      </c>
      <c r="D70" s="46">
        <v>0.25</v>
      </c>
      <c r="E70" s="46">
        <v>0</v>
      </c>
      <c r="F70" s="46">
        <v>0</v>
      </c>
      <c r="G70" s="46">
        <v>0</v>
      </c>
      <c r="H70" s="46">
        <v>6.6666666666666666E-2</v>
      </c>
      <c r="I70" s="46">
        <v>0</v>
      </c>
      <c r="J70" s="46">
        <v>0</v>
      </c>
      <c r="K70" s="46">
        <v>7.6923076923076927E-2</v>
      </c>
      <c r="L70" s="46">
        <v>0</v>
      </c>
      <c r="M70" s="46">
        <v>0</v>
      </c>
      <c r="N70" s="39" t="s">
        <v>97</v>
      </c>
      <c r="O70" s="25">
        <f t="shared" si="3"/>
        <v>3.2799145299145301E-2</v>
      </c>
    </row>
    <row r="71" spans="1:15" x14ac:dyDescent="0.25">
      <c r="A71" s="39" t="s">
        <v>99</v>
      </c>
      <c r="B71" s="46">
        <v>0</v>
      </c>
      <c r="C71" s="46">
        <v>0</v>
      </c>
      <c r="D71" s="46">
        <v>0</v>
      </c>
      <c r="E71" s="46">
        <v>0.14285714285714285</v>
      </c>
      <c r="F71" s="46">
        <v>0</v>
      </c>
      <c r="G71" s="46">
        <v>0</v>
      </c>
      <c r="H71" s="46">
        <v>0</v>
      </c>
      <c r="I71" s="46">
        <v>0</v>
      </c>
      <c r="J71" s="46">
        <v>0</v>
      </c>
      <c r="K71" s="46">
        <v>0</v>
      </c>
      <c r="L71" s="46">
        <v>0</v>
      </c>
      <c r="M71" s="46">
        <v>0</v>
      </c>
      <c r="N71" s="39" t="s">
        <v>99</v>
      </c>
      <c r="O71" s="25">
        <f t="shared" si="3"/>
        <v>1.1904761904761904E-2</v>
      </c>
    </row>
    <row r="72" spans="1:15" x14ac:dyDescent="0.25">
      <c r="A72" s="39" t="s">
        <v>101</v>
      </c>
      <c r="B72" s="46">
        <v>0.44444444444444442</v>
      </c>
      <c r="C72" s="46">
        <v>0.5</v>
      </c>
      <c r="D72" s="46">
        <v>0.25</v>
      </c>
      <c r="E72" s="46">
        <v>0.5714285714285714</v>
      </c>
      <c r="F72" s="46">
        <v>0.4</v>
      </c>
      <c r="G72" s="46">
        <v>0.33333333333333331</v>
      </c>
      <c r="H72" s="46">
        <v>0.13333333333333333</v>
      </c>
      <c r="I72" s="46">
        <v>0.33333333333333331</v>
      </c>
      <c r="J72" s="46">
        <v>0.5</v>
      </c>
      <c r="K72" s="46">
        <v>0.38461538461538464</v>
      </c>
      <c r="L72" s="46">
        <v>0.27777777777777779</v>
      </c>
      <c r="M72" s="46">
        <v>0.125</v>
      </c>
      <c r="N72" s="39" t="s">
        <v>101</v>
      </c>
      <c r="O72" s="25">
        <f t="shared" si="3"/>
        <v>0.35443884818884824</v>
      </c>
    </row>
    <row r="73" spans="1:15" x14ac:dyDescent="0.25">
      <c r="A73" s="39" t="s">
        <v>159</v>
      </c>
      <c r="B73" s="46">
        <v>0.1111111111111111</v>
      </c>
      <c r="C73" s="46">
        <v>0</v>
      </c>
      <c r="D73" s="46">
        <v>0</v>
      </c>
      <c r="E73" s="46">
        <v>0</v>
      </c>
      <c r="F73" s="46">
        <v>0.4</v>
      </c>
      <c r="G73" s="46">
        <v>0</v>
      </c>
      <c r="H73" s="46">
        <v>0.2</v>
      </c>
      <c r="I73" s="46">
        <v>5.5555555555555552E-2</v>
      </c>
      <c r="J73" s="46">
        <v>0.125</v>
      </c>
      <c r="K73" s="46">
        <v>7.6923076923076927E-2</v>
      </c>
      <c r="L73" s="46">
        <v>5.5555555555555552E-2</v>
      </c>
      <c r="M73" s="46">
        <v>0.25</v>
      </c>
      <c r="N73" s="39" t="s">
        <v>159</v>
      </c>
      <c r="O73" s="25">
        <f t="shared" si="3"/>
        <v>0.10617877492877492</v>
      </c>
    </row>
    <row r="74" spans="1:15" x14ac:dyDescent="0.25">
      <c r="A74" s="39" t="s">
        <v>160</v>
      </c>
      <c r="B74" s="46">
        <v>0</v>
      </c>
      <c r="C74" s="46">
        <v>0</v>
      </c>
      <c r="D74" s="46">
        <v>0.5</v>
      </c>
      <c r="E74" s="46">
        <v>0</v>
      </c>
      <c r="F74" s="46">
        <v>0.2</v>
      </c>
      <c r="G74" s="46">
        <v>0</v>
      </c>
      <c r="H74" s="46">
        <v>0</v>
      </c>
      <c r="I74" s="46">
        <v>5.5555555555555552E-2</v>
      </c>
      <c r="J74" s="46">
        <v>0</v>
      </c>
      <c r="K74" s="46">
        <v>0</v>
      </c>
      <c r="L74" s="46">
        <v>0</v>
      </c>
      <c r="M74" s="46">
        <v>0</v>
      </c>
      <c r="N74" s="39" t="s">
        <v>160</v>
      </c>
      <c r="O74" s="25">
        <f t="shared" si="3"/>
        <v>6.2962962962962957E-2</v>
      </c>
    </row>
    <row r="75" spans="1:15" x14ac:dyDescent="0.25">
      <c r="A75" s="39" t="s">
        <v>161</v>
      </c>
      <c r="B75" s="46">
        <v>0</v>
      </c>
      <c r="C75" s="46">
        <v>0</v>
      </c>
      <c r="D75" s="46">
        <v>0</v>
      </c>
      <c r="E75" s="46">
        <v>0</v>
      </c>
      <c r="F75" s="46">
        <v>0</v>
      </c>
      <c r="G75" s="46">
        <v>0.1111111111111111</v>
      </c>
      <c r="H75" s="46">
        <v>6.6666666666666666E-2</v>
      </c>
      <c r="I75" s="46">
        <v>0</v>
      </c>
      <c r="J75" s="46">
        <v>0.1875</v>
      </c>
      <c r="K75" s="46">
        <v>0</v>
      </c>
      <c r="L75" s="46">
        <v>0.3888888888888889</v>
      </c>
      <c r="M75" s="46">
        <v>0.125</v>
      </c>
      <c r="N75" s="39" t="s">
        <v>161</v>
      </c>
      <c r="O75" s="25">
        <f t="shared" si="3"/>
        <v>7.3263888888888892E-2</v>
      </c>
    </row>
    <row r="76" spans="1:15" x14ac:dyDescent="0.25">
      <c r="A76" s="39" t="s">
        <v>162</v>
      </c>
      <c r="B76" s="46">
        <v>0</v>
      </c>
      <c r="C76" s="46">
        <v>0</v>
      </c>
      <c r="D76" s="46">
        <v>0</v>
      </c>
      <c r="E76" s="46">
        <v>0</v>
      </c>
      <c r="F76" s="46">
        <v>0</v>
      </c>
      <c r="G76" s="46">
        <v>0</v>
      </c>
      <c r="H76" s="46">
        <v>6.6666666666666666E-2</v>
      </c>
      <c r="I76" s="46">
        <v>0.1111111111111111</v>
      </c>
      <c r="J76" s="46">
        <v>0</v>
      </c>
      <c r="K76" s="46">
        <v>0</v>
      </c>
      <c r="L76" s="46">
        <v>0.1111111111111111</v>
      </c>
      <c r="M76" s="46">
        <v>0.125</v>
      </c>
      <c r="N76" s="39" t="s">
        <v>162</v>
      </c>
      <c r="O76" s="25">
        <f t="shared" si="3"/>
        <v>3.4490740740740738E-2</v>
      </c>
    </row>
    <row r="77" spans="1:15" x14ac:dyDescent="0.25">
      <c r="A77" s="39" t="s">
        <v>163</v>
      </c>
      <c r="B77" s="46">
        <v>0</v>
      </c>
      <c r="C77" s="46">
        <v>0</v>
      </c>
      <c r="D77" s="46">
        <v>0</v>
      </c>
      <c r="E77" s="46">
        <v>0.2857142857142857</v>
      </c>
      <c r="F77" s="46">
        <v>0</v>
      </c>
      <c r="G77" s="46">
        <v>0.1111111111111111</v>
      </c>
      <c r="H77" s="46">
        <v>0</v>
      </c>
      <c r="I77" s="46">
        <v>0</v>
      </c>
      <c r="J77" s="46">
        <v>0</v>
      </c>
      <c r="K77" s="46">
        <v>0</v>
      </c>
      <c r="L77" s="46">
        <v>0</v>
      </c>
      <c r="M77" s="46">
        <v>0</v>
      </c>
      <c r="N77" s="39" t="s">
        <v>163</v>
      </c>
      <c r="O77" s="25">
        <f t="shared" si="3"/>
        <v>3.3068783068783067E-2</v>
      </c>
    </row>
    <row r="78" spans="1:15" ht="15.75" thickBot="1" x14ac:dyDescent="0.3">
      <c r="O78" s="25"/>
    </row>
    <row r="79" spans="1:15" x14ac:dyDescent="0.25">
      <c r="A79" s="63"/>
      <c r="B79" s="111" t="s">
        <v>105</v>
      </c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2"/>
      <c r="O79" s="25"/>
    </row>
    <row r="80" spans="1:15" x14ac:dyDescent="0.25">
      <c r="A80" s="50"/>
      <c r="B80" s="39" t="s">
        <v>128</v>
      </c>
      <c r="C80" s="39" t="s">
        <v>129</v>
      </c>
      <c r="D80" s="39" t="s">
        <v>130</v>
      </c>
      <c r="E80" s="39" t="s">
        <v>131</v>
      </c>
      <c r="F80" s="39" t="s">
        <v>132</v>
      </c>
      <c r="G80" s="39" t="s">
        <v>133</v>
      </c>
      <c r="H80" s="39" t="s">
        <v>134</v>
      </c>
      <c r="I80" s="39" t="s">
        <v>135</v>
      </c>
      <c r="J80" s="39" t="s">
        <v>136</v>
      </c>
      <c r="K80" s="39" t="s">
        <v>137</v>
      </c>
      <c r="L80" s="39" t="s">
        <v>138</v>
      </c>
      <c r="M80" s="49" t="s">
        <v>139</v>
      </c>
      <c r="O80" s="25"/>
    </row>
    <row r="81" spans="1:15" ht="15.75" thickBot="1" x14ac:dyDescent="0.3">
      <c r="A81" s="52" t="s">
        <v>68</v>
      </c>
      <c r="B81" s="53">
        <v>0.08</v>
      </c>
      <c r="C81" s="53">
        <v>7.0000000000000007E-2</v>
      </c>
      <c r="D81" s="53">
        <v>0.1</v>
      </c>
      <c r="E81" s="53">
        <v>0.04</v>
      </c>
      <c r="F81" s="53">
        <v>0.11</v>
      </c>
      <c r="G81" s="53">
        <v>0.1</v>
      </c>
      <c r="H81" s="53">
        <v>0.13</v>
      </c>
      <c r="I81" s="53">
        <v>0.05</v>
      </c>
      <c r="J81" s="53">
        <v>0.1</v>
      </c>
      <c r="K81" s="53">
        <v>7.0000000000000007E-2</v>
      </c>
      <c r="L81" s="53">
        <v>0.03</v>
      </c>
      <c r="M81" s="54">
        <v>0.05</v>
      </c>
      <c r="N81" s="52" t="s">
        <v>68</v>
      </c>
      <c r="O81" s="25">
        <f>AVERAGE(B81:M81)</f>
        <v>7.7500000000000013E-2</v>
      </c>
    </row>
    <row r="82" spans="1:15" ht="15.75" thickBot="1" x14ac:dyDescent="0.3"/>
    <row r="83" spans="1:15" x14ac:dyDescent="0.25">
      <c r="A83" s="113" t="s">
        <v>1593</v>
      </c>
      <c r="B83" s="111" t="s">
        <v>105</v>
      </c>
      <c r="C83" s="111"/>
      <c r="D83" s="111"/>
      <c r="E83" s="111"/>
      <c r="F83" s="111"/>
      <c r="G83" s="111"/>
      <c r="H83" s="111"/>
      <c r="I83" s="111"/>
      <c r="J83" s="111"/>
      <c r="K83" s="111"/>
      <c r="L83" s="111"/>
      <c r="M83" s="112"/>
    </row>
    <row r="84" spans="1:15" x14ac:dyDescent="0.25">
      <c r="A84" s="114"/>
      <c r="B84" s="39" t="s">
        <v>128</v>
      </c>
      <c r="C84" s="39" t="s">
        <v>129</v>
      </c>
      <c r="D84" s="39" t="s">
        <v>130</v>
      </c>
      <c r="E84" s="39" t="s">
        <v>131</v>
      </c>
      <c r="F84" s="39" t="s">
        <v>132</v>
      </c>
      <c r="G84" s="39" t="s">
        <v>133</v>
      </c>
      <c r="H84" s="39" t="s">
        <v>134</v>
      </c>
      <c r="I84" s="39" t="s">
        <v>135</v>
      </c>
      <c r="J84" s="39" t="s">
        <v>136</v>
      </c>
      <c r="K84" s="39" t="s">
        <v>137</v>
      </c>
      <c r="L84" s="39" t="s">
        <v>138</v>
      </c>
      <c r="M84" s="49" t="s">
        <v>139</v>
      </c>
    </row>
    <row r="85" spans="1:15" x14ac:dyDescent="0.25">
      <c r="A85" s="50" t="s">
        <v>1594</v>
      </c>
      <c r="B85" s="83">
        <v>40</v>
      </c>
      <c r="C85" s="83">
        <v>27</v>
      </c>
      <c r="D85" s="83">
        <v>42</v>
      </c>
      <c r="E85" s="83">
        <v>35</v>
      </c>
      <c r="F85" s="83">
        <v>44</v>
      </c>
      <c r="G85" s="83">
        <v>32</v>
      </c>
      <c r="H85" s="83">
        <v>60</v>
      </c>
      <c r="I85" s="83">
        <v>51</v>
      </c>
      <c r="J85" s="83">
        <v>48</v>
      </c>
      <c r="K85" s="83">
        <v>33</v>
      </c>
      <c r="L85" s="83">
        <v>44</v>
      </c>
      <c r="M85" s="84">
        <v>43</v>
      </c>
      <c r="N85" s="50" t="s">
        <v>1594</v>
      </c>
    </row>
    <row r="86" spans="1:15" x14ac:dyDescent="0.25">
      <c r="A86" s="86" t="s">
        <v>84</v>
      </c>
      <c r="B86" s="83">
        <v>29</v>
      </c>
      <c r="C86" s="83">
        <v>15</v>
      </c>
      <c r="D86" s="83">
        <v>27</v>
      </c>
      <c r="E86" s="83">
        <v>30</v>
      </c>
      <c r="F86" s="83">
        <v>27</v>
      </c>
      <c r="G86" s="83">
        <v>16</v>
      </c>
      <c r="H86" s="98">
        <v>32</v>
      </c>
      <c r="I86" s="83">
        <v>23</v>
      </c>
      <c r="J86" s="83">
        <v>28</v>
      </c>
      <c r="K86" s="46">
        <v>0.39393939393939392</v>
      </c>
      <c r="L86" s="46">
        <v>0.56818181818181823</v>
      </c>
      <c r="M86" s="51">
        <v>0.58139534883720934</v>
      </c>
      <c r="N86" s="86" t="s">
        <v>84</v>
      </c>
    </row>
    <row r="87" spans="1:15" x14ac:dyDescent="0.25">
      <c r="A87" s="87" t="s">
        <v>86</v>
      </c>
      <c r="B87" s="83">
        <v>3</v>
      </c>
      <c r="C87" s="83">
        <v>1</v>
      </c>
      <c r="D87" s="83">
        <v>3</v>
      </c>
      <c r="E87" s="83">
        <v>4</v>
      </c>
      <c r="F87" s="83">
        <v>3</v>
      </c>
      <c r="G87" s="83">
        <v>1</v>
      </c>
      <c r="H87" s="98">
        <v>1</v>
      </c>
      <c r="I87" s="83">
        <v>7</v>
      </c>
      <c r="J87" s="83">
        <v>6</v>
      </c>
      <c r="K87" s="46">
        <v>9.0909090909090912E-2</v>
      </c>
      <c r="L87" s="46">
        <v>4.5454545454545456E-2</v>
      </c>
      <c r="M87" s="51">
        <v>6.9767441860465115E-2</v>
      </c>
      <c r="N87" s="87" t="s">
        <v>86</v>
      </c>
    </row>
    <row r="88" spans="1:15" x14ac:dyDescent="0.25">
      <c r="A88" s="87" t="s">
        <v>88</v>
      </c>
      <c r="B88" s="83">
        <v>0</v>
      </c>
      <c r="C88" s="83">
        <v>0</v>
      </c>
      <c r="D88" s="83">
        <v>0</v>
      </c>
      <c r="E88" s="83">
        <v>0</v>
      </c>
      <c r="F88" s="83">
        <v>0</v>
      </c>
      <c r="G88" s="83">
        <v>0</v>
      </c>
      <c r="H88" s="98">
        <v>0</v>
      </c>
      <c r="I88" s="83">
        <v>0</v>
      </c>
      <c r="J88" s="83">
        <v>0</v>
      </c>
      <c r="K88" s="46">
        <v>0</v>
      </c>
      <c r="L88" s="46">
        <v>0</v>
      </c>
      <c r="M88" s="51">
        <v>0</v>
      </c>
      <c r="N88" s="87" t="s">
        <v>88</v>
      </c>
    </row>
    <row r="89" spans="1:15" x14ac:dyDescent="0.25">
      <c r="A89" s="87" t="s">
        <v>90</v>
      </c>
      <c r="B89" s="83">
        <v>0</v>
      </c>
      <c r="C89" s="83">
        <v>0</v>
      </c>
      <c r="D89" s="83">
        <v>0</v>
      </c>
      <c r="E89" s="83">
        <v>0</v>
      </c>
      <c r="F89" s="83">
        <v>0</v>
      </c>
      <c r="G89" s="83">
        <v>0</v>
      </c>
      <c r="H89" s="98">
        <v>0</v>
      </c>
      <c r="I89" s="83">
        <v>0</v>
      </c>
      <c r="J89" s="83">
        <v>0</v>
      </c>
      <c r="K89" s="46">
        <v>0</v>
      </c>
      <c r="L89" s="46">
        <v>0</v>
      </c>
      <c r="M89" s="51">
        <v>0</v>
      </c>
      <c r="N89" s="87" t="s">
        <v>90</v>
      </c>
    </row>
    <row r="90" spans="1:15" x14ac:dyDescent="0.25">
      <c r="A90" s="87" t="s">
        <v>91</v>
      </c>
      <c r="B90" s="83">
        <v>7</v>
      </c>
      <c r="C90" s="83">
        <v>10</v>
      </c>
      <c r="D90" s="83">
        <v>7</v>
      </c>
      <c r="E90" s="83">
        <v>0</v>
      </c>
      <c r="F90" s="83">
        <v>14</v>
      </c>
      <c r="G90" s="83">
        <v>13</v>
      </c>
      <c r="H90" s="98">
        <v>27</v>
      </c>
      <c r="I90" s="83">
        <v>19</v>
      </c>
      <c r="J90" s="83">
        <v>13</v>
      </c>
      <c r="K90" s="46">
        <v>0.51515151515151514</v>
      </c>
      <c r="L90" s="46">
        <v>0.38636363636363635</v>
      </c>
      <c r="M90" s="51">
        <v>0.32558139534883723</v>
      </c>
      <c r="N90" s="87" t="s">
        <v>91</v>
      </c>
    </row>
    <row r="91" spans="1:15" ht="15.75" thickBot="1" x14ac:dyDescent="0.3">
      <c r="A91" s="88" t="s">
        <v>46</v>
      </c>
      <c r="B91" s="85">
        <v>1</v>
      </c>
      <c r="C91" s="85">
        <v>1</v>
      </c>
      <c r="D91" s="85">
        <v>5</v>
      </c>
      <c r="E91" s="85">
        <v>1</v>
      </c>
      <c r="F91" s="85">
        <v>0</v>
      </c>
      <c r="G91" s="85">
        <v>0</v>
      </c>
      <c r="H91" s="99">
        <v>0</v>
      </c>
      <c r="I91" s="85">
        <v>2</v>
      </c>
      <c r="J91" s="85">
        <v>1</v>
      </c>
      <c r="K91" s="53">
        <v>0</v>
      </c>
      <c r="L91" s="53">
        <v>0</v>
      </c>
      <c r="M91" s="54">
        <v>2.3255813953488372E-2</v>
      </c>
      <c r="N91" s="87" t="s">
        <v>46</v>
      </c>
    </row>
  </sheetData>
  <mergeCells count="19">
    <mergeCell ref="A58:A59"/>
    <mergeCell ref="B58:M58"/>
    <mergeCell ref="A32:A33"/>
    <mergeCell ref="B32:M32"/>
    <mergeCell ref="A47:A48"/>
    <mergeCell ref="B47:M47"/>
    <mergeCell ref="A53:A54"/>
    <mergeCell ref="B53:M53"/>
    <mergeCell ref="A1:A2"/>
    <mergeCell ref="B1:M1"/>
    <mergeCell ref="A13:A14"/>
    <mergeCell ref="B13:M13"/>
    <mergeCell ref="A26:A27"/>
    <mergeCell ref="B26:M26"/>
    <mergeCell ref="A66:A67"/>
    <mergeCell ref="B66:M66"/>
    <mergeCell ref="B79:M79"/>
    <mergeCell ref="A83:A84"/>
    <mergeCell ref="B83:M8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E2" sqref="E2"/>
    </sheetView>
  </sheetViews>
  <sheetFormatPr baseColWidth="10" defaultRowHeight="15" x14ac:dyDescent="0.25"/>
  <cols>
    <col min="2" max="2" width="12.7109375" customWidth="1"/>
    <col min="3" max="3" width="16.85546875" customWidth="1"/>
    <col min="4" max="4" width="15.85546875" customWidth="1"/>
    <col min="5" max="5" width="22.85546875" customWidth="1"/>
  </cols>
  <sheetData>
    <row r="1" spans="1:6" x14ac:dyDescent="0.25">
      <c r="A1" s="82"/>
      <c r="B1" s="82" t="s">
        <v>1608</v>
      </c>
      <c r="C1" s="82" t="s">
        <v>1609</v>
      </c>
      <c r="D1" s="82" t="s">
        <v>1610</v>
      </c>
      <c r="E1" s="82" t="s">
        <v>1611</v>
      </c>
      <c r="F1" s="82"/>
    </row>
    <row r="2" spans="1:6" x14ac:dyDescent="0.25">
      <c r="A2" s="82" t="s">
        <v>115</v>
      </c>
      <c r="B2" s="47">
        <v>73575.449999999983</v>
      </c>
      <c r="C2" s="47">
        <v>55051.07</v>
      </c>
      <c r="D2" s="47">
        <v>8500</v>
      </c>
      <c r="E2" s="47">
        <f>C2/D2</f>
        <v>6.4765964705882348</v>
      </c>
    </row>
    <row r="3" spans="1:6" x14ac:dyDescent="0.25">
      <c r="A3" s="82" t="s">
        <v>116</v>
      </c>
      <c r="B3" s="47">
        <v>41127.770000000004</v>
      </c>
      <c r="C3" s="47">
        <v>26089.29</v>
      </c>
      <c r="D3" s="47">
        <v>4500</v>
      </c>
      <c r="E3" s="47">
        <f t="shared" ref="E3:E13" si="0">C3/D3</f>
        <v>5.7976200000000002</v>
      </c>
    </row>
    <row r="4" spans="1:6" x14ac:dyDescent="0.25">
      <c r="A4" s="82" t="s">
        <v>117</v>
      </c>
      <c r="B4" s="47">
        <v>100816.09</v>
      </c>
      <c r="C4" s="47">
        <v>53388.639999999992</v>
      </c>
      <c r="D4" s="47">
        <v>4300</v>
      </c>
      <c r="E4" s="47">
        <f t="shared" si="0"/>
        <v>12.415962790697673</v>
      </c>
    </row>
    <row r="5" spans="1:6" x14ac:dyDescent="0.25">
      <c r="A5" s="82" t="s">
        <v>118</v>
      </c>
      <c r="B5" s="47">
        <v>90782.37999999999</v>
      </c>
      <c r="C5" s="47">
        <v>35415.56</v>
      </c>
      <c r="D5" s="47">
        <v>5000</v>
      </c>
      <c r="E5" s="47">
        <f t="shared" si="0"/>
        <v>7.0831119999999999</v>
      </c>
    </row>
    <row r="6" spans="1:6" x14ac:dyDescent="0.25">
      <c r="A6" s="82" t="s">
        <v>119</v>
      </c>
      <c r="B6" s="47">
        <v>76138.070000000022</v>
      </c>
      <c r="C6" s="47">
        <v>45491.380000000012</v>
      </c>
      <c r="D6" s="47">
        <v>6500</v>
      </c>
      <c r="E6" s="47">
        <f t="shared" si="0"/>
        <v>6.9986738461538476</v>
      </c>
    </row>
    <row r="7" spans="1:6" x14ac:dyDescent="0.25">
      <c r="A7" s="82" t="s">
        <v>120</v>
      </c>
      <c r="B7" s="47">
        <v>99291.180000000008</v>
      </c>
      <c r="C7" s="47">
        <v>50363.93</v>
      </c>
      <c r="D7" s="47">
        <v>5300</v>
      </c>
      <c r="E7" s="47">
        <f t="shared" si="0"/>
        <v>9.5026283018867925</v>
      </c>
    </row>
    <row r="8" spans="1:6" x14ac:dyDescent="0.25">
      <c r="A8" s="82" t="s">
        <v>121</v>
      </c>
      <c r="B8" s="47">
        <v>110425.47000000002</v>
      </c>
      <c r="C8" s="47">
        <v>54012.88</v>
      </c>
      <c r="D8" s="47">
        <v>3800</v>
      </c>
      <c r="E8" s="47">
        <f t="shared" si="0"/>
        <v>14.213915789473683</v>
      </c>
    </row>
    <row r="9" spans="1:6" x14ac:dyDescent="0.25">
      <c r="A9" s="82" t="s">
        <v>122</v>
      </c>
      <c r="B9" s="47">
        <v>126362.08</v>
      </c>
      <c r="C9" s="47">
        <v>45924.240000000005</v>
      </c>
      <c r="D9" s="47">
        <v>5000</v>
      </c>
      <c r="E9" s="47">
        <f t="shared" si="0"/>
        <v>9.1848480000000006</v>
      </c>
    </row>
    <row r="10" spans="1:6" x14ac:dyDescent="0.25">
      <c r="A10" s="82" t="s">
        <v>123</v>
      </c>
      <c r="B10" s="47">
        <v>92531.60000000002</v>
      </c>
      <c r="C10" s="47">
        <v>46790.579999999994</v>
      </c>
      <c r="D10" s="47">
        <v>7500</v>
      </c>
      <c r="E10" s="47">
        <f t="shared" si="0"/>
        <v>6.2387439999999996</v>
      </c>
    </row>
    <row r="11" spans="1:6" x14ac:dyDescent="0.25">
      <c r="A11" s="82" t="s">
        <v>124</v>
      </c>
      <c r="B11" s="47">
        <v>97264.27</v>
      </c>
      <c r="C11" s="47">
        <v>28687.03</v>
      </c>
      <c r="D11" s="47">
        <v>6500</v>
      </c>
      <c r="E11" s="47">
        <f t="shared" si="0"/>
        <v>4.4133892307692308</v>
      </c>
    </row>
    <row r="12" spans="1:6" x14ac:dyDescent="0.25">
      <c r="A12" s="82" t="s">
        <v>125</v>
      </c>
      <c r="B12" s="47">
        <v>86190.260000000009</v>
      </c>
      <c r="C12" s="47">
        <v>39144.93</v>
      </c>
      <c r="D12" s="47">
        <v>6000</v>
      </c>
      <c r="E12" s="47">
        <f t="shared" si="0"/>
        <v>6.5241550000000004</v>
      </c>
    </row>
    <row r="13" spans="1:6" x14ac:dyDescent="0.25">
      <c r="A13" s="82" t="s">
        <v>126</v>
      </c>
      <c r="B13" s="47">
        <v>91255.670000000013</v>
      </c>
      <c r="C13" s="47">
        <v>56164.15</v>
      </c>
      <c r="D13" s="47">
        <v>6500</v>
      </c>
      <c r="E13" s="47">
        <f t="shared" si="0"/>
        <v>8.6406384615384617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Hoja1</vt:lpstr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</vt:lpstr>
      <vt:lpstr>Oct</vt:lpstr>
      <vt:lpstr>Nov</vt:lpstr>
      <vt:lpstr>Dic</vt:lpstr>
      <vt:lpstr>Estadísticas finales</vt:lpstr>
      <vt:lpstr>Estadísticas específicas</vt:lpstr>
      <vt:lpstr>Publicidad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ALONSO!</dc:creator>
  <cp:lastModifiedBy>PRINCIPAL</cp:lastModifiedBy>
  <dcterms:created xsi:type="dcterms:W3CDTF">2021-12-30T17:07:46Z</dcterms:created>
  <dcterms:modified xsi:type="dcterms:W3CDTF">2026-03-02T18:28:36Z</dcterms:modified>
</cp:coreProperties>
</file>